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0D6D8AAA-F8EE-4E5D-98AD-6AC4F46221AF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404" r:id="rId4"/>
    <sheet name="Tested" sheetId="405" r:id="rId5"/>
    <sheet name="Confirmed" sheetId="406" r:id="rId6"/>
    <sheet name="Confirmed Day Zero" sheetId="407" r:id="rId7"/>
    <sheet name="Confirmed Trend" sheetId="408" r:id="rId8"/>
    <sheet name="Recovered" sheetId="409" r:id="rId9"/>
    <sheet name="Recovered Predicted" sheetId="410" r:id="rId10"/>
    <sheet name="Hospitalized" sheetId="411" r:id="rId11"/>
    <sheet name="Deaths" sheetId="412" r:id="rId12"/>
    <sheet name="Actively Infected" sheetId="413" r:id="rId13"/>
    <sheet name="Actively Infected Trend" sheetId="414" r:id="rId14"/>
  </sheets>
  <definedNames>
    <definedName name="_xlnm._FilterDatabase" localSheetId="12" hidden="1">'Actively Infected'!$A$1:$CQ$1</definedName>
    <definedName name="_xlnm._FilterDatabase" localSheetId="13" hidden="1">'Actively Infected Trend'!$A$1:$CQ$1</definedName>
    <definedName name="_xlnm._FilterDatabase" localSheetId="1" hidden="1">'Charts 1'!$B$22:$C$1080</definedName>
    <definedName name="_xlnm._FilterDatabase" localSheetId="5" hidden="1">Confirmed!$A$1:$CQ$1</definedName>
    <definedName name="_xlnm._FilterDatabase" localSheetId="6" hidden="1">'Confirmed Day Zero'!$A$1:$CQ$1</definedName>
    <definedName name="_xlnm._FilterDatabase" localSheetId="7" hidden="1">'Confirmed Trend'!$A$1:$CQ$1</definedName>
    <definedName name="_xlnm._FilterDatabase" localSheetId="11" hidden="1">Deaths!$A$1:$CQ$1</definedName>
    <definedName name="_xlnm._FilterDatabase" localSheetId="3" hidden="1">'General Info'!$A$1:$K$1</definedName>
    <definedName name="_xlnm._FilterDatabase" localSheetId="10" hidden="1">Hospitalized!$A$1:$CQ$1</definedName>
    <definedName name="_xlnm._FilterDatabase" localSheetId="8" hidden="1">Recovered!$A$1:$CQ$1</definedName>
    <definedName name="_xlnm._FilterDatabase" localSheetId="9" hidden="1">'Recovered Predicted'!$A$1:$CQ$1</definedName>
    <definedName name="_xlnm._FilterDatabase" localSheetId="4" hidden="1">Tested!$A$1:$CQ$1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" i="359" l="1"/>
  <c r="A11" i="359" s="1"/>
  <c r="A12" i="359" s="1"/>
  <c r="A13" i="359" s="1"/>
  <c r="A14" i="359" s="1"/>
  <c r="AC6" i="359"/>
  <c r="Y6" i="359"/>
  <c r="U6" i="359"/>
  <c r="Q6" i="359"/>
  <c r="L6" i="359"/>
  <c r="I6" i="359"/>
  <c r="E6" i="359"/>
  <c r="AB6" i="359"/>
  <c r="X6" i="359"/>
  <c r="T6" i="359"/>
  <c r="P6" i="359"/>
  <c r="M6" i="359"/>
  <c r="H6" i="359"/>
  <c r="D6" i="359"/>
  <c r="AA6" i="359"/>
  <c r="W6" i="359"/>
  <c r="S6" i="359"/>
  <c r="O6" i="359"/>
  <c r="K6" i="359"/>
  <c r="G6" i="359"/>
  <c r="C6" i="359"/>
  <c r="Z6" i="359"/>
  <c r="V6" i="359"/>
  <c r="R6" i="359"/>
  <c r="N6" i="359"/>
  <c r="J6" i="359"/>
  <c r="F6" i="359"/>
  <c r="B6" i="359"/>
  <c r="A15" i="359" l="1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S11" i="359" a="1"/>
  <c r="X10" i="359" a="1"/>
  <c r="X9" i="359" a="1"/>
  <c r="Z12" i="359" a="1"/>
  <c r="Y15" i="359" a="1"/>
  <c r="AB12" i="359" a="1"/>
  <c r="AA13" i="359" a="1"/>
  <c r="Y14" i="359" a="1"/>
  <c r="AA14" i="359" a="1"/>
  <c r="AC10" i="359" a="1"/>
  <c r="AB14" i="359" a="1"/>
  <c r="AB9" i="359" a="1"/>
  <c r="W14" i="359" a="1"/>
  <c r="U11" i="359" a="1"/>
  <c r="U9" i="359" a="1"/>
  <c r="U10" i="359" a="1"/>
  <c r="W11" i="359" a="1"/>
  <c r="R10" i="359" a="1"/>
  <c r="Q10" i="359" a="1"/>
  <c r="Q14" i="359" a="1"/>
  <c r="T12" i="359" a="1"/>
  <c r="S12" i="359" a="1"/>
  <c r="S15" i="359" a="1"/>
  <c r="S9" i="359" a="1"/>
  <c r="P10" i="359" a="1"/>
  <c r="P15" i="359" a="1"/>
  <c r="O12" i="359" a="1"/>
  <c r="N11" i="359" a="1"/>
  <c r="P9" i="359" a="1"/>
  <c r="M10" i="359" a="1"/>
  <c r="M13" i="359" a="1"/>
  <c r="K13" i="359" a="1"/>
  <c r="J11" i="359" a="1"/>
  <c r="M15" i="359" a="1"/>
  <c r="M14" i="359" a="1"/>
  <c r="K9" i="359" a="1"/>
  <c r="I13" i="359" a="1"/>
  <c r="I12" i="359" a="1"/>
  <c r="H11" i="359" a="1"/>
  <c r="G14" i="359" a="1"/>
  <c r="G11" i="359" a="1"/>
  <c r="F9" i="359" a="1"/>
  <c r="F12" i="359" a="1"/>
  <c r="E12" i="359" a="1"/>
  <c r="D10" i="359" a="1"/>
  <c r="D12" i="359" a="1"/>
  <c r="C10" i="359" a="1"/>
  <c r="C12" i="359" a="1"/>
  <c r="B15" i="359" a="1"/>
  <c r="B14" i="359" a="1"/>
  <c r="X11" i="359" a="1"/>
  <c r="AB13" i="359" a="1"/>
  <c r="Z11" i="359" a="1"/>
  <c r="Y11" i="359" a="1"/>
  <c r="Z14" i="359" a="1"/>
  <c r="Y13" i="359" a="1"/>
  <c r="AC9" i="359" a="1"/>
  <c r="V15" i="359" a="1"/>
  <c r="W13" i="359" a="1"/>
  <c r="W9" i="359" a="1"/>
  <c r="S14" i="359" a="1"/>
  <c r="S10" i="359" a="1"/>
  <c r="T14" i="359" a="1"/>
  <c r="O14" i="359" a="1"/>
  <c r="N15" i="359" a="1"/>
  <c r="P11" i="359" a="1"/>
  <c r="J14" i="359" a="1"/>
  <c r="L11" i="359" a="1"/>
  <c r="L13" i="359" a="1"/>
  <c r="M9" i="359" a="1"/>
  <c r="I11" i="359" a="1"/>
  <c r="H10" i="359" a="1"/>
  <c r="G15" i="359" a="1"/>
  <c r="D13" i="359" a="1"/>
  <c r="E15" i="359" a="1"/>
  <c r="E9" i="359" a="1"/>
  <c r="C9" i="359" a="1"/>
  <c r="Z10" i="359" a="1"/>
  <c r="AA11" i="359" a="1"/>
  <c r="AA9" i="359" a="1"/>
  <c r="W15" i="359" a="1"/>
  <c r="W10" i="359" a="1"/>
  <c r="Q13" i="359" a="1"/>
  <c r="S13" i="359" a="1"/>
  <c r="R13" i="359" a="1"/>
  <c r="R11" i="359" a="1"/>
  <c r="O11" i="359" a="1"/>
  <c r="N12" i="359" a="1"/>
  <c r="P14" i="359" a="1"/>
  <c r="K12" i="359" a="1"/>
  <c r="J12" i="359" a="1"/>
  <c r="L10" i="359" a="1"/>
  <c r="I9" i="359" a="1"/>
  <c r="H12" i="359" a="1"/>
  <c r="F13" i="359" a="1"/>
  <c r="D11" i="359" a="1"/>
  <c r="C14" i="359" a="1"/>
  <c r="B11" i="359" a="1"/>
  <c r="T13" i="359" a="1"/>
  <c r="X13" i="359" a="1"/>
  <c r="X12" i="359" a="1"/>
  <c r="AA10" i="359" a="1"/>
  <c r="Z15" i="359" a="1"/>
  <c r="AC11" i="359" a="1"/>
  <c r="AB10" i="359" a="1"/>
  <c r="Y12" i="359" a="1"/>
  <c r="AA12" i="359" a="1"/>
  <c r="AC15" i="359" a="1"/>
  <c r="Z9" i="359" a="1"/>
  <c r="Y9" i="359" a="1"/>
  <c r="U15" i="359" a="1"/>
  <c r="V12" i="359" a="1"/>
  <c r="V10" i="359" a="1"/>
  <c r="V11" i="359" a="1"/>
  <c r="U13" i="359" a="1"/>
  <c r="R15" i="359" a="1"/>
  <c r="Q12" i="359" a="1"/>
  <c r="R12" i="359" a="1"/>
  <c r="Q11" i="359" a="1"/>
  <c r="T15" i="359" a="1"/>
  <c r="T9" i="359" a="1"/>
  <c r="N9" i="359" a="1"/>
  <c r="P12" i="359" a="1"/>
  <c r="N14" i="359" a="1"/>
  <c r="O15" i="359" a="1"/>
  <c r="N10" i="359" a="1"/>
  <c r="P13" i="359" a="1"/>
  <c r="J13" i="359" a="1"/>
  <c r="L15" i="359" a="1"/>
  <c r="M12" i="359" a="1"/>
  <c r="J10" i="359" a="1"/>
  <c r="M11" i="359" a="1"/>
  <c r="L12" i="359" a="1"/>
  <c r="J9" i="359" a="1"/>
  <c r="I14" i="359" a="1"/>
  <c r="H15" i="359" a="1"/>
  <c r="H14" i="359" a="1"/>
  <c r="G12" i="359" a="1"/>
  <c r="G13" i="359" a="1"/>
  <c r="F10" i="359" a="1"/>
  <c r="F15" i="359" a="1"/>
  <c r="D14" i="359" a="1"/>
  <c r="D15" i="359" a="1"/>
  <c r="E14" i="359" a="1"/>
  <c r="C13" i="359" a="1"/>
  <c r="C15" i="359" a="1"/>
  <c r="B10" i="359" a="1"/>
  <c r="B9" i="359" a="1"/>
  <c r="X15" i="359" a="1"/>
  <c r="AC14" i="359" a="1"/>
  <c r="AB15" i="359" a="1"/>
  <c r="U14" i="359" a="1"/>
  <c r="V9" i="359" a="1"/>
  <c r="U12" i="359" a="1"/>
  <c r="R14" i="359" a="1"/>
  <c r="Q15" i="359" a="1"/>
  <c r="Q9" i="359" a="1"/>
  <c r="N13" i="359" a="1"/>
  <c r="O10" i="359" a="1"/>
  <c r="K15" i="359" a="1"/>
  <c r="L14" i="359" a="1"/>
  <c r="K11" i="359" a="1"/>
  <c r="I10" i="359" a="1"/>
  <c r="H9" i="359" a="1"/>
  <c r="G9" i="359" a="1"/>
  <c r="F11" i="359" a="1"/>
  <c r="E10" i="359" a="1"/>
  <c r="C11" i="359" a="1"/>
  <c r="B13" i="359" a="1"/>
  <c r="X14" i="359" a="1"/>
  <c r="Y10" i="359" a="1"/>
  <c r="AC12" i="359" a="1"/>
  <c r="AA15" i="359" a="1"/>
  <c r="Z13" i="359" a="1"/>
  <c r="AC13" i="359" a="1"/>
  <c r="AB11" i="359" a="1"/>
  <c r="V14" i="359" a="1"/>
  <c r="W12" i="359" a="1"/>
  <c r="V13" i="359" a="1"/>
  <c r="T10" i="359" a="1"/>
  <c r="T11" i="359" a="1"/>
  <c r="R9" i="359" a="1"/>
  <c r="O13" i="359" a="1"/>
  <c r="O9" i="359" a="1"/>
  <c r="K10" i="359" a="1"/>
  <c r="J15" i="359" a="1"/>
  <c r="K14" i="359" a="1"/>
  <c r="L9" i="359" a="1"/>
  <c r="I15" i="359" a="1"/>
  <c r="H13" i="359" a="1"/>
  <c r="G10" i="359" a="1"/>
  <c r="F14" i="359" a="1"/>
  <c r="E11" i="359" a="1"/>
  <c r="E13" i="359" a="1"/>
  <c r="D9" i="359" a="1"/>
  <c r="B12" i="359" a="1"/>
  <c r="T13" i="359" l="1"/>
  <c r="S11" i="359"/>
  <c r="X15" i="359"/>
  <c r="X12" i="359"/>
  <c r="X9" i="359"/>
  <c r="X14" i="359"/>
  <c r="X11" i="359"/>
  <c r="X13" i="359"/>
  <c r="X10" i="359"/>
  <c r="AB14" i="359"/>
  <c r="AA11" i="359"/>
  <c r="Y13" i="359"/>
  <c r="AC15" i="359"/>
  <c r="AC10" i="359"/>
  <c r="AB11" i="359"/>
  <c r="AB15" i="359"/>
  <c r="AA12" i="359"/>
  <c r="AA14" i="359"/>
  <c r="Z10" i="359"/>
  <c r="Z14" i="359"/>
  <c r="Y12" i="359"/>
  <c r="Y14" i="359"/>
  <c r="AC13" i="359"/>
  <c r="AC14" i="359"/>
  <c r="AB10" i="359"/>
  <c r="AA13" i="359"/>
  <c r="Z13" i="359"/>
  <c r="Y11" i="359"/>
  <c r="AC11" i="359"/>
  <c r="AB12" i="359"/>
  <c r="AA15" i="359"/>
  <c r="Z11" i="359"/>
  <c r="Z15" i="359"/>
  <c r="Y15" i="359"/>
  <c r="AC12" i="359"/>
  <c r="AB13" i="359"/>
  <c r="AA10" i="359"/>
  <c r="Z12" i="359"/>
  <c r="Y10" i="359"/>
  <c r="Y9" i="359"/>
  <c r="AB9" i="359"/>
  <c r="AA9" i="359"/>
  <c r="AC9" i="359"/>
  <c r="Z9" i="359"/>
  <c r="W15" i="359"/>
  <c r="V15" i="359"/>
  <c r="U15" i="359"/>
  <c r="W14" i="359"/>
  <c r="V14" i="359"/>
  <c r="U14" i="359"/>
  <c r="W9" i="359"/>
  <c r="U13" i="359"/>
  <c r="W11" i="359"/>
  <c r="V13" i="359"/>
  <c r="U12" i="359"/>
  <c r="V11" i="359"/>
  <c r="U10" i="359"/>
  <c r="W10" i="359"/>
  <c r="W13" i="359"/>
  <c r="V10" i="359"/>
  <c r="U9" i="359"/>
  <c r="W12" i="359"/>
  <c r="V9" i="359"/>
  <c r="V12" i="359"/>
  <c r="U11" i="359"/>
  <c r="S15" i="359"/>
  <c r="R11" i="359"/>
  <c r="T14" i="359"/>
  <c r="T15" i="359"/>
  <c r="S12" i="359"/>
  <c r="R13" i="359"/>
  <c r="Q15" i="359"/>
  <c r="Q11" i="359"/>
  <c r="T12" i="359"/>
  <c r="T11" i="359"/>
  <c r="S10" i="359"/>
  <c r="R12" i="359"/>
  <c r="Q14" i="359"/>
  <c r="S13" i="359"/>
  <c r="R14" i="359"/>
  <c r="Q12" i="359"/>
  <c r="Q10" i="359"/>
  <c r="T10" i="359"/>
  <c r="S14" i="359"/>
  <c r="R15" i="359"/>
  <c r="R10" i="359"/>
  <c r="Q13" i="359"/>
  <c r="T9" i="359"/>
  <c r="S9" i="359"/>
  <c r="R9" i="359"/>
  <c r="Q9" i="359"/>
  <c r="P13" i="359"/>
  <c r="P9" i="359"/>
  <c r="O9" i="359"/>
  <c r="O10" i="359"/>
  <c r="N10" i="359"/>
  <c r="N11" i="359"/>
  <c r="P14" i="359"/>
  <c r="P11" i="359"/>
  <c r="O15" i="359"/>
  <c r="O12" i="359"/>
  <c r="N12" i="359"/>
  <c r="N13" i="359"/>
  <c r="N14" i="359"/>
  <c r="P15" i="359"/>
  <c r="O13" i="359"/>
  <c r="N15" i="359"/>
  <c r="P12" i="359"/>
  <c r="P10" i="359"/>
  <c r="O11" i="359"/>
  <c r="O14" i="359"/>
  <c r="N9" i="359"/>
  <c r="L12" i="359"/>
  <c r="M14" i="359"/>
  <c r="L10" i="359"/>
  <c r="L13" i="359"/>
  <c r="M11" i="359"/>
  <c r="M15" i="359"/>
  <c r="K14" i="359"/>
  <c r="K11" i="359"/>
  <c r="J10" i="359"/>
  <c r="J11" i="359"/>
  <c r="J15" i="359"/>
  <c r="L14" i="359"/>
  <c r="M12" i="359"/>
  <c r="K13" i="359"/>
  <c r="J12" i="359"/>
  <c r="L11" i="359"/>
  <c r="L15" i="359"/>
  <c r="M13" i="359"/>
  <c r="K10" i="359"/>
  <c r="K15" i="359"/>
  <c r="J13" i="359"/>
  <c r="M10" i="359"/>
  <c r="K12" i="359"/>
  <c r="J14" i="359"/>
  <c r="M9" i="359"/>
  <c r="L9" i="359"/>
  <c r="K9" i="359"/>
  <c r="J9" i="359"/>
  <c r="I12" i="359"/>
  <c r="I9" i="359"/>
  <c r="I11" i="359"/>
  <c r="I14" i="359"/>
  <c r="I13" i="359"/>
  <c r="I15" i="359"/>
  <c r="I10" i="359"/>
  <c r="H12" i="359"/>
  <c r="H9" i="359"/>
  <c r="H14" i="359"/>
  <c r="H11" i="359"/>
  <c r="H13" i="359"/>
  <c r="H10" i="359"/>
  <c r="H15" i="359"/>
  <c r="G9" i="359"/>
  <c r="G13" i="359"/>
  <c r="G11" i="359"/>
  <c r="G10" i="359"/>
  <c r="G15" i="359"/>
  <c r="G12" i="359"/>
  <c r="G14" i="359"/>
  <c r="F15" i="359"/>
  <c r="F12" i="359"/>
  <c r="F13" i="359"/>
  <c r="F11" i="359"/>
  <c r="F10" i="359"/>
  <c r="F9" i="359"/>
  <c r="F14" i="359"/>
  <c r="E14" i="359"/>
  <c r="D12" i="359"/>
  <c r="D11" i="359"/>
  <c r="E15" i="359"/>
  <c r="D15" i="359"/>
  <c r="D10" i="359"/>
  <c r="E13" i="359"/>
  <c r="E10" i="359"/>
  <c r="D14" i="359"/>
  <c r="E12" i="359"/>
  <c r="E11" i="359"/>
  <c r="D13" i="359"/>
  <c r="D9" i="359"/>
  <c r="E9" i="359"/>
  <c r="C15" i="359"/>
  <c r="C12" i="359"/>
  <c r="C14" i="359"/>
  <c r="C11" i="359"/>
  <c r="C13" i="359"/>
  <c r="C10" i="359"/>
  <c r="C9" i="359"/>
  <c r="B14" i="359"/>
  <c r="B11" i="359"/>
  <c r="B13" i="359"/>
  <c r="B10" i="359"/>
  <c r="B15" i="359"/>
  <c r="B12" i="359"/>
  <c r="B9" i="359"/>
  <c r="A16" i="359"/>
  <c r="L16" i="359" a="1"/>
  <c r="R16" i="359" a="1"/>
  <c r="W16" i="359" a="1"/>
  <c r="AB16" i="359" a="1"/>
  <c r="X16" i="359" a="1"/>
  <c r="D16" i="359" a="1"/>
  <c r="I16" i="359" a="1"/>
  <c r="Q16" i="359" a="1"/>
  <c r="J16" i="359" a="1"/>
  <c r="O16" i="359" a="1"/>
  <c r="T16" i="359" a="1"/>
  <c r="V16" i="359" a="1"/>
  <c r="AA16" i="359" a="1"/>
  <c r="B16" i="359" a="1"/>
  <c r="F16" i="359" a="1"/>
  <c r="K16" i="359" a="1"/>
  <c r="AC16" i="359" a="1"/>
  <c r="H16" i="359" a="1"/>
  <c r="M16" i="359" a="1"/>
  <c r="P16" i="359" a="1"/>
  <c r="S16" i="359" a="1"/>
  <c r="U16" i="359" a="1"/>
  <c r="Z16" i="359" a="1"/>
  <c r="C16" i="359" a="1"/>
  <c r="G16" i="359" a="1"/>
  <c r="N16" i="359" a="1"/>
  <c r="Y16" i="359" a="1"/>
  <c r="E16" i="359" a="1"/>
  <c r="X16" i="359" l="1"/>
  <c r="Y16" i="359"/>
  <c r="Z16" i="359"/>
  <c r="AA16" i="359"/>
  <c r="AB16" i="359"/>
  <c r="AC16" i="359"/>
  <c r="U16" i="359"/>
  <c r="V16" i="359"/>
  <c r="W16" i="359"/>
  <c r="Q16" i="359"/>
  <c r="S16" i="359"/>
  <c r="T16" i="359"/>
  <c r="R16" i="359"/>
  <c r="N16" i="359"/>
  <c r="P16" i="359"/>
  <c r="O16" i="359"/>
  <c r="L16" i="359"/>
  <c r="K16" i="359"/>
  <c r="M16" i="359"/>
  <c r="J16" i="359"/>
  <c r="I16" i="359"/>
  <c r="H16" i="359"/>
  <c r="G16" i="359"/>
  <c r="F16" i="359"/>
  <c r="D16" i="359"/>
  <c r="E16" i="359"/>
  <c r="C16" i="359"/>
  <c r="B16" i="359"/>
  <c r="A17" i="359"/>
  <c r="BW42" i="15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BY41" i="15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W41" i="15"/>
  <c r="BX41" i="15" s="1"/>
  <c r="BX40" i="15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BW40" i="15"/>
  <c r="M17" i="359" a="1"/>
  <c r="N17" i="359" a="1"/>
  <c r="Q17" i="359" a="1"/>
  <c r="AA17" i="359" a="1"/>
  <c r="AB17" i="359" a="1"/>
  <c r="D17" i="359" a="1"/>
  <c r="H17" i="359" a="1"/>
  <c r="K17" i="359" a="1"/>
  <c r="T17" i="359" a="1"/>
  <c r="Y17" i="359" a="1"/>
  <c r="F17" i="359" a="1"/>
  <c r="P17" i="359" a="1"/>
  <c r="U17" i="359" a="1"/>
  <c r="C17" i="359" a="1"/>
  <c r="J17" i="359" a="1"/>
  <c r="R17" i="359" a="1"/>
  <c r="V17" i="359" a="1"/>
  <c r="Z17" i="359" a="1"/>
  <c r="X17" i="359" a="1"/>
  <c r="E17" i="359" a="1"/>
  <c r="I17" i="359" a="1"/>
  <c r="O17" i="359" a="1"/>
  <c r="W17" i="359" a="1"/>
  <c r="B17" i="359" a="1"/>
  <c r="L17" i="359" a="1"/>
  <c r="S17" i="359" a="1"/>
  <c r="AC17" i="359" a="1"/>
  <c r="G17" i="359" a="1"/>
  <c r="X17" i="359" l="1"/>
  <c r="AB17" i="359"/>
  <c r="AC17" i="359"/>
  <c r="Y17" i="359"/>
  <c r="Z17" i="359"/>
  <c r="AA17" i="359"/>
  <c r="U17" i="359"/>
  <c r="W17" i="359"/>
  <c r="V17" i="359"/>
  <c r="Q17" i="359"/>
  <c r="S17" i="359"/>
  <c r="T17" i="359"/>
  <c r="R17" i="359"/>
  <c r="N17" i="359"/>
  <c r="P17" i="359"/>
  <c r="O17" i="359"/>
  <c r="J17" i="359"/>
  <c r="M17" i="359"/>
  <c r="L17" i="359"/>
  <c r="K17" i="359"/>
  <c r="I17" i="359"/>
  <c r="H17" i="359"/>
  <c r="G17" i="359"/>
  <c r="F17" i="359"/>
  <c r="E17" i="359"/>
  <c r="D17" i="359"/>
  <c r="C17" i="359"/>
  <c r="B17" i="359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M18" i="359" a="1"/>
  <c r="N18" i="359" a="1"/>
  <c r="S18" i="359" a="1"/>
  <c r="Z18" i="359" a="1"/>
  <c r="AC18" i="359" a="1"/>
  <c r="E18" i="359" a="1"/>
  <c r="H18" i="359" a="1"/>
  <c r="K18" i="359" a="1"/>
  <c r="V18" i="359" a="1"/>
  <c r="G18" i="359" a="1"/>
  <c r="J18" i="359" a="1"/>
  <c r="Q18" i="359" a="1"/>
  <c r="W18" i="359" a="1"/>
  <c r="Y18" i="359" a="1"/>
  <c r="X18" i="359" a="1"/>
  <c r="D18" i="359" a="1"/>
  <c r="I18" i="359" a="1"/>
  <c r="F18" i="359" a="1"/>
  <c r="P18" i="359" a="1"/>
  <c r="AA18" i="359" a="1"/>
  <c r="L18" i="359" a="1"/>
  <c r="O18" i="359" a="1"/>
  <c r="T18" i="359" a="1"/>
  <c r="U18" i="359" a="1"/>
  <c r="AB18" i="359" a="1"/>
  <c r="B18" i="359" a="1"/>
  <c r="R18" i="359" a="1"/>
  <c r="C18" i="359" a="1"/>
  <c r="X18" i="359" l="1"/>
  <c r="AC18" i="359"/>
  <c r="AA18" i="359"/>
  <c r="AB18" i="359"/>
  <c r="Y18" i="359"/>
  <c r="Z18" i="359"/>
  <c r="V18" i="359"/>
  <c r="U18" i="359"/>
  <c r="W18" i="359"/>
  <c r="S18" i="359"/>
  <c r="R18" i="359"/>
  <c r="T18" i="359"/>
  <c r="Q18" i="359"/>
  <c r="N18" i="359"/>
  <c r="P18" i="359"/>
  <c r="O18" i="359"/>
  <c r="J18" i="359"/>
  <c r="M18" i="359"/>
  <c r="K18" i="359"/>
  <c r="L18" i="359"/>
  <c r="I18" i="359"/>
  <c r="H18" i="359"/>
  <c r="G18" i="359"/>
  <c r="F18" i="359"/>
  <c r="D18" i="359"/>
  <c r="E18" i="359"/>
  <c r="C18" i="359"/>
  <c r="B18" i="359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M19" i="359" a="1"/>
  <c r="N19" i="359" a="1"/>
  <c r="S19" i="359" a="1"/>
  <c r="V19" i="359" a="1"/>
  <c r="AB19" i="359" a="1"/>
  <c r="B19" i="359" a="1"/>
  <c r="F19" i="359" a="1"/>
  <c r="H19" i="359" a="1"/>
  <c r="K19" i="359" a="1"/>
  <c r="P19" i="359" a="1"/>
  <c r="T19" i="359" a="1"/>
  <c r="U19" i="359" a="1"/>
  <c r="Z19" i="359" a="1"/>
  <c r="C19" i="359" a="1"/>
  <c r="G19" i="359" a="1"/>
  <c r="I19" i="359" a="1"/>
  <c r="J19" i="359" a="1"/>
  <c r="O19" i="359" a="1"/>
  <c r="R19" i="359" a="1"/>
  <c r="AA19" i="359" a="1"/>
  <c r="Y19" i="359" a="1"/>
  <c r="E19" i="359" a="1"/>
  <c r="L19" i="359" a="1"/>
  <c r="Q19" i="359" a="1"/>
  <c r="W19" i="359" a="1"/>
  <c r="AC19" i="359" a="1"/>
  <c r="X19" i="359" a="1"/>
  <c r="D19" i="359" a="1"/>
  <c r="X19" i="359" l="1"/>
  <c r="Y19" i="359"/>
  <c r="Z19" i="359"/>
  <c r="AB19" i="359"/>
  <c r="AC19" i="359"/>
  <c r="AA19" i="359"/>
  <c r="U19" i="359"/>
  <c r="V19" i="359"/>
  <c r="W19" i="359"/>
  <c r="R19" i="359"/>
  <c r="T19" i="359"/>
  <c r="S19" i="359"/>
  <c r="Q19" i="359"/>
  <c r="O19" i="359"/>
  <c r="P19" i="359"/>
  <c r="N19" i="359"/>
  <c r="L19" i="359"/>
  <c r="J19" i="359"/>
  <c r="K19" i="359"/>
  <c r="M19" i="359"/>
  <c r="I19" i="359"/>
  <c r="H19" i="359"/>
  <c r="G19" i="359"/>
  <c r="F19" i="359"/>
  <c r="D19" i="359"/>
  <c r="E19" i="359"/>
  <c r="C19" i="359"/>
  <c r="B19" i="359"/>
  <c r="A20" i="359"/>
  <c r="BZ164" i="15"/>
  <c r="C105" i="15"/>
  <c r="K20" i="359" a="1"/>
  <c r="O20" i="359" a="1"/>
  <c r="T20" i="359" a="1"/>
  <c r="U20" i="359" a="1"/>
  <c r="Y20" i="359" a="1"/>
  <c r="C20" i="359" a="1"/>
  <c r="G20" i="359" a="1"/>
  <c r="N20" i="359" a="1"/>
  <c r="Q20" i="359" a="1"/>
  <c r="AC20" i="359" a="1"/>
  <c r="Z20" i="359" a="1"/>
  <c r="D20" i="359" a="1"/>
  <c r="H20" i="359" a="1"/>
  <c r="J20" i="359" a="1"/>
  <c r="S20" i="359" a="1"/>
  <c r="V20" i="359" a="1"/>
  <c r="AB20" i="359" a="1"/>
  <c r="X20" i="359" a="1"/>
  <c r="E20" i="359" a="1"/>
  <c r="I20" i="359" a="1"/>
  <c r="L20" i="359" a="1"/>
  <c r="P20" i="359" a="1"/>
  <c r="R20" i="359" a="1"/>
  <c r="W20" i="359" a="1"/>
  <c r="AA20" i="359" a="1"/>
  <c r="B20" i="359" a="1"/>
  <c r="F20" i="359" a="1"/>
  <c r="M20" i="359" a="1"/>
  <c r="X20" i="359" l="1"/>
  <c r="Z20" i="359"/>
  <c r="Y20" i="359"/>
  <c r="AA20" i="359"/>
  <c r="AB20" i="359"/>
  <c r="AC20" i="359"/>
  <c r="U20" i="359"/>
  <c r="W20" i="359"/>
  <c r="V20" i="359"/>
  <c r="Q20" i="359"/>
  <c r="T20" i="359"/>
  <c r="R20" i="359"/>
  <c r="S20" i="359"/>
  <c r="N20" i="359"/>
  <c r="O20" i="359"/>
  <c r="P20" i="359"/>
  <c r="J20" i="359"/>
  <c r="M20" i="359"/>
  <c r="K20" i="359"/>
  <c r="L20" i="359"/>
  <c r="I20" i="359"/>
  <c r="H20" i="359"/>
  <c r="G20" i="359"/>
  <c r="F20" i="359"/>
  <c r="E20" i="359"/>
  <c r="D20" i="359"/>
  <c r="C20" i="359"/>
  <c r="B20" i="359"/>
  <c r="A21" i="359"/>
  <c r="CA164" i="15"/>
  <c r="B44" i="15"/>
  <c r="D42" i="15"/>
  <c r="D41" i="15"/>
  <c r="D40" i="15"/>
  <c r="A22" i="359" l="1"/>
  <c r="CB164" i="15"/>
  <c r="B45" i="15"/>
  <c r="M21" i="359" a="1"/>
  <c r="P21" i="359" a="1"/>
  <c r="Q21" i="359" a="1"/>
  <c r="AC21" i="359" a="1"/>
  <c r="Y21" i="359" a="1"/>
  <c r="D21" i="359" a="1"/>
  <c r="H21" i="359" a="1"/>
  <c r="BN285" i="15" a="1"/>
  <c r="BK281" i="15" a="1"/>
  <c r="B46" i="8"/>
  <c r="CI286" i="15" a="1"/>
  <c r="BT285" i="15" a="1"/>
  <c r="AY281" i="15" a="1"/>
  <c r="AD277" i="15" a="1"/>
  <c r="BZ288" i="15" a="1"/>
  <c r="BX286" i="15" a="1"/>
  <c r="AJ289" i="15" a="1"/>
  <c r="Q288" i="15" a="1"/>
  <c r="BM289" i="15" a="1"/>
  <c r="AX279" i="15" a="1"/>
  <c r="BE291" i="15" a="1"/>
  <c r="CO290" i="15" a="1"/>
  <c r="BJ289" i="15" a="1"/>
  <c r="AV288" i="15" a="1"/>
  <c r="AI283" i="15" a="1"/>
  <c r="BS291" i="15" a="1"/>
  <c r="AT288" i="15" a="1"/>
  <c r="O283" i="15" a="1"/>
  <c r="AT285" i="15" a="1"/>
  <c r="G288" i="15" a="1"/>
  <c r="AI281" i="15" a="1"/>
  <c r="AG288" i="15" a="1"/>
  <c r="CI283" i="15" a="1"/>
  <c r="AR285" i="15" a="1"/>
  <c r="CJ291" i="15" a="1"/>
  <c r="BW287" i="15" a="1"/>
  <c r="BS286" i="15" a="1"/>
  <c r="CJ286" i="15" a="1"/>
  <c r="CH289" i="15" a="1"/>
  <c r="B87" i="8"/>
  <c r="AP291" i="15" a="1"/>
  <c r="AZ285" i="15" a="1"/>
  <c r="B88" i="8"/>
  <c r="BR286" i="15" a="1"/>
  <c r="R286" i="15" a="1"/>
  <c r="Q290" i="15" a="1"/>
  <c r="AK272" i="15" a="1"/>
  <c r="BW286" i="15" a="1"/>
  <c r="J287" i="15" a="1"/>
  <c r="BV288" i="15" a="1"/>
  <c r="CA286" i="15" a="1"/>
  <c r="P286" i="15" a="1"/>
  <c r="AS289" i="15" a="1"/>
  <c r="BD288" i="15" a="1"/>
  <c r="AL277" i="15" a="1"/>
  <c r="AI279" i="15" a="1"/>
  <c r="AL284" i="15" a="1"/>
  <c r="N286" i="15" a="1"/>
  <c r="AI286" i="15" a="1"/>
  <c r="AK288" i="15" a="1"/>
  <c r="CL278" i="15" a="1"/>
  <c r="CA285" i="15" a="1"/>
  <c r="CA283" i="15" a="1"/>
  <c r="AZ288" i="15" a="1"/>
  <c r="AZ281" i="15" a="1"/>
  <c r="CJ288" i="15" a="1"/>
  <c r="U290" i="15" a="1"/>
  <c r="AX280" i="15" a="1"/>
  <c r="G285" i="15" a="1"/>
  <c r="BL289" i="15" a="1"/>
  <c r="X281" i="15" a="1"/>
  <c r="BQ284" i="15" a="1"/>
  <c r="CD286" i="15" a="1"/>
  <c r="BZ271" i="15" a="1"/>
  <c r="AH290" i="15" a="1"/>
  <c r="BA290" i="15" a="1"/>
  <c r="V284" i="15" a="1"/>
  <c r="BW285" i="15" a="1"/>
  <c r="CF278" i="15" a="1"/>
  <c r="AX288" i="15" a="1"/>
  <c r="Q272" i="15" a="1"/>
  <c r="BA272" i="15" a="1"/>
  <c r="BL272" i="15" a="1"/>
  <c r="BC285" i="15" a="1"/>
  <c r="CC267" i="15" a="1"/>
  <c r="CL291" i="15" a="1"/>
  <c r="BG288" i="15" a="1"/>
  <c r="AW275" i="15" a="1"/>
  <c r="BR262" i="15" a="1"/>
  <c r="CQ289" i="15" a="1"/>
  <c r="CA289" i="15" a="1"/>
  <c r="AS283" i="15" a="1"/>
  <c r="AZ278" i="15" a="1"/>
  <c r="F285" i="15" a="1"/>
  <c r="CB288" i="15" a="1"/>
  <c r="AO289" i="15" a="1"/>
  <c r="BI290" i="15" a="1"/>
  <c r="AG287" i="15" a="1"/>
  <c r="BO275" i="15" a="1"/>
  <c r="Q285" i="15" a="1"/>
  <c r="BL279" i="15" a="1"/>
  <c r="AF289" i="15" a="1"/>
  <c r="AK291" i="15" a="1"/>
  <c r="BM281" i="15" a="1"/>
  <c r="BR288" i="15" a="1"/>
  <c r="AJ288" i="15" a="1"/>
  <c r="BU274" i="15" a="1"/>
  <c r="E284" i="15" a="1"/>
  <c r="AI270" i="15" a="1"/>
  <c r="BH284" i="15" a="1"/>
  <c r="AK283" i="15" a="1"/>
  <c r="CN283" i="15" a="1"/>
  <c r="BX289" i="15" a="1"/>
  <c r="AG290" i="15" a="1"/>
  <c r="B68" i="8"/>
  <c r="AT287" i="15" a="1"/>
  <c r="CQ282" i="15" a="1"/>
  <c r="AD288" i="15" a="1"/>
  <c r="AN287" i="15" a="1"/>
  <c r="BR282" i="15" a="1"/>
  <c r="E276" i="15" a="1"/>
  <c r="AQ276" i="15" a="1"/>
  <c r="T286" i="15" a="1"/>
  <c r="E273" i="15" a="1"/>
  <c r="J21" i="359" a="1"/>
  <c r="T21" i="359" a="1"/>
  <c r="U21" i="359" a="1"/>
  <c r="AB21" i="359" a="1"/>
  <c r="X21" i="359" a="1"/>
  <c r="E21" i="359" a="1"/>
  <c r="I21" i="359" a="1"/>
  <c r="CD279" i="15" a="1"/>
  <c r="AQ289" i="15" a="1"/>
  <c r="BN281" i="15" a="1"/>
  <c r="AQ290" i="15" a="1"/>
  <c r="CJ289" i="15" a="1"/>
  <c r="BR290" i="15" a="1"/>
  <c r="AM291" i="15" a="1"/>
  <c r="K21" i="359" a="1"/>
  <c r="O21" i="359" a="1"/>
  <c r="R21" i="359" a="1"/>
  <c r="W21" i="359" a="1"/>
  <c r="AA21" i="359" a="1"/>
  <c r="B21" i="359" a="1"/>
  <c r="F21" i="359" a="1"/>
  <c r="CQ288" i="15" a="1"/>
  <c r="BF284" i="15" a="1"/>
  <c r="CO287" i="15" a="1"/>
  <c r="BC290" i="15" a="1"/>
  <c r="CQ286" i="15" a="1"/>
  <c r="AS291" i="15" a="1"/>
  <c r="CA290" i="15" a="1"/>
  <c r="AW291" i="15" a="1"/>
  <c r="BD281" i="15" a="1"/>
  <c r="J290" i="15" a="1"/>
  <c r="BL288" i="15" a="1"/>
  <c r="M286" i="15" a="1"/>
  <c r="R291" i="15" a="1"/>
  <c r="AS286" i="15" a="1"/>
  <c r="BU277" i="15" a="1"/>
  <c r="BU288" i="15" a="1"/>
  <c r="E290" i="15" a="1"/>
  <c r="AT290" i="15" a="1"/>
  <c r="B127" i="8"/>
  <c r="AD289" i="15" a="1"/>
  <c r="AY275" i="15" a="1"/>
  <c r="BU283" i="15" a="1"/>
  <c r="BC274" i="15" a="1"/>
  <c r="AC287" i="15" a="1"/>
  <c r="BT273" i="15" a="1"/>
  <c r="BV276" i="15" a="1"/>
  <c r="AX283" i="15" a="1"/>
  <c r="AO281" i="15" a="1"/>
  <c r="AM290" i="15" a="1"/>
  <c r="CN286" i="15" a="1"/>
  <c r="AD286" i="15" a="1"/>
  <c r="J278" i="15" a="1"/>
  <c r="BA288" i="15" a="1"/>
  <c r="T290" i="15" a="1"/>
  <c r="CH291" i="15" a="1"/>
  <c r="AN286" i="15" a="1"/>
  <c r="CF281" i="15" a="1"/>
  <c r="BK285" i="15" a="1"/>
  <c r="BU280" i="15" a="1"/>
  <c r="AS287" i="15" a="1"/>
  <c r="BC273" i="15" a="1"/>
  <c r="BJ285" i="15" a="1"/>
  <c r="CO289" i="15" a="1"/>
  <c r="AV285" i="15" a="1"/>
  <c r="AM279" i="15" a="1"/>
  <c r="AN281" i="15" a="1"/>
  <c r="BT286" i="15" a="1"/>
  <c r="CC280" i="15" a="1"/>
  <c r="BD261" i="15" a="1"/>
  <c r="BR276" i="15" a="1"/>
  <c r="CC289" i="15" a="1"/>
  <c r="L282" i="15" a="1"/>
  <c r="AC290" i="15" a="1"/>
  <c r="Z288" i="15" a="1"/>
  <c r="AP280" i="15" a="1"/>
  <c r="U289" i="15" a="1"/>
  <c r="CM283" i="15" a="1"/>
  <c r="Y282" i="15" a="1"/>
  <c r="CG282" i="15" a="1"/>
  <c r="W282" i="15" a="1"/>
  <c r="BC282" i="15" a="1"/>
  <c r="E289" i="15" a="1"/>
  <c r="AY284" i="15" a="1"/>
  <c r="AC283" i="15" a="1"/>
  <c r="BP287" i="15" a="1"/>
  <c r="CF277" i="15" a="1"/>
  <c r="BY290" i="15" a="1"/>
  <c r="V290" i="15" a="1"/>
  <c r="CM278" i="15" a="1"/>
  <c r="E285" i="15" a="1"/>
  <c r="AG275" i="15" a="1"/>
  <c r="BB286" i="15" a="1"/>
  <c r="BF279" i="15" a="1"/>
  <c r="I281" i="15" a="1"/>
  <c r="R289" i="15" a="1"/>
  <c r="BW282" i="15" a="1"/>
  <c r="BL282" i="15" a="1"/>
  <c r="H281" i="15" a="1"/>
  <c r="BR287" i="15" a="1"/>
  <c r="BG282" i="15" a="1"/>
  <c r="L281" i="15" a="1"/>
  <c r="AS278" i="15" a="1"/>
  <c r="C232" i="15" a="1"/>
  <c r="AH283" i="15" a="1"/>
  <c r="J291" i="15" a="1"/>
  <c r="K287" i="15" a="1"/>
  <c r="CR285" i="15" a="1"/>
  <c r="BV286" i="15" a="1"/>
  <c r="AL287" i="15" a="1"/>
  <c r="B67" i="8"/>
  <c r="K286" i="15" a="1"/>
  <c r="AI290" i="15" a="1"/>
  <c r="AE278" i="15" a="1"/>
  <c r="BO276" i="15" a="1"/>
  <c r="N290" i="15" a="1"/>
  <c r="CD284" i="15" a="1"/>
  <c r="L277" i="15" a="1"/>
  <c r="B100" i="8"/>
  <c r="B89" i="8"/>
  <c r="AF283" i="15" a="1"/>
  <c r="BA281" i="15" a="1"/>
  <c r="CG276" i="15" a="1"/>
  <c r="BX290" i="15" a="1"/>
  <c r="AH275" i="15" a="1"/>
  <c r="BP266" i="15" a="1"/>
  <c r="J283" i="15" a="1"/>
  <c r="BN287" i="15" a="1"/>
  <c r="BB288" i="15" a="1"/>
  <c r="AV283" i="15" a="1"/>
  <c r="CN285" i="15" a="1"/>
  <c r="AS281" i="15" a="1"/>
  <c r="AD284" i="15" a="1"/>
  <c r="BI279" i="15" a="1"/>
  <c r="CF286" i="15" a="1"/>
  <c r="AN291" i="15" a="1"/>
  <c r="U288" i="15" a="1"/>
  <c r="S283" i="15" a="1"/>
  <c r="CF289" i="15" a="1"/>
  <c r="B110" i="8"/>
  <c r="H273" i="15" a="1"/>
  <c r="N21" i="359" a="1"/>
  <c r="C21" i="359" a="1"/>
  <c r="AX287" i="15" a="1"/>
  <c r="BN286" i="15" a="1"/>
  <c r="Q286" i="15" a="1"/>
  <c r="E287" i="15" a="1"/>
  <c r="BJ286" i="15" a="1"/>
  <c r="AV291" i="15" a="1"/>
  <c r="BQ286" i="15" a="1"/>
  <c r="O281" i="15" a="1"/>
  <c r="CB286" i="15" a="1"/>
  <c r="AS290" i="15" a="1"/>
  <c r="AK280" i="15" a="1"/>
  <c r="Y289" i="15" a="1"/>
  <c r="CP290" i="15" a="1"/>
  <c r="BK290" i="15" a="1"/>
  <c r="AT291" i="15" a="1"/>
  <c r="BT282" i="15" a="1"/>
  <c r="BP276" i="15" a="1"/>
  <c r="V273" i="15" a="1"/>
  <c r="P287" i="15" a="1"/>
  <c r="M279" i="15" a="1"/>
  <c r="R290" i="15" a="1"/>
  <c r="Z282" i="15" a="1"/>
  <c r="AW288" i="15" a="1"/>
  <c r="J286" i="15" a="1"/>
  <c r="M288" i="15" a="1"/>
  <c r="O291" i="15" a="1"/>
  <c r="AH286" i="15" a="1"/>
  <c r="AJ290" i="15" a="1"/>
  <c r="BU291" i="15" a="1"/>
  <c r="AI288" i="15" a="1"/>
  <c r="AH287" i="15" a="1"/>
  <c r="BQ287" i="15" a="1"/>
  <c r="AV281" i="15" a="1"/>
  <c r="BB276" i="15" a="1"/>
  <c r="AF286" i="15" a="1"/>
  <c r="BM287" i="15" a="1"/>
  <c r="CR280" i="15" a="1"/>
  <c r="AV275" i="15" a="1"/>
  <c r="I277" i="15" a="1"/>
  <c r="AH281" i="15" a="1"/>
  <c r="BO281" i="15" a="1"/>
  <c r="B90" i="8"/>
  <c r="AW277" i="15" a="1"/>
  <c r="BO290" i="15" a="1"/>
  <c r="F290" i="15" a="1"/>
  <c r="B130" i="8"/>
  <c r="AU277" i="15" a="1"/>
  <c r="AY288" i="15" a="1"/>
  <c r="N271" i="15" a="1"/>
  <c r="CM286" i="15" a="1"/>
  <c r="BQ288" i="15" a="1"/>
  <c r="AU287" i="15" a="1"/>
  <c r="BB289" i="15" a="1"/>
  <c r="CA288" i="15" a="1"/>
  <c r="BF287" i="15" a="1"/>
  <c r="AQ285" i="15" a="1"/>
  <c r="AL285" i="15" a="1"/>
  <c r="CG274" i="15" a="1"/>
  <c r="AN277" i="15" a="1"/>
  <c r="J284" i="15" a="1"/>
  <c r="AF284" i="15" a="1"/>
  <c r="BK268" i="15" a="1"/>
  <c r="J272" i="15" a="1"/>
  <c r="CD288" i="15" a="1"/>
  <c r="CA278" i="15" a="1"/>
  <c r="AQ265" i="15" a="1"/>
  <c r="CC275" i="15" a="1"/>
  <c r="BI289" i="15" a="1"/>
  <c r="BH286" i="15" a="1"/>
  <c r="AM287" i="15" a="1"/>
  <c r="G291" i="15" a="1"/>
  <c r="B47" i="8"/>
  <c r="BM288" i="15" a="1"/>
  <c r="BF281" i="15" a="1"/>
  <c r="BF270" i="15" a="1"/>
  <c r="S21" i="359" a="1"/>
  <c r="G21" i="359" a="1"/>
  <c r="CA281" i="15" a="1"/>
  <c r="CK288" i="15" a="1"/>
  <c r="CG286" i="15" a="1"/>
  <c r="AJ284" i="15" a="1"/>
  <c r="CI277" i="15" a="1"/>
  <c r="AA289" i="15" a="1"/>
  <c r="AV280" i="15" a="1"/>
  <c r="CN290" i="15" a="1"/>
  <c r="CA291" i="15" a="1"/>
  <c r="AV287" i="15" a="1"/>
  <c r="L289" i="15" a="1"/>
  <c r="BB275" i="15" a="1"/>
  <c r="AM289" i="15" a="1"/>
  <c r="AR288" i="15" a="1"/>
  <c r="BZ289" i="15" a="1"/>
  <c r="T288" i="15" a="1"/>
  <c r="AD291" i="15" a="1"/>
  <c r="BL287" i="15" a="1"/>
  <c r="N284" i="15" a="1"/>
  <c r="CL289" i="15" a="1"/>
  <c r="BM291" i="15" a="1"/>
  <c r="W289" i="15" a="1"/>
  <c r="AJ276" i="15" a="1"/>
  <c r="BP288" i="15" a="1"/>
  <c r="CR288" i="15" a="1"/>
  <c r="I291" i="15" a="1"/>
  <c r="CP276" i="15" a="1"/>
  <c r="AM288" i="15" a="1"/>
  <c r="BI285" i="15" a="1"/>
  <c r="AX282" i="15" a="1"/>
  <c r="AD287" i="15" a="1"/>
  <c r="U285" i="15" a="1"/>
  <c r="AQ286" i="15" a="1"/>
  <c r="F262" i="15" a="1"/>
  <c r="K290" i="15" a="1"/>
  <c r="AN274" i="15" a="1"/>
  <c r="CI278" i="15" a="1"/>
  <c r="AQ266" i="15" a="1"/>
  <c r="BW262" i="15" a="1"/>
  <c r="R285" i="15" a="1"/>
  <c r="BP278" i="15" a="1"/>
  <c r="BD287" i="15" a="1"/>
  <c r="BC288" i="15" a="1"/>
  <c r="Y286" i="15" a="1"/>
  <c r="S284" i="15" a="1"/>
  <c r="CD282" i="15" a="1"/>
  <c r="AB282" i="15" a="1"/>
  <c r="BF277" i="15" a="1"/>
  <c r="CM272" i="15" a="1"/>
  <c r="BE287" i="15" a="1"/>
  <c r="BM277" i="15" a="1"/>
  <c r="AE286" i="15" a="1"/>
  <c r="BP291" i="15" a="1"/>
  <c r="BS282" i="15" a="1"/>
  <c r="BM284" i="15" a="1"/>
  <c r="E279" i="15" a="1"/>
  <c r="BV258" i="15" a="1"/>
  <c r="BB282" i="15" a="1"/>
  <c r="BK289" i="15" a="1"/>
  <c r="BG273" i="15" a="1"/>
  <c r="U281" i="15" a="1"/>
  <c r="CR290" i="15" a="1"/>
  <c r="AV282" i="15" a="1"/>
  <c r="U279" i="15" a="1"/>
  <c r="W288" i="15" a="1"/>
  <c r="BW288" i="15" a="1"/>
  <c r="AG272" i="15" a="1"/>
  <c r="AF271" i="15" a="1"/>
  <c r="AF281" i="15" a="1"/>
  <c r="CK281" i="15" a="1"/>
  <c r="CO266" i="15" a="1"/>
  <c r="AP289" i="15" a="1"/>
  <c r="CL275" i="15" a="1"/>
  <c r="E272" i="15" a="1"/>
  <c r="CN282" i="15" a="1"/>
  <c r="V282" i="15" a="1"/>
  <c r="BT288" i="15" a="1"/>
  <c r="CM274" i="15" a="1"/>
  <c r="Z277" i="15" a="1"/>
  <c r="BG270" i="15" a="1"/>
  <c r="E277" i="15" a="1"/>
  <c r="BU281" i="15" a="1"/>
  <c r="AP281" i="15" a="1"/>
  <c r="BM267" i="15" a="1"/>
  <c r="C278" i="15" a="1"/>
  <c r="BS283" i="15" a="1"/>
  <c r="BT290" i="15" a="1"/>
  <c r="BO264" i="15" a="1"/>
  <c r="BR279" i="15" a="1"/>
  <c r="AL262" i="15" a="1"/>
  <c r="BI284" i="15" a="1"/>
  <c r="N265" i="15" a="1"/>
  <c r="N275" i="15" a="1"/>
  <c r="CK278" i="15" a="1"/>
  <c r="AU290" i="15" a="1"/>
  <c r="AI287" i="15" a="1"/>
  <c r="AG276" i="15" a="1"/>
  <c r="CJ283" i="15" a="1"/>
  <c r="BQ264" i="15" a="1"/>
  <c r="BY268" i="15" a="1"/>
  <c r="BY259" i="15" a="1"/>
  <c r="P288" i="15" a="1"/>
  <c r="AJ280" i="15" a="1"/>
  <c r="BD271" i="15" a="1"/>
  <c r="BA285" i="15" a="1"/>
  <c r="BP258" i="15" a="1"/>
  <c r="CR279" i="15" a="1"/>
  <c r="AI275" i="15" a="1"/>
  <c r="CJ287" i="15" a="1"/>
  <c r="K289" i="15" a="1"/>
  <c r="BF288" i="15" a="1"/>
  <c r="T281" i="15" a="1"/>
  <c r="AW284" i="15" a="1"/>
  <c r="CL287" i="15" a="1"/>
  <c r="CP277" i="15" a="1"/>
  <c r="AC285" i="15" a="1"/>
  <c r="CC287" i="15" a="1"/>
  <c r="BF285" i="15" a="1"/>
  <c r="AV273" i="15" a="1"/>
  <c r="CJ284" i="15" a="1"/>
  <c r="BM262" i="15" a="1"/>
  <c r="CD287" i="15" a="1"/>
  <c r="CQ280" i="15" a="1"/>
  <c r="AZ277" i="15" a="1"/>
  <c r="CP271" i="15" a="1"/>
  <c r="V21" i="359" a="1"/>
  <c r="BO284" i="15" a="1"/>
  <c r="BF289" i="15" a="1"/>
  <c r="I287" i="15" a="1"/>
  <c r="CK291" i="15" a="1"/>
  <c r="BV285" i="15" a="1"/>
  <c r="AN290" i="15" a="1"/>
  <c r="H283" i="15" a="1"/>
  <c r="M285" i="15" a="1"/>
  <c r="AB291" i="15" a="1"/>
  <c r="T278" i="15" a="1"/>
  <c r="AH284" i="15" a="1"/>
  <c r="AM282" i="15" a="1"/>
  <c r="AC288" i="15" a="1"/>
  <c r="CC288" i="15" a="1"/>
  <c r="CF290" i="15" a="1"/>
  <c r="B58" i="8"/>
  <c r="CG280" i="15" a="1"/>
  <c r="AY286" i="15" a="1"/>
  <c r="BC281" i="15" a="1"/>
  <c r="AR284" i="15" a="1"/>
  <c r="B69" i="8"/>
  <c r="K291" i="15" a="1"/>
  <c r="CK279" i="15" a="1"/>
  <c r="BC279" i="15" a="1"/>
  <c r="B108" i="8"/>
  <c r="BN282" i="15" a="1"/>
  <c r="CO286" i="15" a="1"/>
  <c r="G290" i="15" a="1"/>
  <c r="BN283" i="15" a="1"/>
  <c r="CL270" i="15" a="1"/>
  <c r="E286" i="15" a="1"/>
  <c r="CR283" i="15" a="1"/>
  <c r="BW275" i="15" a="1"/>
  <c r="BN268" i="15" a="1"/>
  <c r="BN284" i="15" a="1"/>
  <c r="AY280" i="15" a="1"/>
  <c r="CE272" i="15" a="1"/>
  <c r="BS272" i="15" a="1"/>
  <c r="AP276" i="15" a="1"/>
  <c r="AV260" i="15" a="1"/>
  <c r="CJ285" i="15" a="1"/>
  <c r="C279" i="15" a="1"/>
  <c r="BV287" i="15" a="1"/>
  <c r="L290" i="15" a="1"/>
  <c r="BT281" i="15" a="1"/>
  <c r="BK263" i="15" a="1"/>
  <c r="U287" i="15" a="1"/>
  <c r="W286" i="15" a="1"/>
  <c r="K265" i="15" a="1"/>
  <c r="AN285" i="15" a="1"/>
  <c r="H276" i="15" a="1"/>
  <c r="BK283" i="15" a="1"/>
  <c r="R279" i="15" a="1"/>
  <c r="CN276" i="15" a="1"/>
  <c r="BQ285" i="15" a="1"/>
  <c r="CJ275" i="15" a="1"/>
  <c r="AQ272" i="15" a="1"/>
  <c r="U283" i="15" a="1"/>
  <c r="B99" i="8"/>
  <c r="BA282" i="15" a="1"/>
  <c r="BA286" i="15" a="1"/>
  <c r="CP284" i="15" a="1"/>
  <c r="BL285" i="15" a="1"/>
  <c r="I278" i="15" a="1"/>
  <c r="B77" i="8"/>
  <c r="CH290" i="15" a="1"/>
  <c r="AD276" i="15" a="1"/>
  <c r="BW264" i="15" a="1"/>
  <c r="AM270" i="15" a="1"/>
  <c r="L21" i="359" a="1"/>
  <c r="CH282" i="15" a="1"/>
  <c r="BI286" i="15" a="1"/>
  <c r="W290" i="15" a="1"/>
  <c r="S291" i="15" a="1"/>
  <c r="G272" i="15" a="1"/>
  <c r="AL289" i="15" a="1"/>
  <c r="BQ289" i="15" a="1"/>
  <c r="X283" i="15" a="1"/>
  <c r="CF274" i="15" a="1"/>
  <c r="AZ269" i="15" a="1"/>
  <c r="AM285" i="15" a="1"/>
  <c r="BK287" i="15" a="1"/>
  <c r="AG284" i="15" a="1"/>
  <c r="O285" i="15" a="1"/>
  <c r="CG288" i="15" a="1"/>
  <c r="BK271" i="15" a="1"/>
  <c r="BO289" i="15" a="1"/>
  <c r="H286" i="15" a="1"/>
  <c r="BE288" i="15" a="1"/>
  <c r="BL276" i="15" a="1"/>
  <c r="N282" i="15" a="1"/>
  <c r="BC270" i="15" a="1"/>
  <c r="AS276" i="15" a="1"/>
  <c r="BC284" i="15" a="1"/>
  <c r="CG283" i="15" a="1"/>
  <c r="AZ268" i="15" a="1"/>
  <c r="AH280" i="15" a="1"/>
  <c r="M262" i="15" a="1"/>
  <c r="AW262" i="15" a="1"/>
  <c r="BP284" i="15" a="1"/>
  <c r="AT282" i="15" a="1"/>
  <c r="AE275" i="15" a="1"/>
  <c r="AM278" i="15" a="1"/>
  <c r="CB274" i="15" a="1"/>
  <c r="BL267" i="15" a="1"/>
  <c r="X288" i="15" a="1"/>
  <c r="BO288" i="15" a="1"/>
  <c r="AP278" i="15" a="1"/>
  <c r="BI278" i="15" a="1"/>
  <c r="AS259" i="15" a="1"/>
  <c r="H287" i="15" a="1"/>
  <c r="BJ283" i="15" a="1"/>
  <c r="BL280" i="15" a="1"/>
  <c r="BS289" i="15" a="1"/>
  <c r="U276" i="15" a="1"/>
  <c r="AF291" i="15" a="1"/>
  <c r="J285" i="15" a="1"/>
  <c r="BH289" i="15" a="1"/>
  <c r="CM277" i="15" a="1"/>
  <c r="AS282" i="15" a="1"/>
  <c r="AW290" i="15" a="1"/>
  <c r="AX268" i="15" a="1"/>
  <c r="BX282" i="15" a="1"/>
  <c r="AC259" i="15" a="1"/>
  <c r="BC275" i="15" a="1"/>
  <c r="AX278" i="15" a="1"/>
  <c r="BV283" i="15" a="1"/>
  <c r="BX278" i="15" a="1"/>
  <c r="AK282" i="15" a="1"/>
  <c r="BN288" i="15" a="1"/>
  <c r="BW290" i="15" a="1"/>
  <c r="J275" i="15" a="1"/>
  <c r="CR277" i="15" a="1"/>
  <c r="AJ263" i="15" a="1"/>
  <c r="BL260" i="15" a="1"/>
  <c r="BE289" i="15" a="1"/>
  <c r="CA280" i="15" a="1"/>
  <c r="BX283" i="15" a="1"/>
  <c r="Z276" i="15" a="1"/>
  <c r="BU285" i="15" a="1"/>
  <c r="BI275" i="15" a="1"/>
  <c r="BU290" i="15" a="1"/>
  <c r="S289" i="15" a="1"/>
  <c r="BF280" i="15" a="1"/>
  <c r="BI264" i="15" a="1"/>
  <c r="L276" i="15" a="1"/>
  <c r="CG281" i="15" a="1"/>
  <c r="T268" i="15" a="1"/>
  <c r="AW276" i="15" a="1"/>
  <c r="CP280" i="15" a="1"/>
  <c r="BS269" i="15" a="1"/>
  <c r="M290" i="15" a="1"/>
  <c r="BL274" i="15" a="1"/>
  <c r="CH288" i="15" a="1"/>
  <c r="CD271" i="15" a="1"/>
  <c r="U272" i="15" a="1"/>
  <c r="CD260" i="15" a="1"/>
  <c r="BF276" i="15" a="1"/>
  <c r="B48" i="8"/>
  <c r="S279" i="15" a="1"/>
  <c r="W279" i="15" a="1"/>
  <c r="CF276" i="15" a="1"/>
  <c r="F275" i="15" a="1"/>
  <c r="CG265" i="15" a="1"/>
  <c r="BI262" i="15" a="1"/>
  <c r="CG275" i="15" a="1"/>
  <c r="F265" i="15" a="1"/>
  <c r="K281" i="15" a="1"/>
  <c r="BD276" i="15" a="1"/>
  <c r="BL283" i="15" a="1"/>
  <c r="AL283" i="15" a="1"/>
  <c r="CH285" i="15" a="1"/>
  <c r="AG281" i="15" a="1"/>
  <c r="CG273" i="15" a="1"/>
  <c r="CB289" i="15" a="1"/>
  <c r="C285" i="15" a="1"/>
  <c r="BC291" i="15" a="1"/>
  <c r="AO272" i="15" a="1"/>
  <c r="CR271" i="15" a="1"/>
  <c r="Q287" i="15" a="1"/>
  <c r="T276" i="15" a="1"/>
  <c r="F287" i="15" a="1"/>
  <c r="CJ281" i="15" a="1"/>
  <c r="L278" i="15" a="1"/>
  <c r="C268" i="15" a="1"/>
  <c r="AR279" i="15" a="1"/>
  <c r="AC264" i="15" a="1"/>
  <c r="AE287" i="15" a="1"/>
  <c r="AN278" i="15" a="1"/>
  <c r="AS285" i="15" a="1"/>
  <c r="Y285" i="15" a="1"/>
  <c r="CJ266" i="15" a="1"/>
  <c r="CM285" i="15" a="1"/>
  <c r="AF268" i="15" a="1"/>
  <c r="BL270" i="15" a="1"/>
  <c r="E280" i="15" a="1"/>
  <c r="Z21" i="359" a="1"/>
  <c r="BB285" i="15" a="1"/>
  <c r="BX277" i="15" a="1"/>
  <c r="AR282" i="15" a="1"/>
  <c r="AO280" i="15" a="1"/>
  <c r="BM279" i="15" a="1"/>
  <c r="BC286" i="15" a="1"/>
  <c r="BB290" i="15" a="1"/>
  <c r="G277" i="15" a="1"/>
  <c r="T291" i="15" a="1"/>
  <c r="CP288" i="15" a="1"/>
  <c r="AC286" i="15" a="1"/>
  <c r="AW287" i="15" a="1"/>
  <c r="BY281" i="15" a="1"/>
  <c r="BO286" i="15" a="1"/>
  <c r="BP279" i="15" a="1"/>
  <c r="W270" i="15" a="1"/>
  <c r="AT277" i="15" a="1"/>
  <c r="AL291" i="15" a="1"/>
  <c r="AO282" i="15" a="1"/>
  <c r="CB265" i="15" a="1"/>
  <c r="AX284" i="15" a="1"/>
  <c r="L275" i="15" a="1"/>
  <c r="AA270" i="15" a="1"/>
  <c r="I261" i="15" a="1"/>
  <c r="BJ273" i="15" a="1"/>
  <c r="AY268" i="15" a="1"/>
  <c r="S281" i="15" a="1"/>
  <c r="T279" i="15" a="1"/>
  <c r="X273" i="15" a="1"/>
  <c r="BC269" i="15" a="1"/>
  <c r="X270" i="15" a="1"/>
  <c r="AT279" i="15" a="1"/>
  <c r="BU261" i="15" a="1"/>
  <c r="AW285" i="15" a="1"/>
  <c r="AB288" i="15" a="1"/>
  <c r="CR284" i="15" a="1"/>
  <c r="S282" i="15" a="1"/>
  <c r="Y276" i="15" a="1"/>
  <c r="K271" i="15" a="1"/>
  <c r="B98" i="8"/>
  <c r="BD284" i="15" a="1"/>
  <c r="BQ273" i="15" a="1"/>
  <c r="BT277" i="15" a="1"/>
  <c r="K276" i="15" a="1"/>
  <c r="AU286" i="15" a="1"/>
  <c r="AK290" i="15" a="1"/>
  <c r="L288" i="15" a="1"/>
  <c r="BZ284" i="15" a="1"/>
  <c r="AZ286" i="15" a="1"/>
  <c r="BA280" i="15" a="1"/>
  <c r="B97" i="8"/>
  <c r="BE286" i="15" a="1"/>
  <c r="H272" i="15" a="1"/>
  <c r="AJ285" i="15" a="1"/>
  <c r="CM267" i="15" a="1"/>
  <c r="CQ287" i="15" a="1"/>
  <c r="AY276" i="15" a="1"/>
  <c r="BA287" i="15" a="1"/>
  <c r="AD272" i="15" a="1"/>
  <c r="BI267" i="15" a="1"/>
  <c r="CF285" i="15" a="1"/>
  <c r="CN288" i="15" a="1"/>
  <c r="AN289" i="15" a="1"/>
  <c r="Z291" i="15" a="1"/>
  <c r="AQ275" i="15" a="1"/>
  <c r="AX281" i="15" a="1"/>
  <c r="CE283" i="15" a="1"/>
  <c r="BI288" i="15" a="1"/>
  <c r="AA290" i="15" a="1"/>
  <c r="AA288" i="15" a="1"/>
  <c r="BJ291" i="15" a="1"/>
  <c r="W285" i="15" a="1"/>
  <c r="BJ271" i="15" a="1"/>
  <c r="R271" i="15" a="1"/>
  <c r="AG283" i="15" a="1"/>
  <c r="Y283" i="15" a="1"/>
  <c r="O271" i="15" a="1"/>
  <c r="K256" i="15" a="1"/>
  <c r="Y288" i="15" a="1"/>
  <c r="BS285" i="15" a="1"/>
  <c r="BQ272" i="15" a="1"/>
  <c r="AS264" i="15" a="1"/>
  <c r="AQ280" i="15" a="1"/>
  <c r="BW277" i="15" a="1"/>
  <c r="CA282" i="15" a="1"/>
  <c r="BC265" i="15" a="1"/>
  <c r="BX276" i="15" a="1"/>
  <c r="BO269" i="15" a="1"/>
  <c r="BG274" i="15" a="1"/>
  <c r="P274" i="15" a="1"/>
  <c r="S257" i="15" a="1"/>
  <c r="CN278" i="15" a="1"/>
  <c r="CK280" i="15" a="1"/>
  <c r="AP285" i="15" a="1"/>
  <c r="BR270" i="15" a="1"/>
  <c r="X278" i="15" a="1"/>
  <c r="AU267" i="15" a="1"/>
  <c r="AP290" i="15" a="1"/>
  <c r="AZ279" i="15" a="1"/>
  <c r="AA291" i="15" a="1"/>
  <c r="BL290" i="15" a="1"/>
  <c r="AG289" i="15" a="1"/>
  <c r="C291" i="15" a="1"/>
  <c r="CA287" i="15" a="1"/>
  <c r="CC291" i="15" a="1"/>
  <c r="R281" i="15" a="1"/>
  <c r="BQ282" i="15" a="1"/>
  <c r="V288" i="15" a="1"/>
  <c r="AU288" i="15" a="1"/>
  <c r="L264" i="15" a="1"/>
  <c r="BU278" i="15" a="1"/>
  <c r="AQ270" i="15" a="1"/>
  <c r="N283" i="15" a="1"/>
  <c r="C273" i="15" a="1"/>
  <c r="AV263" i="15" a="1"/>
  <c r="P289" i="15" a="1"/>
  <c r="H285" i="15" a="1"/>
  <c r="CR265" i="15" a="1"/>
  <c r="AH273" i="15" a="1"/>
  <c r="BK278" i="15" a="1"/>
  <c r="CG279" i="15" a="1"/>
  <c r="G280" i="15" a="1"/>
  <c r="I272" i="15" a="1"/>
  <c r="AB283" i="15" a="1"/>
  <c r="CR281" i="15" a="1"/>
  <c r="BI282" i="15" a="1"/>
  <c r="AY266" i="15" a="1"/>
  <c r="AQ284" i="15" a="1"/>
  <c r="Q283" i="15" a="1"/>
  <c r="N287" i="15" a="1"/>
  <c r="U270" i="15" a="1"/>
  <c r="AN270" i="15" a="1"/>
  <c r="Q269" i="15" a="1"/>
  <c r="AC262" i="15" a="1"/>
  <c r="BU263" i="15" a="1"/>
  <c r="BY271" i="15" a="1"/>
  <c r="BG275" i="15" a="1"/>
  <c r="CH269" i="15" a="1"/>
  <c r="AC291" i="15" a="1"/>
  <c r="I279" i="15" a="1"/>
  <c r="CL288" i="15" a="1"/>
  <c r="AK289" i="15" a="1"/>
  <c r="AL281" i="15" a="1"/>
  <c r="AZ287" i="15" a="1"/>
  <c r="BX291" i="15" a="1"/>
  <c r="CJ276" i="15" a="1"/>
  <c r="BA270" i="15" a="1"/>
  <c r="AM280" i="15" a="1"/>
  <c r="BS290" i="15" a="1"/>
  <c r="U284" i="15" a="1"/>
  <c r="CK287" i="15" a="1"/>
  <c r="AL290" i="15" a="1"/>
  <c r="CP285" i="15" a="1"/>
  <c r="V291" i="15" a="1"/>
  <c r="BB284" i="15" a="1"/>
  <c r="AD278" i="15" a="1"/>
  <c r="CN287" i="15" a="1"/>
  <c r="AI291" i="15" a="1"/>
  <c r="O280" i="15" a="1"/>
  <c r="BI287" i="15" a="1"/>
  <c r="BX284" i="15" a="1"/>
  <c r="BT271" i="15" a="1"/>
  <c r="R267" i="15" a="1"/>
  <c r="AQ277" i="15" a="1"/>
  <c r="CD289" i="15" a="1"/>
  <c r="I282" i="15" a="1"/>
  <c r="AN261" i="15" a="1"/>
  <c r="BQ277" i="15" a="1"/>
  <c r="CK276" i="15" a="1"/>
  <c r="BF278" i="15" a="1"/>
  <c r="Q275" i="15" a="1"/>
  <c r="R288" i="15" a="1"/>
  <c r="AD261" i="15" a="1"/>
  <c r="BY270" i="15" a="1"/>
  <c r="BN289" i="15" a="1"/>
  <c r="AQ281" i="15" a="1"/>
  <c r="CP264" i="15" a="1"/>
  <c r="AF285" i="15" a="1"/>
  <c r="CB273" i="15" a="1"/>
  <c r="BM283" i="15" a="1"/>
  <c r="T271" i="15" a="1"/>
  <c r="Q262" i="15" a="1"/>
  <c r="CE288" i="15" a="1"/>
  <c r="AQ271" i="15" a="1"/>
  <c r="I263" i="15" a="1"/>
  <c r="CM284" i="15" a="1"/>
  <c r="BS281" i="15" a="1"/>
  <c r="AD280" i="15" a="1"/>
  <c r="AL286" i="15" a="1"/>
  <c r="CA276" i="15" a="1"/>
  <c r="N279" i="15" a="1"/>
  <c r="AU273" i="15" a="1"/>
  <c r="C280" i="15" a="1"/>
  <c r="BS287" i="15" a="1"/>
  <c r="BS277" i="15" a="1"/>
  <c r="R284" i="15" a="1"/>
  <c r="AC272" i="15" a="1"/>
  <c r="AY290" i="15" a="1"/>
  <c r="AB276" i="15" a="1"/>
  <c r="X289" i="15" a="1"/>
  <c r="AB290" i="15" a="1"/>
  <c r="AP271" i="15" a="1"/>
  <c r="C276" i="15" a="1"/>
  <c r="BE290" i="15" a="1"/>
  <c r="BV275" i="15" a="1"/>
  <c r="J260" i="15" a="1"/>
  <c r="CD283" i="15" a="1"/>
  <c r="BK286" i="15" a="1"/>
  <c r="AM277" i="15" a="1"/>
  <c r="Q266" i="15" a="1"/>
  <c r="CC283" i="15" a="1"/>
  <c r="AZ273" i="15" a="1"/>
  <c r="CH280" i="15" a="1"/>
  <c r="BH277" i="15" a="1"/>
  <c r="BD285" i="15" a="1"/>
  <c r="T289" i="15" a="1"/>
  <c r="BV284" i="15" a="1"/>
  <c r="CL280" i="15" a="1"/>
  <c r="AP263" i="15" a="1"/>
  <c r="CE261" i="15" a="1"/>
  <c r="AQ264" i="15" a="1"/>
  <c r="I270" i="15" a="1"/>
  <c r="BL265" i="15" a="1"/>
  <c r="AB278" i="15" a="1"/>
  <c r="BA279" i="15" a="1"/>
  <c r="AL280" i="15" a="1"/>
  <c r="BA289" i="15" a="1"/>
  <c r="G274" i="15" a="1"/>
  <c r="AT280" i="15" a="1"/>
  <c r="AL272" i="15" a="1"/>
  <c r="AA272" i="15" a="1"/>
  <c r="U282" i="15" a="1"/>
  <c r="AT289" i="15" a="1"/>
  <c r="J274" i="15" a="1"/>
  <c r="AD282" i="15" a="1"/>
  <c r="BW256" i="15" a="1"/>
  <c r="CH287" i="15" a="1"/>
  <c r="M284" i="15" a="1"/>
  <c r="CO278" i="15" a="1"/>
  <c r="BZ278" i="15" a="1"/>
  <c r="AZ270" i="15" a="1"/>
  <c r="CQ274" i="15" a="1"/>
  <c r="P279" i="15" a="1"/>
  <c r="CM262" i="15" a="1"/>
  <c r="BU266" i="15" a="1"/>
  <c r="BN291" i="15" a="1"/>
  <c r="CQ285" i="15" a="1"/>
  <c r="BP290" i="15" a="1"/>
  <c r="BZ286" i="15" a="1"/>
  <c r="U277" i="15" a="1"/>
  <c r="AB275" i="15" a="1"/>
  <c r="CC279" i="15" a="1"/>
  <c r="T277" i="15" a="1"/>
  <c r="O263" i="15" a="1"/>
  <c r="CO276" i="15" a="1"/>
  <c r="Z286" i="15" a="1"/>
  <c r="AH279" i="15" a="1"/>
  <c r="BA284" i="15" a="1"/>
  <c r="BO277" i="15" a="1"/>
  <c r="AN288" i="15" a="1"/>
  <c r="AF287" i="15" a="1"/>
  <c r="BW270" i="15" a="1"/>
  <c r="CL273" i="15" a="1"/>
  <c r="P283" i="15" a="1"/>
  <c r="CO279" i="15" a="1"/>
  <c r="AS284" i="15" a="1"/>
  <c r="BS262" i="15" a="1"/>
  <c r="CC290" i="15" a="1"/>
  <c r="U274" i="15" a="1"/>
  <c r="K261" i="15" a="1"/>
  <c r="J277" i="15" a="1"/>
  <c r="CL279" i="15" a="1"/>
  <c r="AR277" i="15" a="1"/>
  <c r="E282" i="15" a="1"/>
  <c r="CH260" i="15" a="1"/>
  <c r="AI278" i="15" a="1"/>
  <c r="O272" i="15" a="1"/>
  <c r="W280" i="15" a="1"/>
  <c r="Q277" i="15" a="1"/>
  <c r="BB278" i="15" a="1"/>
  <c r="BD270" i="15" a="1"/>
  <c r="X277" i="15" a="1"/>
  <c r="X262" i="15" a="1"/>
  <c r="CO285" i="15" a="1"/>
  <c r="CP282" i="15" a="1"/>
  <c r="B78" i="8"/>
  <c r="BY288" i="15" a="1"/>
  <c r="BU282" i="15" a="1"/>
  <c r="CP287" i="15" a="1"/>
  <c r="BJ277" i="15" a="1"/>
  <c r="R283" i="15" a="1"/>
  <c r="CE287" i="15" a="1"/>
  <c r="V267" i="15" a="1"/>
  <c r="BV289" i="15" a="1"/>
  <c r="CI290" i="15" a="1"/>
  <c r="F289" i="15" a="1"/>
  <c r="CE270" i="15" a="1"/>
  <c r="S268" i="15" a="1"/>
  <c r="X285" i="15" a="1"/>
  <c r="BD273" i="15" a="1"/>
  <c r="AA262" i="15" a="1"/>
  <c r="BW289" i="15" a="1"/>
  <c r="L279" i="15" a="1"/>
  <c r="CI285" i="15" a="1"/>
  <c r="CM291" i="15" a="1"/>
  <c r="O268" i="15" a="1"/>
  <c r="AN283" i="15" a="1"/>
  <c r="R280" i="15" a="1"/>
  <c r="AT271" i="15" a="1"/>
  <c r="BK291" i="15" a="1"/>
  <c r="BX288" i="15" a="1"/>
  <c r="BF286" i="15" a="1"/>
  <c r="BB291" i="15" a="1"/>
  <c r="Z287" i="15" a="1"/>
  <c r="AM271" i="15" a="1"/>
  <c r="BZ283" i="15" a="1"/>
  <c r="E270" i="15" a="1"/>
  <c r="CM282" i="15" a="1"/>
  <c r="BE274" i="15" a="1"/>
  <c r="BX279" i="15" a="1"/>
  <c r="F276" i="15" a="1"/>
  <c r="CM289" i="15" a="1"/>
  <c r="S290" i="15" a="1"/>
  <c r="M281" i="15" a="1"/>
  <c r="CM287" i="15" a="1"/>
  <c r="BN273" i="15" a="1"/>
  <c r="BM278" i="15" a="1"/>
  <c r="AZ264" i="15" a="1"/>
  <c r="BA275" i="15" a="1"/>
  <c r="AD283" i="15" a="1"/>
  <c r="AW286" i="15" a="1"/>
  <c r="E291" i="15" a="1"/>
  <c r="CP283" i="15" a="1"/>
  <c r="AB281" i="15" a="1"/>
  <c r="AP287" i="15" a="1"/>
  <c r="AY272" i="15" a="1"/>
  <c r="H290" i="15" a="1"/>
  <c r="C290" i="15" a="1"/>
  <c r="BZ265" i="15" a="1"/>
  <c r="B59" i="8"/>
  <c r="AM283" i="15" a="1"/>
  <c r="CK282" i="15" a="1"/>
  <c r="BR280" i="15" a="1"/>
  <c r="AX267" i="15" a="1"/>
  <c r="P271" i="15" a="1"/>
  <c r="AC280" i="15" a="1"/>
  <c r="CN280" i="15" a="1"/>
  <c r="BQ291" i="15" a="1"/>
  <c r="N276" i="15" a="1"/>
  <c r="Q280" i="15" a="1"/>
  <c r="CG278" i="15" a="1"/>
  <c r="AD263" i="15" a="1"/>
  <c r="BS270" i="15" a="1"/>
  <c r="P260" i="15" a="1"/>
  <c r="BE277" i="15" a="1"/>
  <c r="BY262" i="15" a="1"/>
  <c r="CP272" i="15" a="1"/>
  <c r="CB291" i="15" a="1"/>
  <c r="AO266" i="15" a="1"/>
  <c r="BP283" i="15" a="1"/>
  <c r="AW273" i="15" a="1"/>
  <c r="AX273" i="15" a="1"/>
  <c r="BA269" i="15" a="1"/>
  <c r="C289" i="15" a="1"/>
  <c r="BB262" i="15" a="1"/>
  <c r="AF279" i="15" a="1"/>
  <c r="CO283" i="15" a="1"/>
  <c r="BE268" i="15" a="1"/>
  <c r="BH262" i="15" a="1"/>
  <c r="BV279" i="15" a="1"/>
  <c r="BH265" i="15" a="1"/>
  <c r="BG285" i="15" a="1"/>
  <c r="AH269" i="15" a="1"/>
  <c r="CJ278" i="15" a="1"/>
  <c r="BK288" i="15" a="1"/>
  <c r="BR260" i="15" a="1"/>
  <c r="BE263" i="15" a="1"/>
  <c r="BS276" i="15" a="1"/>
  <c r="F270" i="15" a="1"/>
  <c r="AU279" i="15" a="1"/>
  <c r="Y272" i="15" a="1"/>
  <c r="AY289" i="15" a="1"/>
  <c r="CL282" i="15" a="1"/>
  <c r="L272" i="15" a="1"/>
  <c r="AZ254" i="15" a="1"/>
  <c r="C263" i="15" a="1"/>
  <c r="BL281" i="15" a="1"/>
  <c r="BR275" i="15" a="1"/>
  <c r="CL277" i="15" a="1"/>
  <c r="H269" i="15" a="1"/>
  <c r="CK290" i="15" a="1"/>
  <c r="BM286" i="15" a="1"/>
  <c r="BG291" i="15" a="1"/>
  <c r="BR273" i="15" a="1"/>
  <c r="AT267" i="15" a="1"/>
  <c r="H289" i="15" a="1"/>
  <c r="CF287" i="15" a="1"/>
  <c r="BE265" i="15" a="1"/>
  <c r="Y274" i="15" a="1"/>
  <c r="K284" i="15" a="1"/>
  <c r="BR271" i="15" a="1"/>
  <c r="Q273" i="15" a="1"/>
  <c r="AT278" i="15" a="1"/>
  <c r="CA265" i="15" a="1"/>
  <c r="Y275" i="15" a="1"/>
  <c r="AS265" i="15" a="1"/>
  <c r="K277" i="15" a="1"/>
  <c r="BW281" i="15" a="1"/>
  <c r="V270" i="15" a="1"/>
  <c r="CA270" i="15" a="1"/>
  <c r="BV274" i="15" a="1"/>
  <c r="CJ272" i="15" a="1"/>
  <c r="AR264" i="15" a="1"/>
  <c r="BG283" i="15" a="1"/>
  <c r="BP274" i="15" a="1"/>
  <c r="AL273" i="15" a="1"/>
  <c r="BI268" i="15" a="1"/>
  <c r="BY267" i="15" a="1"/>
  <c r="AM261" i="15" a="1"/>
  <c r="AN276" i="15" a="1"/>
  <c r="AW266" i="15" a="1"/>
  <c r="BR272" i="15" a="1"/>
  <c r="U273" i="15" a="1"/>
  <c r="N270" i="15" a="1"/>
  <c r="Q268" i="15" a="1"/>
  <c r="G287" i="15" a="1"/>
  <c r="BA261" i="15" a="1"/>
  <c r="N263" i="15" a="1"/>
  <c r="BZ257" i="15" a="1"/>
  <c r="AC276" i="15" a="1"/>
  <c r="AR272" i="15" a="1"/>
  <c r="AZ252" i="15" a="1"/>
  <c r="BA253" i="15" a="1"/>
  <c r="AX271" i="15" a="1"/>
  <c r="CI259" i="15" a="1"/>
  <c r="CL245" i="15" a="1"/>
  <c r="E251" i="15" a="1"/>
  <c r="AE263" i="15" a="1"/>
  <c r="AR280" i="15" a="1"/>
  <c r="CM256" i="15" a="1"/>
  <c r="AS288" i="15" a="1"/>
  <c r="AG271" i="15" a="1"/>
  <c r="CF271" i="15" a="1"/>
  <c r="AW257" i="15" a="1"/>
  <c r="AK276" i="15" a="1"/>
  <c r="BR277" i="15" a="1"/>
  <c r="AE262" i="15" a="1"/>
  <c r="BE260" i="15" a="1"/>
  <c r="CH255" i="15" a="1"/>
  <c r="BH260" i="15" a="1"/>
  <c r="H274" i="15" a="1"/>
  <c r="CQ253" i="15" a="1"/>
  <c r="AJ249" i="15" a="1"/>
  <c r="AW258" i="15" a="1"/>
  <c r="CO264" i="15" a="1"/>
  <c r="N280" i="15" a="1"/>
  <c r="Q274" i="15" a="1"/>
  <c r="I274" i="15" a="1"/>
  <c r="AO279" i="15" a="1"/>
  <c r="CQ276" i="15" a="1"/>
  <c r="CD272" i="15" a="1"/>
  <c r="BX287" i="15" a="1"/>
  <c r="C265" i="15" a="1"/>
  <c r="BG261" i="15" a="1"/>
  <c r="M258" i="15" a="1"/>
  <c r="CA284" i="15" a="1"/>
  <c r="U260" i="15" a="1"/>
  <c r="M265" i="15" a="1"/>
  <c r="BX260" i="15" a="1"/>
  <c r="O258" i="15" a="1"/>
  <c r="BB283" i="15" a="1"/>
  <c r="AK271" i="15" a="1"/>
  <c r="BT259" i="15" a="1"/>
  <c r="AG286" i="15" a="1"/>
  <c r="CB284" i="15" a="1"/>
  <c r="N258" i="15" a="1"/>
  <c r="Z265" i="15" a="1"/>
  <c r="AM265" i="15" a="1"/>
  <c r="CP262" i="15" a="1"/>
  <c r="AI255" i="15" a="1"/>
  <c r="V256" i="15" a="1"/>
  <c r="AY251" i="15" a="1"/>
  <c r="BM266" i="15" a="1"/>
  <c r="S269" i="15" a="1"/>
  <c r="BD259" i="15" a="1"/>
  <c r="H259" i="15" a="1"/>
  <c r="BY243" i="15" a="1"/>
  <c r="BT260" i="15" a="1"/>
  <c r="CG251" i="15" a="1"/>
  <c r="V255" i="15" a="1"/>
  <c r="AY248" i="15" a="1"/>
  <c r="P247" i="15" a="1"/>
  <c r="BZ233" i="15" a="1"/>
  <c r="BZ238" i="15" a="1"/>
  <c r="AU268" i="15" a="1"/>
  <c r="B57" i="8"/>
  <c r="G278" i="15" a="1"/>
  <c r="AA268" i="15" a="1"/>
  <c r="H278" i="15" a="1"/>
  <c r="K259" i="15" a="1"/>
  <c r="AL276" i="15" a="1"/>
  <c r="R247" i="15" a="1"/>
  <c r="BB271" i="15" a="1"/>
  <c r="AI241" i="15" a="1"/>
  <c r="BU249" i="15" a="1"/>
  <c r="BS249" i="15" a="1"/>
  <c r="J240" i="15" a="1"/>
  <c r="BW232" i="15" a="1"/>
  <c r="AW263" i="15" a="1"/>
  <c r="CH263" i="15" a="1"/>
  <c r="AW251" i="15" a="1"/>
  <c r="BR256" i="15" a="1"/>
  <c r="BG253" i="15" a="1"/>
  <c r="BV244" i="15" a="1"/>
  <c r="AY245" i="15" a="1"/>
  <c r="F232" i="15" a="1"/>
  <c r="CB263" i="15" a="1"/>
  <c r="CQ254" i="15" a="1"/>
  <c r="BN290" i="15" a="1"/>
  <c r="CB290" i="15" a="1"/>
  <c r="AR275" i="15" a="1"/>
  <c r="AU281" i="15" a="1"/>
  <c r="AI289" i="15" a="1"/>
  <c r="AG278" i="15" a="1"/>
  <c r="S288" i="15" a="1"/>
  <c r="AK264" i="15" a="1"/>
  <c r="BJ278" i="15" a="1"/>
  <c r="S285" i="15" a="1"/>
  <c r="BQ280" i="15" a="1"/>
  <c r="BH285" i="15" a="1"/>
  <c r="BE271" i="15" a="1"/>
  <c r="CF280" i="15" a="1"/>
  <c r="AT281" i="15" a="1"/>
  <c r="S272" i="15" a="1"/>
  <c r="BW278" i="15" a="1"/>
  <c r="U264" i="15" a="1"/>
  <c r="BH279" i="15" a="1"/>
  <c r="AR287" i="15" a="1"/>
  <c r="CR264" i="15" a="1"/>
  <c r="I265" i="15" a="1"/>
  <c r="Y261" i="15" a="1"/>
  <c r="AL271" i="15" a="1"/>
  <c r="CA274" i="15" a="1"/>
  <c r="CJ265" i="15" a="1"/>
  <c r="CL285" i="15" a="1"/>
  <c r="CE290" i="15" a="1"/>
  <c r="CI291" i="15" a="1"/>
  <c r="AH291" i="15" a="1"/>
  <c r="C274" i="15" a="1"/>
  <c r="AE290" i="15" a="1"/>
  <c r="CL283" i="15" a="1"/>
  <c r="CG269" i="15" a="1"/>
  <c r="AS279" i="15" a="1"/>
  <c r="AD285" i="15" a="1"/>
  <c r="AN273" i="15" a="1"/>
  <c r="BQ260" i="15" a="1"/>
  <c r="Q289" i="15" a="1"/>
  <c r="BA283" i="15" a="1"/>
  <c r="Z280" i="15" a="1"/>
  <c r="BZ281" i="15" a="1"/>
  <c r="S276" i="15" a="1"/>
  <c r="W291" i="15" a="1"/>
  <c r="AN279" i="15" a="1"/>
  <c r="O275" i="15" a="1"/>
  <c r="AQ288" i="15" a="1"/>
  <c r="O289" i="15" a="1"/>
  <c r="AY282" i="15" a="1"/>
  <c r="P281" i="15" a="1"/>
  <c r="CK286" i="15" a="1"/>
  <c r="P291" i="15" a="1"/>
  <c r="G275" i="15" a="1"/>
  <c r="Q278" i="15" a="1"/>
  <c r="AP288" i="15" a="1"/>
  <c r="L283" i="15" a="1"/>
  <c r="CJ262" i="15" a="1"/>
  <c r="AW271" i="15" a="1"/>
  <c r="CF268" i="15" a="1"/>
  <c r="AC275" i="15" a="1"/>
  <c r="P285" i="15" a="1"/>
  <c r="G271" i="15" a="1"/>
  <c r="BK273" i="15" a="1"/>
  <c r="AP283" i="15" a="1"/>
  <c r="BY286" i="15" a="1"/>
  <c r="CN281" i="15" a="1"/>
  <c r="BD280" i="15" a="1"/>
  <c r="C288" i="15" a="1"/>
  <c r="BS284" i="15" a="1"/>
  <c r="H265" i="15" a="1"/>
  <c r="C284" i="15" a="1"/>
  <c r="AA284" i="15" a="1"/>
  <c r="CM270" i="15" a="1"/>
  <c r="BP277" i="15" a="1"/>
  <c r="AA283" i="15" a="1"/>
  <c r="F277" i="15" a="1"/>
  <c r="BL286" i="15" a="1"/>
  <c r="CL261" i="15" a="1"/>
  <c r="AZ291" i="15" a="1"/>
  <c r="T283" i="15" a="1"/>
  <c r="S266" i="15" a="1"/>
  <c r="BM273" i="15" a="1"/>
  <c r="CN289" i="15" a="1"/>
  <c r="AJ291" i="15" a="1"/>
  <c r="BP268" i="15" a="1"/>
  <c r="BD266" i="15" a="1"/>
  <c r="W269" i="15" a="1"/>
  <c r="CB280" i="15" a="1"/>
  <c r="X290" i="15" a="1"/>
  <c r="BP285" i="15" a="1"/>
  <c r="BK272" i="15" a="1"/>
  <c r="T284" i="15" a="1"/>
  <c r="BO272" i="15" a="1"/>
  <c r="S273" i="15" a="1"/>
  <c r="BM290" i="15" a="1"/>
  <c r="Q271" i="15" a="1"/>
  <c r="BV280" i="15" a="1"/>
  <c r="BN276" i="15" a="1"/>
  <c r="B129" i="8"/>
  <c r="H270" i="15" a="1"/>
  <c r="V275" i="15" a="1"/>
  <c r="AU261" i="15" a="1"/>
  <c r="AT262" i="15" a="1"/>
  <c r="BL275" i="15" a="1"/>
  <c r="AU274" i="15" a="1"/>
  <c r="AW267" i="15" a="1"/>
  <c r="AJ279" i="15" a="1"/>
  <c r="AV269" i="15" a="1"/>
  <c r="K278" i="15" a="1"/>
  <c r="N257" i="15" a="1"/>
  <c r="AA259" i="15" a="1"/>
  <c r="CJ261" i="15" a="1"/>
  <c r="T285" i="15" a="1"/>
  <c r="Y287" i="15" a="1"/>
  <c r="C272" i="15" a="1"/>
  <c r="N267" i="15" a="1"/>
  <c r="BY279" i="15" a="1"/>
  <c r="AY270" i="15" a="1"/>
  <c r="BH287" i="15" a="1"/>
  <c r="O267" i="15" a="1"/>
  <c r="CQ268" i="15" a="1"/>
  <c r="BE272" i="15" a="1"/>
  <c r="CN270" i="15" a="1"/>
  <c r="BN269" i="15" a="1"/>
  <c r="BR291" i="15" a="1"/>
  <c r="CD285" i="15" a="1"/>
  <c r="AA271" i="15" a="1"/>
  <c r="BO285" i="15" a="1"/>
  <c r="AZ282" i="15" a="1"/>
  <c r="B70" i="8"/>
  <c r="BH291" i="15" a="1"/>
  <c r="AP261" i="15" a="1"/>
  <c r="J279" i="15" a="1"/>
  <c r="L269" i="15" a="1"/>
  <c r="O286" i="15" a="1"/>
  <c r="CA277" i="15" a="1"/>
  <c r="U278" i="15" a="1"/>
  <c r="BL291" i="15" a="1"/>
  <c r="G282" i="15" a="1"/>
  <c r="R264" i="15" a="1"/>
  <c r="CL286" i="15" a="1"/>
  <c r="W287" i="15" a="1"/>
  <c r="CE278" i="15" a="1"/>
  <c r="CH286" i="15" a="1"/>
  <c r="W281" i="15" a="1"/>
  <c r="AS262" i="15" a="1"/>
  <c r="BI276" i="15" a="1"/>
  <c r="AU280" i="15" a="1"/>
  <c r="F288" i="15" a="1"/>
  <c r="CK270" i="15" a="1"/>
  <c r="AI271" i="15" a="1"/>
  <c r="AB255" i="15" a="1"/>
  <c r="AI268" i="15" a="1"/>
  <c r="BE270" i="15" a="1"/>
  <c r="BB279" i="15" a="1"/>
  <c r="Z289" i="15" a="1"/>
  <c r="BC283" i="15" a="1"/>
  <c r="AE267" i="15" a="1"/>
  <c r="Y264" i="15" a="1"/>
  <c r="AP268" i="15" a="1"/>
  <c r="BT269" i="15" a="1"/>
  <c r="AU291" i="15" a="1"/>
  <c r="AO273" i="15" a="1"/>
  <c r="CP266" i="15" a="1"/>
  <c r="AR253" i="15" a="1"/>
  <c r="AQ268" i="15" a="1"/>
  <c r="AC267" i="15" a="1"/>
  <c r="AX272" i="15" a="1"/>
  <c r="AD254" i="15" a="1"/>
  <c r="CE260" i="15" a="1"/>
  <c r="AE260" i="15" a="1"/>
  <c r="AE261" i="15" a="1"/>
  <c r="AE273" i="15" a="1"/>
  <c r="BZ267" i="15" a="1"/>
  <c r="BG265" i="15" a="1"/>
  <c r="G289" i="15" a="1"/>
  <c r="T254" i="15" a="1"/>
  <c r="CB269" i="15" a="1"/>
  <c r="CD258" i="15" a="1"/>
  <c r="AF272" i="15" a="1"/>
  <c r="Z275" i="15" a="1"/>
  <c r="BY278" i="15" a="1"/>
  <c r="X267" i="15" a="1"/>
  <c r="CQ269" i="15" a="1"/>
  <c r="BU262" i="15" a="1"/>
  <c r="BD256" i="15" a="1"/>
  <c r="BO259" i="15" a="1"/>
  <c r="AY264" i="15" a="1"/>
  <c r="BK276" i="15" a="1"/>
  <c r="BN263" i="15" a="1"/>
  <c r="BV262" i="15" a="1"/>
  <c r="AO277" i="15" a="1"/>
  <c r="AH262" i="15" a="1"/>
  <c r="P264" i="15" a="1"/>
  <c r="W257" i="15" a="1"/>
  <c r="CF266" i="15" a="1"/>
  <c r="K273" i="15" a="1"/>
  <c r="BM276" i="15" a="1"/>
  <c r="AQ279" i="15" a="1"/>
  <c r="CD274" i="15" a="1"/>
  <c r="AB259" i="15" a="1"/>
  <c r="W278" i="15" a="1"/>
  <c r="CH267" i="15" a="1"/>
  <c r="BJ261" i="15" a="1"/>
  <c r="BV257" i="15" a="1"/>
  <c r="BX272" i="15" a="1"/>
  <c r="AG262" i="15" a="1"/>
  <c r="W265" i="15" a="1"/>
  <c r="L257" i="15" a="1"/>
  <c r="CI260" i="15" a="1"/>
  <c r="CL268" i="15" a="1"/>
  <c r="AG261" i="15" a="1"/>
  <c r="E259" i="15" a="1"/>
  <c r="I255" i="15" a="1"/>
  <c r="AS260" i="15" a="1"/>
  <c r="X291" i="15" a="1"/>
  <c r="BI270" i="15" a="1"/>
  <c r="BB246" i="15" a="1"/>
  <c r="AO253" i="15" a="1"/>
  <c r="BS256" i="15" a="1"/>
  <c r="AG256" i="15" a="1"/>
  <c r="BQ290" i="15" a="1"/>
  <c r="CJ269" i="15" a="1"/>
  <c r="BE253" i="15" a="1"/>
  <c r="AX255" i="15" a="1"/>
  <c r="AM232" i="15" a="1"/>
  <c r="AT240" i="15" a="1"/>
  <c r="AI236" i="15" a="1"/>
  <c r="BK262" i="15" a="1"/>
  <c r="BX266" i="15" a="1"/>
  <c r="BL258" i="15" a="1"/>
  <c r="BP264" i="15" a="1"/>
  <c r="BA248" i="15" a="1"/>
  <c r="CJ247" i="15" a="1"/>
  <c r="CC285" i="15" a="1"/>
  <c r="CO270" i="15" a="1"/>
  <c r="CN268" i="15" a="1"/>
  <c r="AB234" i="15" a="1"/>
  <c r="M254" i="15" a="1"/>
  <c r="BH233" i="15" a="1"/>
  <c r="V247" i="15" a="1"/>
  <c r="Z238" i="15" a="1"/>
  <c r="AD256" i="15" a="1"/>
  <c r="BB266" i="15" a="1"/>
  <c r="S270" i="15" a="1"/>
  <c r="AP248" i="15" a="1"/>
  <c r="AD267" i="15" a="1"/>
  <c r="AG259" i="15" a="1"/>
  <c r="AI254" i="15" a="1"/>
  <c r="BX238" i="15" a="1"/>
  <c r="BV269" i="15" a="1"/>
  <c r="W263" i="15" a="1"/>
  <c r="CF273" i="15" a="1"/>
  <c r="AE282" i="15" a="1"/>
  <c r="BM265" i="15" a="1"/>
  <c r="CM275" i="15" a="1"/>
  <c r="BO278" i="15" a="1"/>
  <c r="V283" i="15" a="1"/>
  <c r="BE275" i="15" a="1"/>
  <c r="CB271" i="15" a="1"/>
  <c r="CO281" i="15" a="1"/>
  <c r="AC282" i="15" a="1"/>
  <c r="G284" i="15" a="1"/>
  <c r="BR289" i="15" a="1"/>
  <c r="CA279" i="15" a="1"/>
  <c r="CM279" i="15" a="1"/>
  <c r="BC280" i="15" a="1"/>
  <c r="CF283" i="15" a="1"/>
  <c r="AJ274" i="15" a="1"/>
  <c r="AT256" i="15" a="1"/>
  <c r="AD273" i="15" a="1"/>
  <c r="AQ273" i="15" a="1"/>
  <c r="BG267" i="15" a="1"/>
  <c r="P257" i="15" a="1"/>
  <c r="CD261" i="15" a="1"/>
  <c r="AW280" i="15" a="1"/>
  <c r="BG279" i="15" a="1"/>
  <c r="CM266" i="15" a="1"/>
  <c r="F258" i="15" a="1"/>
  <c r="BL273" i="15" a="1"/>
  <c r="AQ257" i="15" a="1"/>
  <c r="B79" i="8"/>
  <c r="CN291" i="15" a="1"/>
  <c r="CF288" i="15" a="1"/>
  <c r="BC287" i="15" a="1"/>
  <c r="BJ284" i="15" a="1"/>
  <c r="BP281" i="15" a="1"/>
  <c r="CD280" i="15" a="1"/>
  <c r="BO280" i="15" a="1"/>
  <c r="CK289" i="15" a="1"/>
  <c r="CR263" i="15" a="1"/>
  <c r="BU284" i="15" a="1"/>
  <c r="B128" i="8"/>
  <c r="BC289" i="15" a="1"/>
  <c r="CP261" i="15" a="1"/>
  <c r="AS267" i="15" a="1"/>
  <c r="CM288" i="15" a="1"/>
  <c r="P290" i="15" a="1"/>
  <c r="CQ275" i="15" a="1"/>
  <c r="O288" i="15" a="1"/>
  <c r="CI288" i="15" a="1"/>
  <c r="J276" i="15" a="1"/>
  <c r="CL276" i="15" a="1"/>
  <c r="CK283" i="15" a="1"/>
  <c r="AZ259" i="15" a="1"/>
  <c r="BC277" i="15" a="1"/>
  <c r="G279" i="15" a="1"/>
  <c r="BE285" i="15" a="1"/>
  <c r="AU283" i="15" a="1"/>
  <c r="BU289" i="15" a="1"/>
  <c r="AP284" i="15" a="1"/>
  <c r="CN262" i="15" a="1"/>
  <c r="CB287" i="15" a="1"/>
  <c r="AI272" i="15" a="1"/>
  <c r="CC276" i="15" a="1"/>
  <c r="AH282" i="15" a="1"/>
  <c r="AB256" i="15" a="1"/>
  <c r="AF265" i="15" a="1"/>
  <c r="CE284" i="15" a="1"/>
  <c r="BG290" i="15" a="1"/>
  <c r="AC289" i="15" a="1"/>
  <c r="P282" i="15" a="1"/>
  <c r="BI281" i="15" a="1"/>
  <c r="F281" i="15" a="1"/>
  <c r="AR278" i="15" a="1"/>
  <c r="J288" i="15" a="1"/>
  <c r="CI271" i="15" a="1"/>
  <c r="BO268" i="15" a="1"/>
  <c r="BP289" i="15" a="1"/>
  <c r="C287" i="15" a="1"/>
  <c r="CD290" i="15" a="1"/>
  <c r="AT276" i="15" a="1"/>
  <c r="AU284" i="15" a="1"/>
  <c r="BJ279" i="15" a="1"/>
  <c r="CR267" i="15" a="1"/>
  <c r="Z290" i="15" a="1"/>
  <c r="AG291" i="15" a="1"/>
  <c r="AX270" i="15" a="1"/>
  <c r="AT286" i="15" a="1"/>
  <c r="CI280" i="15" a="1"/>
  <c r="U291" i="15" a="1"/>
  <c r="L284" i="15" a="1"/>
  <c r="Z278" i="15" a="1"/>
  <c r="CF275" i="15" a="1"/>
  <c r="C270" i="15" a="1"/>
  <c r="Q282" i="15" a="1"/>
  <c r="BK267" i="15" a="1"/>
  <c r="BY287" i="15" a="1"/>
  <c r="AW274" i="15" a="1"/>
  <c r="CR268" i="15" a="1"/>
  <c r="AV279" i="15" a="1"/>
  <c r="AK268" i="15" a="1"/>
  <c r="BJ268" i="15" a="1"/>
  <c r="Z279" i="15" a="1"/>
  <c r="G264" i="15" a="1"/>
  <c r="V279" i="15" a="1"/>
  <c r="BZ269" i="15" a="1"/>
  <c r="AA276" i="15" a="1"/>
  <c r="T263" i="15" a="1"/>
  <c r="AA267" i="15" a="1"/>
  <c r="AL269" i="15" a="1"/>
  <c r="CD278" i="15" a="1"/>
  <c r="AT268" i="15" a="1"/>
  <c r="AX291" i="15" a="1"/>
  <c r="BU276" i="15" a="1"/>
  <c r="W268" i="15" a="1"/>
  <c r="CP263" i="15" a="1"/>
  <c r="CE281" i="15" a="1"/>
  <c r="AV256" i="15" a="1"/>
  <c r="AO275" i="15" a="1"/>
  <c r="CL266" i="15" a="1"/>
  <c r="AV272" i="15" a="1"/>
  <c r="BS257" i="15" a="1"/>
  <c r="BX281" i="15" a="1"/>
  <c r="BK265" i="15" a="1"/>
  <c r="E264" i="15" a="1"/>
  <c r="K275" i="15" a="1"/>
  <c r="BF263" i="15" a="1"/>
  <c r="BL266" i="15" a="1"/>
  <c r="CO291" i="15" a="1"/>
  <c r="AO288" i="15" a="1"/>
  <c r="T274" i="15" a="1"/>
  <c r="F286" i="15" a="1"/>
  <c r="BM272" i="15" a="1"/>
  <c r="CN267" i="15" a="1"/>
  <c r="AX289" i="15" a="1"/>
  <c r="V286" i="15" a="1"/>
  <c r="BK282" i="15" a="1"/>
  <c r="CC284" i="15" a="1"/>
  <c r="O278" i="15" a="1"/>
  <c r="BS275" i="15" a="1"/>
  <c r="W275" i="15" a="1"/>
  <c r="AI280" i="15" a="1"/>
  <c r="AY283" i="15" a="1"/>
  <c r="C266" i="15" a="1"/>
  <c r="AJ282" i="15" a="1"/>
  <c r="CP257" i="15" a="1"/>
  <c r="Z261" i="15" a="1"/>
  <c r="BO283" i="15" a="1"/>
  <c r="CD291" i="15" a="1"/>
  <c r="BE261" i="15" a="1"/>
  <c r="H288" i="15" a="1"/>
  <c r="AQ287" i="15" a="1"/>
  <c r="L255" i="15" a="1"/>
  <c r="AO278" i="15" a="1"/>
  <c r="X282" i="15" a="1"/>
  <c r="S274" i="15" a="1"/>
  <c r="AR291" i="15" a="1"/>
  <c r="CM271" i="15" a="1"/>
  <c r="CG284" i="15" a="1"/>
  <c r="BZ291" i="15" a="1"/>
  <c r="BX264" i="15" a="1"/>
  <c r="CI265" i="15" a="1"/>
  <c r="AH285" i="15" a="1"/>
  <c r="AV277" i="15" a="1"/>
  <c r="AR262" i="15" a="1"/>
  <c r="V269" i="15" a="1"/>
  <c r="V264" i="15" a="1"/>
  <c r="T264" i="15" a="1"/>
  <c r="CM280" i="15" a="1"/>
  <c r="CG287" i="15" a="1"/>
  <c r="M278" i="15" a="1"/>
  <c r="CE280" i="15" a="1"/>
  <c r="AM286" i="15" a="1"/>
  <c r="AW281" i="15" a="1"/>
  <c r="BN267" i="15" a="1"/>
  <c r="AQ274" i="15" a="1"/>
  <c r="AO274" i="15" a="1"/>
  <c r="CI287" i="15" a="1"/>
  <c r="G262" i="15" a="1"/>
  <c r="AB269" i="15" a="1"/>
  <c r="AO284" i="15" a="1"/>
  <c r="CN275" i="15" a="1"/>
  <c r="CI279" i="15" a="1"/>
  <c r="AB287" i="15" a="1"/>
  <c r="AD290" i="15" a="1"/>
  <c r="AY277" i="15" a="1"/>
  <c r="CG256" i="15" a="1"/>
  <c r="M245" i="15" a="1"/>
  <c r="U262" i="15" a="1"/>
  <c r="CQ265" i="15" a="1"/>
  <c r="T282" i="15" a="1"/>
  <c r="BC254" i="15" a="1"/>
  <c r="AE270" i="15" a="1"/>
  <c r="BC252" i="15" a="1"/>
  <c r="AE280" i="15" a="1"/>
  <c r="P251" i="15" a="1"/>
  <c r="V265" i="15" a="1"/>
  <c r="CQ277" i="15" a="1"/>
  <c r="BA265" i="15" a="1"/>
  <c r="AD275" i="15" a="1"/>
  <c r="X275" i="15" a="1"/>
  <c r="BO271" i="15" a="1"/>
  <c r="BY265" i="15" a="1"/>
  <c r="AD245" i="15" a="1"/>
  <c r="AZ266" i="15" a="1"/>
  <c r="AV276" i="15" a="1"/>
  <c r="CK284" i="15" a="1"/>
  <c r="AY274" i="15" a="1"/>
  <c r="BY275" i="15" a="1"/>
  <c r="CA275" i="15" a="1"/>
  <c r="BG280" i="15" a="1"/>
  <c r="CP270" i="15" a="1"/>
  <c r="AJ258" i="15" a="1"/>
  <c r="AA253" i="15" a="1"/>
  <c r="R257" i="15" a="1"/>
  <c r="AS274" i="15" a="1"/>
  <c r="CM247" i="15" a="1"/>
  <c r="AS253" i="15" a="1"/>
  <c r="BL268" i="15" a="1"/>
  <c r="K268" i="15" a="1"/>
  <c r="CR282" i="15" a="1"/>
  <c r="H250" i="15" a="1"/>
  <c r="AY255" i="15" a="1"/>
  <c r="BB245" i="15" a="1"/>
  <c r="AB231" i="15" a="1"/>
  <c r="G249" i="15" a="1"/>
  <c r="BG260" i="15" a="1"/>
  <c r="BF256" i="15" a="1"/>
  <c r="CM245" i="15" a="1"/>
  <c r="AD232" i="15" a="1"/>
  <c r="CQ291" i="15" a="1"/>
  <c r="AW289" i="15" a="1"/>
  <c r="CN266" i="15" a="1"/>
  <c r="BR285" i="15" a="1"/>
  <c r="CE282" i="15" a="1"/>
  <c r="CB281" i="15" a="1"/>
  <c r="Y290" i="15" a="1"/>
  <c r="BJ287" i="15" a="1"/>
  <c r="AO290" i="15" a="1"/>
  <c r="L285" i="15" a="1"/>
  <c r="AV284" i="15" a="1"/>
  <c r="BZ277" i="15" a="1"/>
  <c r="BZ266" i="15" a="1"/>
  <c r="AE285" i="15" a="1"/>
  <c r="CC259" i="15" a="1"/>
  <c r="CI281" i="15" a="1"/>
  <c r="U265" i="15" a="1"/>
  <c r="B80" i="8"/>
  <c r="U286" i="15" a="1"/>
  <c r="BU264" i="15" a="1"/>
  <c r="BF255" i="15" a="1"/>
  <c r="BC260" i="15" a="1"/>
  <c r="AH274" i="15" a="1"/>
  <c r="O253" i="15" a="1"/>
  <c r="CQ256" i="15" a="1"/>
  <c r="CL255" i="15" a="1"/>
  <c r="X266" i="15" a="1"/>
  <c r="CI250" i="15" a="1"/>
  <c r="AT247" i="15" a="1"/>
  <c r="AN245" i="15" a="1"/>
  <c r="BR274" i="15" a="1"/>
  <c r="CB251" i="15" a="1"/>
  <c r="AM248" i="15" a="1"/>
  <c r="G269" i="15" a="1"/>
  <c r="BY283" i="15" a="1"/>
  <c r="AF260" i="15" a="1"/>
  <c r="BY289" i="15" a="1"/>
  <c r="AF276" i="15" a="1"/>
  <c r="X261" i="15" a="1"/>
  <c r="CI289" i="15" a="1"/>
  <c r="CC282" i="15" a="1"/>
  <c r="BV261" i="15" a="1"/>
  <c r="AN272" i="15" a="1"/>
  <c r="X252" i="15" a="1"/>
  <c r="N253" i="15" a="1"/>
  <c r="AL251" i="15" a="1"/>
  <c r="Z254" i="15" a="1"/>
  <c r="BJ245" i="15" a="1"/>
  <c r="M270" i="15" a="1"/>
  <c r="BQ258" i="15" a="1"/>
  <c r="AC273" i="15" a="1"/>
  <c r="BF261" i="15" a="1"/>
  <c r="CM263" i="15" a="1"/>
  <c r="AO267" i="15" a="1"/>
  <c r="AG267" i="15" a="1"/>
  <c r="O265" i="15" a="1"/>
  <c r="U261" i="15" a="1"/>
  <c r="AG264" i="15" a="1"/>
  <c r="AY263" i="15" a="1"/>
  <c r="CC255" i="15" a="1"/>
  <c r="F284" i="15" a="1"/>
  <c r="BE267" i="15" a="1"/>
  <c r="BT270" i="15" a="1"/>
  <c r="BS259" i="15" a="1"/>
  <c r="CF261" i="15" a="1"/>
  <c r="CL257" i="15" a="1"/>
  <c r="AQ259" i="15" a="1"/>
  <c r="BD290" i="15" a="1"/>
  <c r="AJ277" i="15" a="1"/>
  <c r="AH260" i="15" a="1"/>
  <c r="J256" i="15" a="1"/>
  <c r="CO255" i="15" a="1"/>
  <c r="P267" i="15" a="1"/>
  <c r="AP257" i="15" a="1"/>
  <c r="AP255" i="15" a="1"/>
  <c r="X279" i="15" a="1"/>
  <c r="AZ265" i="15" a="1"/>
  <c r="T250" i="15" a="1"/>
  <c r="AA255" i="15" a="1"/>
  <c r="BV278" i="15" a="1"/>
  <c r="CJ249" i="15" a="1"/>
  <c r="AD268" i="15" a="1"/>
  <c r="L244" i="15" a="1"/>
  <c r="AB246" i="15" a="1"/>
  <c r="BG255" i="15" a="1"/>
  <c r="AE289" i="15" a="1"/>
  <c r="CQ267" i="15" a="1"/>
  <c r="AC281" i="15" a="1"/>
  <c r="CE268" i="15" a="1"/>
  <c r="BP282" i="15" a="1"/>
  <c r="U275" i="15" a="1"/>
  <c r="AB277" i="15" a="1"/>
  <c r="BE276" i="15" a="1"/>
  <c r="CC266" i="15" a="1"/>
  <c r="BJ280" i="15" a="1"/>
  <c r="BB274" i="15" a="1"/>
  <c r="AV268" i="15" a="1"/>
  <c r="P268" i="15" a="1"/>
  <c r="CA272" i="15" a="1"/>
  <c r="CE264" i="15" a="1"/>
  <c r="J280" i="15" a="1"/>
  <c r="CI284" i="15" a="1"/>
  <c r="BO273" i="15" a="1"/>
  <c r="BP272" i="15" a="1"/>
  <c r="G267" i="15" a="1"/>
  <c r="BU256" i="15" a="1"/>
  <c r="C269" i="15" a="1"/>
  <c r="CF255" i="15" a="1"/>
  <c r="BK274" i="15" a="1"/>
  <c r="AZ262" i="15" a="1"/>
  <c r="AT269" i="15" a="1"/>
  <c r="F263" i="15" a="1"/>
  <c r="AR265" i="15" a="1"/>
  <c r="CQ262" i="15" a="1"/>
  <c r="AL261" i="15" a="1"/>
  <c r="Z253" i="15" a="1"/>
  <c r="M246" i="15" a="1"/>
  <c r="BM270" i="15" a="1"/>
  <c r="AI257" i="15" a="1"/>
  <c r="CK260" i="15" a="1"/>
  <c r="C259" i="15" a="1"/>
  <c r="BP260" i="15" a="1"/>
  <c r="AF255" i="15" a="1"/>
  <c r="M253" i="15" a="1"/>
  <c r="AM262" i="15" a="1"/>
  <c r="AU257" i="15" a="1"/>
  <c r="Z267" i="15" a="1"/>
  <c r="AH257" i="15" a="1"/>
  <c r="AC269" i="15" a="1"/>
  <c r="BI260" i="15" a="1"/>
  <c r="W254" i="15" a="1"/>
  <c r="BS251" i="15" a="1"/>
  <c r="BL269" i="15" a="1"/>
  <c r="AI282" i="15" a="1"/>
  <c r="AE249" i="15" a="1"/>
  <c r="BQ265" i="15" a="1"/>
  <c r="O252" i="15" a="1"/>
  <c r="X233" i="15" a="1"/>
  <c r="CE254" i="15" a="1"/>
  <c r="CR256" i="15" a="1"/>
  <c r="W252" i="15" a="1"/>
  <c r="CM249" i="15" a="1"/>
  <c r="AA231" i="15" a="1"/>
  <c r="O255" i="15" a="1"/>
  <c r="X246" i="15" a="1"/>
  <c r="S238" i="15" a="1"/>
  <c r="AV251" i="15" a="1"/>
  <c r="CF235" i="15" a="1"/>
  <c r="AR243" i="15" a="1"/>
  <c r="AX263" i="15" a="1"/>
  <c r="BX262" i="15" a="1"/>
  <c r="BQ248" i="15" a="1"/>
  <c r="F280" i="15" a="1"/>
  <c r="CL247" i="15" a="1"/>
  <c r="J282" i="15" a="1"/>
  <c r="CD254" i="15" a="1"/>
  <c r="BI258" i="15" a="1"/>
  <c r="G245" i="15" a="1"/>
  <c r="CJ248" i="15" a="1"/>
  <c r="BN260" i="15" a="1"/>
  <c r="BG233" i="15" a="1"/>
  <c r="J233" i="15" a="1"/>
  <c r="L287" i="15" a="1"/>
  <c r="CL274" i="15" a="1"/>
  <c r="N249" i="15" a="1"/>
  <c r="AL263" i="15" a="1"/>
  <c r="BP269" i="15" a="1"/>
  <c r="BT280" i="15" a="1"/>
  <c r="AK255" i="15" a="1"/>
  <c r="BC239" i="15" a="1"/>
  <c r="BT264" i="15" a="1"/>
  <c r="AL259" i="15" a="1"/>
  <c r="AH288" i="15" a="1"/>
  <c r="K267" i="15" a="1"/>
  <c r="CG291" i="15" a="1"/>
  <c r="AY287" i="15" a="1"/>
  <c r="AO261" i="15" a="1"/>
  <c r="BC278" i="15" a="1"/>
  <c r="BT287" i="15" a="1"/>
  <c r="BD278" i="15" a="1"/>
  <c r="V281" i="15" a="1"/>
  <c r="AR290" i="15" a="1"/>
  <c r="AT263" i="15" a="1"/>
  <c r="BU287" i="15" a="1"/>
  <c r="AJ273" i="15" a="1"/>
  <c r="BQ279" i="15" a="1"/>
  <c r="K282" i="15" a="1"/>
  <c r="AV271" i="15" a="1"/>
  <c r="AH271" i="15" a="1"/>
  <c r="M282" i="15" a="1"/>
  <c r="CM258" i="15" a="1"/>
  <c r="BX280" i="15" a="1"/>
  <c r="CP274" i="15" a="1"/>
  <c r="BA276" i="15" a="1"/>
  <c r="AK281" i="15" a="1"/>
  <c r="CO272" i="15" a="1"/>
  <c r="BD282" i="15" a="1"/>
  <c r="AI264" i="15" a="1"/>
  <c r="CP281" i="15" a="1"/>
  <c r="AG257" i="15" a="1"/>
  <c r="AE276" i="15" a="1"/>
  <c r="AP273" i="15" a="1"/>
  <c r="U259" i="15" a="1"/>
  <c r="AR286" i="15" a="1"/>
  <c r="Y266" i="15" a="1"/>
  <c r="AO257" i="15" a="1"/>
  <c r="L273" i="15" a="1"/>
  <c r="BH278" i="15" a="1"/>
  <c r="BP265" i="15" a="1"/>
  <c r="T255" i="15" a="1"/>
  <c r="F272" i="15" a="1"/>
  <c r="BT247" i="15" a="1"/>
  <c r="AJ250" i="15" a="1"/>
  <c r="BM271" i="15" a="1"/>
  <c r="BU260" i="15" a="1"/>
  <c r="Z272" i="15" a="1"/>
  <c r="CJ264" i="15" a="1"/>
  <c r="AB268" i="15" a="1"/>
  <c r="AX258" i="15" a="1"/>
  <c r="N250" i="15" a="1"/>
  <c r="BC248" i="15" a="1"/>
  <c r="S251" i="15" a="1"/>
  <c r="AA269" i="15" a="1"/>
  <c r="AZ261" i="15" a="1"/>
  <c r="AP262" i="15" a="1"/>
  <c r="CQ261" i="15" a="1"/>
  <c r="CN256" i="15" a="1"/>
  <c r="J268" i="15" a="1"/>
  <c r="E260" i="15" a="1"/>
  <c r="O270" i="15" a="1"/>
  <c r="V261" i="15" a="1"/>
  <c r="AW279" i="15" a="1"/>
  <c r="AW261" i="15" a="1"/>
  <c r="AC279" i="15" a="1"/>
  <c r="BL245" i="15" a="1"/>
  <c r="AN282" i="15" a="1"/>
  <c r="N246" i="15" a="1"/>
  <c r="BP257" i="15" a="1"/>
  <c r="AP251" i="15" a="1"/>
  <c r="CL242" i="15" a="1"/>
  <c r="CM261" i="15" a="1"/>
  <c r="BZ236" i="15" a="1"/>
  <c r="BQ244" i="15" a="1"/>
  <c r="BK257" i="15" a="1"/>
  <c r="CN279" i="15" a="1"/>
  <c r="BG281" i="15" a="1"/>
  <c r="BG250" i="15" a="1"/>
  <c r="AO283" i="15" a="1"/>
  <c r="G234" i="15" a="1"/>
  <c r="AE251" i="15" a="1"/>
  <c r="Y268" i="15" a="1"/>
  <c r="BI274" i="15" a="1"/>
  <c r="AG251" i="15" a="1"/>
  <c r="AN233" i="15" a="1"/>
  <c r="J259" i="15" a="1"/>
  <c r="CO288" i="15" a="1"/>
  <c r="AO285" i="15" a="1"/>
  <c r="CH276" i="15" a="1"/>
  <c r="N272" i="15" a="1"/>
  <c r="CC262" i="15" a="1"/>
  <c r="AR271" i="15" a="1"/>
  <c r="I285" i="15" a="1"/>
  <c r="CB279" i="15" a="1"/>
  <c r="AR276" i="15" a="1"/>
  <c r="BQ283" i="15" a="1"/>
  <c r="V277" i="15" a="1"/>
  <c r="BO291" i="15" a="1"/>
  <c r="AD281" i="15" a="1"/>
  <c r="BF283" i="15" a="1"/>
  <c r="BA271" i="15" a="1"/>
  <c r="BS274" i="15" a="1"/>
  <c r="AF263" i="15" a="1"/>
  <c r="AO286" i="15" a="1"/>
  <c r="BS278" i="15" a="1"/>
  <c r="Y255" i="15" a="1"/>
  <c r="CB256" i="15" a="1"/>
  <c r="BV268" i="15" a="1"/>
  <c r="E269" i="15" a="1"/>
  <c r="AH254" i="15" a="1"/>
  <c r="AO259" i="15" a="1"/>
  <c r="AJ287" i="15" a="1"/>
  <c r="CG271" i="15" a="1"/>
  <c r="BH264" i="15" a="1"/>
  <c r="BF262" i="15" a="1"/>
  <c r="CB275" i="15" a="1"/>
  <c r="BO260" i="15" a="1"/>
  <c r="BI256" i="15" a="1"/>
  <c r="AC253" i="15" a="1"/>
  <c r="CK266" i="15" a="1"/>
  <c r="BX273" i="15" a="1"/>
  <c r="CM255" i="15" a="1"/>
  <c r="AU258" i="15" a="1"/>
  <c r="S277" i="15" a="1"/>
  <c r="BM257" i="15" a="1"/>
  <c r="R259" i="15" a="1"/>
  <c r="AK287" i="15" a="1"/>
  <c r="U269" i="15" a="1"/>
  <c r="AK263" i="15" a="1"/>
  <c r="BK280" i="15" a="1"/>
  <c r="BI266" i="15" a="1"/>
  <c r="BN277" i="15" a="1"/>
  <c r="BC263" i="15" a="1"/>
  <c r="CN259" i="15" a="1"/>
  <c r="CH256" i="15" a="1"/>
  <c r="BW279" i="15" a="1"/>
  <c r="AK278" i="15" a="1"/>
  <c r="O261" i="15" a="1"/>
  <c r="AB286" i="15" a="1"/>
  <c r="BW291" i="15" a="1"/>
  <c r="AD269" i="15" a="1"/>
  <c r="CG285" i="15" a="1"/>
  <c r="CK277" i="15" a="1"/>
  <c r="AM269" i="15" a="1"/>
  <c r="BZ282" i="15" a="1"/>
  <c r="CC263" i="15" a="1"/>
  <c r="BJ256" i="15" a="1"/>
  <c r="AR273" i="15" a="1"/>
  <c r="AG263" i="15" a="1"/>
  <c r="S263" i="15" a="1"/>
  <c r="CR275" i="15" a="1"/>
  <c r="BR257" i="15" a="1"/>
  <c r="S259" i="15" a="1"/>
  <c r="AA275" i="15" a="1"/>
  <c r="BG266" i="15" a="1"/>
  <c r="N260" i="15" a="1"/>
  <c r="CI255" i="15" a="1"/>
  <c r="BK255" i="15" a="1"/>
  <c r="AH277" i="15" a="1"/>
  <c r="E274" i="15" a="1"/>
  <c r="AA260" i="15" a="1"/>
  <c r="H268" i="15" a="1"/>
  <c r="BW268" i="15" a="1"/>
  <c r="I271" i="15" a="1"/>
  <c r="Q276" i="15" a="1"/>
  <c r="BD289" i="15" a="1"/>
  <c r="BY276" i="15" a="1"/>
  <c r="AR281" i="15" a="1"/>
  <c r="E237" i="15" a="1"/>
  <c r="Q256" i="15" a="1"/>
  <c r="AE272" i="15" a="1"/>
  <c r="I280" i="15" a="1"/>
  <c r="BE282" i="15" a="1"/>
  <c r="AA282" i="15" a="1"/>
  <c r="AL278" i="15" a="1"/>
  <c r="CH275" i="15" a="1"/>
  <c r="BE284" i="15" a="1"/>
  <c r="AB262" i="15" a="1"/>
  <c r="U263" i="15" a="1"/>
  <c r="AG274" i="15" a="1"/>
  <c r="AT283" i="15" a="1"/>
  <c r="AN255" i="15" a="1"/>
  <c r="F273" i="15" a="1"/>
  <c r="CE277" i="15" a="1"/>
  <c r="AY273" i="15" a="1"/>
  <c r="AC278" i="15" a="1"/>
  <c r="BZ274" i="15" a="1"/>
  <c r="E261" i="15" a="1"/>
  <c r="BR266" i="15" a="1"/>
  <c r="BF271" i="15" a="1"/>
  <c r="AI256" i="15" a="1"/>
  <c r="CM254" i="15" a="1"/>
  <c r="R255" i="15" a="1"/>
  <c r="BI253" i="15" a="1"/>
  <c r="H264" i="15" a="1"/>
  <c r="S264" i="15" a="1"/>
  <c r="BJ281" i="15" a="1"/>
  <c r="AW269" i="15" a="1"/>
  <c r="J261" i="15" a="1"/>
  <c r="N256" i="15" a="1"/>
  <c r="L270" i="15" a="1"/>
  <c r="H255" i="15" a="1"/>
  <c r="J273" i="15" a="1"/>
  <c r="V274" i="15" a="1"/>
  <c r="CC278" i="15" a="1"/>
  <c r="CL272" i="15" a="1"/>
  <c r="CL290" i="15" a="1"/>
  <c r="AZ251" i="15" a="1"/>
  <c r="L274" i="15" a="1"/>
  <c r="AQ278" i="15" a="1"/>
  <c r="X256" i="15" a="1"/>
  <c r="CQ278" i="15" a="1"/>
  <c r="G256" i="15" a="1"/>
  <c r="I273" i="15" a="1"/>
  <c r="CQ249" i="15" a="1"/>
  <c r="CD262" i="15" a="1"/>
  <c r="CD255" i="15" a="1"/>
  <c r="Z257" i="15" a="1"/>
  <c r="AQ248" i="15" a="1"/>
  <c r="AW252" i="15" a="1"/>
  <c r="J257" i="15" a="1"/>
  <c r="AB232" i="15" a="1"/>
  <c r="BF273" i="15" a="1"/>
  <c r="BO241" i="15" a="1"/>
  <c r="CC265" i="15" a="1"/>
  <c r="AJ281" i="15" a="1"/>
  <c r="AJ270" i="15" a="1"/>
  <c r="O279" i="15" a="1"/>
  <c r="AR289" i="15" a="1"/>
  <c r="CF279" i="15" a="1"/>
  <c r="V287" i="15" a="1"/>
  <c r="V276" i="15" a="1"/>
  <c r="BB273" i="15" a="1"/>
  <c r="AU289" i="15" a="1"/>
  <c r="BY264" i="15" a="1"/>
  <c r="BJ263" i="15" a="1"/>
  <c r="CD270" i="15" a="1"/>
  <c r="AW264" i="15" a="1"/>
  <c r="CN269" i="15" a="1"/>
  <c r="CK271" i="15" a="1"/>
  <c r="BU267" i="15" a="1"/>
  <c r="AB267" i="15" a="1"/>
  <c r="Z285" i="15" a="1"/>
  <c r="BA268" i="15" a="1"/>
  <c r="AP279" i="15" a="1"/>
  <c r="CG246" i="15" a="1"/>
  <c r="AP265" i="15" a="1"/>
  <c r="BU254" i="15" a="1"/>
  <c r="T259" i="15" a="1"/>
  <c r="AA249" i="15" a="1"/>
  <c r="AF250" i="15" a="1"/>
  <c r="CO275" i="15" a="1"/>
  <c r="K279" i="15" a="1"/>
  <c r="Z247" i="15" a="1"/>
  <c r="BN251" i="15" a="1"/>
  <c r="BH266" i="15" a="1"/>
  <c r="AF256" i="15" a="1"/>
  <c r="W284" i="15" a="1"/>
  <c r="BA256" i="15" a="1"/>
  <c r="BL246" i="15" a="1"/>
  <c r="BT252" i="15" a="1"/>
  <c r="CO280" i="15" a="1"/>
  <c r="AJ251" i="15" a="1"/>
  <c r="CH245" i="15" a="1"/>
  <c r="BD244" i="15" a="1"/>
  <c r="BK269" i="15" a="1"/>
  <c r="BK239" i="15" a="1"/>
  <c r="AM284" i="15" a="1"/>
  <c r="W274" i="15" a="1"/>
  <c r="AQ282" i="15" a="1"/>
  <c r="BH283" i="15" a="1"/>
  <c r="R287" i="15" a="1"/>
  <c r="J263" i="15" a="1"/>
  <c r="CO273" i="15" a="1"/>
  <c r="BL271" i="15" a="1"/>
  <c r="V289" i="15" a="1"/>
  <c r="BO261" i="15" a="1"/>
  <c r="CF265" i="15" a="1"/>
  <c r="CD264" i="15" a="1"/>
  <c r="BH263" i="15" a="1"/>
  <c r="CI272" i="15" a="1"/>
  <c r="CI276" i="15" a="1"/>
  <c r="CR258" i="15" a="1"/>
  <c r="F267" i="15" a="1"/>
  <c r="Z256" i="15" a="1"/>
  <c r="BC276" i="15" a="1"/>
  <c r="BJ265" i="15" a="1"/>
  <c r="AX261" i="15" a="1"/>
  <c r="H256" i="15" a="1"/>
  <c r="BD286" i="15" a="1"/>
  <c r="CK267" i="15" a="1"/>
  <c r="AW265" i="15" a="1"/>
  <c r="AF254" i="15" a="1"/>
  <c r="CI267" i="15" a="1"/>
  <c r="BB257" i="15" a="1"/>
  <c r="G263" i="15" a="1"/>
  <c r="BT254" i="15" a="1"/>
  <c r="CG248" i="15" a="1"/>
  <c r="BN250" i="15" a="1"/>
  <c r="CO271" i="15" a="1"/>
  <c r="BW269" i="15" a="1"/>
  <c r="AI274" i="15" a="1"/>
  <c r="AL264" i="15" a="1"/>
  <c r="AS255" i="15" a="1"/>
  <c r="CM264" i="15" a="1"/>
  <c r="J267" i="15" a="1"/>
  <c r="CK258" i="15" a="1"/>
  <c r="AM258" i="15" a="1"/>
  <c r="BG244" i="15" a="1"/>
  <c r="AF282" i="15" a="1"/>
  <c r="CA263" i="15" a="1"/>
  <c r="AZ274" i="15" a="1"/>
  <c r="X284" i="15" a="1"/>
  <c r="BW274" i="15" a="1"/>
  <c r="T280" i="15" a="1"/>
  <c r="BQ276" i="15" a="1"/>
  <c r="BD274" i="15" a="1"/>
  <c r="AV265" i="15" a="1"/>
  <c r="BV272" i="15" a="1"/>
  <c r="CM259" i="15" a="1"/>
  <c r="AV258" i="15" a="1"/>
  <c r="BB264" i="15" a="1"/>
  <c r="AP277" i="15" a="1"/>
  <c r="CK265" i="15" a="1"/>
  <c r="BF266" i="15" a="1"/>
  <c r="AK274" i="15" a="1"/>
  <c r="L286" i="15" a="1"/>
  <c r="AM276" i="15" a="1"/>
  <c r="BU269" i="15" a="1"/>
  <c r="BO265" i="15" a="1"/>
  <c r="R262" i="15" a="1"/>
  <c r="AK259" i="15" a="1"/>
  <c r="CF259" i="15" a="1"/>
  <c r="CN252" i="15" a="1"/>
  <c r="CA258" i="15" a="1"/>
  <c r="AJ256" i="15" a="1"/>
  <c r="BC268" i="15" a="1"/>
  <c r="BF265" i="15" a="1"/>
  <c r="C283" i="15" a="1"/>
  <c r="CH264" i="15" a="1"/>
  <c r="BM248" i="15" a="1"/>
  <c r="T240" i="15" a="1"/>
  <c r="BE235" i="15" a="1"/>
  <c r="S240" i="15" a="1"/>
  <c r="CQ258" i="15" a="1"/>
  <c r="BN264" i="15" a="1"/>
  <c r="BY244" i="15" a="1"/>
  <c r="BD258" i="15" a="1"/>
  <c r="CG259" i="15" a="1"/>
  <c r="E247" i="15" a="1"/>
  <c r="BP243" i="15" a="1"/>
  <c r="CL250" i="15" a="1"/>
  <c r="CM234" i="15" a="1"/>
  <c r="AK249" i="15" a="1"/>
  <c r="R272" i="15" a="1"/>
  <c r="BA257" i="15" a="1"/>
  <c r="CH253" i="15" a="1"/>
  <c r="E246" i="15" a="1"/>
  <c r="Y256" i="15" a="1"/>
  <c r="BN257" i="15" a="1"/>
  <c r="N255" i="15" a="1"/>
  <c r="CF262" i="15" a="1"/>
  <c r="BZ258" i="15" a="1"/>
  <c r="M257" i="15" a="1"/>
  <c r="Q239" i="15" a="1"/>
  <c r="CL236" i="15" a="1"/>
  <c r="BD239" i="15" a="1"/>
  <c r="E266" i="15" a="1"/>
  <c r="BH261" i="15" a="1"/>
  <c r="CH243" i="15" a="1"/>
  <c r="AP247" i="15" a="1"/>
  <c r="BP232" i="15" a="1"/>
  <c r="BH282" i="15" a="1"/>
  <c r="AF278" i="15" a="1"/>
  <c r="AZ276" i="15" a="1"/>
  <c r="AZ283" i="15" a="1"/>
  <c r="AG279" i="15" a="1"/>
  <c r="BZ275" i="15" a="1"/>
  <c r="H291" i="15" a="1"/>
  <c r="CK274" i="15" a="1"/>
  <c r="Y263" i="15" a="1"/>
  <c r="AM275" i="15" a="1"/>
  <c r="CQ263" i="15" a="1"/>
  <c r="K263" i="15" a="1"/>
  <c r="AF280" i="15" a="1"/>
  <c r="BW265" i="15" a="1"/>
  <c r="BP259" i="15" a="1"/>
  <c r="W277" i="15" a="1"/>
  <c r="BR267" i="15" a="1"/>
  <c r="AG254" i="15" a="1"/>
  <c r="AR255" i="15" a="1"/>
  <c r="BN275" i="15" a="1"/>
  <c r="BL264" i="15" a="1"/>
  <c r="CN257" i="15" a="1"/>
  <c r="CN284" i="15" a="1"/>
  <c r="F256" i="15" a="1"/>
  <c r="U266" i="15" a="1"/>
  <c r="W273" i="15" a="1"/>
  <c r="AZ271" i="15" a="1"/>
  <c r="AN262" i="15" a="1"/>
  <c r="AZ280" i="15" a="1"/>
  <c r="CD267" i="15" a="1"/>
  <c r="BL259" i="15" a="1"/>
  <c r="H257" i="15" a="1"/>
  <c r="CH277" i="15" a="1"/>
  <c r="BJ260" i="15" a="1"/>
  <c r="G273" i="15" a="1"/>
  <c r="CP256" i="15" a="1"/>
  <c r="BG245" i="15" a="1"/>
  <c r="BV282" i="15" a="1"/>
  <c r="BR261" i="15" a="1"/>
  <c r="N273" i="15" a="1"/>
  <c r="BI280" i="15" a="1"/>
  <c r="CO267" i="15" a="1"/>
  <c r="BW284" i="15" a="1"/>
  <c r="C250" i="15" a="1"/>
  <c r="Z284" i="15" a="1"/>
  <c r="BJ266" i="15" a="1"/>
  <c r="AY246" i="15" a="1"/>
  <c r="AN247" i="15" a="1"/>
  <c r="BW244" i="15" a="1"/>
  <c r="C262" i="15" a="1"/>
  <c r="CC251" i="15" a="1"/>
  <c r="CO256" i="15" a="1"/>
  <c r="X269" i="15" a="1"/>
  <c r="X268" i="15" a="1"/>
  <c r="X255" i="15" a="1"/>
  <c r="CR257" i="15" a="1"/>
  <c r="BZ250" i="15" a="1"/>
  <c r="AF231" i="15" a="1"/>
  <c r="BS271" i="15" a="1"/>
  <c r="BN272" i="15" a="1"/>
  <c r="BI263" i="15" a="1"/>
  <c r="CB276" i="15" a="1"/>
  <c r="M250" i="15" a="1"/>
  <c r="CO245" i="15" a="1"/>
  <c r="BQ251" i="15" a="1"/>
  <c r="R277" i="15" a="1"/>
  <c r="AA250" i="15" a="1"/>
  <c r="AV261" i="15" a="1"/>
  <c r="CC264" i="15" a="1"/>
  <c r="AU236" i="15" a="1"/>
  <c r="E245" i="15" a="1"/>
  <c r="AJ271" i="15" a="1"/>
  <c r="BE252" i="15" a="1"/>
  <c r="CQ250" i="15" a="1"/>
  <c r="AK236" i="15" a="1"/>
  <c r="AB235" i="15" a="1"/>
  <c r="W236" i="15" a="1"/>
  <c r="CG235" i="15" a="1"/>
  <c r="BS255" i="15" a="1"/>
  <c r="BQ247" i="15" a="1"/>
  <c r="AV254" i="15" a="1"/>
  <c r="BX265" i="15" a="1"/>
  <c r="AX259" i="15" a="1"/>
  <c r="J269" i="15" a="1"/>
  <c r="C241" i="15" a="1"/>
  <c r="BR278" i="15" a="1"/>
  <c r="AY256" i="15" a="1"/>
  <c r="L291" i="15" a="1"/>
  <c r="BZ245" i="15" a="1"/>
  <c r="N245" i="15" a="1"/>
  <c r="N231" i="15" a="1"/>
  <c r="BL234" i="15" a="1"/>
  <c r="AT235" i="15" a="1"/>
  <c r="W261" i="15" a="1"/>
  <c r="BU247" i="15" a="1"/>
  <c r="AS247" i="15" a="1"/>
  <c r="R234" i="15" a="1"/>
  <c r="BO236" i="15" a="1"/>
  <c r="BW283" i="15" a="1"/>
  <c r="C286" i="15" a="1"/>
  <c r="T287" i="15" a="1"/>
  <c r="CG272" i="15" a="1"/>
  <c r="AT266" i="15" a="1"/>
  <c r="AO255" i="15" a="1"/>
  <c r="BO266" i="15" a="1"/>
  <c r="R278" i="15" a="1"/>
  <c r="J270" i="15" a="1"/>
  <c r="R266" i="15" a="1"/>
  <c r="CE269" i="15" a="1"/>
  <c r="I286" i="15" a="1"/>
  <c r="AO291" i="15" a="1"/>
  <c r="BB265" i="15" a="1"/>
  <c r="BV277" i="15" a="1"/>
  <c r="AA279" i="15" a="1"/>
  <c r="AL282" i="15" a="1"/>
  <c r="BH270" i="15" a="1"/>
  <c r="CC260" i="15" a="1"/>
  <c r="M268" i="15" a="1"/>
  <c r="W248" i="15" a="1"/>
  <c r="Z273" i="15" a="1"/>
  <c r="W276" i="15" a="1"/>
  <c r="AC268" i="15" a="1"/>
  <c r="BC255" i="15" a="1"/>
  <c r="BR265" i="15" a="1"/>
  <c r="L259" i="15" a="1"/>
  <c r="AL265" i="15" a="1"/>
  <c r="AB266" i="15" a="1"/>
  <c r="AH268" i="15" a="1"/>
  <c r="R260" i="15" a="1"/>
  <c r="CP275" i="15" a="1"/>
  <c r="AL279" i="15" a="1"/>
  <c r="AJ286" i="15" a="1"/>
  <c r="BY255" i="15" a="1"/>
  <c r="R282" i="15" a="1"/>
  <c r="CB264" i="15" a="1"/>
  <c r="AR268" i="15" a="1"/>
  <c r="BT262" i="15" a="1"/>
  <c r="CO265" i="15" a="1"/>
  <c r="BN262" i="15" a="1"/>
  <c r="M280" i="15" a="1"/>
  <c r="BH274" i="15" a="1"/>
  <c r="CL284" i="15" a="1"/>
  <c r="AE274" i="15" a="1"/>
  <c r="BM260" i="15" a="1"/>
  <c r="G251" i="15" a="1"/>
  <c r="AC266" i="15" a="1"/>
  <c r="E265" i="15" a="1"/>
  <c r="K285" i="15" a="1"/>
  <c r="BP280" i="15" a="1"/>
  <c r="AL275" i="15" a="1"/>
  <c r="BY291" i="15" a="1"/>
  <c r="CR291" i="15" a="1"/>
  <c r="CD281" i="15" a="1"/>
  <c r="AZ263" i="15" a="1"/>
  <c r="BR283" i="15" a="1"/>
  <c r="AU269" i="15" a="1"/>
  <c r="BF272" i="15" a="1"/>
  <c r="AD271" i="15" a="1"/>
  <c r="BW267" i="15" a="1"/>
  <c r="BS280" i="15" a="1"/>
  <c r="BD283" i="15" a="1"/>
  <c r="Z270" i="15" a="1"/>
  <c r="CP259" i="15" a="1"/>
  <c r="CB283" i="15" a="1"/>
  <c r="BQ269" i="15" a="1"/>
  <c r="BZ273" i="15" a="1"/>
  <c r="BH288" i="15" a="1"/>
  <c r="BA245" i="15" a="1"/>
  <c r="BQ262" i="15" a="1"/>
  <c r="BT266" i="15" a="1"/>
  <c r="AS268" i="15" a="1"/>
  <c r="I252" i="15" a="1"/>
  <c r="CP289" i="15" a="1"/>
  <c r="AH263" i="15" a="1"/>
  <c r="BY263" i="15" a="1"/>
  <c r="R258" i="15" a="1"/>
  <c r="G281" i="15" a="1"/>
  <c r="C261" i="15" a="1"/>
  <c r="BV273" i="15" a="1"/>
  <c r="BE281" i="15" a="1"/>
  <c r="V266" i="15" a="1"/>
  <c r="CI258" i="15" a="1"/>
  <c r="Q241" i="15" a="1"/>
  <c r="E262" i="15" a="1"/>
  <c r="H271" i="15" a="1"/>
  <c r="E238" i="15" a="1"/>
  <c r="BU241" i="15" a="1"/>
  <c r="X286" i="15" a="1"/>
  <c r="Y248" i="15" a="1"/>
  <c r="P280" i="15" a="1"/>
  <c r="AN284" i="15" a="1"/>
  <c r="CF282" i="15" a="1"/>
  <c r="AJ268" i="15" a="1"/>
  <c r="AY269" i="15" a="1"/>
  <c r="CC273" i="15" a="1"/>
  <c r="CK263" i="15" a="1"/>
  <c r="V262" i="15" a="1"/>
  <c r="CB282" i="15" a="1"/>
  <c r="N289" i="15" a="1"/>
  <c r="AA273" i="15" a="1"/>
  <c r="P262" i="15" a="1"/>
  <c r="AB263" i="15" a="1"/>
  <c r="BV251" i="15" a="1"/>
  <c r="CB245" i="15" a="1"/>
  <c r="AK247" i="15" a="1"/>
  <c r="AD246" i="15" a="1"/>
  <c r="AI269" i="15" a="1"/>
  <c r="Z274" i="15" a="1"/>
  <c r="AD265" i="15" a="1"/>
  <c r="R261" i="15" a="1"/>
  <c r="CE285" i="15" a="1"/>
  <c r="W259" i="15" a="1"/>
  <c r="X264" i="15" a="1"/>
  <c r="BY284" i="15" a="1"/>
  <c r="Z258" i="15" a="1"/>
  <c r="W267" i="15" a="1"/>
  <c r="AK285" i="15" a="1"/>
  <c r="AJ262" i="15" a="1"/>
  <c r="CA252" i="15" a="1"/>
  <c r="AH247" i="15" a="1"/>
  <c r="CA249" i="15" a="1"/>
  <c r="CL269" i="15" a="1"/>
  <c r="CG260" i="15" a="1"/>
  <c r="BN265" i="15" a="1"/>
  <c r="M272" i="15" a="1"/>
  <c r="BN255" i="15" a="1"/>
  <c r="J289" i="15" a="1"/>
  <c r="X272" i="15" a="1"/>
  <c r="U267" i="15" a="1"/>
  <c r="AE256" i="15" a="1"/>
  <c r="J247" i="15" a="1"/>
  <c r="Y291" i="15" a="1"/>
  <c r="AU278" i="15" a="1"/>
  <c r="BI291" i="15" a="1"/>
  <c r="BG287" i="15" a="1"/>
  <c r="BY272" i="15" a="1"/>
  <c r="AR267" i="15" a="1"/>
  <c r="CF263" i="15" a="1"/>
  <c r="CC258" i="15" a="1"/>
  <c r="CI275" i="15" a="1"/>
  <c r="CB267" i="15" a="1"/>
  <c r="P256" i="15" a="1"/>
  <c r="AY278" i="15" a="1"/>
  <c r="Q267" i="15" a="1"/>
  <c r="AA266" i="15" a="1"/>
  <c r="V278" i="15" a="1"/>
  <c r="AT258" i="15" a="1"/>
  <c r="BI277" i="15" a="1"/>
  <c r="BB277" i="15" a="1"/>
  <c r="T265" i="15" a="1"/>
  <c r="AK260" i="15" a="1"/>
  <c r="AD260" i="15" a="1"/>
  <c r="CL259" i="15" a="1"/>
  <c r="CF251" i="15" a="1"/>
  <c r="L267" i="15" a="1"/>
  <c r="CF254" i="15" a="1"/>
  <c r="AC274" i="15" a="1"/>
  <c r="AK244" i="15" a="1"/>
  <c r="E281" i="15" a="1"/>
  <c r="U251" i="15" a="1"/>
  <c r="AN232" i="15" a="1"/>
  <c r="CC274" i="15" a="1"/>
  <c r="CC248" i="15" a="1"/>
  <c r="AW242" i="15" a="1"/>
  <c r="C243" i="15" a="1"/>
  <c r="CP244" i="15" a="1"/>
  <c r="AC271" i="15" a="1"/>
  <c r="BE264" i="15" a="1"/>
  <c r="CE245" i="15" a="1"/>
  <c r="AV253" i="15" a="1"/>
  <c r="AJ260" i="15" a="1"/>
  <c r="AG266" i="15" a="1"/>
  <c r="CD233" i="15" a="1"/>
  <c r="CE253" i="15" a="1"/>
  <c r="BN240" i="15" a="1"/>
  <c r="M237" i="15" a="1"/>
  <c r="BI252" i="15" a="1"/>
  <c r="BD275" i="15" a="1"/>
  <c r="AY254" i="15" a="1"/>
  <c r="BS273" i="15" a="1"/>
  <c r="BP250" i="15" a="1"/>
  <c r="AG247" i="15" a="1"/>
  <c r="AQ249" i="15" a="1"/>
  <c r="BW253" i="15" a="1"/>
  <c r="AQ233" i="15" a="1"/>
  <c r="H237" i="15" a="1"/>
  <c r="AS244" i="15" a="1"/>
  <c r="X244" i="15" a="1"/>
  <c r="AT252" i="15" a="1"/>
  <c r="BE258" i="15" a="1"/>
  <c r="CH281" i="15" a="1"/>
  <c r="S233" i="15" a="1"/>
  <c r="J234" i="15" a="1"/>
  <c r="AU239" i="15" a="1"/>
  <c r="AA277" i="15" a="1"/>
  <c r="AV286" i="15" a="1"/>
  <c r="BO287" i="15" a="1"/>
  <c r="Q284" i="15" a="1"/>
  <c r="Z266" i="15" a="1"/>
  <c r="AF267" i="15" a="1"/>
  <c r="AW272" i="15" a="1"/>
  <c r="AH276" i="15" a="1"/>
  <c r="B109" i="8"/>
  <c r="BF258" i="15" a="1"/>
  <c r="C271" i="15" a="1"/>
  <c r="AW278" i="15" a="1"/>
  <c r="BH275" i="15" a="1"/>
  <c r="BH271" i="15" a="1"/>
  <c r="C282" i="15" a="1"/>
  <c r="BF282" i="15" a="1"/>
  <c r="AH278" i="15" a="1"/>
  <c r="BH259" i="15" a="1"/>
  <c r="BA263" i="15" a="1"/>
  <c r="CA266" i="15" a="1"/>
  <c r="AD257" i="15" a="1"/>
  <c r="AI262" i="15" a="1"/>
  <c r="P277" i="15" a="1"/>
  <c r="AM267" i="15" a="1"/>
  <c r="G259" i="15" a="1"/>
  <c r="H267" i="15" a="1"/>
  <c r="AO287" i="15" a="1"/>
  <c r="BR284" i="15" a="1"/>
  <c r="CD247" i="15" a="1"/>
  <c r="CP278" i="15" a="1"/>
  <c r="BW248" i="15" a="1"/>
  <c r="CG270" i="15" a="1"/>
  <c r="H279" i="15" a="1"/>
  <c r="CK275" i="15" a="1"/>
  <c r="BS266" i="15" a="1"/>
  <c r="BK275" i="15" a="1"/>
  <c r="BL253" i="15" a="1"/>
  <c r="AD264" i="15" a="1"/>
  <c r="AW283" i="15" a="1"/>
  <c r="CO284" i="15" a="1"/>
  <c r="BY274" i="15" a="1"/>
  <c r="CK272" i="15" a="1"/>
  <c r="BO274" i="15" a="1"/>
  <c r="BV252" i="15" a="1"/>
  <c r="Y267" i="15" a="1"/>
  <c r="CD253" i="15" a="1"/>
  <c r="X260" i="15" a="1"/>
  <c r="BK253" i="15" a="1"/>
  <c r="CO239" i="15" a="1"/>
  <c r="CL252" i="15" a="1"/>
  <c r="BC238" i="15" a="1"/>
  <c r="O234" i="15" a="1"/>
  <c r="BX250" i="15" a="1"/>
  <c r="AG265" i="15" a="1"/>
  <c r="W253" i="15" a="1"/>
  <c r="CG258" i="15" a="1"/>
  <c r="BD252" i="15" a="1"/>
  <c r="BV254" i="15" a="1"/>
  <c r="CB270" i="15" a="1"/>
  <c r="BP249" i="15" a="1"/>
  <c r="L249" i="15" a="1"/>
  <c r="AL250" i="15" a="1"/>
  <c r="AH231" i="15" a="1"/>
  <c r="P232" i="15" a="1"/>
  <c r="CO268" i="15" a="1"/>
  <c r="AU263" i="15" a="1"/>
  <c r="AH256" i="15" a="1"/>
  <c r="AX257" i="15" a="1"/>
  <c r="T260" i="15" a="1"/>
  <c r="CO248" i="15" a="1"/>
  <c r="L254" i="15" a="1"/>
  <c r="CE259" i="15" a="1"/>
  <c r="CR243" i="15" a="1"/>
  <c r="BO235" i="15" a="1"/>
  <c r="K243" i="15" a="1"/>
  <c r="AR241" i="15" a="1"/>
  <c r="AC247" i="15" a="1"/>
  <c r="AN264" i="15" a="1"/>
  <c r="BO252" i="15" a="1"/>
  <c r="U268" i="15" a="1"/>
  <c r="BO262" i="15" a="1"/>
  <c r="CA262" i="15" a="1"/>
  <c r="AC263" i="15" a="1"/>
  <c r="BC264" i="15" a="1"/>
  <c r="AJ235" i="15" a="1"/>
  <c r="AB285" i="15" a="1"/>
  <c r="BQ261" i="15" a="1"/>
  <c r="AT254" i="15" a="1"/>
  <c r="BD245" i="15" a="1"/>
  <c r="J244" i="15" a="1"/>
  <c r="CD249" i="15" a="1"/>
  <c r="AZ234" i="15" a="1"/>
  <c r="H249" i="15" a="1"/>
  <c r="BE256" i="15" a="1"/>
  <c r="BY258" i="15" a="1"/>
  <c r="AK253" i="15" a="1"/>
  <c r="I238" i="15" a="1"/>
  <c r="BP244" i="15" a="1"/>
  <c r="AU285" i="15" a="1"/>
  <c r="BF275" i="15" a="1"/>
  <c r="AG273" i="15" a="1"/>
  <c r="AG285" i="15" a="1"/>
  <c r="AJ269" i="15" a="1"/>
  <c r="E275" i="15" a="1"/>
  <c r="AX269" i="15" a="1"/>
  <c r="L262" i="15" a="1"/>
  <c r="BJ257" i="15" a="1"/>
  <c r="BA278" i="15" a="1"/>
  <c r="O290" i="15" a="1"/>
  <c r="Z281" i="15" a="1"/>
  <c r="BR281" i="15" a="1"/>
  <c r="BU286" i="15" a="1"/>
  <c r="CQ266" i="15" a="1"/>
  <c r="BG289" i="15" a="1"/>
  <c r="AK267" i="15" a="1"/>
  <c r="P265" i="15" a="1"/>
  <c r="CL271" i="15" a="1"/>
  <c r="E268" i="15" a="1"/>
  <c r="CN260" i="15" a="1"/>
  <c r="AM260" i="15" a="1"/>
  <c r="BM258" i="15" a="1"/>
  <c r="E271" i="15" a="1"/>
  <c r="Y271" i="15" a="1"/>
  <c r="CR287" i="15" a="1"/>
  <c r="BU270" i="15" a="1"/>
  <c r="CB262" i="15" a="1"/>
  <c r="AJ257" i="15" a="1"/>
  <c r="CJ279" i="15" a="1"/>
  <c r="E248" i="15" a="1"/>
  <c r="CI282" i="15" a="1"/>
  <c r="AE291" i="15" a="1"/>
  <c r="BU272" i="15" a="1"/>
  <c r="W271" i="15" a="1"/>
  <c r="BQ274" i="15" a="1"/>
  <c r="AN271" i="15" a="1"/>
  <c r="CO262" i="15" a="1"/>
  <c r="AB274" i="15" a="1"/>
  <c r="T273" i="15" a="1"/>
  <c r="C275" i="15" a="1"/>
  <c r="CD275" i="15" a="1"/>
  <c r="BV264" i="15" a="1"/>
  <c r="CR278" i="15" a="1"/>
  <c r="BV270" i="15" a="1"/>
  <c r="AU270" i="15" a="1"/>
  <c r="BI259" i="15" a="1"/>
  <c r="BD242" i="15" a="1"/>
  <c r="BS279" i="15" a="1"/>
  <c r="CE291" i="15" a="1"/>
  <c r="AN265" i="15" a="1"/>
  <c r="CO282" i="15" a="1"/>
  <c r="C281" i="15" a="1"/>
  <c r="CP279" i="15" a="1"/>
  <c r="AB272" i="15" a="1"/>
  <c r="CA268" i="15" a="1"/>
  <c r="AB284" i="15" a="1"/>
  <c r="BB287" i="15" a="1"/>
  <c r="G286" i="15" a="1"/>
  <c r="AZ258" i="15" a="1"/>
  <c r="CN277" i="15" a="1"/>
  <c r="B107" i="8"/>
  <c r="BB258" i="15" a="1"/>
  <c r="AX285" i="15" a="1"/>
  <c r="Y262" i="15" a="1"/>
  <c r="BT289" i="15" a="1"/>
  <c r="AQ262" i="15" a="1"/>
  <c r="CL263" i="15" a="1"/>
  <c r="AW249" i="15" a="1"/>
  <c r="BZ287" i="15" a="1"/>
  <c r="BJ254" i="15" a="1"/>
  <c r="BE283" i="15" a="1"/>
  <c r="BP247" i="15" a="1"/>
  <c r="BT261" i="15" a="1"/>
  <c r="AG270" i="15" a="1"/>
  <c r="N262" i="15" a="1"/>
  <c r="L266" i="15" a="1"/>
  <c r="AE258" i="15" a="1"/>
  <c r="AE288" i="15" a="1"/>
  <c r="I289" i="15" a="1"/>
  <c r="BY256" i="15" a="1"/>
  <c r="AQ269" i="15" a="1"/>
  <c r="AH250" i="15" a="1"/>
  <c r="AW240" i="15" a="1"/>
  <c r="S258" i="15" a="1"/>
  <c r="AI285" i="15" a="1"/>
  <c r="CR234" i="15" a="1"/>
  <c r="O269" i="15" a="1"/>
  <c r="T258" i="15" a="1"/>
  <c r="M275" i="15" a="1"/>
  <c r="P284" i="15" a="1"/>
  <c r="K266" i="15" a="1"/>
  <c r="AY279" i="15" a="1"/>
  <c r="AT275" i="15" a="1"/>
  <c r="CQ290" i="15" a="1"/>
  <c r="AI276" i="15" a="1"/>
  <c r="AJ272" i="15" a="1"/>
  <c r="CQ281" i="15" a="1"/>
  <c r="O287" i="15" a="1"/>
  <c r="F271" i="15" a="1"/>
  <c r="AB270" i="15" a="1"/>
  <c r="P270" i="15" a="1"/>
  <c r="AJ265" i="15" a="1"/>
  <c r="G258" i="15" a="1"/>
  <c r="AE264" i="15" a="1"/>
  <c r="CD273" i="15" a="1"/>
  <c r="AY261" i="15" a="1"/>
  <c r="CA264" i="15" a="1"/>
  <c r="BA264" i="15" a="1"/>
  <c r="F268" i="15" a="1"/>
  <c r="AA261" i="15" a="1"/>
  <c r="CP254" i="15" a="1"/>
  <c r="AR258" i="15" a="1"/>
  <c r="AJ275" i="15" a="1"/>
  <c r="P266" i="15" a="1"/>
  <c r="AA278" i="15" a="1"/>
  <c r="BZ261" i="15" a="1"/>
  <c r="W272" i="15" a="1"/>
  <c r="BD265" i="15" a="1"/>
  <c r="CI252" i="15" a="1"/>
  <c r="BP270" i="15" a="1"/>
  <c r="CH273" i="15" a="1"/>
  <c r="AS273" i="15" a="1"/>
  <c r="CH279" i="15" a="1"/>
  <c r="BQ278" i="15" a="1"/>
  <c r="L271" i="15" a="1"/>
  <c r="CK248" i="15" a="1"/>
  <c r="AF258" i="15" a="1"/>
  <c r="N261" i="15" a="1"/>
  <c r="AM252" i="15" a="1"/>
  <c r="BH255" i="15" a="1"/>
  <c r="CM250" i="15" a="1"/>
  <c r="B60" i="8"/>
  <c r="BM275" i="15" a="1"/>
  <c r="F279" i="15" a="1"/>
  <c r="I284" i="15" a="1"/>
  <c r="N288" i="15" a="1"/>
  <c r="I267" i="15" a="1"/>
  <c r="BK284" i="15" a="1"/>
  <c r="K262" i="15" a="1"/>
  <c r="BT291" i="15" a="1"/>
  <c r="AP272" i="15" a="1"/>
  <c r="I269" i="15" a="1"/>
  <c r="AW260" i="15" a="1"/>
  <c r="BH272" i="15" a="1"/>
  <c r="BX271" i="15" a="1"/>
  <c r="Y281" i="15" a="1"/>
  <c r="BD249" i="15" a="1"/>
  <c r="AI265" i="15" a="1"/>
  <c r="BR258" i="15" a="1"/>
  <c r="CD257" i="15" a="1"/>
  <c r="BW263" i="15" a="1"/>
  <c r="BP263" i="15" a="1"/>
  <c r="Q260" i="15" a="1"/>
  <c r="CI270" i="15" a="1"/>
  <c r="BT244" i="15" a="1"/>
  <c r="CN254" i="15" a="1"/>
  <c r="AE247" i="15" a="1"/>
  <c r="S253" i="15" a="1"/>
  <c r="AK286" i="15" a="1"/>
  <c r="BW249" i="15" a="1"/>
  <c r="BQ243" i="15" a="1"/>
  <c r="CE271" i="15" a="1"/>
  <c r="AT246" i="15" a="1"/>
  <c r="AY242" i="15" a="1"/>
  <c r="R251" i="15" a="1"/>
  <c r="O266" i="15" a="1"/>
  <c r="CC261" i="15" a="1"/>
  <c r="AQ256" i="15" a="1"/>
  <c r="CJ267" i="15" a="1"/>
  <c r="AF235" i="15" a="1"/>
  <c r="AC284" i="15" a="1"/>
  <c r="AE254" i="15" a="1"/>
  <c r="CC242" i="15" a="1"/>
  <c r="BC249" i="15" a="1"/>
  <c r="CD235" i="15" a="1"/>
  <c r="AS238" i="15" a="1"/>
  <c r="AM250" i="15" a="1"/>
  <c r="BJ264" i="15" a="1"/>
  <c r="Y277" i="15" a="1"/>
  <c r="Z245" i="15" a="1"/>
  <c r="BP248" i="15" a="1"/>
  <c r="T237" i="15" a="1"/>
  <c r="AF251" i="15" a="1"/>
  <c r="AH253" i="15" a="1"/>
  <c r="AP238" i="15" a="1"/>
  <c r="BW243" i="15" a="1"/>
  <c r="BY238" i="15" a="1"/>
  <c r="AL238" i="15" a="1"/>
  <c r="CK261" i="15" a="1"/>
  <c r="P261" i="15" a="1"/>
  <c r="AV252" i="15" a="1"/>
  <c r="CD277" i="15" a="1"/>
  <c r="BT233" i="15" a="1"/>
  <c r="K241" i="15" a="1"/>
  <c r="BZ290" i="15" a="1"/>
  <c r="M291" i="15" a="1"/>
  <c r="AY285" i="15" a="1"/>
  <c r="AJ266" i="15" a="1"/>
  <c r="AH289" i="15" a="1"/>
  <c r="CI269" i="15" a="1"/>
  <c r="CR276" i="15" a="1"/>
  <c r="AV267" i="15" a="1"/>
  <c r="M269" i="15" a="1"/>
  <c r="T275" i="15" a="1"/>
  <c r="AO270" i="15" a="1"/>
  <c r="AX286" i="15" a="1"/>
  <c r="CH278" i="15" a="1"/>
  <c r="AP266" i="15" a="1"/>
  <c r="M289" i="15" a="1"/>
  <c r="CB277" i="15" a="1"/>
  <c r="AW270" i="15" a="1"/>
  <c r="AI259" i="15" a="1"/>
  <c r="BE280" i="15" a="1"/>
  <c r="AA281" i="15" a="1"/>
  <c r="AS269" i="15" a="1"/>
  <c r="CP267" i="15" a="1"/>
  <c r="BD268" i="15" a="1"/>
  <c r="BD277" i="15" a="1"/>
  <c r="R269" i="15" a="1"/>
  <c r="AT261" i="15" a="1"/>
  <c r="CP268" i="15" a="1"/>
  <c r="BX268" i="15" a="1"/>
  <c r="M266" i="15" a="1"/>
  <c r="CR261" i="15" a="1"/>
  <c r="BN256" i="15" a="1"/>
  <c r="AB273" i="15" a="1"/>
  <c r="P259" i="15" a="1"/>
  <c r="L268" i="15" a="1"/>
  <c r="AW255" i="15" a="1"/>
  <c r="L258" i="15" a="1"/>
  <c r="AV250" i="15" a="1"/>
  <c r="BV256" i="15" a="1"/>
  <c r="BK279" i="15" a="1"/>
  <c r="BZ270" i="15" a="1"/>
  <c r="CJ277" i="15" a="1"/>
  <c r="AS270" i="15" a="1"/>
  <c r="AS258" i="15" a="1"/>
  <c r="AK279" i="15" a="1"/>
  <c r="CG266" i="15" a="1"/>
  <c r="M283" i="15" a="1"/>
  <c r="BM268" i="15" a="1"/>
  <c r="AH261" i="15" a="1"/>
  <c r="R270" i="15" a="1"/>
  <c r="BG257" i="15" a="1"/>
  <c r="J241" i="15" a="1"/>
  <c r="E278" i="15" a="1"/>
  <c r="F249" i="15" a="1"/>
  <c r="AN254" i="15" a="1"/>
  <c r="BK270" i="15" a="1"/>
  <c r="BW246" i="15" a="1"/>
  <c r="CF257" i="15" a="1"/>
  <c r="BI242" i="15" a="1"/>
  <c r="BC266" i="15" a="1"/>
  <c r="CE255" i="15" a="1"/>
  <c r="AK252" i="15" a="1"/>
  <c r="CB241" i="15" a="1"/>
  <c r="AU254" i="15" a="1"/>
  <c r="BF240" i="15" a="1"/>
  <c r="BV271" i="15" a="1"/>
  <c r="BP252" i="15" a="1"/>
  <c r="X263" i="15" a="1"/>
  <c r="BZ253" i="15" a="1"/>
  <c r="AI250" i="15" a="1"/>
  <c r="X248" i="15" a="1"/>
  <c r="CO257" i="15" a="1"/>
  <c r="BO255" i="15" a="1"/>
  <c r="BJ235" i="15" a="1"/>
  <c r="AS251" i="15" a="1"/>
  <c r="P236" i="15" a="1"/>
  <c r="X234" i="15" a="1"/>
  <c r="CI240" i="15" a="1"/>
  <c r="G253" i="15" a="1"/>
  <c r="AG269" i="15" a="1"/>
  <c r="BD279" i="15" a="1"/>
  <c r="BY282" i="15" a="1"/>
  <c r="BU275" i="15" a="1"/>
  <c r="AT265" i="15" a="1"/>
  <c r="AM274" i="15" a="1"/>
  <c r="BT265" i="15" a="1"/>
  <c r="AX277" i="15" a="1"/>
  <c r="CF269" i="15" a="1"/>
  <c r="V258" i="15" a="1"/>
  <c r="AP260" i="15" a="1"/>
  <c r="G283" i="15" a="1"/>
  <c r="O277" i="15" a="1"/>
  <c r="N291" i="15" a="1"/>
  <c r="Z283" i="15" a="1"/>
  <c r="CK259" i="15" a="1"/>
  <c r="CE276" i="15" a="1"/>
  <c r="BG262" i="15" a="1"/>
  <c r="AB261" i="15" a="1"/>
  <c r="CG261" i="15" a="1"/>
  <c r="BG264" i="15" a="1"/>
  <c r="BY257" i="15" a="1"/>
  <c r="Q258" i="15" a="1"/>
  <c r="BW260" i="15" a="1"/>
  <c r="H280" i="15" a="1"/>
  <c r="K255" i="15" a="1"/>
  <c r="R275" i="15" a="1"/>
  <c r="CP269" i="15" a="1"/>
  <c r="CG257" i="15" a="1"/>
  <c r="T269" i="15" a="1"/>
  <c r="CF272" i="15" a="1"/>
  <c r="AT250" i="15" a="1"/>
  <c r="CE256" i="15" a="1"/>
  <c r="CI248" i="15" a="1"/>
  <c r="E253" i="15" a="1"/>
  <c r="CB257" i="15" a="1"/>
  <c r="AR260" i="15" a="1"/>
  <c r="CJ252" i="15" a="1"/>
  <c r="C248" i="15" a="1"/>
  <c r="S246" i="15" a="1"/>
  <c r="CK268" i="15" a="1"/>
  <c r="BJ282" i="15" a="1"/>
  <c r="X276" i="15" a="1"/>
  <c r="I266" i="15" a="1"/>
  <c r="AU282" i="15" a="1"/>
  <c r="M259" i="15" a="1"/>
  <c r="AZ284" i="15" a="1"/>
  <c r="BZ272" i="15" a="1"/>
  <c r="AY257" i="15" a="1"/>
  <c r="CC277" i="15" a="1"/>
  <c r="AG277" i="15" a="1"/>
  <c r="BX274" i="15" a="1"/>
  <c r="Q279" i="15" a="1"/>
  <c r="BY269" i="15" a="1"/>
  <c r="R276" i="15" a="1"/>
  <c r="AG248" i="15" a="1"/>
  <c r="BC271" i="15" a="1"/>
  <c r="Z249" i="15" a="1"/>
  <c r="CG255" i="15" a="1"/>
  <c r="BK264" i="15" a="1"/>
  <c r="N266" i="15" a="1"/>
  <c r="BO267" i="15" a="1"/>
  <c r="AP264" i="15" a="1"/>
  <c r="H262" i="15" a="1"/>
  <c r="Q265" i="15" a="1"/>
  <c r="BZ256" i="15" a="1"/>
  <c r="BY260" i="15" a="1"/>
  <c r="AV274" i="15" a="1"/>
  <c r="AA287" i="15" a="1"/>
  <c r="CO269" i="15" a="1"/>
  <c r="BZ259" i="15" a="1"/>
  <c r="BW250" i="15" a="1"/>
  <c r="J266" i="15" a="1"/>
  <c r="BT276" i="15" a="1"/>
  <c r="CQ264" i="15" a="1"/>
  <c r="CA271" i="15" a="1"/>
  <c r="AL268" i="15" a="1"/>
  <c r="Y258" i="15" a="1"/>
  <c r="CB252" i="15" a="1"/>
  <c r="BQ266" i="15" a="1"/>
  <c r="BS265" i="15" a="1"/>
  <c r="AD248" i="15" a="1"/>
  <c r="BV247" i="15" a="1"/>
  <c r="BT257" i="15" a="1"/>
  <c r="CP286" i="15" a="1"/>
  <c r="CJ290" i="15" a="1"/>
  <c r="CG290" i="15" a="1"/>
  <c r="AM259" i="15" a="1"/>
  <c r="AI273" i="15" a="1"/>
  <c r="M277" i="15" a="1"/>
  <c r="CC272" i="15" a="1"/>
  <c r="F282" i="15" a="1"/>
  <c r="AN275" i="15" a="1"/>
  <c r="AP267" i="15" a="1"/>
  <c r="AD259" i="15" a="1"/>
  <c r="U252" i="15" a="1"/>
  <c r="BZ268" i="15" a="1"/>
  <c r="BB270" i="15" a="1"/>
  <c r="BL278" i="15" a="1"/>
  <c r="AE271" i="15" a="1"/>
  <c r="J271" i="15" a="1"/>
  <c r="AP258" i="15" a="1"/>
  <c r="K248" i="15" a="1"/>
  <c r="BN259" i="15" a="1"/>
  <c r="CK256" i="15" a="1"/>
  <c r="AP245" i="15" a="1"/>
  <c r="CG245" i="15" a="1"/>
  <c r="BV248" i="15" a="1"/>
  <c r="J245" i="15" a="1"/>
  <c r="AK258" i="15" a="1"/>
  <c r="CB253" i="15" a="1"/>
  <c r="BM274" i="15" a="1"/>
  <c r="AI267" i="15" a="1"/>
  <c r="AR238" i="15" a="1"/>
  <c r="E254" i="15" a="1"/>
  <c r="BF268" i="15" a="1"/>
  <c r="X236" i="15" a="1"/>
  <c r="U235" i="15" a="1"/>
  <c r="G255" i="15" a="1"/>
  <c r="BX275" i="15" a="1"/>
  <c r="BB261" i="15" a="1"/>
  <c r="CO263" i="15" a="1"/>
  <c r="CA235" i="15" a="1"/>
  <c r="BJ250" i="15" a="1"/>
  <c r="K280" i="15" a="1"/>
  <c r="AE252" i="15" a="1"/>
  <c r="N259" i="15" a="1"/>
  <c r="BY240" i="15" a="1"/>
  <c r="CR286" i="15" a="1"/>
  <c r="AU246" i="15" a="1"/>
  <c r="BF243" i="15" a="1"/>
  <c r="BZ235" i="15" a="1"/>
  <c r="N277" i="15" a="1"/>
  <c r="BN279" i="15" a="1"/>
  <c r="BN271" i="15" a="1"/>
  <c r="CO259" i="15" a="1"/>
  <c r="CR269" i="15" a="1"/>
  <c r="CI266" i="15" a="1"/>
  <c r="F291" i="15" a="1"/>
  <c r="BF245" i="15" a="1"/>
  <c r="G266" i="15" a="1"/>
  <c r="AC252" i="15" a="1"/>
  <c r="O256" i="15" a="1"/>
  <c r="C249" i="15" a="1"/>
  <c r="BI269" i="15" a="1"/>
  <c r="BQ271" i="15" a="1"/>
  <c r="S248" i="15" a="1"/>
  <c r="AQ234" i="15" a="1"/>
  <c r="AD255" i="15" a="1"/>
  <c r="AD252" i="15" a="1"/>
  <c r="CN242" i="15" a="1"/>
  <c r="S255" i="15" a="1"/>
  <c r="CJ260" i="15" a="1"/>
  <c r="AM256" i="15" a="1"/>
  <c r="CR245" i="15" a="1"/>
  <c r="CA246" i="15" a="1"/>
  <c r="X259" i="15" a="1"/>
  <c r="X251" i="15" a="1"/>
  <c r="AA240" i="15" a="1"/>
  <c r="BV260" i="15" a="1"/>
  <c r="BM251" i="15" a="1"/>
  <c r="AV290" i="15" a="1"/>
  <c r="BL284" i="15" a="1"/>
  <c r="CH283" i="15" a="1"/>
  <c r="K274" i="15" a="1"/>
  <c r="I283" i="15" a="1"/>
  <c r="BF274" i="15" a="1"/>
  <c r="CB260" i="15" a="1"/>
  <c r="BX269" i="15" a="1"/>
  <c r="AT272" i="15" a="1"/>
  <c r="AK269" i="15" a="1"/>
  <c r="BH253" i="15" a="1"/>
  <c r="BC259" i="15" a="1"/>
  <c r="R268" i="15" a="1"/>
  <c r="Z260" i="15" a="1"/>
  <c r="CN261" i="15" a="1"/>
  <c r="BI273" i="15" a="1"/>
  <c r="BA291" i="15" a="1"/>
  <c r="CB268" i="15" a="1"/>
  <c r="G257" i="15" a="1"/>
  <c r="V280" i="15" a="1"/>
  <c r="BV290" i="15" a="1"/>
  <c r="S245" i="15" a="1"/>
  <c r="AO263" i="15" a="1"/>
  <c r="AK265" i="15" a="1"/>
  <c r="CG241" i="15" a="1"/>
  <c r="BY237" i="15" a="1"/>
  <c r="X287" i="15" a="1"/>
  <c r="BG268" i="15" a="1"/>
  <c r="CA248" i="15" a="1"/>
  <c r="AJ253" i="15" a="1"/>
  <c r="BI271" i="15" a="1"/>
  <c r="AG234" i="15" a="1"/>
  <c r="P249" i="15" a="1"/>
  <c r="O257" i="15" a="1"/>
  <c r="BT235" i="15" a="1"/>
  <c r="AR248" i="15" a="1"/>
  <c r="CN240" i="15" a="1"/>
  <c r="I236" i="15" a="1"/>
  <c r="M233" i="15" a="1"/>
  <c r="AK277" i="15" a="1"/>
  <c r="I247" i="15" a="1"/>
  <c r="CJ270" i="15" a="1"/>
  <c r="U246" i="15" a="1"/>
  <c r="BO251" i="15" a="1"/>
  <c r="J231" i="15" a="1"/>
  <c r="BO279" i="15" a="1"/>
  <c r="AN248" i="15" a="1"/>
  <c r="CF243" i="15" a="1"/>
  <c r="R252" i="15" a="1"/>
  <c r="BQ238" i="15" a="1"/>
  <c r="AF253" i="15" a="1"/>
  <c r="BT234" i="15" a="1"/>
  <c r="BD241" i="15" a="1"/>
  <c r="BQ250" i="15" a="1"/>
  <c r="BC235" i="15" a="1"/>
  <c r="AB243" i="15" a="1"/>
  <c r="BW273" i="15" a="1"/>
  <c r="CJ263" i="15" a="1"/>
  <c r="I248" i="15" a="1"/>
  <c r="CR244" i="15" a="1"/>
  <c r="AW268" i="15" a="1"/>
  <c r="Q245" i="15" a="1"/>
  <c r="K252" i="15" a="1"/>
  <c r="CI243" i="15" a="1"/>
  <c r="AB241" i="15" a="1"/>
  <c r="CD256" i="15" a="1"/>
  <c r="BC243" i="15" a="1"/>
  <c r="BW236" i="15" a="1"/>
  <c r="I276" i="15" a="1"/>
  <c r="AW246" i="15" a="1"/>
  <c r="BX241" i="15" a="1"/>
  <c r="F247" i="15" a="1"/>
  <c r="BT258" i="15" a="1"/>
  <c r="AK257" i="15" a="1"/>
  <c r="AU247" i="15" a="1"/>
  <c r="BZ254" i="15" a="1"/>
  <c r="AO246" i="15" a="1"/>
  <c r="AG237" i="15" a="1"/>
  <c r="BM256" i="15" a="1"/>
  <c r="AA234" i="15" a="1"/>
  <c r="AW244" i="15" a="1"/>
  <c r="BE238" i="15" a="1"/>
  <c r="AJ239" i="15" a="1"/>
  <c r="CK273" i="15" a="1"/>
  <c r="BT267" i="15" a="1"/>
  <c r="AX240" i="15" a="1"/>
  <c r="AV255" i="15" a="1"/>
  <c r="CQ260" i="15" a="1"/>
  <c r="BJ246" i="15" a="1"/>
  <c r="BJ251" i="15" a="1"/>
  <c r="CJ255" i="15" a="1"/>
  <c r="K237" i="15" a="1"/>
  <c r="BX232" i="15" a="1"/>
  <c r="BS253" i="15" a="1"/>
  <c r="AL255" i="15" a="1"/>
  <c r="N242" i="15" a="1"/>
  <c r="BD240" i="15" a="1"/>
  <c r="CR260" i="15" a="1"/>
  <c r="BR231" i="15" a="1"/>
  <c r="BN247" i="15" a="1"/>
  <c r="AU238" i="15" a="1"/>
  <c r="AV232" i="15" a="1"/>
  <c r="BA247" i="15" a="1"/>
  <c r="AK242" i="15" a="1"/>
  <c r="P248" i="15" a="1"/>
  <c r="CE252" i="15" a="1"/>
  <c r="S235" i="15" a="1"/>
  <c r="E267" i="15" a="1"/>
  <c r="AV248" i="15" a="1"/>
  <c r="CJ274" i="15" a="1"/>
  <c r="AS240" i="15" a="1"/>
  <c r="CK233" i="15" a="1"/>
  <c r="BX270" i="15" a="1"/>
  <c r="Z239" i="15" a="1"/>
  <c r="I240" i="15" a="1"/>
  <c r="CP243" i="15" a="1"/>
  <c r="BW179" i="15" a="1"/>
  <c r="BX196" i="15" a="1"/>
  <c r="T272" i="15" a="1"/>
  <c r="L238" i="15" a="1"/>
  <c r="V244" i="15" a="1"/>
  <c r="BP237" i="15" a="1"/>
  <c r="BB243" i="15" a="1"/>
  <c r="CR272" i="15" a="1"/>
  <c r="BR249" i="15" a="1"/>
  <c r="CD242" i="15" a="1"/>
  <c r="AM266" i="15" a="1"/>
  <c r="F250" i="15" a="1"/>
  <c r="CA234" i="15" a="1"/>
  <c r="CD251" i="15" a="1"/>
  <c r="BY233" i="15" a="1"/>
  <c r="BX285" i="15" a="1"/>
  <c r="BB281" i="15" a="1"/>
  <c r="CB266" i="15" a="1"/>
  <c r="N274" i="15" a="1"/>
  <c r="AK261" i="15" a="1"/>
  <c r="BZ279" i="15" a="1"/>
  <c r="AT270" i="15" a="1"/>
  <c r="AZ275" i="15" a="1"/>
  <c r="BV263" i="15" a="1"/>
  <c r="BE273" i="15" a="1"/>
  <c r="BJ262" i="15" a="1"/>
  <c r="BM264" i="15" a="1"/>
  <c r="CA259" i="15" a="1"/>
  <c r="BJ259" i="15" a="1"/>
  <c r="C251" i="15" a="1"/>
  <c r="BJ269" i="15" a="1"/>
  <c r="AI233" i="15" a="1"/>
  <c r="F261" i="15" a="1"/>
  <c r="BL233" i="15" a="1"/>
  <c r="J281" i="15" a="1"/>
  <c r="L260" i="15" a="1"/>
  <c r="BL263" i="15" a="1"/>
  <c r="CA239" i="15" a="1"/>
  <c r="AK235" i="15" a="1"/>
  <c r="AC256" i="15" a="1"/>
  <c r="AE269" i="15" a="1"/>
  <c r="CH271" i="15" a="1"/>
  <c r="BP254" i="15" a="1"/>
  <c r="AC246" i="15" a="1"/>
  <c r="P231" i="15" a="1"/>
  <c r="AH237" i="15" a="1"/>
  <c r="AV278" i="15" a="1"/>
  <c r="AH267" i="15" a="1"/>
  <c r="CM276" i="15" a="1"/>
  <c r="AF241" i="15" a="1"/>
  <c r="AA256" i="15" a="1"/>
  <c r="AS252" i="15" a="1"/>
  <c r="AA258" i="15" a="1"/>
  <c r="CC252" i="15" a="1"/>
  <c r="J252" i="15" a="1"/>
  <c r="AK232" i="15" a="1"/>
  <c r="CH252" i="15" a="1"/>
  <c r="P245" i="15" a="1"/>
  <c r="S286" i="15" a="1"/>
  <c r="BY232" i="15" a="1"/>
  <c r="Y239" i="15" a="1"/>
  <c r="BA236" i="15" a="1"/>
  <c r="N234" i="15" a="1"/>
  <c r="AU245" i="15" a="1"/>
  <c r="AY253" i="15" a="1"/>
  <c r="C277" i="15" a="1"/>
  <c r="AG244" i="15" a="1"/>
  <c r="BS236" i="15" a="1"/>
  <c r="CC240" i="15" a="1"/>
  <c r="L242" i="15" a="1"/>
  <c r="BL251" i="15" a="1"/>
  <c r="CR246" i="15" a="1"/>
  <c r="Y252" i="15" a="1"/>
  <c r="O236" i="15" a="1"/>
  <c r="BQ242" i="15" a="1"/>
  <c r="BS244" i="15" a="1"/>
  <c r="AB233" i="15" a="1"/>
  <c r="BS247" i="15" a="1"/>
  <c r="AS239" i="15" a="1"/>
  <c r="AD241" i="15" a="1"/>
  <c r="CM244" i="15" a="1"/>
  <c r="BQ270" i="15" a="1"/>
  <c r="BZ243" i="15" a="1"/>
  <c r="AT260" i="15" a="1"/>
  <c r="BI243" i="15" a="1"/>
  <c r="CJ239" i="15" a="1"/>
  <c r="AI252" i="15" a="1"/>
  <c r="AH235" i="15" a="1"/>
  <c r="CC247" i="15" a="1"/>
  <c r="CI251" i="15" a="1"/>
  <c r="AC232" i="15" a="1"/>
  <c r="AV236" i="15" a="1"/>
  <c r="AU243" i="15" a="1"/>
  <c r="CJ268" i="15" a="1"/>
  <c r="CE243" i="15" a="1"/>
  <c r="AM236" i="15" a="1"/>
  <c r="V272" i="15" a="1"/>
  <c r="CH266" i="15" a="1"/>
  <c r="H258" i="15" a="1"/>
  <c r="CH247" i="15" a="1"/>
  <c r="CM243" i="15" a="1"/>
  <c r="E283" i="15" a="1"/>
  <c r="K283" i="15" a="1"/>
  <c r="BP273" i="15" a="1"/>
  <c r="AF288" i="15" a="1"/>
  <c r="AQ283" i="15" a="1"/>
  <c r="BT268" i="15" a="1"/>
  <c r="CL258" i="15" a="1"/>
  <c r="CI263" i="15" a="1"/>
  <c r="CG268" i="15" a="1"/>
  <c r="C264" i="15" a="1"/>
  <c r="CA269" i="15" a="1"/>
  <c r="BW280" i="15" a="1"/>
  <c r="AX250" i="15" a="1"/>
  <c r="F257" i="15" a="1"/>
  <c r="CG262" i="15" a="1"/>
  <c r="CQ246" i="15" a="1"/>
  <c r="I264" i="15" a="1"/>
  <c r="AS272" i="15" a="1"/>
  <c r="CB236" i="15" a="1"/>
  <c r="F254" i="15" a="1"/>
  <c r="BP261" i="15" a="1"/>
  <c r="CG267" i="15" a="1"/>
  <c r="BQ235" i="15" a="1"/>
  <c r="CM281" i="15" a="1"/>
  <c r="AT249" i="15" a="1"/>
  <c r="CJ240" i="15" a="1"/>
  <c r="AP240" i="15" a="1"/>
  <c r="BH248" i="15" a="1"/>
  <c r="AU262" i="15" a="1"/>
  <c r="CE286" i="15" a="1"/>
  <c r="CL281" i="15" a="1"/>
  <c r="AJ278" i="15" a="1"/>
  <c r="O274" i="15" a="1"/>
  <c r="BM280" i="15" a="1"/>
  <c r="AD266" i="15" a="1"/>
  <c r="AA280" i="15" a="1"/>
  <c r="AT257" i="15" a="1"/>
  <c r="BK259" i="15" a="1"/>
  <c r="BY285" i="15" a="1"/>
  <c r="V257" i="15" a="1"/>
  <c r="AO268" i="15" a="1"/>
  <c r="BZ263" i="15" a="1"/>
  <c r="H261" i="15" a="1"/>
  <c r="S260" i="15" a="1"/>
  <c r="AT251" i="15" a="1"/>
  <c r="AR283" i="15" a="1"/>
  <c r="AB289" i="15" a="1"/>
  <c r="W260" i="15" a="1"/>
  <c r="BA260" i="15" a="1"/>
  <c r="F269" i="15" a="1"/>
  <c r="BI249" i="15" a="1"/>
  <c r="T267" i="15" a="1"/>
  <c r="BY280" i="15" a="1"/>
  <c r="AD247" i="15" a="1"/>
  <c r="BX249" i="15" a="1"/>
  <c r="BO270" i="15" a="1"/>
  <c r="AR259" i="15" a="1"/>
  <c r="BH246" i="15" a="1"/>
  <c r="AH265" i="15" a="1"/>
  <c r="AK262" i="15" a="1"/>
  <c r="BK251" i="15" a="1"/>
  <c r="AU264" i="15" a="1"/>
  <c r="AE259" i="15" a="1"/>
  <c r="T253" i="15" a="1"/>
  <c r="Q291" i="15" a="1"/>
  <c r="BV265" i="15" a="1"/>
  <c r="BA237" i="15" a="1"/>
  <c r="AY236" i="15" a="1"/>
  <c r="BP271" i="15" a="1"/>
  <c r="H275" i="15" a="1"/>
  <c r="AH245" i="15" a="1"/>
  <c r="CG236" i="15" a="1"/>
  <c r="BB280" i="15" a="1"/>
  <c r="AN252" i="15" a="1"/>
  <c r="BA258" i="15" a="1"/>
  <c r="BW259" i="15" a="1"/>
  <c r="H251" i="15" a="1"/>
  <c r="H253" i="15" a="1"/>
  <c r="W258" i="15" a="1"/>
  <c r="S250" i="15" a="1"/>
  <c r="AV237" i="15" a="1"/>
  <c r="AU240" i="15" a="1"/>
  <c r="BS232" i="15" a="1"/>
  <c r="AK240" i="15" a="1"/>
  <c r="CP234" i="15" a="1"/>
  <c r="BE262" i="15" a="1"/>
  <c r="BG258" i="15" a="1"/>
  <c r="BE269" i="15" a="1"/>
  <c r="BA251" i="15" a="1"/>
  <c r="Z240" i="15" a="1"/>
  <c r="AD231" i="15" a="1"/>
  <c r="I256" i="15" a="1"/>
  <c r="CL241" i="15" a="1"/>
  <c r="CE242" i="15" a="1"/>
  <c r="R232" i="15" a="1"/>
  <c r="BS238" i="15" a="1"/>
  <c r="BV250" i="15" a="1"/>
  <c r="AV245" i="15" a="1"/>
  <c r="AG245" i="15" a="1"/>
  <c r="BN253" i="15" a="1"/>
  <c r="AL244" i="15" a="1"/>
  <c r="CP273" i="15" a="1"/>
  <c r="E263" i="15" a="1"/>
  <c r="BL248" i="15" a="1"/>
  <c r="BU253" i="15" a="1"/>
  <c r="BH241" i="15" a="1"/>
  <c r="AI248" i="15" a="1"/>
  <c r="AC257" i="15" a="1"/>
  <c r="AV266" i="15" a="1"/>
  <c r="V235" i="15" a="1"/>
  <c r="G232" i="15" a="1"/>
  <c r="BO256" i="15" a="1"/>
  <c r="BD236" i="15" a="1"/>
  <c r="AH255" i="15" a="1"/>
  <c r="CE238" i="15" a="1"/>
  <c r="BF253" i="15" a="1"/>
  <c r="L234" i="15" a="1"/>
  <c r="CJ244" i="15" a="1"/>
  <c r="AN249" i="15" a="1"/>
  <c r="AG238" i="15" a="1"/>
  <c r="AM242" i="15" a="1"/>
  <c r="W235" i="15" a="1"/>
  <c r="I232" i="15" a="1"/>
  <c r="CR259" i="15" a="1"/>
  <c r="M273" i="15" a="1"/>
  <c r="CE246" i="15" a="1"/>
  <c r="AX241" i="15" a="1"/>
  <c r="AG260" i="15" a="1"/>
  <c r="AX252" i="15" a="1"/>
  <c r="BW231" i="15" a="1"/>
  <c r="BN239" i="15" a="1"/>
  <c r="BC236" i="15" a="1"/>
  <c r="BW188" i="15" a="1"/>
  <c r="AH242" i="15" a="1"/>
  <c r="CK237" i="15" a="1"/>
  <c r="BN246" i="15" a="1"/>
  <c r="T248" i="15" a="1"/>
  <c r="I254" i="15" a="1"/>
  <c r="BA274" i="15" a="1"/>
  <c r="BQ234" i="15" a="1"/>
  <c r="CA253" i="15" a="1"/>
  <c r="CB246" i="15" a="1"/>
  <c r="Y232" i="15" a="1"/>
  <c r="AZ272" i="15" a="1"/>
  <c r="BW213" i="15" a="1"/>
  <c r="BW186" i="15" a="1"/>
  <c r="W239" i="15" a="1"/>
  <c r="CF284" i="15" a="1"/>
  <c r="G233" i="15" a="1"/>
  <c r="CF245" i="15" a="1"/>
  <c r="E234" i="15" a="1"/>
  <c r="BW217" i="15" a="1"/>
  <c r="W232" i="15" a="1"/>
  <c r="AE246" i="15" a="1"/>
  <c r="P244" i="15" a="1"/>
  <c r="BN235" i="15" a="1"/>
  <c r="AF248" i="15" a="1"/>
  <c r="AX243" i="15" a="1"/>
  <c r="AO237" i="15" a="1"/>
  <c r="X247" i="15" a="1"/>
  <c r="CC268" i="15" a="1"/>
  <c r="AX264" i="15" a="1"/>
  <c r="CI274" i="15" a="1"/>
  <c r="M263" i="15" a="1"/>
  <c r="S262" i="15" a="1"/>
  <c r="BH269" i="15" a="1"/>
  <c r="G265" i="15" a="1"/>
  <c r="AF262" i="15" a="1"/>
  <c r="F266" i="15" a="1"/>
  <c r="I259" i="15" a="1"/>
  <c r="BT278" i="15" a="1"/>
  <c r="AQ291" i="15" a="1"/>
  <c r="BH281" i="15" a="1"/>
  <c r="AZ290" i="15" a="1"/>
  <c r="AQ263" i="15" a="1"/>
  <c r="AW259" i="15" a="1"/>
  <c r="AO276" i="15" a="1"/>
  <c r="AI261" i="15" a="1"/>
  <c r="AB240" i="15" a="1"/>
  <c r="J249" i="15" a="1"/>
  <c r="AU259" i="15" a="1"/>
  <c r="CR273" i="15" a="1"/>
  <c r="BN258" i="15" a="1"/>
  <c r="CD252" i="15" a="1"/>
  <c r="AF249" i="15" a="1"/>
  <c r="BZ280" i="15" a="1"/>
  <c r="CH246" i="15" a="1"/>
  <c r="I253" i="15" a="1"/>
  <c r="CC249" i="15" a="1"/>
  <c r="AU255" i="15" a="1"/>
  <c r="I233" i="15" a="1"/>
  <c r="J258" i="15" a="1"/>
  <c r="BS258" i="15" a="1"/>
  <c r="BX263" i="15" a="1"/>
  <c r="BK245" i="15" a="1"/>
  <c r="CJ271" i="15" a="1"/>
  <c r="CH236" i="15" a="1"/>
  <c r="CJ232" i="15" a="1"/>
  <c r="BF236" i="15" a="1"/>
  <c r="AT273" i="15" a="1"/>
  <c r="AQ261" i="15" a="1"/>
  <c r="CI245" i="15" a="1"/>
  <c r="BV255" i="15" a="1"/>
  <c r="AW236" i="15" a="1"/>
  <c r="AR245" i="15" a="1"/>
  <c r="AE233" i="15" a="1"/>
  <c r="AR232" i="15" a="1"/>
  <c r="BZ251" i="15" a="1"/>
  <c r="AE266" i="15" a="1"/>
  <c r="X257" i="15" a="1"/>
  <c r="BI251" i="15" a="1"/>
  <c r="AP250" i="15" a="1"/>
  <c r="AN236" i="15" a="1"/>
  <c r="L248" i="15" a="1"/>
  <c r="BG242" i="15" a="1"/>
  <c r="BE232" i="15" a="1"/>
  <c r="U244" i="15" a="1"/>
  <c r="Q234" i="15" a="1"/>
  <c r="L240" i="15" a="1"/>
  <c r="BM253" i="15" a="1"/>
  <c r="BK254" i="15" a="1"/>
  <c r="J254" i="15" a="1"/>
  <c r="AK233" i="15" a="1"/>
  <c r="AD243" i="15" a="1"/>
  <c r="CH272" i="15" a="1"/>
  <c r="W262" i="15" a="1"/>
  <c r="AA252" i="15" a="1"/>
  <c r="AH264" i="15" a="1"/>
  <c r="AE257" i="15" a="1"/>
  <c r="V263" i="15" a="1"/>
  <c r="AM235" i="15" a="1"/>
  <c r="BV253" i="15" a="1"/>
  <c r="CO235" i="15" a="1"/>
  <c r="O231" i="15" a="1"/>
  <c r="BU242" i="15" a="1"/>
  <c r="U239" i="15" a="1"/>
  <c r="CF253" i="15" a="1"/>
  <c r="BK235" i="15" a="1"/>
  <c r="B102" i="8"/>
  <c r="BN231" i="15" a="1"/>
  <c r="Y247" i="15" a="1"/>
  <c r="AN260" i="15" a="1"/>
  <c r="AR242" i="15" a="1"/>
  <c r="BY273" i="15" a="1"/>
  <c r="AH240" i="15" a="1"/>
  <c r="CP291" i="15" a="1"/>
  <c r="CN272" i="15" a="1"/>
  <c r="BJ290" i="15" a="1"/>
  <c r="AX290" i="15" a="1"/>
  <c r="BE266" i="15" a="1"/>
  <c r="CD265" i="15" a="1"/>
  <c r="AX276" i="15" a="1"/>
  <c r="H246" i="15" a="1"/>
  <c r="BN270" i="15" a="1"/>
  <c r="BX259" i="15" a="1"/>
  <c r="BA255" i="15" a="1"/>
  <c r="Q257" i="15" a="1"/>
  <c r="AN237" i="15" a="1"/>
  <c r="CR249" i="15" a="1"/>
  <c r="CQ251" i="15" a="1"/>
  <c r="S234" i="15" a="1"/>
  <c r="W255" i="15" a="1"/>
  <c r="AG246" i="15" a="1"/>
  <c r="X242" i="15" a="1"/>
  <c r="Q251" i="15" a="1"/>
  <c r="AY262" i="15" a="1"/>
  <c r="U255" i="15" a="1"/>
  <c r="Q240" i="15" a="1"/>
  <c r="M261" i="15" a="1"/>
  <c r="G252" i="15" a="1"/>
  <c r="BR234" i="15" a="1"/>
  <c r="AD279" i="15" a="1"/>
  <c r="AZ250" i="15" a="1"/>
  <c r="BJ240" i="15" a="1"/>
  <c r="BG286" i="15" a="1"/>
  <c r="BH276" i="15" a="1"/>
  <c r="U280" i="15" a="1"/>
  <c r="AA274" i="15" a="1"/>
  <c r="O284" i="15" a="1"/>
  <c r="BB269" i="15" a="1"/>
  <c r="AX262" i="15" a="1"/>
  <c r="AI266" i="15" a="1"/>
  <c r="G270" i="15" a="1"/>
  <c r="CN255" i="15" a="1"/>
  <c r="BW245" i="15" a="1"/>
  <c r="L263" i="15" a="1"/>
  <c r="U258" i="15" a="1"/>
  <c r="BB260" i="15" a="1"/>
  <c r="AG258" i="15" a="1"/>
  <c r="BE278" i="15" a="1"/>
  <c r="CJ282" i="15" a="1"/>
  <c r="AF290" i="15" a="1"/>
  <c r="AS248" i="15" a="1"/>
  <c r="Q261" i="15" a="1"/>
  <c r="BR269" i="15" a="1"/>
  <c r="J264" i="15" a="1"/>
  <c r="BN274" i="15" a="1"/>
  <c r="K246" i="15" a="1"/>
  <c r="BZ264" i="15" a="1"/>
  <c r="AL274" i="15" a="1"/>
  <c r="M276" i="15" a="1"/>
  <c r="AP275" i="15" a="1"/>
  <c r="AO249" i="15" a="1"/>
  <c r="O262" i="15" a="1"/>
  <c r="CD248" i="15" a="1"/>
  <c r="BJ288" i="15" a="1"/>
  <c r="BM254" i="15" a="1"/>
  <c r="AQ245" i="15" a="1"/>
  <c r="Y279" i="15" a="1"/>
  <c r="U247" i="15" a="1"/>
  <c r="Q232" i="15" a="1"/>
  <c r="BN242" i="15" a="1"/>
  <c r="F274" i="15" a="1"/>
  <c r="P269" i="15" a="1"/>
  <c r="BA273" i="15" a="1"/>
  <c r="AK248" i="15" a="1"/>
  <c r="AA257" i="15" a="1"/>
  <c r="CP245" i="15" a="1"/>
  <c r="BO243" i="15" a="1"/>
  <c r="BM238" i="15" a="1"/>
  <c r="BT283" i="15" a="1"/>
  <c r="BH256" i="15" a="1"/>
  <c r="Q236" i="15" a="1"/>
  <c r="AU265" i="15" a="1"/>
  <c r="CL239" i="15" a="1"/>
  <c r="AP239" i="15" a="1"/>
  <c r="CE250" i="15" a="1"/>
  <c r="AE236" i="15" a="1"/>
  <c r="BB231" i="15" a="1"/>
  <c r="AD239" i="15" a="1"/>
  <c r="AU253" i="15" a="1"/>
  <c r="AV257" i="15" a="1"/>
  <c r="BH236" i="15" a="1"/>
  <c r="CL240" i="15" a="1"/>
  <c r="CA257" i="15" a="1"/>
  <c r="AY249" i="15" a="1"/>
  <c r="CJ256" i="15" a="1"/>
  <c r="BP234" i="15" a="1"/>
  <c r="CG250" i="15" a="1"/>
  <c r="BI241" i="15" a="1"/>
  <c r="CI249" i="15" a="1"/>
  <c r="Y237" i="15" a="1"/>
  <c r="AJ248" i="15" a="1"/>
  <c r="AM240" i="15" a="1"/>
  <c r="BX231" i="15" a="1"/>
  <c r="E249" i="15" a="1"/>
  <c r="CG247" i="15" a="1"/>
  <c r="AQ252" i="15" a="1"/>
  <c r="BY234" i="15" a="1"/>
  <c r="AE242" i="15" a="1"/>
  <c r="AT245" i="15" a="1"/>
  <c r="CO241" i="15" a="1"/>
  <c r="P263" i="15" a="1"/>
  <c r="I288" i="15" a="1"/>
  <c r="BR243" i="15" a="1"/>
  <c r="AP237" i="15" a="1"/>
  <c r="BA244" i="15" a="1"/>
  <c r="BU248" i="15" a="1"/>
  <c r="BA235" i="15" a="1"/>
  <c r="BF232" i="15" a="1"/>
  <c r="BU234" i="15" a="1"/>
  <c r="BA233" i="15" a="1"/>
  <c r="BK261" i="15" a="1"/>
  <c r="CN273" i="15" a="1"/>
  <c r="W266" i="15" a="1"/>
  <c r="CO237" i="15" a="1"/>
  <c r="CM251" i="15" a="1"/>
  <c r="AQ244" i="15" a="1"/>
  <c r="AB271" i="15" a="1"/>
  <c r="CB278" i="15" a="1"/>
  <c r="AM239" i="15" a="1"/>
  <c r="CJ257" i="15" a="1"/>
  <c r="AA246" i="15" a="1"/>
  <c r="BD237" i="15" a="1"/>
  <c r="CF246" i="15" a="1"/>
  <c r="BA232" i="15" a="1"/>
  <c r="BZ242" i="15" a="1"/>
  <c r="AU252" i="15" a="1"/>
  <c r="BB240" i="15" a="1"/>
  <c r="CO246" i="15" a="1"/>
  <c r="BW272" i="15" a="1"/>
  <c r="BM239" i="15" a="1"/>
  <c r="AU232" i="15" a="1"/>
  <c r="CN241" i="15" a="1"/>
  <c r="BR248" i="15" a="1"/>
  <c r="CC236" i="15" a="1"/>
  <c r="BW182" i="15" a="1"/>
  <c r="CN233" i="15" a="1"/>
  <c r="CO260" i="15" a="1"/>
  <c r="Q247" i="15" a="1"/>
  <c r="BX220" i="15" a="1"/>
  <c r="S242" i="15" a="1"/>
  <c r="AE244" i="15" a="1"/>
  <c r="AZ244" i="15" a="1"/>
  <c r="CN245" i="15" a="1"/>
  <c r="AQ243" i="15" a="1"/>
  <c r="N248" i="15" a="1"/>
  <c r="AO245" i="15" a="1"/>
  <c r="AS236" i="15" a="1"/>
  <c r="CJ251" i="15" a="1"/>
  <c r="BR252" i="15" a="1"/>
  <c r="BC247" i="15" a="1"/>
  <c r="AA237" i="15" a="1"/>
  <c r="F240" i="15" a="1"/>
  <c r="CD250" i="15" a="1"/>
  <c r="R274" i="15" a="1"/>
  <c r="BF290" i="15" a="1"/>
  <c r="CR266" i="15" a="1"/>
  <c r="AI284" i="15" a="1"/>
  <c r="AI277" i="15" a="1"/>
  <c r="V259" i="15" a="1"/>
  <c r="BH267" i="15" a="1"/>
  <c r="AL257" i="15" a="1"/>
  <c r="BO257" i="15" a="1"/>
  <c r="AJ259" i="15" a="1"/>
  <c r="AX265" i="15" a="1"/>
  <c r="BL277" i="15" a="1"/>
  <c r="AR274" i="15" a="1"/>
  <c r="CQ244" i="15" a="1"/>
  <c r="AS245" i="15" a="1"/>
  <c r="BB259" i="15" a="1"/>
  <c r="O264" i="15" a="1"/>
  <c r="AP244" i="15" a="1"/>
  <c r="BQ254" i="15" a="1"/>
  <c r="AN246" i="15" a="1"/>
  <c r="N232" i="15" a="1"/>
  <c r="BM255" i="15" a="1"/>
  <c r="BQ268" i="15" a="1"/>
  <c r="AN234" i="15" a="1"/>
  <c r="W264" i="15" a="1"/>
  <c r="S280" i="15" a="1"/>
  <c r="S241" i="15" a="1"/>
  <c r="AE255" i="15" a="1"/>
  <c r="AS275" i="15" a="1"/>
  <c r="AY259" i="15" a="1"/>
  <c r="T246" i="15" a="1"/>
  <c r="BP251" i="15" a="1"/>
  <c r="AT284" i="15" a="1"/>
  <c r="I262" i="15" a="1"/>
  <c r="B49" i="8"/>
  <c r="BU258" i="15" a="1"/>
  <c r="F236" i="15" a="1"/>
  <c r="Y284" i="15" a="1"/>
  <c r="AQ260" i="15" a="1"/>
  <c r="BC253" i="15" a="1"/>
  <c r="CE241" i="15" a="1"/>
  <c r="Y244" i="15" a="1"/>
  <c r="CG252" i="15" a="1"/>
  <c r="CJ241" i="15" a="1"/>
  <c r="Z242" i="15" a="1"/>
  <c r="BC231" i="15" a="1"/>
  <c r="J238" i="15" a="1"/>
  <c r="BA246" i="15" a="1"/>
  <c r="BK260" i="15" a="1"/>
  <c r="M267" i="15" a="1"/>
  <c r="BF238" i="15" a="1"/>
  <c r="AA232" i="15" a="1"/>
  <c r="BP241" i="15" a="1"/>
  <c r="O244" i="15" a="1"/>
  <c r="Z269" i="15" a="1"/>
  <c r="AQ235" i="15" a="1"/>
  <c r="AH243" i="15" a="1"/>
  <c r="CN243" i="15" a="1"/>
  <c r="BX243" i="15" a="1"/>
  <c r="AN231" i="15" a="1"/>
  <c r="BN245" i="15" a="1"/>
  <c r="CG237" i="15" a="1"/>
  <c r="AU234" i="15" a="1"/>
  <c r="BM247" i="15" a="1"/>
  <c r="BZ249" i="15" a="1"/>
  <c r="Q270" i="15" a="1"/>
  <c r="Z241" i="15" a="1"/>
  <c r="AE234" i="15" a="1"/>
  <c r="AV244" i="15" a="1"/>
  <c r="AW233" i="15" a="1"/>
  <c r="H247" i="15" a="1"/>
  <c r="BE239" i="15" a="1"/>
  <c r="BC261" i="15" a="1"/>
  <c r="CQ232" i="15" a="1"/>
  <c r="AU250" i="15" a="1"/>
  <c r="CF233" i="15" a="1"/>
  <c r="AZ249" i="15" a="1"/>
  <c r="F242" i="15" a="1"/>
  <c r="AE248" i="15" a="1"/>
  <c r="N244" i="15" a="1"/>
  <c r="V246" i="15" a="1"/>
  <c r="V260" i="15" a="1"/>
  <c r="BY253" i="15" a="1"/>
  <c r="BO242" i="15" a="1"/>
  <c r="J239" i="15" a="1"/>
  <c r="H239" i="15" a="1"/>
  <c r="AZ247" i="15" a="1"/>
  <c r="BV259" i="15" a="1"/>
  <c r="AQ239" i="15" a="1"/>
  <c r="Q233" i="15" a="1"/>
  <c r="BH257" i="15" a="1"/>
  <c r="BQ281" i="15" a="1"/>
  <c r="AV239" i="15" a="1"/>
  <c r="AL256" i="15" a="1"/>
  <c r="CM290" i="15" a="1"/>
  <c r="CC269" i="15" a="1"/>
  <c r="M264" i="15" a="1"/>
  <c r="BA277" i="15" a="1"/>
  <c r="CE275" i="15" a="1"/>
  <c r="L256" i="15" a="1"/>
  <c r="CQ271" i="15" a="1"/>
  <c r="BQ263" i="15" a="1"/>
  <c r="BG277" i="15" a="1"/>
  <c r="V285" i="15" a="1"/>
  <c r="O276" i="15" a="1"/>
  <c r="CR253" i="15" a="1"/>
  <c r="BR245" i="15" a="1"/>
  <c r="BB251" i="15" a="1"/>
  <c r="BT274" i="15" a="1"/>
  <c r="S254" i="15" a="1"/>
  <c r="CH258" i="15" a="1"/>
  <c r="BK256" i="15" a="1"/>
  <c r="CJ280" i="15" a="1"/>
  <c r="CB237" i="15" a="1"/>
  <c r="BV267" i="15" a="1"/>
  <c r="CM265" i="15" a="1"/>
  <c r="BX258" i="15" a="1"/>
  <c r="V271" i="15" a="1"/>
  <c r="E252" i="15" a="1"/>
  <c r="AD250" i="15" a="1"/>
  <c r="O248" i="15" a="1"/>
  <c r="AZ255" i="15" a="1"/>
  <c r="AR252" i="15" a="1"/>
  <c r="C254" i="15" a="1"/>
  <c r="CE257" i="15" a="1"/>
  <c r="AV289" i="15" a="1"/>
  <c r="X280" i="15" a="1"/>
  <c r="Y270" i="15" a="1"/>
  <c r="K288" i="15" a="1"/>
  <c r="BD267" i="15" a="1"/>
  <c r="F255" i="15" a="1"/>
  <c r="BI283" i="15" a="1"/>
  <c r="O254" i="15" a="1"/>
  <c r="P278" i="15" a="1"/>
  <c r="E256" i="15" a="1"/>
  <c r="CA267" i="15" a="1"/>
  <c r="N269" i="15" a="1"/>
  <c r="AB265" i="15" a="1"/>
  <c r="AB252" i="15" a="1"/>
  <c r="CQ284" i="15" a="1"/>
  <c r="CE266" i="15" a="1"/>
  <c r="AS271" i="15" a="1"/>
  <c r="AU260" i="15" a="1"/>
  <c r="AJ252" i="15" a="1"/>
  <c r="X265" i="15" a="1"/>
  <c r="CR270" i="15" a="1"/>
  <c r="CP265" i="15" a="1"/>
  <c r="AZ289" i="15" a="1"/>
  <c r="Q252" i="15" a="1"/>
  <c r="BL249" i="15" a="1"/>
  <c r="CL249" i="15" a="1"/>
  <c r="BP256" i="15" a="1"/>
  <c r="BG256" i="15" a="1"/>
  <c r="BF231" i="15" a="1"/>
  <c r="AI244" i="15" a="1"/>
  <c r="BN280" i="15" a="1"/>
  <c r="AL260" i="15" a="1"/>
  <c r="C260" i="15" a="1"/>
  <c r="CE262" i="15" a="1"/>
  <c r="T241" i="15" a="1"/>
  <c r="T239" i="15" a="1"/>
  <c r="BN244" i="15" a="1"/>
  <c r="T261" i="15" a="1"/>
  <c r="AB254" i="15" a="1"/>
  <c r="BT279" i="15" a="1"/>
  <c r="CB243" i="15" a="1"/>
  <c r="AH259" i="15" a="1"/>
  <c r="U237" i="15" a="1"/>
  <c r="AC249" i="15" a="1"/>
  <c r="AB242" i="15" a="1"/>
  <c r="CB261" i="15" a="1"/>
  <c r="BU250" i="15" a="1"/>
  <c r="G247" i="15" a="1"/>
  <c r="CK264" i="15" a="1"/>
  <c r="BE245" i="15" a="1"/>
  <c r="V248" i="15" a="1"/>
  <c r="BB244" i="15" a="1"/>
  <c r="AO233" i="15" a="1"/>
  <c r="BA239" i="15" a="1"/>
  <c r="AS277" i="15" a="1"/>
  <c r="AI246" i="15" a="1"/>
  <c r="K245" i="15" a="1"/>
  <c r="CO261" i="15" a="1"/>
  <c r="J250" i="15" a="1"/>
  <c r="CK242" i="15" a="1"/>
  <c r="CJ234" i="15" a="1"/>
  <c r="L261" i="15" a="1"/>
  <c r="AD240" i="15" a="1"/>
  <c r="J242" i="15" a="1"/>
  <c r="BU252" i="15" a="1"/>
  <c r="M243" i="15" a="1"/>
  <c r="N264" i="15" a="1"/>
  <c r="BR242" i="15" a="1"/>
  <c r="T231" i="15" a="1"/>
  <c r="CJ235" i="15" a="1"/>
  <c r="AT255" i="15" a="1"/>
  <c r="BF249" i="15" a="1"/>
  <c r="Z268" i="15" a="1"/>
  <c r="CL246" i="15" a="1"/>
  <c r="AA243" i="15" a="1"/>
  <c r="E242" i="15" a="1"/>
  <c r="I239" i="15" a="1"/>
  <c r="CM241" i="15" a="1"/>
  <c r="AR244" i="15" a="1"/>
  <c r="BM236" i="15" a="1"/>
  <c r="AB250" i="15" a="1"/>
  <c r="AH236" i="15" a="1"/>
  <c r="BH273" i="15" a="1"/>
  <c r="AG280" i="15" a="1"/>
  <c r="CE233" i="15" a="1"/>
  <c r="K235" i="15" a="1"/>
  <c r="M256" i="15" a="1"/>
  <c r="AR254" i="15" a="1"/>
  <c r="C267" i="15" a="1"/>
  <c r="BW247" i="15" a="1"/>
  <c r="U250" i="15" a="1"/>
  <c r="V249" i="15" a="1"/>
  <c r="BG240" i="15" a="1"/>
  <c r="AR261" i="15" a="1"/>
  <c r="AI263" i="15" a="1"/>
  <c r="BJ231" i="15" a="1"/>
  <c r="AP232" i="15" a="1"/>
  <c r="AH258" i="15" a="1"/>
  <c r="AP243" i="15" a="1"/>
  <c r="BD233" i="15" a="1"/>
  <c r="CR251" i="15" a="1"/>
  <c r="BB232" i="15" a="1"/>
  <c r="AO269" i="15" a="1"/>
  <c r="BU246" i="15" a="1"/>
  <c r="BT249" i="15" a="1"/>
  <c r="AY271" i="15" a="1"/>
  <c r="CA250" i="15" a="1"/>
  <c r="Y234" i="15" a="1"/>
  <c r="BB234" i="15" a="1"/>
  <c r="AJ241" i="15" a="1"/>
  <c r="CJ250" i="15" a="1"/>
  <c r="AT238" i="15" a="1"/>
  <c r="AV243" i="15" a="1"/>
  <c r="BW174" i="15" a="1"/>
  <c r="BH235" i="15" a="1"/>
  <c r="BX194" i="15" a="1"/>
  <c r="CI262" i="15" a="1"/>
  <c r="BF235" i="15" a="1"/>
  <c r="AN256" i="15" a="1"/>
  <c r="F239" i="15" a="1"/>
  <c r="BG238" i="15" a="1"/>
  <c r="S267" i="15" a="1"/>
  <c r="E236" i="15" a="1"/>
  <c r="CQ234" i="15" a="1"/>
  <c r="W250" i="15" a="1"/>
  <c r="BH239" i="15" a="1"/>
  <c r="BL231" i="15" a="1"/>
  <c r="AE239" i="15" a="1"/>
  <c r="BK243" i="15" a="1"/>
  <c r="CC233" i="15" a="1"/>
  <c r="BZ276" i="15" a="1"/>
  <c r="AF275" i="15" a="1"/>
  <c r="CA261" i="15" a="1"/>
  <c r="BS288" i="15" a="1"/>
  <c r="CH274" i="15" a="1"/>
  <c r="Y265" i="15" a="1"/>
  <c r="AM255" i="15" a="1"/>
  <c r="AW282" i="15" a="1"/>
  <c r="BU279" i="15" a="1"/>
  <c r="AA263" i="15" a="1"/>
  <c r="BX267" i="15" a="1"/>
  <c r="BU255" i="15" a="1"/>
  <c r="BJ255" i="15" a="1"/>
  <c r="O249" i="15" a="1"/>
  <c r="AZ260" i="15" a="1"/>
  <c r="BD247" i="15" a="1"/>
  <c r="AN269" i="15" a="1"/>
  <c r="CM236" i="15" a="1"/>
  <c r="C258" i="15" a="1"/>
  <c r="H260" i="15" a="1"/>
  <c r="V245" i="15" a="1"/>
  <c r="BU257" i="15" a="1"/>
  <c r="AZ236" i="15" a="1"/>
  <c r="M242" i="15" a="1"/>
  <c r="H282" i="15" a="1"/>
  <c r="BT248" i="15" a="1"/>
  <c r="F260" i="15" a="1"/>
  <c r="AM272" i="15" a="1"/>
  <c r="CK251" i="15" a="1"/>
  <c r="F259" i="15" a="1"/>
  <c r="BN278" i="15" a="1"/>
  <c r="AL266" i="15" a="1"/>
  <c r="BG272" i="15" a="1"/>
  <c r="BW258" i="15" a="1"/>
  <c r="CN265" i="15" a="1"/>
  <c r="CE251" i="15" a="1"/>
  <c r="CF239" i="15" a="1"/>
  <c r="AS234" i="15" a="1"/>
  <c r="BE247" i="15" a="1"/>
  <c r="BX245" i="15" a="1"/>
  <c r="CP250" i="15" a="1"/>
  <c r="CN249" i="15" a="1"/>
  <c r="BN243" i="15" a="1"/>
  <c r="AF244" i="15" a="1"/>
  <c r="AW248" i="15" a="1"/>
  <c r="AG252" i="15" a="1"/>
  <c r="F245" i="15" a="1"/>
  <c r="CK245" i="15" a="1"/>
  <c r="C252" i="15" a="1"/>
  <c r="K272" i="15" a="1"/>
  <c r="AL233" i="15" a="1"/>
  <c r="CK250" i="15" a="1"/>
  <c r="G236" i="15" a="1"/>
  <c r="T257" i="15" a="1"/>
  <c r="BY252" i="15" a="1"/>
  <c r="F248" i="15" a="1"/>
  <c r="M241" i="15" a="1"/>
  <c r="AT239" i="15" a="1"/>
  <c r="E241" i="15" a="1"/>
  <c r="U236" i="15" a="1"/>
  <c r="M232" i="15" a="1"/>
  <c r="CR237" i="15" a="1"/>
  <c r="X274" i="15" a="1"/>
  <c r="H234" i="15" a="1"/>
  <c r="AX256" i="15" a="1"/>
  <c r="BX234" i="15" a="1"/>
  <c r="T251" i="15" a="1"/>
  <c r="CI232" i="15" a="1"/>
  <c r="BN233" i="15" a="1"/>
  <c r="F244" i="15" a="1"/>
  <c r="AX245" i="15" a="1"/>
  <c r="AS266" i="15" a="1"/>
  <c r="CG240" i="15" a="1"/>
  <c r="I251" i="15" a="1"/>
  <c r="BC258" i="15" a="1"/>
  <c r="BJ241" i="15" a="1"/>
  <c r="CH270" i="15" a="1"/>
  <c r="CD263" i="15" a="1"/>
  <c r="BK249" i="15" a="1"/>
  <c r="L252" i="15" a="1"/>
  <c r="W238" i="15" a="1"/>
  <c r="BW240" i="15" a="1"/>
  <c r="CO238" i="15" a="1"/>
  <c r="E231" i="15" a="1"/>
  <c r="AG236" i="15" a="1"/>
  <c r="CD246" i="15" a="1"/>
  <c r="AC241" i="15" a="1"/>
  <c r="AK284" i="15" a="1"/>
  <c r="CC286" i="15" a="1"/>
  <c r="BE259" i="15" a="1"/>
  <c r="CE274" i="15" a="1"/>
  <c r="AY260" i="15" a="1"/>
  <c r="BL256" i="15" a="1"/>
  <c r="BM269" i="15" a="1"/>
  <c r="BF269" i="15" a="1"/>
  <c r="S261" i="15" a="1"/>
  <c r="U257" i="15" a="1"/>
  <c r="V254" i="15" a="1"/>
  <c r="AX266" i="15" a="1"/>
  <c r="BD262" i="15" a="1"/>
  <c r="BN254" i="15" a="1"/>
  <c r="Q248" i="15" a="1"/>
  <c r="BQ253" i="15" a="1"/>
  <c r="AF245" i="15" a="1"/>
  <c r="AD249" i="15" a="1"/>
  <c r="BT256" i="15" a="1"/>
  <c r="CN264" i="15" a="1"/>
  <c r="AM238" i="15" a="1"/>
  <c r="BQ245" i="15" a="1"/>
  <c r="CJ236" i="15" a="1"/>
  <c r="AZ240" i="15" a="1"/>
  <c r="BT245" i="15" a="1"/>
  <c r="AU271" i="15" a="1"/>
  <c r="CR247" i="15" a="1"/>
  <c r="G268" i="15" a="1"/>
  <c r="AR250" i="15" a="1"/>
  <c r="AF243" i="15" a="1"/>
  <c r="N241" i="15" a="1"/>
  <c r="AD262" i="15" a="1"/>
  <c r="N268" i="15" a="1"/>
  <c r="BV245" i="15" a="1"/>
  <c r="BF242" i="15" a="1"/>
  <c r="CB250" i="15" a="1"/>
  <c r="AJ245" i="15" a="1"/>
  <c r="L253" i="15" a="1"/>
  <c r="AC250" i="15" a="1"/>
  <c r="AD238" i="15" a="1"/>
  <c r="AL249" i="15" a="1"/>
  <c r="BV237" i="15" a="1"/>
  <c r="BS264" i="15" a="1"/>
  <c r="AD253" i="15" a="1"/>
  <c r="BL243" i="15" a="1"/>
  <c r="AE245" i="15" a="1"/>
  <c r="H263" i="15" a="1"/>
  <c r="CI235" i="15" a="1"/>
  <c r="AM254" i="15" a="1"/>
  <c r="CD244" i="15" a="1"/>
  <c r="BO263" i="15" a="1"/>
  <c r="BD251" i="15" a="1"/>
  <c r="BC245" i="15" a="1"/>
  <c r="AU231" i="15" a="1"/>
  <c r="O259" i="15" a="1"/>
  <c r="O246" i="15" a="1"/>
  <c r="AB247" i="15" a="1"/>
  <c r="AS243" i="15" a="1"/>
  <c r="O243" i="15" a="1"/>
  <c r="V268" i="15" a="1"/>
  <c r="BJ248" i="15" a="1"/>
  <c r="N247" i="15" a="1"/>
  <c r="BT237" i="15" a="1"/>
  <c r="CB235" i="15" a="1"/>
  <c r="CE279" i="15" a="1"/>
  <c r="CK269" i="15" a="1"/>
  <c r="BN252" i="15" a="1"/>
  <c r="CF250" i="15" a="1"/>
  <c r="CM273" i="15" a="1"/>
  <c r="BO249" i="15" a="1"/>
  <c r="AJ255" i="15" a="1"/>
  <c r="R254" i="15" a="1"/>
  <c r="BD248" i="15" a="1"/>
  <c r="BR253" i="15" a="1"/>
  <c r="BM244" i="15" a="1"/>
  <c r="AF239" i="15" a="1"/>
  <c r="AD244" i="15" a="1"/>
  <c r="AF233" i="15" a="1"/>
  <c r="R256" i="15" a="1"/>
  <c r="BU238" i="15" a="1"/>
  <c r="AF274" i="15" a="1"/>
  <c r="BB267" i="15" a="1"/>
  <c r="BF241" i="15" a="1"/>
  <c r="X258" i="15" a="1"/>
  <c r="BD232" i="15" a="1"/>
  <c r="CP240" i="15" a="1"/>
  <c r="Y246" i="15" a="1"/>
  <c r="I241" i="15" a="1"/>
  <c r="BK266" i="15" a="1"/>
  <c r="L245" i="15" a="1"/>
  <c r="BO238" i="15" a="1"/>
  <c r="BP239" i="15" a="1"/>
  <c r="J236" i="15" a="1"/>
  <c r="AD251" i="15" a="1"/>
  <c r="AI237" i="15" a="1"/>
  <c r="CC232" i="15" a="1"/>
  <c r="AY252" i="15" a="1"/>
  <c r="CR262" i="15" a="1"/>
  <c r="L280" i="15" a="1"/>
  <c r="CA237" i="15" a="1"/>
  <c r="CP233" i="15" a="1"/>
  <c r="BS243" i="15" a="1"/>
  <c r="BX204" i="15" a="1"/>
  <c r="CQ257" i="15" a="1"/>
  <c r="AK270" i="15" a="1"/>
  <c r="AL253" i="15" a="1"/>
  <c r="V239" i="15" a="1"/>
  <c r="BV243" i="15" a="1"/>
  <c r="BY235" i="15" a="1"/>
  <c r="CI254" i="15" a="1"/>
  <c r="BB237" i="15" a="1"/>
  <c r="CR236" i="15" a="1"/>
  <c r="M231" i="15" a="1"/>
  <c r="BU251" i="15" a="1"/>
  <c r="AE243" i="15" a="1"/>
  <c r="R236" i="15" a="1"/>
  <c r="AZ239" i="15" a="1"/>
  <c r="BW194" i="15" a="1"/>
  <c r="BX217" i="15" a="1"/>
  <c r="AA264" i="15" a="1"/>
  <c r="AT244" i="15" a="1"/>
  <c r="AT237" i="15" a="1"/>
  <c r="BG248" i="15" a="1"/>
  <c r="CM253" i="15" a="1"/>
  <c r="AB257" i="15" a="1"/>
  <c r="AT236" i="15" a="1"/>
  <c r="BJ232" i="15" a="1"/>
  <c r="AM263" i="15" a="1"/>
  <c r="AE250" i="15" a="1"/>
  <c r="AN235" i="15" a="1"/>
  <c r="Y273" i="15" a="1"/>
  <c r="BX236" i="15" a="1"/>
  <c r="BX233" i="15" a="1"/>
  <c r="BE236" i="15" a="1"/>
  <c r="V233" i="15" a="1"/>
  <c r="BY239" i="15" a="1"/>
  <c r="BL232" i="15" a="1"/>
  <c r="AJ233" i="15" a="1"/>
  <c r="AO250" i="15" a="1"/>
  <c r="BW190" i="15" a="1"/>
  <c r="CF249" i="15" a="1"/>
  <c r="F238" i="15" a="1"/>
  <c r="BU244" i="15" a="1"/>
  <c r="AW238" i="15" a="1"/>
  <c r="AA265" i="15" a="1"/>
  <c r="BO240" i="15" a="1"/>
  <c r="AR249" i="15" a="1"/>
  <c r="BM242" i="15" a="1"/>
  <c r="AQ242" i="15" a="1"/>
  <c r="K253" i="15" a="1"/>
  <c r="E250" i="15" a="1"/>
  <c r="BX197" i="15" a="1"/>
  <c r="BR246" i="15" a="1"/>
  <c r="N281" i="15" a="1"/>
  <c r="BX174" i="15" a="1"/>
  <c r="AE240" i="15" a="1"/>
  <c r="BX202" i="15" a="1"/>
  <c r="BY213" i="15" a="1"/>
  <c r="BY219" i="15" a="1"/>
  <c r="BY198" i="15" a="1"/>
  <c r="CN274" i="15" a="1"/>
  <c r="U256" i="15" a="1"/>
  <c r="AH241" i="15" a="1"/>
  <c r="BW261" i="15" a="1"/>
  <c r="AH246" i="15" a="1"/>
  <c r="CM237" i="15" a="1"/>
  <c r="U240" i="15" a="1"/>
  <c r="AG240" i="15" a="1"/>
  <c r="AM237" i="15" a="1"/>
  <c r="BC232" i="15" a="1"/>
  <c r="CF252" i="15" a="1"/>
  <c r="CF247" i="15" a="1"/>
  <c r="CI239" i="15" a="1"/>
  <c r="BW177" i="15" a="1"/>
  <c r="K251" i="15" a="1"/>
  <c r="BX210" i="15" a="1"/>
  <c r="CA255" i="15" a="1"/>
  <c r="P238" i="15" a="1"/>
  <c r="AV235" i="15" a="1"/>
  <c r="CA240" i="15" a="1"/>
  <c r="AC277" i="15" a="1"/>
  <c r="BD257" i="15" a="1"/>
  <c r="AN280" i="15" a="1"/>
  <c r="G254" i="15" a="1"/>
  <c r="CD266" i="15" a="1"/>
  <c r="BT243" i="15" a="1"/>
  <c r="AP252" i="15" a="1"/>
  <c r="BS261" i="15" a="1"/>
  <c r="N285" i="15" a="1"/>
  <c r="CH244" i="15" a="1"/>
  <c r="W243" i="15" a="1"/>
  <c r="BX235" i="15" a="1"/>
  <c r="BF257" i="15" a="1"/>
  <c r="CE265" i="15" a="1"/>
  <c r="CP255" i="15" a="1"/>
  <c r="BU259" i="15" a="1"/>
  <c r="CE267" i="15" a="1"/>
  <c r="AG241" i="15" a="1"/>
  <c r="CE239" i="15" a="1"/>
  <c r="AC245" i="15" a="1"/>
  <c r="BN236" i="15" a="1"/>
  <c r="O245" i="15" a="1"/>
  <c r="AY267" i="15" a="1"/>
  <c r="CG254" i="15" a="1"/>
  <c r="M249" i="15" a="1"/>
  <c r="CQ283" i="15" a="1"/>
  <c r="G242" i="15" a="1"/>
  <c r="BN248" i="15" a="1"/>
  <c r="AH249" i="15" a="1"/>
  <c r="BL257" i="15" a="1"/>
  <c r="AV231" i="15" a="1"/>
  <c r="BW212" i="15" a="1"/>
  <c r="J232" i="15" a="1"/>
  <c r="CO253" i="15" a="1"/>
  <c r="CJ246" i="15" a="1"/>
  <c r="BT241" i="15" a="1"/>
  <c r="CA254" i="15" a="1"/>
  <c r="AW243" i="15" a="1"/>
  <c r="BX223" i="15" a="1"/>
  <c r="CR255" i="15" a="1"/>
  <c r="BI233" i="15" a="1"/>
  <c r="Y235" i="15" a="1"/>
  <c r="K240" i="15" a="1"/>
  <c r="CL265" i="15" a="1"/>
  <c r="CR235" i="15" a="1"/>
  <c r="P246" i="15" a="1"/>
  <c r="AJ247" i="15" a="1"/>
  <c r="M244" i="15" a="1"/>
  <c r="W245" i="15" a="1"/>
  <c r="BL262" i="15" a="1"/>
  <c r="C255" i="15" a="1"/>
  <c r="AW234" i="15" a="1"/>
  <c r="AP253" i="15" a="1"/>
  <c r="BW220" i="15" a="1"/>
  <c r="BX187" i="15" a="1"/>
  <c r="BZ248" i="15" a="1"/>
  <c r="BT236" i="15" a="1"/>
  <c r="AY232" i="15" a="1"/>
  <c r="Z259" i="15" a="1"/>
  <c r="AN251" i="15" a="1"/>
  <c r="AN267" i="15" a="1"/>
  <c r="F237" i="15" a="1"/>
  <c r="S231" i="15" a="1"/>
  <c r="F283" i="15" a="1"/>
  <c r="BE244" i="15" a="1"/>
  <c r="V243" i="15" a="1"/>
  <c r="CM232" i="15" a="1"/>
  <c r="AT232" i="15" a="1"/>
  <c r="O237" i="15" a="1"/>
  <c r="C237" i="15" a="1"/>
  <c r="AE238" i="15" a="1"/>
  <c r="CC235" i="15" a="1"/>
  <c r="CO234" i="15" a="1"/>
  <c r="CN247" i="15" a="1"/>
  <c r="I257" i="15" a="1"/>
  <c r="BA238" i="15" a="1"/>
  <c r="I244" i="15" a="1"/>
  <c r="G246" i="15" a="1"/>
  <c r="CK246" i="15" a="1"/>
  <c r="CJ254" i="15" a="1"/>
  <c r="BB241" i="15" a="1"/>
  <c r="O260" i="15" a="1"/>
  <c r="CD234" i="15" a="1"/>
  <c r="BP240" i="15" a="1"/>
  <c r="AG243" i="15" a="1"/>
  <c r="CN232" i="15" a="1"/>
  <c r="AZ246" i="15" a="1"/>
  <c r="R235" i="15" a="1"/>
  <c r="AI232" i="15" a="1"/>
  <c r="BX178" i="15" a="1"/>
  <c r="BL252" i="15" a="1"/>
  <c r="I246" i="15" a="1"/>
  <c r="AF266" i="15" a="1"/>
  <c r="BY197" i="15" a="1"/>
  <c r="BY192" i="15" a="1"/>
  <c r="BY206" i="15" a="1"/>
  <c r="BY217" i="15" a="1"/>
  <c r="BI257" i="15" a="1"/>
  <c r="AZ256" i="15" a="1"/>
  <c r="AQ253" i="15" a="1"/>
  <c r="CD239" i="15" a="1"/>
  <c r="AU275" i="15" a="1"/>
  <c r="R265" i="15" a="1"/>
  <c r="BQ259" i="15" a="1"/>
  <c r="CO252" i="15" a="1"/>
  <c r="AR251" i="15" a="1"/>
  <c r="CI246" i="15" a="1"/>
  <c r="BG269" i="15" a="1"/>
  <c r="AG250" i="15" a="1"/>
  <c r="AM231" i="15" a="1"/>
  <c r="CL244" i="15" a="1"/>
  <c r="M287" i="15" a="1"/>
  <c r="S278" i="15" a="1"/>
  <c r="AZ267" i="15" a="1"/>
  <c r="CF270" i="15" a="1"/>
  <c r="X254" i="15" a="1"/>
  <c r="BR232" i="15" a="1"/>
  <c r="AF269" i="15" a="1"/>
  <c r="AL254" i="15" a="1"/>
  <c r="CM268" i="15" a="1"/>
  <c r="Y278" i="15" a="1"/>
  <c r="CP241" i="15" a="1"/>
  <c r="Z235" i="15" a="1"/>
  <c r="BJ267" i="15" a="1"/>
  <c r="AY244" i="15" a="1"/>
  <c r="BR241" i="15" a="1"/>
  <c r="AX275" i="15" a="1"/>
  <c r="BV291" i="15" a="1"/>
  <c r="BI254" i="15" a="1"/>
  <c r="AU256" i="15" a="1"/>
  <c r="BQ257" i="15" a="1"/>
  <c r="BF264" i="15" a="1"/>
  <c r="BC237" i="15" a="1"/>
  <c r="H284" i="15" a="1"/>
  <c r="CE236" i="15" a="1"/>
  <c r="CR254" i="15" a="1"/>
  <c r="AX260" i="15" a="1"/>
  <c r="BI244" i="15" a="1"/>
  <c r="AI231" i="15" a="1"/>
  <c r="K236" i="15" a="1"/>
  <c r="CM235" i="15" a="1"/>
  <c r="AN263" i="15" a="1"/>
  <c r="V232" i="15" a="1"/>
  <c r="BI246" i="15" a="1"/>
  <c r="CA260" i="15" a="1"/>
  <c r="BZ247" i="15" a="1"/>
  <c r="BH245" i="15" a="1"/>
  <c r="CH232" i="15" a="1"/>
  <c r="I250" i="15" a="1"/>
  <c r="V240" i="15" a="1"/>
  <c r="BX214" i="15" a="1"/>
  <c r="AZ231" i="15" a="1"/>
  <c r="BN261" i="15" a="1"/>
  <c r="BS231" i="15" a="1"/>
  <c r="BW197" i="15" a="1"/>
  <c r="AC233" i="15" a="1"/>
  <c r="AF240" i="15" a="1"/>
  <c r="AN242" i="15" a="1"/>
  <c r="AU233" i="15" a="1"/>
  <c r="BS242" i="15" a="1"/>
  <c r="CK232" i="15" a="1"/>
  <c r="AR240" i="15" a="1"/>
  <c r="AY247" i="15" a="1"/>
  <c r="AN240" i="15" a="1"/>
  <c r="BW192" i="15" a="1"/>
  <c r="BX200" i="15" a="1"/>
  <c r="BU236" i="15" a="1"/>
  <c r="N252" i="15" a="1"/>
  <c r="CP249" i="15" a="1"/>
  <c r="CG242" i="15" a="1"/>
  <c r="AL231" i="15" a="1"/>
  <c r="BW202" i="15" a="1"/>
  <c r="AS242" i="15" a="1"/>
  <c r="CJ243" i="15" a="1"/>
  <c r="CA232" i="15" a="1"/>
  <c r="AG255" i="15" a="1"/>
  <c r="AZ245" i="15" a="1"/>
  <c r="M234" i="15" a="1"/>
  <c r="I243" i="15" a="1"/>
  <c r="AA239" i="15" a="1"/>
  <c r="BK232" i="15" a="1"/>
  <c r="BJ233" i="15" a="1"/>
  <c r="CD240" i="15" a="1"/>
  <c r="BW233" i="15" a="1"/>
  <c r="G239" i="15" a="1"/>
  <c r="AI239" i="15" a="1"/>
  <c r="AG242" i="15" a="1"/>
  <c r="P253" i="15" a="1"/>
  <c r="CA251" i="15" a="1"/>
  <c r="BX246" i="15" a="1"/>
  <c r="H245" i="15" a="1"/>
  <c r="BD246" i="15" a="1"/>
  <c r="I260" i="15" a="1"/>
  <c r="AU272" i="15" a="1"/>
  <c r="BE254" i="15" a="1"/>
  <c r="BJ249" i="15" a="1"/>
  <c r="CK257" i="15" a="1"/>
  <c r="BG252" i="15" a="1"/>
  <c r="K233" i="15" a="1"/>
  <c r="V241" i="15" a="1"/>
  <c r="AQ255" i="15" a="1"/>
  <c r="Y250" i="15" a="1"/>
  <c r="AL243" i="15" a="1"/>
  <c r="AI242" i="15" a="1"/>
  <c r="CA273" i="15" a="1"/>
  <c r="U243" i="15" a="1"/>
  <c r="X239" i="15" a="1"/>
  <c r="AS233" i="15" a="1"/>
  <c r="CG289" i="15" a="1"/>
  <c r="CH249" i="15" a="1"/>
  <c r="N243" i="15" a="1"/>
  <c r="BM237" i="15" a="1"/>
  <c r="BR255" i="15" a="1"/>
  <c r="BT232" i="15" a="1"/>
  <c r="AJ238" i="15" a="1"/>
  <c r="CA242" i="15" a="1"/>
  <c r="BP246" i="15" a="1"/>
  <c r="AD236" i="15" a="1"/>
  <c r="CF234" i="15" a="1"/>
  <c r="AB237" i="15" a="1"/>
  <c r="BW169" i="15" a="1"/>
  <c r="AE281" i="15" a="1"/>
  <c r="CF264" i="15" a="1"/>
  <c r="BQ275" i="15" a="1"/>
  <c r="CG263" i="15" a="1"/>
  <c r="AS280" i="15" a="1"/>
  <c r="AF270" i="15" a="1"/>
  <c r="BG276" i="15" a="1"/>
  <c r="CF267" i="15" a="1"/>
  <c r="BD291" i="15" a="1"/>
  <c r="BV281" i="15" a="1"/>
  <c r="CB272" i="15" a="1"/>
  <c r="AP256" i="15" a="1"/>
  <c r="CO277" i="15" a="1"/>
  <c r="AH252" i="15" a="1"/>
  <c r="BG247" i="15" a="1"/>
  <c r="BF251" i="15" a="1"/>
  <c r="AK266" i="15" a="1"/>
  <c r="BV231" i="15" a="1"/>
  <c r="AB260" i="15" a="1"/>
  <c r="AC254" i="15" a="1"/>
  <c r="BC250" i="15" a="1"/>
  <c r="BY245" i="15" a="1"/>
  <c r="AQ250" i="15" a="1"/>
  <c r="AM233" i="15" a="1"/>
  <c r="AN268" i="15" a="1"/>
  <c r="BA266" i="15" a="1"/>
  <c r="BZ239" i="15" a="1"/>
  <c r="H248" i="15" a="1"/>
  <c r="W237" i="15" a="1"/>
  <c r="AF232" i="15" a="1"/>
  <c r="BD260" i="15" a="1"/>
  <c r="AE268" i="15" a="1"/>
  <c r="G250" i="15" a="1"/>
  <c r="AM268" i="15" a="1"/>
  <c r="CL256" i="15" a="1"/>
  <c r="BR263" i="15" a="1"/>
  <c r="BX254" i="15" a="1"/>
  <c r="AC255" i="15" a="1"/>
  <c r="BB253" i="15" a="1"/>
  <c r="AQ237" i="15" a="1"/>
  <c r="BH250" i="15" a="1"/>
  <c r="H240" i="15" a="1"/>
  <c r="AC248" i="15" a="1"/>
  <c r="W249" i="15" a="1"/>
  <c r="W234" i="15" a="1"/>
  <c r="AF237" i="15" a="1"/>
  <c r="Y240" i="15" a="1"/>
  <c r="Z231" i="15" a="1"/>
  <c r="M274" i="15" a="1"/>
  <c r="BC251" i="15" a="1"/>
  <c r="BK246" i="15" a="1"/>
  <c r="BQ256" i="15" a="1"/>
  <c r="BE231" i="15" a="1"/>
  <c r="L236" i="15" a="1"/>
  <c r="I275" i="15" a="1"/>
  <c r="BR233" i="15" a="1"/>
  <c r="BJ237" i="15" a="1"/>
  <c r="BL242" i="15" a="1"/>
  <c r="E232" i="15" a="1"/>
  <c r="L235" i="15" a="1"/>
  <c r="CI256" i="15" a="1"/>
  <c r="X245" i="15" a="1"/>
  <c r="BT263" i="15" a="1"/>
  <c r="BF291" i="15" a="1"/>
  <c r="AV270" i="15" a="1"/>
  <c r="T270" i="15" a="1"/>
  <c r="CE289" i="15" a="1"/>
  <c r="AF257" i="15" a="1"/>
  <c r="CR252" i="15" a="1"/>
  <c r="BX256" i="15" a="1"/>
  <c r="BM263" i="15" a="1"/>
  <c r="AR257" i="15" a="1"/>
  <c r="CO243" i="15" a="1"/>
  <c r="BV239" i="15" a="1"/>
  <c r="W231" i="15" a="1"/>
  <c r="CE234" i="15" a="1"/>
  <c r="N251" i="15" a="1"/>
  <c r="AR236" i="15" a="1"/>
  <c r="AR231" i="15" a="1"/>
  <c r="AX233" i="15" a="1"/>
  <c r="BV249" i="15" a="1"/>
  <c r="U234" i="15" a="1"/>
  <c r="AB253" i="15" a="1"/>
  <c r="Q231" i="15" a="1"/>
  <c r="J243" i="15" a="1"/>
  <c r="BQ240" i="15" a="1"/>
  <c r="BG231" i="15" a="1"/>
  <c r="BR239" i="15" a="1"/>
  <c r="BY251" i="15" a="1"/>
  <c r="BT231" i="15" a="1"/>
  <c r="C233" i="15" a="1"/>
  <c r="CL260" i="15" a="1"/>
  <c r="AX237" i="15" a="1"/>
  <c r="AR263" i="15" a="1"/>
  <c r="AB279" i="15" a="1"/>
  <c r="BS267" i="15" a="1"/>
  <c r="BV235" i="15" a="1"/>
  <c r="AP246" i="15" a="1"/>
  <c r="E257" i="15" a="1"/>
  <c r="W242" i="15" a="1"/>
  <c r="BC240" i="15" a="1"/>
  <c r="AO242" i="15" a="1"/>
  <c r="BX193" i="15" a="1"/>
  <c r="P241" i="15" a="1"/>
  <c r="CC234" i="15" a="1"/>
  <c r="BT239" i="15" a="1"/>
  <c r="BH237" i="15" a="1"/>
  <c r="CF241" i="15" a="1"/>
  <c r="BZ246" i="15" a="1"/>
  <c r="C247" i="15" a="1"/>
  <c r="AJ267" i="15" a="1"/>
  <c r="CE232" i="15" a="1"/>
  <c r="CJ259" i="15" a="1"/>
  <c r="K258" i="15" a="1"/>
  <c r="BL254" i="15" a="1"/>
  <c r="J235" i="15" a="1"/>
  <c r="CG239" i="15" a="1"/>
  <c r="CL234" i="15" a="1"/>
  <c r="BX186" i="15" a="1"/>
  <c r="AL246" i="15" a="1"/>
  <c r="BW235" i="15" a="1"/>
  <c r="AW253" i="15" a="1"/>
  <c r="BF239" i="15" a="1"/>
  <c r="BW198" i="15" a="1"/>
  <c r="BV246" i="15" a="1"/>
  <c r="AM253" i="15" a="1"/>
  <c r="Y241" i="15" a="1"/>
  <c r="AT259" i="15" a="1"/>
  <c r="CB242" i="15" a="1"/>
  <c r="AX246" i="15" a="1"/>
  <c r="BF234" i="15" a="1"/>
  <c r="CL233" i="15" a="1"/>
  <c r="BV232" i="15" a="1"/>
  <c r="CL232" i="15" a="1"/>
  <c r="CI236" i="15" a="1"/>
  <c r="W247" i="15" a="1"/>
  <c r="AK241" i="15" a="1"/>
  <c r="CE237" i="15" a="1"/>
  <c r="AT231" i="15" a="1"/>
  <c r="Z252" i="15" a="1"/>
  <c r="AH248" i="15" a="1"/>
  <c r="BE234" i="15" a="1"/>
  <c r="BW266" i="15" a="1"/>
  <c r="BC242" i="15" a="1"/>
  <c r="CH234" i="15" a="1"/>
  <c r="S239" i="15" a="1"/>
  <c r="CA236" i="15" a="1"/>
  <c r="BE250" i="15" a="1"/>
  <c r="BG249" i="15" a="1"/>
  <c r="BW165" i="15" a="1"/>
  <c r="BR259" i="15" a="1"/>
  <c r="BX173" i="15" a="1"/>
  <c r="BW171" i="15" a="1"/>
  <c r="AX248" i="15" a="1"/>
  <c r="BX201" i="15" a="1"/>
  <c r="BW214" i="15" a="1"/>
  <c r="BY165" i="15" a="1"/>
  <c r="BY178" i="15" a="1"/>
  <c r="BY203" i="15" a="1"/>
  <c r="BY184" i="15" a="1"/>
  <c r="CH238" i="15" a="1"/>
  <c r="CR232" i="15" a="1"/>
  <c r="CK238" i="15" a="1"/>
  <c r="R231" i="15" a="1"/>
  <c r="L247" i="15" a="1"/>
  <c r="BT275" i="15" a="1"/>
  <c r="CC243" i="15" a="1"/>
  <c r="AM273" i="15" a="1"/>
  <c r="BL244" i="15" a="1"/>
  <c r="BK236" i="15" a="1"/>
  <c r="CF237" i="15" a="1"/>
  <c r="Y249" i="15" a="1"/>
  <c r="CL264" i="15" a="1"/>
  <c r="K238" i="15" a="1"/>
  <c r="K234" i="15" a="1"/>
  <c r="Z250" i="15" a="1"/>
  <c r="BM241" i="15" a="1"/>
  <c r="BB272" i="15" a="1"/>
  <c r="BL239" i="15" a="1"/>
  <c r="BW276" i="15" a="1"/>
  <c r="BH280" i="15" a="1"/>
  <c r="AE277" i="15" a="1"/>
  <c r="AJ264" i="15" a="1"/>
  <c r="AO264" i="15" a="1"/>
  <c r="CL243" i="15" a="1"/>
  <c r="T256" i="15" a="1"/>
  <c r="Q254" i="15" a="1"/>
  <c r="J262" i="15" a="1"/>
  <c r="BH243" i="15" a="1"/>
  <c r="AQ236" i="15" a="1"/>
  <c r="AE265" i="15" a="1"/>
  <c r="AD270" i="15" a="1"/>
  <c r="Z271" i="15" a="1"/>
  <c r="BS239" i="15" a="1"/>
  <c r="BQ255" i="15" a="1"/>
  <c r="AM264" i="15" a="1"/>
  <c r="CI244" i="15" a="1"/>
  <c r="CB249" i="15" a="1"/>
  <c r="BE251" i="15" a="1"/>
  <c r="CQ259" i="15" a="1"/>
  <c r="W244" i="15" a="1"/>
  <c r="AR237" i="15" a="1"/>
  <c r="BK247" i="15" a="1"/>
  <c r="CG264" i="15" a="1"/>
  <c r="BS250" i="15" a="1"/>
  <c r="CO249" i="15" a="1"/>
  <c r="BE243" i="15" a="1"/>
  <c r="Q246" i="15" a="1"/>
  <c r="W240" i="15" a="1"/>
  <c r="BR268" i="15" a="1"/>
  <c r="AW245" i="15" a="1"/>
  <c r="P273" i="15" a="1"/>
  <c r="CA243" i="15" a="1"/>
  <c r="V250" i="15" a="1"/>
  <c r="BQ252" i="15" a="1"/>
  <c r="X231" i="15" a="1"/>
  <c r="O232" i="15" a="1"/>
  <c r="BW185" i="15" a="1"/>
  <c r="BX206" i="15" a="1"/>
  <c r="BW257" i="15" a="1"/>
  <c r="AY238" i="15" a="1"/>
  <c r="BV242" i="15" a="1"/>
  <c r="AE241" i="15" a="1"/>
  <c r="Y253" i="15" a="1"/>
  <c r="AM249" i="15" a="1"/>
  <c r="BF252" i="15" a="1"/>
  <c r="O233" i="15" a="1"/>
  <c r="L237" i="15" a="1"/>
  <c r="X250" i="15" a="1"/>
  <c r="BR264" i="15" a="1"/>
  <c r="X241" i="15" a="1"/>
  <c r="AU251" i="15" a="1"/>
  <c r="BW205" i="15" a="1"/>
  <c r="BW193" i="15" a="1"/>
  <c r="AA251" i="15" a="1"/>
  <c r="AP242" i="15" a="1"/>
  <c r="S249" i="15" a="1"/>
  <c r="AV242" i="15" a="1"/>
  <c r="CP258" i="15" a="1"/>
  <c r="BW200" i="15" a="1"/>
  <c r="AK234" i="15" a="1"/>
  <c r="BU240" i="15" a="1"/>
  <c r="AY233" i="15" a="1"/>
  <c r="BP242" i="15" a="1"/>
  <c r="AQ254" i="15" a="1"/>
  <c r="BA243" i="15" a="1"/>
  <c r="BC241" i="15" a="1"/>
  <c r="AR246" i="15" a="1"/>
  <c r="CN236" i="15" a="1"/>
  <c r="O247" i="15" a="1"/>
  <c r="AW241" i="15" a="1"/>
  <c r="BD263" i="15" a="1"/>
  <c r="AV247" i="15" a="1"/>
  <c r="CB232" i="15" a="1"/>
  <c r="CI233" i="15" a="1"/>
  <c r="BW201" i="15" a="1"/>
  <c r="T238" i="15" a="1"/>
  <c r="BI245" i="15" a="1"/>
  <c r="K231" i="15" a="1"/>
  <c r="BY231" i="15" a="1"/>
  <c r="AW254" i="15" a="1"/>
  <c r="BL235" i="15" a="1"/>
  <c r="BB252" i="15" a="1"/>
  <c r="AN239" i="15" a="1"/>
  <c r="AA286" i="15" a="1"/>
  <c r="BT246" i="15" a="1"/>
  <c r="O251" i="15" a="1"/>
  <c r="P235" i="15" a="1"/>
  <c r="BG241" i="15" a="1"/>
  <c r="AH234" i="15" a="1"/>
  <c r="U233" i="15" a="1"/>
  <c r="CQ247" i="15" a="1"/>
  <c r="AN243" i="15" a="1"/>
  <c r="T236" i="15" a="1"/>
  <c r="BY248" i="15" a="1"/>
  <c r="Y254" i="15" a="1"/>
  <c r="G240" i="15" a="1"/>
  <c r="CM257" i="15" a="1"/>
  <c r="AZ243" i="15" a="1"/>
  <c r="AF273" i="15" a="1"/>
  <c r="F253" i="15" a="1"/>
  <c r="AO248" i="15" a="1"/>
  <c r="AP249" i="15" a="1"/>
  <c r="BI237" i="15" a="1"/>
  <c r="CP236" i="15" a="1"/>
  <c r="CC245" i="15" a="1"/>
  <c r="BW187" i="15" a="1"/>
  <c r="CL237" i="15" a="1"/>
  <c r="W251" i="15" a="1"/>
  <c r="BG284" i="15" a="1"/>
  <c r="Y259" i="15" a="1"/>
  <c r="CE273" i="15" a="1"/>
  <c r="F278" i="15" a="1"/>
  <c r="AO271" i="15" a="1"/>
  <c r="CH251" i="15" a="1"/>
  <c r="CD269" i="15" a="1"/>
  <c r="BP275" i="15" a="1"/>
  <c r="CN263" i="15" a="1"/>
  <c r="BH290" i="15" a="1"/>
  <c r="BE257" i="15" a="1"/>
  <c r="CH261" i="15" a="1"/>
  <c r="CR274" i="15" a="1"/>
  <c r="BZ285" i="15" a="1"/>
  <c r="X253" i="15" a="1"/>
  <c r="BH268" i="15" a="1"/>
  <c r="CK240" i="15" a="1"/>
  <c r="CK252" i="15" a="1"/>
  <c r="AA236" i="15" a="1"/>
  <c r="CA256" i="15" a="1"/>
  <c r="Q259" i="15" a="1"/>
  <c r="BF254" i="15" a="1"/>
  <c r="BJ252" i="15" a="1"/>
  <c r="AQ251" i="15" a="1"/>
  <c r="AM257" i="15" a="1"/>
  <c r="CG253" i="15" a="1"/>
  <c r="AP259" i="15" a="1"/>
  <c r="BM282" i="15" a="1"/>
  <c r="AZ257" i="15" a="1"/>
  <c r="BD269" i="15" a="1"/>
  <c r="CN235" i="15" a="1"/>
  <c r="AP286" i="15" a="1"/>
  <c r="BG278" i="15" a="1"/>
  <c r="BO246" i="15" a="1"/>
  <c r="CH268" i="15" a="1"/>
  <c r="AS263" i="15" a="1"/>
  <c r="BH254" i="15" a="1"/>
  <c r="AL252" i="15" a="1"/>
  <c r="F246" i="15" a="1"/>
  <c r="AN266" i="15" a="1"/>
  <c r="CI268" i="15" a="1"/>
  <c r="AU241" i="15" a="1"/>
  <c r="H277" i="15" a="1"/>
  <c r="M252" i="15" a="1"/>
  <c r="C236" i="15" a="1"/>
  <c r="BA234" i="15" a="1"/>
  <c r="AI238" i="15" a="1"/>
  <c r="AY243" i="15" a="1"/>
  <c r="AV241" i="15" a="1"/>
  <c r="CD276" i="15" a="1"/>
  <c r="BS252" i="15" a="1"/>
  <c r="CI261" i="15" a="1"/>
  <c r="I234" i="15" a="1"/>
  <c r="AC243" i="15" a="1"/>
  <c r="AQ247" i="15" a="1"/>
  <c r="J265" i="15" a="1"/>
  <c r="BL240" i="15" a="1"/>
  <c r="AC235" i="15" a="1"/>
  <c r="BW238" i="15" a="1"/>
  <c r="CB255" i="15" a="1"/>
  <c r="CO232" i="15" a="1"/>
  <c r="CP251" i="15" a="1"/>
  <c r="BB250" i="15" a="1"/>
  <c r="AD242" i="15" a="1"/>
  <c r="CJ273" i="15" a="1"/>
  <c r="L265" i="15" a="1"/>
  <c r="AQ267" i="15" a="1"/>
  <c r="BG271" i="15" a="1"/>
  <c r="BP253" i="15" a="1"/>
  <c r="AS249" i="15" a="1"/>
  <c r="AN258" i="15" a="1"/>
  <c r="AM243" i="15" a="1"/>
  <c r="S252" i="15" a="1"/>
  <c r="CC244" i="15" a="1"/>
  <c r="CH235" i="15" a="1"/>
  <c r="AL245" i="15" a="1"/>
  <c r="AM251" i="15" a="1"/>
  <c r="V236" i="15" a="1"/>
  <c r="CN244" i="15" a="1"/>
  <c r="BE246" i="15" a="1"/>
  <c r="Q255" i="15" a="1"/>
  <c r="AQ238" i="15" a="1"/>
  <c r="CE263" i="15" a="1"/>
  <c r="BY261" i="15" a="1"/>
  <c r="AZ235" i="15" a="1"/>
  <c r="BC272" i="15" a="1"/>
  <c r="BM246" i="15" a="1"/>
  <c r="CH239" i="15" a="1"/>
  <c r="O273" i="15" a="1"/>
  <c r="AR234" i="15" a="1"/>
  <c r="BB249" i="15" a="1"/>
  <c r="CO250" i="15" a="1"/>
  <c r="AV234" i="15" a="1"/>
  <c r="BZ244" i="15" a="1"/>
  <c r="Q238" i="15" a="1"/>
  <c r="K242" i="15" a="1"/>
  <c r="CP247" i="15" a="1"/>
  <c r="BS233" i="15" a="1"/>
  <c r="Y251" i="15" a="1"/>
  <c r="Q235" i="15" a="1"/>
  <c r="BW241" i="15" a="1"/>
  <c r="H236" i="15" a="1"/>
  <c r="BD250" i="15" a="1"/>
  <c r="BX199" i="15" a="1"/>
  <c r="BE237" i="15" a="1"/>
  <c r="CB258" i="15" a="1"/>
  <c r="U254" i="15" a="1"/>
  <c r="BA259" i="15" a="1"/>
  <c r="BR238" i="15" a="1"/>
  <c r="BP236" i="15" a="1"/>
  <c r="BA241" i="15" a="1"/>
  <c r="X235" i="15" a="1"/>
  <c r="AC261" i="15" a="1"/>
  <c r="AG231" i="15" a="1"/>
  <c r="BF246" i="15" a="1"/>
  <c r="BG237" i="15" a="1"/>
  <c r="CH248" i="15" a="1"/>
  <c r="CA233" i="15" a="1"/>
  <c r="BX224" i="15" a="1"/>
  <c r="BL236" i="15" a="1"/>
  <c r="BS241" i="15" a="1"/>
  <c r="BW242" i="15" a="1"/>
  <c r="CQ239" i="15" a="1"/>
  <c r="V237" i="15" a="1"/>
  <c r="Z263" i="15" a="1"/>
  <c r="BS245" i="15" a="1"/>
  <c r="BO234" i="15" a="1"/>
  <c r="AL258" i="15" a="1"/>
  <c r="BY236" i="15" a="1"/>
  <c r="AW247" i="15" a="1"/>
  <c r="BH247" i="15" a="1"/>
  <c r="AG233" i="15" a="1"/>
  <c r="AL239" i="15" a="1"/>
  <c r="BW211" i="15" a="1"/>
  <c r="BJ243" i="15" a="1"/>
  <c r="CN248" i="15" a="1"/>
  <c r="BZ252" i="15" a="1"/>
  <c r="CA238" i="15" a="1"/>
  <c r="C253" i="15" a="1"/>
  <c r="AP241" i="15" a="1"/>
  <c r="CQ279" i="15" a="1"/>
  <c r="CC238" i="15" a="1"/>
  <c r="BQ241" i="15" a="1"/>
  <c r="BI261" i="15" a="1"/>
  <c r="AU266" i="15" a="1"/>
  <c r="E288" i="15" a="1"/>
  <c r="CB240" i="15" a="1"/>
  <c r="BY242" i="15" a="1"/>
  <c r="BK238" i="15" a="1"/>
  <c r="BW207" i="15" a="1"/>
  <c r="CI247" i="15" a="1"/>
  <c r="CB233" i="15" a="1"/>
  <c r="AB239" i="15" a="1"/>
  <c r="BX207" i="15" a="1"/>
  <c r="AO239" i="15" a="1"/>
  <c r="BX169" i="15" a="1"/>
  <c r="BW184" i="15" a="1"/>
  <c r="BY183" i="15" a="1"/>
  <c r="BY199" i="15" a="1"/>
  <c r="BY214" i="15" a="1"/>
  <c r="BY185" i="15" a="1"/>
  <c r="AG282" i="15" a="1"/>
  <c r="M271" i="15" a="1"/>
  <c r="AA254" i="15" a="1"/>
  <c r="BX248" i="15" a="1"/>
  <c r="BM249" i="15" a="1"/>
  <c r="BL261" i="15" a="1"/>
  <c r="BS235" i="15" a="1"/>
  <c r="AV259" i="15" a="1"/>
  <c r="CG233" i="15" a="1"/>
  <c r="H244" i="15" a="1"/>
  <c r="M248" i="15" a="1"/>
  <c r="R240" i="15" a="1"/>
  <c r="BS263" i="15" a="1"/>
  <c r="AI234" i="15" a="1"/>
  <c r="W246" i="15" a="1"/>
  <c r="CC271" i="15" a="1"/>
  <c r="E244" i="15" a="1"/>
  <c r="AU276" i="15" a="1"/>
  <c r="AZ248" i="15" a="1"/>
  <c r="CR289" i="15" a="1"/>
  <c r="CI257" i="15" a="1"/>
  <c r="BQ267" i="15" a="1"/>
  <c r="CM269" i="15" a="1"/>
  <c r="Y233" i="15" a="1"/>
  <c r="AB258" i="15" a="1"/>
  <c r="I290" i="15" a="1"/>
  <c r="U242" i="15" a="1"/>
  <c r="CO274" i="15" a="1"/>
  <c r="BB235" i="15" a="1"/>
  <c r="U238" i="15" a="1"/>
  <c r="BW166" i="15" a="1"/>
  <c r="BX252" i="15" a="1"/>
  <c r="CL238" i="15" a="1"/>
  <c r="CO258" i="15" a="1"/>
  <c r="W233" i="15" a="1"/>
  <c r="CM248" i="15" a="1"/>
  <c r="G248" i="15" a="1"/>
  <c r="BQ237" i="15" a="1"/>
  <c r="T252" i="15" a="1"/>
  <c r="AV249" i="15" a="1"/>
  <c r="R237" i="15" a="1"/>
  <c r="CO244" i="15" a="1"/>
  <c r="N235" i="15" a="1"/>
  <c r="BW254" i="15" a="1"/>
  <c r="AX235" i="15" a="1"/>
  <c r="AI260" i="15" a="1"/>
  <c r="BG259" i="15" a="1"/>
  <c r="Z236" i="15" a="1"/>
  <c r="CE248" i="15" a="1"/>
  <c r="R249" i="15" a="1"/>
  <c r="BH231" i="15" a="1"/>
  <c r="K269" i="15" a="1"/>
  <c r="AY265" i="15" a="1"/>
  <c r="N238" i="15" a="1"/>
  <c r="BN266" i="15" a="1"/>
  <c r="BG251" i="15" a="1"/>
  <c r="CR233" i="15" a="1"/>
  <c r="BL237" i="15" a="1"/>
  <c r="BX213" i="15" a="1"/>
  <c r="BR236" i="15" a="1"/>
  <c r="G261" i="15" a="1"/>
  <c r="X238" i="15" a="1"/>
  <c r="K270" i="15" a="1"/>
  <c r="AA247" i="15" a="1"/>
  <c r="BJ242" i="15" a="1"/>
  <c r="G231" i="15" a="1"/>
  <c r="CQ252" i="15" a="1"/>
  <c r="BX244" i="15" a="1"/>
  <c r="CQ233" i="15" a="1"/>
  <c r="BW173" i="15" a="1"/>
  <c r="AD233" i="15" a="1"/>
  <c r="BG236" i="15" a="1"/>
  <c r="BX239" i="15" a="1"/>
  <c r="BX180" i="15" a="1"/>
  <c r="BD272" i="15" a="1"/>
  <c r="BM252" i="15" a="1"/>
  <c r="E255" i="15" a="1"/>
  <c r="F233" i="15" a="1"/>
  <c r="BM259" i="15" a="1"/>
  <c r="AH266" i="15" a="1"/>
  <c r="CM238" i="15" a="1"/>
  <c r="AL237" i="15" a="1"/>
  <c r="BP235" i="15" a="1"/>
  <c r="BC267" i="15" a="1"/>
  <c r="AC231" i="15" a="1"/>
  <c r="P237" i="15" a="1"/>
  <c r="L239" i="15" a="1"/>
  <c r="AO262" i="15" a="1"/>
  <c r="F234" i="15" a="1"/>
  <c r="AN250" i="15" a="1"/>
  <c r="CR238" i="15" a="1"/>
  <c r="AO260" i="15" a="1"/>
  <c r="BO248" i="15" a="1"/>
  <c r="CM242" i="15" a="1"/>
  <c r="H232" i="15" a="1"/>
  <c r="AA245" i="15" a="1"/>
  <c r="BE233" i="15" a="1"/>
  <c r="BW251" i="15" a="1"/>
  <c r="AS261" i="15" a="1"/>
  <c r="L246" i="15" a="1"/>
  <c r="CG243" i="15" a="1"/>
  <c r="BK250" i="15" a="1"/>
  <c r="BY266" i="15" a="1"/>
  <c r="AU235" i="15" a="1"/>
  <c r="BW176" i="15" a="1"/>
  <c r="T249" i="15" a="1"/>
  <c r="BW189" i="15" a="1"/>
  <c r="BX215" i="15" a="1"/>
  <c r="P243" i="15" a="1"/>
  <c r="CH250" i="15" a="1"/>
  <c r="BX189" i="15" a="1"/>
  <c r="R243" i="15" a="1"/>
  <c r="BZ231" i="15" a="1"/>
  <c r="BY188" i="15" a="1"/>
  <c r="BY201" i="15" a="1"/>
  <c r="BY211" i="15" a="1"/>
  <c r="AY291" i="15" a="1"/>
  <c r="CI264" i="15" a="1"/>
  <c r="AL248" i="15" a="1"/>
  <c r="J253" i="15" a="1"/>
  <c r="AK256" i="15" a="1"/>
  <c r="BJ244" i="15" a="1"/>
  <c r="V238" i="15" a="1"/>
  <c r="BK242" i="15" a="1"/>
  <c r="BX255" i="15" a="1"/>
  <c r="BS234" i="15" a="1"/>
  <c r="CK255" i="15" a="1"/>
  <c r="Z262" i="15" a="1"/>
  <c r="BG243" i="15" a="1"/>
  <c r="AO231" i="15" a="1"/>
  <c r="CM252" i="15" a="1"/>
  <c r="AK275" i="15" a="1"/>
  <c r="AT264" i="15" a="1"/>
  <c r="BF259" i="15" a="1"/>
  <c r="AB264" i="15" a="1"/>
  <c r="AI253" i="15" a="1"/>
  <c r="CA245" i="15" a="1"/>
  <c r="CL251" i="15" a="1"/>
  <c r="F231" i="15" a="1"/>
  <c r="AF252" i="15" a="1"/>
  <c r="CJ258" i="15" a="1"/>
  <c r="AI247" i="15" a="1"/>
  <c r="Y231" i="15" a="1"/>
  <c r="S247" i="15" a="1"/>
  <c r="AR266" i="15" a="1"/>
  <c r="V234" i="15" a="1"/>
  <c r="CC241" i="15" a="1"/>
  <c r="K264" i="15" a="1"/>
  <c r="BG232" i="15" a="1"/>
  <c r="BP245" i="15" a="1"/>
  <c r="BW239" i="15" a="1"/>
  <c r="CD232" i="15" a="1"/>
  <c r="AO243" i="15" a="1"/>
  <c r="AS254" i="15" a="1"/>
  <c r="S256" i="15" a="1"/>
  <c r="J248" i="15" a="1"/>
  <c r="P252" i="15" a="1"/>
  <c r="Y238" i="15" a="1"/>
  <c r="BJ274" i="15" a="1"/>
  <c r="AC251" i="15" a="1"/>
  <c r="CQ272" i="15" a="1"/>
  <c r="CB259" i="15" a="1"/>
  <c r="BM245" i="15" a="1"/>
  <c r="BE248" i="15" a="1"/>
  <c r="V251" i="15" a="1"/>
  <c r="L233" i="15" a="1"/>
  <c r="AM234" i="15" a="1"/>
  <c r="BW224" i="15" a="1"/>
  <c r="H243" i="15" a="1"/>
  <c r="BX222" i="15" a="1"/>
  <c r="BV238" i="15" a="1"/>
  <c r="H254" i="15" a="1"/>
  <c r="R244" i="15" a="1"/>
  <c r="AE232" i="15" a="1"/>
  <c r="BJ275" i="15" a="1"/>
  <c r="CM240" i="15" a="1"/>
  <c r="CP260" i="15" a="1"/>
  <c r="BY250" i="15" a="1"/>
  <c r="Q244" i="15" a="1"/>
  <c r="BE279" i="15" a="1"/>
  <c r="L251" i="15" a="1"/>
  <c r="CI242" i="15" a="1"/>
  <c r="BW168" i="15" a="1"/>
  <c r="BW206" i="15" a="1"/>
  <c r="CK236" i="15" a="1"/>
  <c r="BX182" i="15" a="1"/>
  <c r="CK262" i="15" a="1"/>
  <c r="P233" i="15" a="1"/>
  <c r="F251" i="15" a="1"/>
  <c r="R248" i="15" a="1"/>
  <c r="BK244" i="15" a="1"/>
  <c r="U271" i="15" a="1"/>
  <c r="BN238" i="15" a="1"/>
  <c r="BV234" i="15" a="1"/>
  <c r="H266" i="15" a="1"/>
  <c r="BU237" i="15" a="1"/>
  <c r="AC236" i="15" a="1"/>
  <c r="BO237" i="15" a="1"/>
  <c r="BQ239" i="15" a="1"/>
  <c r="AQ240" i="15" a="1"/>
  <c r="AG268" i="15" a="1"/>
  <c r="M240" i="15" a="1"/>
  <c r="BW252" i="15" a="1"/>
  <c r="AH244" i="15" a="1"/>
  <c r="F243" i="15" a="1"/>
  <c r="AW239" i="15" a="1"/>
  <c r="L250" i="15" a="1"/>
  <c r="C235" i="15" a="1"/>
  <c r="AJ242" i="15" a="1"/>
  <c r="BM235" i="15" a="1"/>
  <c r="AR256" i="15" a="1"/>
  <c r="AT243" i="15" a="1"/>
  <c r="CO240" i="15" a="1"/>
  <c r="X249" i="15" a="1"/>
  <c r="AL270" i="15" a="1"/>
  <c r="AN238" i="15" a="1"/>
  <c r="CP232" i="15" a="1"/>
  <c r="BX257" i="15" a="1"/>
  <c r="AB249" i="15" a="1"/>
  <c r="AK250" i="15" a="1"/>
  <c r="AJ234" i="15" a="1"/>
  <c r="BI272" i="15" a="1"/>
  <c r="BC233" i="15" a="1"/>
  <c r="BQ232" i="15" a="1"/>
  <c r="AR247" i="15" a="1"/>
  <c r="J237" i="15" a="1"/>
  <c r="CH259" i="15" a="1"/>
  <c r="CB238" i="15" a="1"/>
  <c r="AZ237" i="15" a="1"/>
  <c r="N254" i="15" a="1"/>
  <c r="AS256" i="15" a="1"/>
  <c r="CG238" i="15" a="1"/>
  <c r="AH270" i="15" a="1"/>
  <c r="BE240" i="15" a="1"/>
  <c r="CM233" i="15" a="1"/>
  <c r="AH233" i="15" a="1"/>
  <c r="AO232" i="15" a="1"/>
  <c r="BW225" i="15" a="1"/>
  <c r="CQ270" i="15" a="1"/>
  <c r="AH272" i="15" a="1"/>
  <c r="BU273" i="15" a="1"/>
  <c r="BT255" i="15" a="1"/>
  <c r="W283" i="15" a="1"/>
  <c r="AJ261" i="15" a="1"/>
  <c r="BJ272" i="15" a="1"/>
  <c r="AF264" i="15" a="1"/>
  <c r="AN259" i="15" a="1"/>
  <c r="BP255" i="15" a="1"/>
  <c r="AF261" i="15" a="1"/>
  <c r="BM285" i="15" a="1"/>
  <c r="BG263" i="15" a="1"/>
  <c r="U248" i="15" a="1"/>
  <c r="CH262" i="15" a="1"/>
  <c r="T247" i="15" a="1"/>
  <c r="S287" i="15" a="1"/>
  <c r="AA238" i="15" a="1"/>
  <c r="J255" i="15" a="1"/>
  <c r="CL253" i="15" a="1"/>
  <c r="CQ255" i="15" a="1"/>
  <c r="BR254" i="15" a="1"/>
  <c r="P255" i="15" a="1"/>
  <c r="AE237" i="15" a="1"/>
  <c r="AB248" i="15" a="1"/>
  <c r="BW271" i="15" a="1"/>
  <c r="BD264" i="15" a="1"/>
  <c r="AG249" i="15" a="1"/>
  <c r="BR244" i="15" a="1"/>
  <c r="BH244" i="15" a="1"/>
  <c r="BB256" i="15" a="1"/>
  <c r="BO282" i="15" a="1"/>
  <c r="CK247" i="15" a="1"/>
  <c r="Q264" i="15" a="1"/>
  <c r="AA244" i="15" a="1"/>
  <c r="AP270" i="15" a="1"/>
  <c r="AL247" i="15" a="1"/>
  <c r="CR242" i="15" a="1"/>
  <c r="AE284" i="15" a="1"/>
  <c r="K249" i="15" a="1"/>
  <c r="BR251" i="15" a="1"/>
  <c r="T232" i="15" a="1"/>
  <c r="Q250" i="15" a="1"/>
  <c r="BO253" i="15" a="1"/>
  <c r="AL236" i="15" a="1"/>
  <c r="BH251" i="15" a="1"/>
  <c r="AK243" i="15" a="1"/>
  <c r="V242" i="15" a="1"/>
  <c r="AW250" i="15" a="1"/>
  <c r="P276" i="15" a="1"/>
  <c r="CJ245" i="15" a="1"/>
  <c r="AZ253" i="15" a="1"/>
  <c r="CR241" i="15" a="1"/>
  <c r="BH232" i="15" a="1"/>
  <c r="AQ232" i="15" a="1"/>
  <c r="CA244" i="15" a="1"/>
  <c r="C244" i="15" a="1"/>
  <c r="BX261" i="15" a="1"/>
  <c r="T244" i="15" a="1"/>
  <c r="U253" i="15" a="1"/>
  <c r="BW255" i="15" a="1"/>
  <c r="C246" i="15" a="1"/>
  <c r="BS268" i="15" a="1"/>
  <c r="AX231" i="15" a="1"/>
  <c r="BK277" i="15" a="1"/>
  <c r="BY277" i="15" a="1"/>
  <c r="BC257" i="15" a="1"/>
  <c r="CM260" i="15" a="1"/>
  <c r="BK258" i="15" a="1"/>
  <c r="G241" i="15" a="1"/>
  <c r="R253" i="15" a="1"/>
  <c r="BJ258" i="15" a="1"/>
  <c r="CF244" i="15" a="1"/>
  <c r="BX240" i="15" a="1"/>
  <c r="AV246" i="15" a="1"/>
  <c r="AK238" i="15" a="1"/>
  <c r="K257" i="15" a="1"/>
  <c r="H242" i="15" a="1"/>
  <c r="BW234" i="15" a="1"/>
  <c r="BY247" i="15" a="1"/>
  <c r="AA248" i="15" a="1"/>
  <c r="CE240" i="15" a="1"/>
  <c r="AO258" i="15" a="1"/>
  <c r="BC256" i="15" a="1"/>
  <c r="AI251" i="15" a="1"/>
  <c r="BB236" i="15" a="1"/>
  <c r="CR248" i="15" a="1"/>
  <c r="BX242" i="15" a="1"/>
  <c r="CL248" i="15" a="1"/>
  <c r="R239" i="15" a="1"/>
  <c r="CB247" i="15" a="1"/>
  <c r="AY258" i="15" a="1"/>
  <c r="BU243" i="15" a="1"/>
  <c r="BL238" i="15" a="1"/>
  <c r="C245" i="15" a="1"/>
  <c r="CI253" i="15" a="1"/>
  <c r="BV241" i="15" a="1"/>
  <c r="CH265" i="15" a="1"/>
  <c r="R250" i="15" a="1"/>
  <c r="AX238" i="15" a="1"/>
  <c r="CE235" i="15" a="1"/>
  <c r="CF236" i="15" a="1"/>
  <c r="BZ240" i="15" a="1"/>
  <c r="BF250" i="15" a="1"/>
  <c r="BH240" i="15" a="1"/>
  <c r="AL232" i="15" a="1"/>
  <c r="BU235" i="15" a="1"/>
  <c r="AQ258" i="15" a="1"/>
  <c r="CG232" i="15" a="1"/>
  <c r="BM233" i="15" a="1"/>
  <c r="AC270" i="15" a="1"/>
  <c r="BD231" i="15" a="1"/>
  <c r="AW232" i="15" a="1"/>
  <c r="BH242" i="15" a="1"/>
  <c r="CK285" i="15" a="1"/>
  <c r="AW231" i="15" a="1"/>
  <c r="AL240" i="15" a="1"/>
  <c r="CK234" i="15" a="1"/>
  <c r="BX211" i="15" a="1"/>
  <c r="BB238" i="15" a="1"/>
  <c r="AL241" i="15" a="1"/>
  <c r="K239" i="15" a="1"/>
  <c r="CN246" i="15" a="1"/>
  <c r="S236" i="15" a="1"/>
  <c r="AX253" i="15" a="1"/>
  <c r="BF244" i="15" a="1"/>
  <c r="BG234" i="15" a="1"/>
  <c r="CC246" i="15" a="1"/>
  <c r="F252" i="15" a="1"/>
  <c r="T243" i="15" a="1"/>
  <c r="Z244" i="15" a="1"/>
  <c r="CL254" i="15" a="1"/>
  <c r="AU242" i="15" a="1"/>
  <c r="BB247" i="15" a="1"/>
  <c r="C242" i="15" a="1"/>
  <c r="BZ262" i="15" a="1"/>
  <c r="CR240" i="15" a="1"/>
  <c r="BC234" i="15" a="1"/>
  <c r="E243" i="15" a="1"/>
  <c r="BY241" i="15" a="1"/>
  <c r="AK245" i="15" a="1"/>
  <c r="BD243" i="15" a="1"/>
  <c r="Q253" i="15" a="1"/>
  <c r="BM261" i="15" a="1"/>
  <c r="AJ236" i="15" a="1"/>
  <c r="AB245" i="15" a="1"/>
  <c r="BI247" i="15" a="1"/>
  <c r="CB239" i="15" a="1"/>
  <c r="X240" i="15" a="1"/>
  <c r="BZ255" i="15" a="1"/>
  <c r="BF248" i="15" a="1"/>
  <c r="AJ244" i="15" a="1"/>
  <c r="BM231" i="15" a="1"/>
  <c r="BX191" i="15" a="1"/>
  <c r="CQ236" i="15" a="1"/>
  <c r="AH232" i="15" a="1"/>
  <c r="BX198" i="15" a="1"/>
  <c r="BY189" i="15" a="1"/>
  <c r="BY170" i="15" a="1"/>
  <c r="BY179" i="15" a="1"/>
  <c r="BY222" i="15" a="1"/>
  <c r="BB254" i="15" a="1"/>
  <c r="AL235" i="15" a="1"/>
  <c r="BN237" i="15" a="1"/>
  <c r="BJ238" i="15" a="1"/>
  <c r="CK244" i="15" a="1"/>
  <c r="S265" i="15" a="1"/>
  <c r="BX247" i="15" a="1"/>
  <c r="BX168" i="15" a="1"/>
  <c r="BU232" i="15" a="1"/>
  <c r="BW216" i="15" a="1"/>
  <c r="AT248" i="15" a="1"/>
  <c r="Q242" i="15" a="1"/>
  <c r="AO238" i="15" a="1"/>
  <c r="AO252" i="15" a="1"/>
  <c r="BX183" i="15" a="1"/>
  <c r="BU271" i="15" a="1"/>
  <c r="AI235" i="15" a="1"/>
  <c r="BG254" i="15" a="1"/>
  <c r="AS250" i="15" a="1"/>
  <c r="AX254" i="15" a="1"/>
  <c r="CG277" i="15" a="1"/>
  <c r="BB255" i="15" a="1"/>
  <c r="BF260" i="15" a="1"/>
  <c r="AZ232" i="15" a="1"/>
  <c r="P254" i="15" a="1"/>
  <c r="CM239" i="15" a="1"/>
  <c r="BJ236" i="15" a="1"/>
  <c r="BT250" i="15" a="1"/>
  <c r="BA252" i="15" a="1"/>
  <c r="AJ283" i="15" a="1"/>
  <c r="BI231" i="15" a="1"/>
  <c r="I237" i="15" a="1"/>
  <c r="AP282" i="15" a="1"/>
  <c r="AY239" i="15" a="1"/>
  <c r="BE241" i="15" a="1"/>
  <c r="CN253" i="15" a="1"/>
  <c r="BO245" i="15" a="1"/>
  <c r="AX236" i="15" a="1"/>
  <c r="AT233" i="15" a="1"/>
  <c r="T235" i="15" a="1"/>
  <c r="CP239" i="15" a="1"/>
  <c r="BN234" i="15" a="1"/>
  <c r="CQ245" i="15" a="1"/>
  <c r="AS257" i="15" a="1"/>
  <c r="BK234" i="15" a="1"/>
  <c r="BS237" i="15" a="1"/>
  <c r="BD235" i="15" a="1"/>
  <c r="BI232" i="15" a="1"/>
  <c r="AL267" i="15" a="1"/>
  <c r="CQ242" i="15" a="1"/>
  <c r="C257" i="15" a="1"/>
  <c r="CL267" i="15" a="1"/>
  <c r="AT274" i="15" a="1"/>
  <c r="O240" i="15" a="1"/>
  <c r="AV238" i="15" a="1"/>
  <c r="BW196" i="15" a="1"/>
  <c r="V253" i="15" a="1"/>
  <c r="CO247" i="15" a="1"/>
  <c r="Y236" i="15" a="1"/>
  <c r="AL234" i="15" a="1"/>
  <c r="AC260" i="15" a="1"/>
  <c r="BG235" i="15" a="1"/>
  <c r="K260" i="15" a="1"/>
  <c r="M251" i="15" a="1"/>
  <c r="CQ240" i="15" a="1"/>
  <c r="BW210" i="15" a="1"/>
  <c r="BT251" i="15" a="1"/>
  <c r="BP267" i="15" a="1"/>
  <c r="CE244" i="15" a="1"/>
  <c r="CP253" i="15" a="1"/>
  <c r="Q243" i="15" a="1"/>
  <c r="CD259" i="15" a="1"/>
  <c r="BJ247" i="15" a="1"/>
  <c r="CB248" i="15" a="1"/>
  <c r="CC270" i="15" a="1"/>
  <c r="M260" i="15" a="1"/>
  <c r="BW180" i="15" a="1"/>
  <c r="AQ241" i="15" a="1"/>
  <c r="BX221" i="15" a="1"/>
  <c r="BY194" i="15" a="1"/>
  <c r="BY225" i="15" a="1"/>
  <c r="AE283" i="15" a="1"/>
  <c r="BI248" i="15" a="1"/>
  <c r="CR250" i="15" a="1"/>
  <c r="CD238" i="15" a="1"/>
  <c r="L231" i="15" a="1"/>
  <c r="CF242" i="15" a="1"/>
  <c r="CO251" i="15" a="1"/>
  <c r="BI238" i="15" a="1"/>
  <c r="CO254" i="15" a="1"/>
  <c r="CB285" i="15" a="1"/>
  <c r="AJ231" i="15" a="1"/>
  <c r="BD255" i="15" a="1"/>
  <c r="AP235" i="15" a="1"/>
  <c r="P240" i="15" a="1"/>
  <c r="N239" i="15" a="1"/>
  <c r="Z233" i="15" a="1"/>
  <c r="N237" i="15" a="1"/>
  <c r="BC244" i="15" a="1"/>
  <c r="BK237" i="15" a="1"/>
  <c r="K232" i="15" a="1"/>
  <c r="T266" i="15" a="1"/>
  <c r="BB268" i="15" a="1"/>
  <c r="L232" i="15" a="1"/>
  <c r="BW181" i="15" a="1"/>
  <c r="Y260" i="15" a="1"/>
  <c r="BK231" i="15" a="1"/>
  <c r="AD258" i="15" a="1"/>
  <c r="AO254" i="15" a="1"/>
  <c r="AG232" i="15" a="1"/>
  <c r="BQ249" i="15" a="1"/>
  <c r="BI265" i="15" a="1"/>
  <c r="CH241" i="15" a="1"/>
  <c r="AI243" i="15" a="1"/>
  <c r="BR250" i="15" a="1"/>
  <c r="BQ236" i="15" a="1"/>
  <c r="BS248" i="15" a="1"/>
  <c r="P275" i="15" a="1"/>
  <c r="AO241" i="15" a="1"/>
  <c r="BW172" i="15" a="1"/>
  <c r="O282" i="15" a="1"/>
  <c r="H241" i="15" a="1"/>
  <c r="AJ254" i="15" a="1"/>
  <c r="BP262" i="15" a="1"/>
  <c r="AS231" i="15" a="1"/>
  <c r="AQ231" i="15" a="1"/>
  <c r="BW203" i="15" a="1"/>
  <c r="AZ238" i="15" a="1"/>
  <c r="AX249" i="15" a="1"/>
  <c r="P258" i="15" a="1"/>
  <c r="BA231" i="15" a="1"/>
  <c r="CK239" i="15" a="1"/>
  <c r="AR235" i="15" a="1"/>
  <c r="AF247" i="15" a="1"/>
  <c r="BA250" i="15" a="1"/>
  <c r="AF242" i="15" a="1"/>
  <c r="BN232" i="15" a="1"/>
  <c r="BU233" i="15" a="1"/>
  <c r="AX232" i="15" a="1"/>
  <c r="BT238" i="15" a="1"/>
  <c r="AG235" i="15" a="1"/>
  <c r="BX225" i="15" a="1"/>
  <c r="CQ241" i="15" a="1"/>
  <c r="BY196" i="15" a="1"/>
  <c r="BY220" i="15" a="1"/>
  <c r="BY209" i="15" a="1"/>
  <c r="BY166" i="15" a="1"/>
  <c r="CF291" i="15" a="1"/>
  <c r="R273" i="15" a="1"/>
  <c r="AR270" i="15" a="1"/>
  <c r="BA262" i="15" a="1"/>
  <c r="BL250" i="15" a="1"/>
  <c r="AP274" i="15" a="1"/>
  <c r="BV233" i="15" a="1"/>
  <c r="G243" i="15" a="1"/>
  <c r="AP234" i="15" a="1"/>
  <c r="BW199" i="15" a="1"/>
  <c r="CJ242" i="15" a="1"/>
  <c r="C234" i="15" a="1"/>
  <c r="CK243" i="15" a="1"/>
  <c r="AA241" i="15" a="1"/>
  <c r="H235" i="15" a="1"/>
  <c r="BD234" i="15" a="1"/>
  <c r="BX205" i="15" a="1"/>
  <c r="BX218" i="15" a="1"/>
  <c r="L243" i="15" a="1"/>
  <c r="BY218" i="15" a="1"/>
  <c r="BY190" i="15" a="1"/>
  <c r="AD274" i="15" a="1"/>
  <c r="E233" i="15" a="1"/>
  <c r="AZ241" i="15" a="1"/>
  <c r="BJ270" i="15" a="1"/>
  <c r="AB251" i="15" a="1"/>
  <c r="W241" i="15" a="1"/>
  <c r="AE231" i="15" a="1"/>
  <c r="BT272" i="15" a="1"/>
  <c r="AV262" i="15" a="1"/>
  <c r="CC239" i="15" a="1"/>
  <c r="CF260" i="15" a="1"/>
  <c r="Q281" i="15" a="1"/>
  <c r="CQ238" i="15" a="1"/>
  <c r="CM246" i="15" a="1"/>
  <c r="CI234" i="15" a="1"/>
  <c r="Z255" i="15" a="1"/>
  <c r="BO233" i="15" a="1"/>
  <c r="CH237" i="15" a="1"/>
  <c r="AC265" i="15" a="1"/>
  <c r="T262" i="15" a="1"/>
  <c r="AN244" i="15" a="1"/>
  <c r="S232" i="15" a="1"/>
  <c r="CF248" i="15" a="1"/>
  <c r="BP231" i="15" a="1"/>
  <c r="AJ240" i="15" a="1"/>
  <c r="CK249" i="15" a="1"/>
  <c r="C240" i="15" a="1"/>
  <c r="AS237" i="15" a="1"/>
  <c r="O242" i="15" a="1"/>
  <c r="BB233" i="15" a="1"/>
  <c r="AO251" i="15" a="1"/>
  <c r="AC240" i="15" a="1"/>
  <c r="BW191" i="15" a="1"/>
  <c r="BA254" i="15" a="1"/>
  <c r="BX166" i="15" a="1"/>
  <c r="CF240" i="15" a="1"/>
  <c r="BX237" i="15" a="1"/>
  <c r="AE253" i="15" a="1"/>
  <c r="C256" i="15" a="1"/>
  <c r="AF246" i="15" a="1"/>
  <c r="N240" i="15" a="1"/>
  <c r="J246" i="15" a="1"/>
  <c r="BK248" i="15" a="1"/>
  <c r="AO244" i="15" a="1"/>
  <c r="Z243" i="15" a="1"/>
  <c r="AX247" i="15" a="1"/>
  <c r="BU231" i="15" a="1"/>
  <c r="BI235" i="15" a="1"/>
  <c r="BU265" i="15" a="1"/>
  <c r="T234" i="15" a="1"/>
  <c r="BG239" i="15" a="1"/>
  <c r="BR240" i="15" a="1"/>
  <c r="BP233" i="15" a="1"/>
  <c r="BH234" i="15" a="1"/>
  <c r="AM244" i="15" a="1"/>
  <c r="BZ241" i="15" a="1"/>
  <c r="BW183" i="15" a="1"/>
  <c r="AD237" i="15" a="1"/>
  <c r="BX192" i="15" a="1"/>
  <c r="BC246" i="15" a="1"/>
  <c r="CA241" i="15" a="1"/>
  <c r="BX188" i="15" a="1"/>
  <c r="BY173" i="15" a="1"/>
  <c r="BY223" i="15" a="1"/>
  <c r="BY215" i="15" a="1"/>
  <c r="BY202" i="15" a="1"/>
  <c r="BJ276" i="15" a="1"/>
  <c r="G260" i="15" a="1"/>
  <c r="BA267" i="15" a="1"/>
  <c r="CN258" i="15" a="1"/>
  <c r="CD237" i="15" a="1"/>
  <c r="T245" i="15" a="1"/>
  <c r="BX253" i="15" a="1"/>
  <c r="AT253" i="15" a="1"/>
  <c r="AM245" i="15" a="1"/>
  <c r="Q237" i="15" a="1"/>
  <c r="CK253" i="15" a="1"/>
  <c r="CK254" i="15" a="1"/>
  <c r="AO236" i="15" a="1"/>
  <c r="AB244" i="15" a="1"/>
  <c r="BD254" i="15" a="1"/>
  <c r="Y243" i="15" a="1"/>
  <c r="BX209" i="15" a="1"/>
  <c r="G238" i="15" a="1"/>
  <c r="BF237" i="15" a="1"/>
  <c r="AW256" i="15" a="1"/>
  <c r="CE247" i="15" a="1"/>
  <c r="O241" i="15" a="1"/>
  <c r="CH240" i="15" a="1"/>
  <c r="BM234" i="15" a="1"/>
  <c r="AF238" i="15" a="1"/>
  <c r="BC262" i="15" a="1"/>
  <c r="H233" i="15" a="1"/>
  <c r="AC237" i="15" a="1"/>
  <c r="X232" i="15" a="1"/>
  <c r="AC244" i="15" a="1"/>
  <c r="U232" i="15" a="1"/>
  <c r="AC242" i="15" a="1"/>
  <c r="BQ233" i="15" a="1"/>
  <c r="BY249" i="15" a="1"/>
  <c r="Y242" i="15" a="1"/>
  <c r="R242" i="15" a="1"/>
  <c r="BX176" i="15" a="1"/>
  <c r="BV236" i="15" a="1"/>
  <c r="BY167" i="15" a="1"/>
  <c r="CH284" i="15" a="1"/>
  <c r="CF258" i="15" a="1"/>
  <c r="F264" i="15" a="1"/>
  <c r="BY180" i="15" a="1"/>
  <c r="BW178" i="15" a="1"/>
  <c r="P239" i="15" a="1"/>
  <c r="BY186" i="15" a="1"/>
  <c r="M239" i="15" a="1"/>
  <c r="BN241" i="15" a="1"/>
  <c r="BY200" i="15" a="1"/>
  <c r="AC234" i="15" a="1"/>
  <c r="AI258" i="15" a="1"/>
  <c r="AO256" i="15" a="1"/>
  <c r="BY168" i="15" a="1"/>
  <c r="AG239" i="15" a="1"/>
  <c r="AB236" i="15" a="1"/>
  <c r="BY221" i="15" a="1"/>
  <c r="K244" i="15" a="1"/>
  <c r="AZ233" i="15" a="1"/>
  <c r="BW195" i="15" a="1"/>
  <c r="CL262" i="15" a="1"/>
  <c r="AP254" i="15" a="1"/>
  <c r="T233" i="15" a="1"/>
  <c r="AS232" i="15" a="1"/>
  <c r="BZ208" i="15" a="1"/>
  <c r="BZ218" i="15" a="1"/>
  <c r="BZ193" i="15" a="1"/>
  <c r="BZ190" i="15" a="1"/>
  <c r="BZ210" i="15" a="1"/>
  <c r="BZ174" i="15" a="1"/>
  <c r="BZ214" i="15" a="1"/>
  <c r="CA231" i="15" a="1"/>
  <c r="BZ200" i="15" a="1"/>
  <c r="BZ191" i="15" a="1"/>
  <c r="BZ180" i="15" a="1"/>
  <c r="BZ173" i="15" a="1"/>
  <c r="BZ189" i="15" a="1"/>
  <c r="BZ225" i="15" a="1"/>
  <c r="BZ196" i="15" a="1"/>
  <c r="BZ197" i="15" a="1"/>
  <c r="BL247" i="15" a="1"/>
  <c r="BO258" i="15" a="1"/>
  <c r="CL235" i="15" a="1"/>
  <c r="AS235" i="15" a="1"/>
  <c r="R238" i="15" a="1"/>
  <c r="H231" i="15" a="1"/>
  <c r="AK254" i="15" a="1"/>
  <c r="AB280" i="15" a="1"/>
  <c r="AY234" i="15" a="1"/>
  <c r="AU248" i="15" a="1"/>
  <c r="BY204" i="15" a="1"/>
  <c r="BX170" i="15" a="1"/>
  <c r="H252" i="15" a="1"/>
  <c r="BH249" i="15" a="1"/>
  <c r="U241" i="15" a="1"/>
  <c r="BT253" i="15" a="1"/>
  <c r="CH233" i="15" a="1"/>
  <c r="CQ243" i="15" a="1"/>
  <c r="BZ183" i="15" a="1"/>
  <c r="BZ195" i="15" a="1"/>
  <c r="BZ201" i="15" a="1"/>
  <c r="BZ212" i="15" a="1"/>
  <c r="BZ172" i="15" a="1"/>
  <c r="BZ165" i="15" a="1"/>
  <c r="BZ188" i="15" a="1"/>
  <c r="BZ216" i="15" a="1"/>
  <c r="O235" i="15" a="1"/>
  <c r="N278" i="15" a="1"/>
  <c r="BX216" i="15" a="1"/>
  <c r="AU244" i="15" a="1"/>
  <c r="BZ237" i="15" a="1"/>
  <c r="BJ253" i="15" a="1"/>
  <c r="BJ234" i="15" a="1"/>
  <c r="AE279" i="15" a="1"/>
  <c r="AH238" i="15" a="1"/>
  <c r="CI241" i="15" a="1"/>
  <c r="S271" i="15" a="1"/>
  <c r="CN251" i="15" a="1"/>
  <c r="BM240" i="15" a="1"/>
  <c r="R241" i="15" a="1"/>
  <c r="BE249" i="15" a="1"/>
  <c r="BI236" i="15" a="1"/>
  <c r="BY174" i="15" a="1"/>
  <c r="BY224" i="15" a="1"/>
  <c r="CQ273" i="15" a="1"/>
  <c r="AP269" i="15" a="1"/>
  <c r="AT242" i="15" a="1"/>
  <c r="BS246" i="15" a="1"/>
  <c r="BW237" i="15" a="1"/>
  <c r="U231" i="15" a="1"/>
  <c r="CP248" i="15" a="1"/>
  <c r="AL288" i="15" a="1"/>
  <c r="P272" i="15" a="1"/>
  <c r="CC256" i="15" a="1"/>
  <c r="AF277" i="15" a="1"/>
  <c r="BZ260" i="15" a="1"/>
  <c r="O239" i="15" a="1"/>
  <c r="AT234" i="15" a="1"/>
  <c r="AP233" i="15" a="1"/>
  <c r="BI250" i="15" a="1"/>
  <c r="BV266" i="15" a="1"/>
  <c r="AI240" i="15" a="1"/>
  <c r="CN234" i="15" a="1"/>
  <c r="E258" i="15" a="1"/>
  <c r="L241" i="15" a="1"/>
  <c r="R245" i="15" a="1"/>
  <c r="AC238" i="15" a="1"/>
  <c r="BI255" i="15" a="1"/>
  <c r="AV264" i="15" a="1"/>
  <c r="G235" i="15" a="1"/>
  <c r="BX195" i="15" a="1"/>
  <c r="CN239" i="15" a="1"/>
  <c r="AT241" i="15" a="1"/>
  <c r="AO240" i="15" a="1"/>
  <c r="AN253" i="15" a="1"/>
  <c r="BO231" i="15" a="1"/>
  <c r="AW237" i="15" a="1"/>
  <c r="I245" i="15" a="1"/>
  <c r="BX167" i="15" a="1"/>
  <c r="R233" i="15" a="1"/>
  <c r="BO239" i="15" a="1"/>
  <c r="BO254" i="15" a="1"/>
  <c r="AP231" i="15" a="1"/>
  <c r="M236" i="15" a="1"/>
  <c r="CP246" i="15" a="1"/>
  <c r="BE242" i="15" a="1"/>
  <c r="CO242" i="15" a="1"/>
  <c r="AX242" i="15" a="1"/>
  <c r="BR237" i="15" a="1"/>
  <c r="M238" i="15" a="1"/>
  <c r="E240" i="15" a="1"/>
  <c r="CC253" i="15" a="1"/>
  <c r="BF233" i="15" a="1"/>
  <c r="BL241" i="15" a="1"/>
  <c r="BQ231" i="15" a="1"/>
  <c r="AS241" i="15" a="1"/>
  <c r="AV240" i="15" a="1"/>
  <c r="BD253" i="15" a="1"/>
  <c r="F241" i="15" a="1"/>
  <c r="I242" i="15" a="1"/>
  <c r="BX165" i="15" a="1"/>
  <c r="X237" i="15" a="1"/>
  <c r="BA240" i="15" a="1"/>
  <c r="CP235" i="15" a="1"/>
  <c r="BW208" i="15" a="1"/>
  <c r="BX184" i="15" a="1"/>
  <c r="BY177" i="15" a="1"/>
  <c r="BY176" i="15" a="1"/>
  <c r="BY193" i="15" a="1"/>
  <c r="BY212" i="15" a="1"/>
  <c r="Y280" i="15" a="1"/>
  <c r="AK251" i="15" a="1"/>
  <c r="BE255" i="15" a="1"/>
  <c r="AS246" i="15" a="1"/>
  <c r="AY250" i="15" a="1"/>
  <c r="BR247" i="15" a="1"/>
  <c r="G276" i="15" a="1"/>
  <c r="AX274" i="15" a="1"/>
  <c r="BS254" i="15" a="1"/>
  <c r="X271" i="15" a="1"/>
  <c r="Z248" i="15" a="1"/>
  <c r="AK239" i="15" a="1"/>
  <c r="AY241" i="15" a="1"/>
  <c r="Z251" i="15" a="1"/>
  <c r="X243" i="15" a="1"/>
  <c r="BI240" i="15" a="1"/>
  <c r="BZ232" i="15" a="1"/>
  <c r="CR239" i="15" a="1"/>
  <c r="Q263" i="15" a="1"/>
  <c r="AM247" i="15" a="1"/>
  <c r="AI249" i="15" a="1"/>
  <c r="CN238" i="15" a="1"/>
  <c r="AB238" i="15" a="1"/>
  <c r="T242" i="15" a="1"/>
  <c r="BX185" i="15" a="1"/>
  <c r="BY254" i="15" a="1"/>
  <c r="BR235" i="15" a="1"/>
  <c r="BA249" i="15" a="1"/>
  <c r="Q249" i="15" a="1"/>
  <c r="AJ243" i="15" a="1"/>
  <c r="CH242" i="15" a="1"/>
  <c r="BW215" i="15" a="1"/>
  <c r="CG234" i="15" a="1"/>
  <c r="N236" i="15" a="1"/>
  <c r="M235" i="15" a="1"/>
  <c r="BW222" i="15" a="1"/>
  <c r="CP237" i="15" a="1"/>
  <c r="BY205" i="15" a="1"/>
  <c r="AX234" i="15" a="1"/>
  <c r="BY246" i="15" a="1"/>
  <c r="CI237" i="15" a="1"/>
  <c r="BX175" i="15" a="1"/>
  <c r="AM241" i="15" a="1"/>
  <c r="AJ232" i="15" a="1"/>
  <c r="AH251" i="15" a="1"/>
  <c r="AX251" i="15" a="1"/>
  <c r="AO235" i="15" a="1"/>
  <c r="CQ235" i="15" a="1"/>
  <c r="AC239" i="15" a="1"/>
  <c r="AY237" i="15" a="1"/>
  <c r="CB234" i="15" a="1"/>
  <c r="E235" i="15" a="1"/>
  <c r="BY207" i="15" a="1"/>
  <c r="CB254" i="15" a="1"/>
  <c r="CD243" i="15" a="1"/>
  <c r="BY169" i="15" a="1"/>
  <c r="CG249" i="15" a="1"/>
  <c r="Z237" i="15" a="1"/>
  <c r="BY210" i="15" a="1"/>
  <c r="BM232" i="15" a="1"/>
  <c r="CA247" i="15" a="1"/>
  <c r="CP252" i="15" a="1"/>
  <c r="AD235" i="15" a="1"/>
  <c r="BZ176" i="15" a="1"/>
  <c r="BZ206" i="15" a="1"/>
  <c r="BZ215" i="15" a="1"/>
  <c r="BZ167" i="15" a="1"/>
  <c r="BZ220" i="15" a="1"/>
  <c r="BZ207" i="15" a="1"/>
  <c r="BZ205" i="15" a="1"/>
  <c r="BZ209" i="15" a="1"/>
  <c r="BZ186" i="15" a="1"/>
  <c r="BZ204" i="15" a="1"/>
  <c r="BZ224" i="15" a="1"/>
  <c r="BZ198" i="15" a="1"/>
  <c r="BZ222" i="15" a="1"/>
  <c r="BZ182" i="15" a="1"/>
  <c r="BZ202" i="15" a="1"/>
  <c r="Z246" i="15" a="1"/>
  <c r="AX239" i="15" a="1"/>
  <c r="BX177" i="15" a="1"/>
  <c r="Z232" i="15" a="1"/>
  <c r="AR239" i="15" a="1"/>
  <c r="BM243" i="15" a="1"/>
  <c r="AF259" i="15" a="1"/>
  <c r="CJ233" i="15" a="1"/>
  <c r="J251" i="15" a="1"/>
  <c r="BY195" i="15" a="1"/>
  <c r="BF247" i="15" a="1"/>
  <c r="BG246" i="15" a="1"/>
  <c r="AK273" i="15" a="1"/>
  <c r="V231" i="15" a="1"/>
  <c r="CC254" i="15" a="1"/>
  <c r="G244" i="15" a="1"/>
  <c r="CF238" i="15" a="1"/>
  <c r="BY172" i="15" a="1"/>
  <c r="BZ219" i="15" a="1"/>
  <c r="BZ179" i="15" a="1"/>
  <c r="BZ211" i="15" a="1"/>
  <c r="BZ181" i="15" a="1"/>
  <c r="BZ221" i="15" a="1"/>
  <c r="BZ213" i="15" a="1"/>
  <c r="BZ166" i="15" a="1"/>
  <c r="BZ187" i="15" a="1"/>
  <c r="AW235" i="15" a="1"/>
  <c r="AY231" i="15" a="1"/>
  <c r="CN271" i="15" a="1"/>
  <c r="BO247" i="15" a="1"/>
  <c r="CC257" i="15" a="1"/>
  <c r="E239" i="15" a="1"/>
  <c r="CC250" i="15" a="1"/>
  <c r="K254" i="15" a="1"/>
  <c r="AJ246" i="15" a="1"/>
  <c r="AU237" i="15" a="1"/>
  <c r="AK231" i="15" a="1"/>
  <c r="Z264" i="15" a="1"/>
  <c r="BH238" i="15" a="1"/>
  <c r="CK241" i="15" a="1"/>
  <c r="BW219" i="15" a="1"/>
  <c r="BX208" i="15" a="1"/>
  <c r="BY171" i="15" a="1"/>
  <c r="BY181" i="15" a="1"/>
  <c r="BL255" i="15" a="1"/>
  <c r="CH254" i="15" a="1"/>
  <c r="K250" i="15" a="1"/>
  <c r="AO265" i="15" a="1"/>
  <c r="P250" i="15" a="1"/>
  <c r="BJ239" i="15" a="1"/>
  <c r="BP238" i="15" a="1"/>
  <c r="BH252" i="15" a="1"/>
  <c r="BU268" i="15" a="1"/>
  <c r="CH257" i="15" a="1"/>
  <c r="CJ253" i="15" a="1"/>
  <c r="CI238" i="15" a="1"/>
  <c r="Y245" i="15" a="1"/>
  <c r="AX244" i="15" a="1"/>
  <c r="O250" i="15" a="1"/>
  <c r="P234" i="15" a="1"/>
  <c r="U245" i="15" a="1"/>
  <c r="AO247" i="15" a="1"/>
  <c r="BN249" i="15" a="1"/>
  <c r="AZ242" i="15" a="1"/>
  <c r="S275" i="15" a="1"/>
  <c r="AM246" i="15" a="1"/>
  <c r="BV240" i="15" a="1"/>
  <c r="AY240" i="15" a="1"/>
  <c r="CJ238" i="15" a="1"/>
  <c r="AK237" i="15" a="1"/>
  <c r="AF236" i="15" a="1"/>
  <c r="BZ234" i="15" a="1"/>
  <c r="CB244" i="15" a="1"/>
  <c r="BK233" i="15" a="1"/>
  <c r="BW170" i="15" a="1"/>
  <c r="BI239" i="15" a="1"/>
  <c r="CK235" i="15" a="1"/>
  <c r="BW209" i="15" a="1"/>
  <c r="AJ237" i="15" a="1"/>
  <c r="F235" i="15" a="1"/>
  <c r="BU239" i="15" a="1"/>
  <c r="BK241" i="15" a="1"/>
  <c r="AA285" i="15" a="1"/>
  <c r="CF256" i="15" a="1"/>
  <c r="CP242" i="15" a="1"/>
  <c r="I231" i="15" a="1"/>
  <c r="I268" i="15" a="1"/>
  <c r="CC281" i="15" a="1"/>
  <c r="AN257" i="15" a="1"/>
  <c r="AU249" i="15" a="1"/>
  <c r="BA242" i="15" a="1"/>
  <c r="Y269" i="15" a="1"/>
  <c r="G237" i="15" a="1"/>
  <c r="CQ237" i="15" a="1"/>
  <c r="I235" i="15" a="1"/>
  <c r="V252" i="15" a="1"/>
  <c r="M255" i="15" a="1"/>
  <c r="BW221" i="15" a="1"/>
  <c r="P242" i="15" a="1"/>
  <c r="AA235" i="15" a="1"/>
  <c r="BX212" i="15" a="1"/>
  <c r="CO236" i="15" a="1"/>
  <c r="CN250" i="15" a="1"/>
  <c r="BX181" i="15" a="1"/>
  <c r="BW223" i="15" a="1"/>
  <c r="BY187" i="15" a="1"/>
  <c r="BY191" i="15" a="1"/>
  <c r="BY208" i="15" a="1"/>
  <c r="BY216" i="15" a="1"/>
  <c r="BP286" i="15" a="1"/>
  <c r="CD268" i="15" a="1"/>
  <c r="BT284" i="15" a="1"/>
  <c r="AY235" i="15" a="1"/>
  <c r="AK246" i="15" a="1"/>
  <c r="AI245" i="15" a="1"/>
  <c r="AQ246" i="15" a="1"/>
  <c r="CG244" i="15" a="1"/>
  <c r="K247" i="15" a="1"/>
  <c r="C239" i="15" a="1"/>
  <c r="BB239" i="15" a="1"/>
  <c r="BK252" i="15" a="1"/>
  <c r="BB248" i="15" a="1"/>
  <c r="AC258" i="15" a="1"/>
  <c r="CP238" i="15" a="1"/>
  <c r="W256" i="15" a="1"/>
  <c r="CE249" i="15" a="1"/>
  <c r="R263" i="15" a="1"/>
  <c r="CJ237" i="15" a="1"/>
  <c r="AH239" i="15" a="1"/>
  <c r="BB263" i="15" a="1"/>
  <c r="BU245" i="15" a="1"/>
  <c r="C238" i="15" a="1"/>
  <c r="CF232" i="15" a="1"/>
  <c r="N233" i="15" a="1"/>
  <c r="BX172" i="15" a="1"/>
  <c r="AR269" i="15" a="1"/>
  <c r="BK240" i="15" a="1"/>
  <c r="BW204" i="15" a="1"/>
  <c r="BO232" i="15" a="1"/>
  <c r="CI273" i="15" a="1"/>
  <c r="BT240" i="15" a="1"/>
  <c r="AA233" i="15" a="1"/>
  <c r="BS240" i="15" a="1"/>
  <c r="I258" i="15" a="1"/>
  <c r="R246" i="15" a="1"/>
  <c r="AE235" i="15" a="1"/>
  <c r="BW218" i="15" a="1"/>
  <c r="BY175" i="15" a="1"/>
  <c r="S244" i="15" a="1"/>
  <c r="BQ246" i="15" a="1"/>
  <c r="BI234" i="15" a="1"/>
  <c r="BX179" i="15" a="1"/>
  <c r="AN241" i="15" a="1"/>
  <c r="Y257" i="15" a="1"/>
  <c r="BX171" i="15" a="1"/>
  <c r="BX251" i="15" a="1"/>
  <c r="BO244" i="15" a="1"/>
  <c r="BX203" i="15" a="1"/>
  <c r="AA242" i="15" a="1"/>
  <c r="CQ248" i="15" a="1"/>
  <c r="S237" i="15" a="1"/>
  <c r="BW175" i="15" a="1"/>
  <c r="S243" i="15" a="1"/>
  <c r="CD236" i="15" a="1"/>
  <c r="BW167" i="15" a="1"/>
  <c r="AG253" i="15" a="1"/>
  <c r="BS260" i="15" a="1"/>
  <c r="CN237" i="15" a="1"/>
  <c r="BY182" i="15" a="1"/>
  <c r="CE258" i="15" a="1"/>
  <c r="AM281" i="15" a="1"/>
  <c r="U249" i="15" a="1"/>
  <c r="BX190" i="15" a="1"/>
  <c r="BZ194" i="15" a="1"/>
  <c r="BZ171" i="15" a="1"/>
  <c r="BZ168" i="15" a="1"/>
  <c r="BZ185" i="15" a="1"/>
  <c r="BZ169" i="15" a="1"/>
  <c r="BZ217" i="15" a="1"/>
  <c r="BZ199" i="15" a="1"/>
  <c r="BZ178" i="15" a="1"/>
  <c r="BZ223" i="15" a="1"/>
  <c r="BZ170" i="15" a="1"/>
  <c r="BZ177" i="15" a="1"/>
  <c r="BZ175" i="15" a="1"/>
  <c r="BZ192" i="15" a="1"/>
  <c r="BZ184" i="15" a="1"/>
  <c r="BZ203" i="15" a="1"/>
  <c r="BF267" i="15" a="1"/>
  <c r="AD234" i="15" a="1"/>
  <c r="CD241" i="15" a="1"/>
  <c r="BB242" i="15" a="1"/>
  <c r="AF234" i="15" a="1"/>
  <c r="M247" i="15" a="1"/>
  <c r="BM250" i="15" a="1"/>
  <c r="O238" i="15" a="1"/>
  <c r="BD238" i="15" a="1"/>
  <c r="BH258" i="15" a="1"/>
  <c r="CD245" i="15" a="1"/>
  <c r="I249" i="15" a="1"/>
  <c r="AR233" i="15" a="1"/>
  <c r="BO250" i="15" a="1"/>
  <c r="AO234" i="15" a="1"/>
  <c r="CC237" i="15" a="1"/>
  <c r="BX219" i="15" a="1"/>
  <c r="AP236" i="15" a="1"/>
  <c r="BT242" i="15" a="1"/>
  <c r="H238" i="15" a="1"/>
  <c r="Z234" i="15" a="1"/>
  <c r="CO233" i="15" a="1"/>
  <c r="AV233" i="15" a="1"/>
  <c r="AL242" i="15" a="1"/>
  <c r="J22" i="359" a="1"/>
  <c r="Q22" i="359" a="1"/>
  <c r="M22" i="359" a="1"/>
  <c r="P22" i="359" a="1"/>
  <c r="K22" i="359" a="1"/>
  <c r="S22" i="359" a="1"/>
  <c r="W22" i="359" a="1"/>
  <c r="Y22" i="359" a="1"/>
  <c r="C22" i="359" a="1"/>
  <c r="G22" i="359" a="1"/>
  <c r="CA210" i="15" a="1"/>
  <c r="CA169" i="15" a="1"/>
  <c r="CA186" i="15" a="1"/>
  <c r="CA199" i="15" a="1"/>
  <c r="CA181" i="15" a="1"/>
  <c r="CA177" i="15" a="1"/>
  <c r="CA212" i="15" a="1"/>
  <c r="CA215" i="15" a="1"/>
  <c r="CA180" i="15" a="1"/>
  <c r="CA185" i="15" a="1"/>
  <c r="CA206" i="15" a="1"/>
  <c r="CA211" i="15" a="1"/>
  <c r="CA225" i="15" a="1"/>
  <c r="CA201" i="15" a="1"/>
  <c r="CA220" i="15" a="1"/>
  <c r="CA179" i="15" a="1"/>
  <c r="O22" i="359" a="1"/>
  <c r="R22" i="359" a="1"/>
  <c r="AB22" i="359" a="1"/>
  <c r="AA22" i="359" a="1"/>
  <c r="E22" i="359" a="1"/>
  <c r="H22" i="359" a="1"/>
  <c r="CA205" i="15" a="1"/>
  <c r="CA182" i="15" a="1"/>
  <c r="CA213" i="15" a="1"/>
  <c r="CA198" i="15" a="1"/>
  <c r="CA165" i="15" a="1"/>
  <c r="CA216" i="15" a="1"/>
  <c r="CA193" i="15" a="1"/>
  <c r="CA167" i="15" a="1"/>
  <c r="CA191" i="15" a="1"/>
  <c r="CA209" i="15" a="1"/>
  <c r="CA189" i="15" a="1"/>
  <c r="CA219" i="15" a="1"/>
  <c r="CA214" i="15" a="1"/>
  <c r="CA178" i="15" a="1"/>
  <c r="CA194" i="15" a="1"/>
  <c r="N22" i="359" a="1"/>
  <c r="U22" i="359" a="1"/>
  <c r="AC22" i="359" a="1"/>
  <c r="X22" i="359" a="1"/>
  <c r="D22" i="359" a="1"/>
  <c r="I22" i="359" a="1"/>
  <c r="CA187" i="15" a="1"/>
  <c r="CA196" i="15" a="1"/>
  <c r="CA188" i="15" a="1"/>
  <c r="CA171" i="15" a="1"/>
  <c r="CA174" i="15" a="1"/>
  <c r="CA200" i="15" a="1"/>
  <c r="CA195" i="15" a="1"/>
  <c r="CA183" i="15" a="1"/>
  <c r="CA172" i="15" a="1"/>
  <c r="CA190" i="15" a="1"/>
  <c r="CA207" i="15" a="1"/>
  <c r="CB231" i="15" a="1"/>
  <c r="CA217" i="15" a="1"/>
  <c r="CA166" i="15" a="1"/>
  <c r="CA170" i="15" a="1"/>
  <c r="L22" i="359" a="1"/>
  <c r="T22" i="359" a="1"/>
  <c r="V22" i="359" a="1"/>
  <c r="Z22" i="359" a="1"/>
  <c r="B22" i="359" a="1"/>
  <c r="F22" i="359" a="1"/>
  <c r="CA168" i="15" a="1"/>
  <c r="CA175" i="15" a="1"/>
  <c r="CA197" i="15" a="1"/>
  <c r="CA224" i="15" a="1"/>
  <c r="CA218" i="15" a="1"/>
  <c r="CA203" i="15" a="1"/>
  <c r="CA204" i="15" a="1"/>
  <c r="CA184" i="15" a="1"/>
  <c r="CA202" i="15" a="1"/>
  <c r="CA221" i="15" a="1"/>
  <c r="CA173" i="15" a="1"/>
  <c r="CA176" i="15" a="1"/>
  <c r="CA192" i="15" a="1"/>
  <c r="CA222" i="15" a="1"/>
  <c r="CA223" i="15" a="1"/>
  <c r="CA208" i="15" a="1"/>
  <c r="AL242" i="15" l="1"/>
  <c r="AV233" i="15"/>
  <c r="CO233" i="15"/>
  <c r="Z234" i="15"/>
  <c r="H238" i="15"/>
  <c r="BT242" i="15"/>
  <c r="AP236" i="15"/>
  <c r="BX219" i="15"/>
  <c r="CC237" i="15"/>
  <c r="AO234" i="15"/>
  <c r="BO250" i="15"/>
  <c r="AR233" i="15"/>
  <c r="I249" i="15"/>
  <c r="CD245" i="15"/>
  <c r="BH258" i="15"/>
  <c r="BD238" i="15"/>
  <c r="O238" i="15"/>
  <c r="BM250" i="15"/>
  <c r="M247" i="15"/>
  <c r="AF234" i="15"/>
  <c r="BB242" i="15"/>
  <c r="CD241" i="15"/>
  <c r="AD234" i="15"/>
  <c r="BF267" i="15"/>
  <c r="BZ203" i="15"/>
  <c r="BZ184" i="15"/>
  <c r="BZ192" i="15"/>
  <c r="BZ175" i="15"/>
  <c r="BZ177" i="15"/>
  <c r="BZ170" i="15"/>
  <c r="BZ223" i="15"/>
  <c r="BZ178" i="15"/>
  <c r="BZ199" i="15"/>
  <c r="BZ217" i="15"/>
  <c r="BZ169" i="15"/>
  <c r="BZ185" i="15"/>
  <c r="BZ168" i="15"/>
  <c r="BZ171" i="15"/>
  <c r="BZ194" i="15"/>
  <c r="BX190" i="15"/>
  <c r="U249" i="15"/>
  <c r="AM281" i="15"/>
  <c r="CE258" i="15"/>
  <c r="BY182" i="15"/>
  <c r="CN237" i="15"/>
  <c r="BS260" i="15"/>
  <c r="AG253" i="15"/>
  <c r="BW167" i="15"/>
  <c r="CD236" i="15"/>
  <c r="S243" i="15"/>
  <c r="BW175" i="15"/>
  <c r="S237" i="15"/>
  <c r="CQ248" i="15"/>
  <c r="AA242" i="15"/>
  <c r="BX203" i="15"/>
  <c r="BO244" i="15"/>
  <c r="BX251" i="15"/>
  <c r="BX171" i="15"/>
  <c r="Y257" i="15"/>
  <c r="AN241" i="15"/>
  <c r="BX179" i="15"/>
  <c r="BI234" i="15"/>
  <c r="BQ246" i="15"/>
  <c r="S244" i="15"/>
  <c r="BY175" i="15"/>
  <c r="BW218" i="15"/>
  <c r="AE235" i="15"/>
  <c r="R246" i="15"/>
  <c r="I258" i="15"/>
  <c r="BS240" i="15"/>
  <c r="AA233" i="15"/>
  <c r="BT240" i="15"/>
  <c r="CI273" i="15"/>
  <c r="BO232" i="15"/>
  <c r="BW204" i="15"/>
  <c r="BK240" i="15"/>
  <c r="AR269" i="15"/>
  <c r="BX172" i="15"/>
  <c r="N233" i="15"/>
  <c r="CF232" i="15"/>
  <c r="C238" i="15"/>
  <c r="BU245" i="15"/>
  <c r="BB263" i="15"/>
  <c r="AH239" i="15"/>
  <c r="CJ237" i="15"/>
  <c r="R263" i="15"/>
  <c r="CE249" i="15"/>
  <c r="W256" i="15"/>
  <c r="CP238" i="15"/>
  <c r="AC258" i="15"/>
  <c r="BB248" i="15"/>
  <c r="BK252" i="15"/>
  <c r="BB239" i="15"/>
  <c r="C239" i="15"/>
  <c r="K247" i="15"/>
  <c r="CG244" i="15"/>
  <c r="AQ246" i="15"/>
  <c r="AI245" i="15"/>
  <c r="AK246" i="15"/>
  <c r="AY235" i="15"/>
  <c r="BT284" i="15"/>
  <c r="CD268" i="15"/>
  <c r="BP286" i="15"/>
  <c r="BY216" i="15"/>
  <c r="BY208" i="15"/>
  <c r="BY191" i="15"/>
  <c r="BY187" i="15"/>
  <c r="BW223" i="15"/>
  <c r="BX181" i="15"/>
  <c r="CN250" i="15"/>
  <c r="CO236" i="15"/>
  <c r="BX212" i="15"/>
  <c r="AA235" i="15"/>
  <c r="P242" i="15"/>
  <c r="BW221" i="15"/>
  <c r="M255" i="15"/>
  <c r="V252" i="15"/>
  <c r="I235" i="15"/>
  <c r="CQ237" i="15"/>
  <c r="G237" i="15"/>
  <c r="Y269" i="15"/>
  <c r="BA242" i="15"/>
  <c r="AU249" i="15"/>
  <c r="AN257" i="15"/>
  <c r="CC281" i="15"/>
  <c r="I268" i="15"/>
  <c r="I231" i="15"/>
  <c r="CP242" i="15"/>
  <c r="CF256" i="15"/>
  <c r="AA285" i="15"/>
  <c r="BK241" i="15"/>
  <c r="BU239" i="15"/>
  <c r="F235" i="15"/>
  <c r="AJ237" i="15"/>
  <c r="BW209" i="15"/>
  <c r="CK235" i="15"/>
  <c r="BI239" i="15"/>
  <c r="BW170" i="15"/>
  <c r="BK233" i="15"/>
  <c r="CB244" i="15"/>
  <c r="BZ234" i="15"/>
  <c r="AF236" i="15"/>
  <c r="AK237" i="15"/>
  <c r="CJ238" i="15"/>
  <c r="AY240" i="15"/>
  <c r="BV240" i="15"/>
  <c r="AM246" i="15"/>
  <c r="S275" i="15"/>
  <c r="AZ242" i="15"/>
  <c r="BN249" i="15"/>
  <c r="AO247" i="15"/>
  <c r="U245" i="15"/>
  <c r="P234" i="15"/>
  <c r="O250" i="15"/>
  <c r="AX244" i="15"/>
  <c r="Y245" i="15"/>
  <c r="CI238" i="15"/>
  <c r="CJ253" i="15"/>
  <c r="CH257" i="15"/>
  <c r="BU268" i="15"/>
  <c r="BH252" i="15"/>
  <c r="BP238" i="15"/>
  <c r="BJ239" i="15"/>
  <c r="P250" i="15"/>
  <c r="AO265" i="15"/>
  <c r="K250" i="15"/>
  <c r="CH254" i="15"/>
  <c r="BL255" i="15"/>
  <c r="BY181" i="15"/>
  <c r="BY171" i="15"/>
  <c r="BX208" i="15"/>
  <c r="BW219" i="15"/>
  <c r="CK241" i="15"/>
  <c r="BH238" i="15"/>
  <c r="Z264" i="15"/>
  <c r="AK231" i="15"/>
  <c r="AU237" i="15"/>
  <c r="AJ246" i="15"/>
  <c r="K254" i="15"/>
  <c r="CC250" i="15"/>
  <c r="E239" i="15"/>
  <c r="CC257" i="15"/>
  <c r="BO247" i="15"/>
  <c r="CN271" i="15"/>
  <c r="AY231" i="15"/>
  <c r="AW235" i="15"/>
  <c r="BZ187" i="15"/>
  <c r="BZ166" i="15"/>
  <c r="BZ213" i="15"/>
  <c r="BZ221" i="15"/>
  <c r="BZ181" i="15"/>
  <c r="BZ211" i="15"/>
  <c r="BZ179" i="15"/>
  <c r="BZ219" i="15"/>
  <c r="BY172" i="15"/>
  <c r="CF238" i="15"/>
  <c r="G244" i="15"/>
  <c r="CC254" i="15"/>
  <c r="V231" i="15"/>
  <c r="AK273" i="15"/>
  <c r="BG246" i="15"/>
  <c r="BF247" i="15"/>
  <c r="BY195" i="15"/>
  <c r="J251" i="15"/>
  <c r="CJ233" i="15"/>
  <c r="AF259" i="15"/>
  <c r="BM243" i="15"/>
  <c r="AR239" i="15"/>
  <c r="Z232" i="15"/>
  <c r="BX177" i="15"/>
  <c r="AX239" i="15"/>
  <c r="Z246" i="15"/>
  <c r="BZ202" i="15"/>
  <c r="BZ182" i="15"/>
  <c r="BZ222" i="15"/>
  <c r="BZ198" i="15"/>
  <c r="BZ224" i="15"/>
  <c r="BZ204" i="15"/>
  <c r="BZ186" i="15"/>
  <c r="BZ209" i="15"/>
  <c r="BZ205" i="15"/>
  <c r="BZ207" i="15"/>
  <c r="BZ220" i="15"/>
  <c r="BZ167" i="15"/>
  <c r="BZ215" i="15"/>
  <c r="BZ206" i="15"/>
  <c r="BZ176" i="15"/>
  <c r="AD235" i="15"/>
  <c r="CP252" i="15"/>
  <c r="CA247" i="15"/>
  <c r="BM232" i="15"/>
  <c r="BY210" i="15"/>
  <c r="Z237" i="15"/>
  <c r="CG249" i="15"/>
  <c r="BY169" i="15"/>
  <c r="CD243" i="15"/>
  <c r="CB254" i="15"/>
  <c r="BY207" i="15"/>
  <c r="E235" i="15"/>
  <c r="CB234" i="15"/>
  <c r="AY237" i="15"/>
  <c r="AC239" i="15"/>
  <c r="CQ235" i="15"/>
  <c r="AO235" i="15"/>
  <c r="AX251" i="15"/>
  <c r="AH251" i="15"/>
  <c r="AJ232" i="15"/>
  <c r="AM241" i="15"/>
  <c r="BX175" i="15"/>
  <c r="CI237" i="15"/>
  <c r="BY246" i="15"/>
  <c r="AX234" i="15"/>
  <c r="BY205" i="15"/>
  <c r="CP237" i="15"/>
  <c r="BW222" i="15"/>
  <c r="M235" i="15"/>
  <c r="N236" i="15"/>
  <c r="CG234" i="15"/>
  <c r="BW215" i="15"/>
  <c r="CH242" i="15"/>
  <c r="AJ243" i="15"/>
  <c r="Q249" i="15"/>
  <c r="BA249" i="15"/>
  <c r="BR235" i="15"/>
  <c r="BY254" i="15"/>
  <c r="BX185" i="15"/>
  <c r="T242" i="15"/>
  <c r="AB238" i="15"/>
  <c r="CN238" i="15"/>
  <c r="AI249" i="15"/>
  <c r="AM247" i="15"/>
  <c r="Q263" i="15"/>
  <c r="CR239" i="15"/>
  <c r="BZ232" i="15"/>
  <c r="BI240" i="15"/>
  <c r="X243" i="15"/>
  <c r="Z251" i="15"/>
  <c r="AY241" i="15"/>
  <c r="AK239" i="15"/>
  <c r="Z248" i="15"/>
  <c r="X271" i="15"/>
  <c r="BS254" i="15"/>
  <c r="AX274" i="15"/>
  <c r="G276" i="15"/>
  <c r="BR247" i="15"/>
  <c r="AY250" i="15"/>
  <c r="AS246" i="15"/>
  <c r="BE255" i="15"/>
  <c r="AK251" i="15"/>
  <c r="Y280" i="15"/>
  <c r="BY212" i="15"/>
  <c r="BY193" i="15"/>
  <c r="BY176" i="15"/>
  <c r="BY177" i="15"/>
  <c r="BX184" i="15"/>
  <c r="BW208" i="15"/>
  <c r="CP235" i="15"/>
  <c r="BA240" i="15"/>
  <c r="X237" i="15"/>
  <c r="BX165" i="15"/>
  <c r="I242" i="15"/>
  <c r="F241" i="15"/>
  <c r="BD253" i="15"/>
  <c r="AV240" i="15"/>
  <c r="AS241" i="15"/>
  <c r="BQ231" i="15"/>
  <c r="BL241" i="15"/>
  <c r="BF233" i="15"/>
  <c r="CC253" i="15"/>
  <c r="E240" i="15"/>
  <c r="M238" i="15"/>
  <c r="BR237" i="15"/>
  <c r="AX242" i="15"/>
  <c r="CO242" i="15"/>
  <c r="BE242" i="15"/>
  <c r="CP246" i="15"/>
  <c r="M236" i="15"/>
  <c r="AP231" i="15"/>
  <c r="BO254" i="15"/>
  <c r="BO239" i="15"/>
  <c r="R233" i="15"/>
  <c r="BX167" i="15"/>
  <c r="I245" i="15"/>
  <c r="AW237" i="15"/>
  <c r="BO231" i="15"/>
  <c r="AN253" i="15"/>
  <c r="AO240" i="15"/>
  <c r="AT241" i="15"/>
  <c r="CN239" i="15"/>
  <c r="BX195" i="15"/>
  <c r="G235" i="15"/>
  <c r="AV264" i="15"/>
  <c r="BI255" i="15"/>
  <c r="AC238" i="15"/>
  <c r="R245" i="15"/>
  <c r="L241" i="15"/>
  <c r="E258" i="15"/>
  <c r="CN234" i="15"/>
  <c r="AI240" i="15"/>
  <c r="BV266" i="15"/>
  <c r="BI250" i="15"/>
  <c r="AP233" i="15"/>
  <c r="AT234" i="15"/>
  <c r="O239" i="15"/>
  <c r="BZ260" i="15"/>
  <c r="AF277" i="15"/>
  <c r="CC256" i="15"/>
  <c r="P272" i="15"/>
  <c r="AL288" i="15"/>
  <c r="CP248" i="15"/>
  <c r="U231" i="15"/>
  <c r="BW237" i="15"/>
  <c r="BS246" i="15"/>
  <c r="AT242" i="15"/>
  <c r="AP269" i="15"/>
  <c r="CQ273" i="15"/>
  <c r="BY224" i="15"/>
  <c r="BY174" i="15"/>
  <c r="BI236" i="15"/>
  <c r="BE249" i="15"/>
  <c r="R241" i="15"/>
  <c r="BM240" i="15"/>
  <c r="CN251" i="15"/>
  <c r="S271" i="15"/>
  <c r="CI241" i="15"/>
  <c r="AH238" i="15"/>
  <c r="AE279" i="15"/>
  <c r="BJ234" i="15"/>
  <c r="BJ253" i="15"/>
  <c r="BZ237" i="15"/>
  <c r="AU244" i="15"/>
  <c r="BX216" i="15"/>
  <c r="N278" i="15"/>
  <c r="O235" i="15"/>
  <c r="BZ216" i="15"/>
  <c r="BZ188" i="15"/>
  <c r="BZ165" i="15"/>
  <c r="BZ172" i="15"/>
  <c r="BZ212" i="15"/>
  <c r="BZ201" i="15"/>
  <c r="BZ195" i="15"/>
  <c r="BZ183" i="15"/>
  <c r="CQ243" i="15"/>
  <c r="CH233" i="15"/>
  <c r="BT253" i="15"/>
  <c r="U241" i="15"/>
  <c r="BH249" i="15"/>
  <c r="H252" i="15"/>
  <c r="BX170" i="15"/>
  <c r="BY204" i="15"/>
  <c r="AU248" i="15"/>
  <c r="AY234" i="15"/>
  <c r="AB280" i="15"/>
  <c r="AK254" i="15"/>
  <c r="H231" i="15"/>
  <c r="R238" i="15"/>
  <c r="AS235" i="15"/>
  <c r="CL235" i="15"/>
  <c r="BO258" i="15"/>
  <c r="BL247" i="15"/>
  <c r="BZ197" i="15"/>
  <c r="BZ196" i="15"/>
  <c r="BZ225" i="15"/>
  <c r="BZ189" i="15"/>
  <c r="BZ173" i="15"/>
  <c r="BZ180" i="15"/>
  <c r="BZ191" i="15"/>
  <c r="BZ200" i="15"/>
  <c r="CA231" i="15"/>
  <c r="BZ214" i="15"/>
  <c r="BZ174" i="15"/>
  <c r="BZ210" i="15"/>
  <c r="BZ190" i="15"/>
  <c r="BZ193" i="15"/>
  <c r="BZ218" i="15"/>
  <c r="BZ208" i="15"/>
  <c r="AS232" i="15"/>
  <c r="T233" i="15"/>
  <c r="AP254" i="15"/>
  <c r="CL262" i="15"/>
  <c r="BW195" i="15"/>
  <c r="AZ233" i="15"/>
  <c r="K244" i="15"/>
  <c r="BY221" i="15"/>
  <c r="AB236" i="15"/>
  <c r="AG239" i="15"/>
  <c r="BY168" i="15"/>
  <c r="AO256" i="15"/>
  <c r="AI258" i="15"/>
  <c r="AC234" i="15"/>
  <c r="BY200" i="15"/>
  <c r="BN241" i="15"/>
  <c r="M239" i="15"/>
  <c r="BY186" i="15"/>
  <c r="P239" i="15"/>
  <c r="BW178" i="15"/>
  <c r="BY180" i="15"/>
  <c r="F264" i="15"/>
  <c r="CF258" i="15"/>
  <c r="CH284" i="15"/>
  <c r="BY167" i="15"/>
  <c r="BV236" i="15"/>
  <c r="BX176" i="15"/>
  <c r="R242" i="15"/>
  <c r="Y242" i="15"/>
  <c r="BY249" i="15"/>
  <c r="BQ233" i="15"/>
  <c r="AC242" i="15"/>
  <c r="U232" i="15"/>
  <c r="AC244" i="15"/>
  <c r="X232" i="15"/>
  <c r="AC237" i="15"/>
  <c r="H233" i="15"/>
  <c r="BC262" i="15"/>
  <c r="AF238" i="15"/>
  <c r="BM234" i="15"/>
  <c r="CH240" i="15"/>
  <c r="O241" i="15"/>
  <c r="CE247" i="15"/>
  <c r="AW256" i="15"/>
  <c r="BF237" i="15"/>
  <c r="G238" i="15"/>
  <c r="BX209" i="15"/>
  <c r="Y243" i="15"/>
  <c r="BD254" i="15"/>
  <c r="AB244" i="15"/>
  <c r="AO236" i="15"/>
  <c r="CK254" i="15"/>
  <c r="CK253" i="15"/>
  <c r="Q237" i="15"/>
  <c r="AM245" i="15"/>
  <c r="AT253" i="15"/>
  <c r="BX253" i="15"/>
  <c r="T245" i="15"/>
  <c r="CD237" i="15"/>
  <c r="CN258" i="15"/>
  <c r="BA267" i="15"/>
  <c r="G260" i="15"/>
  <c r="BJ276" i="15"/>
  <c r="BY202" i="15"/>
  <c r="BY215" i="15"/>
  <c r="BY223" i="15"/>
  <c r="BY173" i="15"/>
  <c r="BX188" i="15"/>
  <c r="CA241" i="15"/>
  <c r="BC246" i="15"/>
  <c r="BX192" i="15"/>
  <c r="AD237" i="15"/>
  <c r="BW183" i="15"/>
  <c r="BZ241" i="15"/>
  <c r="AM244" i="15"/>
  <c r="BH234" i="15"/>
  <c r="BP233" i="15"/>
  <c r="BR240" i="15"/>
  <c r="BG239" i="15"/>
  <c r="T234" i="15"/>
  <c r="BU265" i="15"/>
  <c r="BI235" i="15"/>
  <c r="BU231" i="15"/>
  <c r="AX247" i="15"/>
  <c r="Z243" i="15"/>
  <c r="AO244" i="15"/>
  <c r="BK248" i="15"/>
  <c r="J246" i="15"/>
  <c r="N240" i="15"/>
  <c r="AF246" i="15"/>
  <c r="C256" i="15"/>
  <c r="AE253" i="15"/>
  <c r="BX237" i="15"/>
  <c r="CF240" i="15"/>
  <c r="BX166" i="15"/>
  <c r="BA254" i="15"/>
  <c r="BW191" i="15"/>
  <c r="AC240" i="15"/>
  <c r="AO251" i="15"/>
  <c r="BB233" i="15"/>
  <c r="O242" i="15"/>
  <c r="AS237" i="15"/>
  <c r="C240" i="15"/>
  <c r="CK249" i="15"/>
  <c r="AJ240" i="15"/>
  <c r="BP231" i="15"/>
  <c r="CF248" i="15"/>
  <c r="S232" i="15"/>
  <c r="AN244" i="15"/>
  <c r="T262" i="15"/>
  <c r="AC265" i="15"/>
  <c r="CH237" i="15"/>
  <c r="BO233" i="15"/>
  <c r="Z255" i="15"/>
  <c r="CI234" i="15"/>
  <c r="CM246" i="15"/>
  <c r="CQ238" i="15"/>
  <c r="Q281" i="15"/>
  <c r="CF260" i="15"/>
  <c r="CC239" i="15"/>
  <c r="AV262" i="15"/>
  <c r="BT272" i="15"/>
  <c r="AE231" i="15"/>
  <c r="W241" i="15"/>
  <c r="AB251" i="15"/>
  <c r="BJ270" i="15"/>
  <c r="AZ241" i="15"/>
  <c r="E233" i="15"/>
  <c r="AD274" i="15"/>
  <c r="BY190" i="15"/>
  <c r="BY218" i="15"/>
  <c r="L243" i="15"/>
  <c r="BX218" i="15"/>
  <c r="BX205" i="15"/>
  <c r="BD234" i="15"/>
  <c r="H235" i="15"/>
  <c r="AA241" i="15"/>
  <c r="CK243" i="15"/>
  <c r="C234" i="15"/>
  <c r="CJ242" i="15"/>
  <c r="BW199" i="15"/>
  <c r="AP234" i="15"/>
  <c r="G243" i="15"/>
  <c r="BV233" i="15"/>
  <c r="AP274" i="15"/>
  <c r="BL250" i="15"/>
  <c r="BA262" i="15"/>
  <c r="AR270" i="15"/>
  <c r="R273" i="15"/>
  <c r="CF291" i="15"/>
  <c r="BY166" i="15"/>
  <c r="BY209" i="15"/>
  <c r="BY220" i="15"/>
  <c r="BY196" i="15"/>
  <c r="CQ241" i="15"/>
  <c r="BX225" i="15"/>
  <c r="AG235" i="15"/>
  <c r="BT238" i="15"/>
  <c r="AX232" i="15"/>
  <c r="BU233" i="15"/>
  <c r="BN232" i="15"/>
  <c r="AF242" i="15"/>
  <c r="BA250" i="15"/>
  <c r="AF247" i="15"/>
  <c r="AR235" i="15"/>
  <c r="CK239" i="15"/>
  <c r="BA231" i="15"/>
  <c r="P258" i="15"/>
  <c r="AX249" i="15"/>
  <c r="AZ238" i="15"/>
  <c r="BW203" i="15"/>
  <c r="AQ231" i="15"/>
  <c r="AS231" i="15"/>
  <c r="BP262" i="15"/>
  <c r="AJ254" i="15"/>
  <c r="H241" i="15"/>
  <c r="O282" i="15"/>
  <c r="BW172" i="15"/>
  <c r="AO241" i="15"/>
  <c r="P275" i="15"/>
  <c r="BS248" i="15"/>
  <c r="BQ236" i="15"/>
  <c r="BR250" i="15"/>
  <c r="AI243" i="15"/>
  <c r="CH241" i="15"/>
  <c r="BI265" i="15"/>
  <c r="BQ249" i="15"/>
  <c r="AG232" i="15"/>
  <c r="AO254" i="15"/>
  <c r="AD258" i="15"/>
  <c r="BK231" i="15"/>
  <c r="Y260" i="15"/>
  <c r="BW181" i="15"/>
  <c r="L232" i="15"/>
  <c r="BB268" i="15"/>
  <c r="T266" i="15"/>
  <c r="K232" i="15"/>
  <c r="BK237" i="15"/>
  <c r="BC244" i="15"/>
  <c r="N237" i="15"/>
  <c r="Z233" i="15"/>
  <c r="N239" i="15"/>
  <c r="P240" i="15"/>
  <c r="AP235" i="15"/>
  <c r="BD255" i="15"/>
  <c r="AJ231" i="15"/>
  <c r="CB285" i="15"/>
  <c r="CO254" i="15"/>
  <c r="BI238" i="15"/>
  <c r="CO251" i="15"/>
  <c r="CF242" i="15"/>
  <c r="L231" i="15"/>
  <c r="CD238" i="15"/>
  <c r="CR250" i="15"/>
  <c r="BI248" i="15"/>
  <c r="AE283" i="15"/>
  <c r="BY225" i="15"/>
  <c r="BY194" i="15"/>
  <c r="BX221" i="15"/>
  <c r="AQ241" i="15"/>
  <c r="BW180" i="15"/>
  <c r="M260" i="15"/>
  <c r="CC270" i="15"/>
  <c r="CB248" i="15"/>
  <c r="BJ247" i="15"/>
  <c r="CD259" i="15"/>
  <c r="Q243" i="15"/>
  <c r="CP253" i="15"/>
  <c r="CE244" i="15"/>
  <c r="BP267" i="15"/>
  <c r="BT251" i="15"/>
  <c r="BW210" i="15"/>
  <c r="CQ240" i="15"/>
  <c r="M251" i="15"/>
  <c r="K260" i="15"/>
  <c r="BG235" i="15"/>
  <c r="AC260" i="15"/>
  <c r="AL234" i="15"/>
  <c r="Y236" i="15"/>
  <c r="CO247" i="15"/>
  <c r="V253" i="15"/>
  <c r="BW196" i="15"/>
  <c r="AV238" i="15"/>
  <c r="O240" i="15"/>
  <c r="AT274" i="15"/>
  <c r="CL267" i="15"/>
  <c r="C257" i="15"/>
  <c r="CQ242" i="15"/>
  <c r="AL267" i="15"/>
  <c r="BI232" i="15"/>
  <c r="BD235" i="15"/>
  <c r="BS237" i="15"/>
  <c r="BK234" i="15"/>
  <c r="AS257" i="15"/>
  <c r="CQ245" i="15"/>
  <c r="BN234" i="15"/>
  <c r="CP239" i="15"/>
  <c r="T235" i="15"/>
  <c r="AT233" i="15"/>
  <c r="AX236" i="15"/>
  <c r="BO245" i="15"/>
  <c r="CN253" i="15"/>
  <c r="BE241" i="15"/>
  <c r="AY239" i="15"/>
  <c r="AP282" i="15"/>
  <c r="I237" i="15"/>
  <c r="BI231" i="15"/>
  <c r="AJ283" i="15"/>
  <c r="BA252" i="15"/>
  <c r="BT250" i="15"/>
  <c r="BJ236" i="15"/>
  <c r="CM239" i="15"/>
  <c r="P254" i="15"/>
  <c r="AZ232" i="15"/>
  <c r="BF260" i="15"/>
  <c r="BB255" i="15"/>
  <c r="CG277" i="15"/>
  <c r="AX254" i="15"/>
  <c r="AS250" i="15"/>
  <c r="BG254" i="15"/>
  <c r="AI235" i="15"/>
  <c r="BU271" i="15"/>
  <c r="BX183" i="15"/>
  <c r="AO252" i="15"/>
  <c r="AO238" i="15"/>
  <c r="Q242" i="15"/>
  <c r="AT248" i="15"/>
  <c r="BW216" i="15"/>
  <c r="BU232" i="15"/>
  <c r="BX168" i="15"/>
  <c r="BX247" i="15"/>
  <c r="S265" i="15"/>
  <c r="CK244" i="15"/>
  <c r="BJ238" i="15"/>
  <c r="BN237" i="15"/>
  <c r="AL235" i="15"/>
  <c r="BB254" i="15"/>
  <c r="BY222" i="15"/>
  <c r="BY179" i="15"/>
  <c r="BY170" i="15"/>
  <c r="BY189" i="15"/>
  <c r="BX198" i="15"/>
  <c r="AH232" i="15"/>
  <c r="CQ236" i="15"/>
  <c r="BX191" i="15"/>
  <c r="BM231" i="15"/>
  <c r="AJ244" i="15"/>
  <c r="BF248" i="15"/>
  <c r="BZ255" i="15"/>
  <c r="X240" i="15"/>
  <c r="CB239" i="15"/>
  <c r="BI247" i="15"/>
  <c r="AB245" i="15"/>
  <c r="AJ236" i="15"/>
  <c r="BM261" i="15"/>
  <c r="Q253" i="15"/>
  <c r="BD243" i="15"/>
  <c r="AK245" i="15"/>
  <c r="BY241" i="15"/>
  <c r="E243" i="15"/>
  <c r="BC234" i="15"/>
  <c r="CR240" i="15"/>
  <c r="BZ262" i="15"/>
  <c r="C242" i="15"/>
  <c r="BB247" i="15"/>
  <c r="AU242" i="15"/>
  <c r="CL254" i="15"/>
  <c r="Z244" i="15"/>
  <c r="T243" i="15"/>
  <c r="F252" i="15"/>
  <c r="CC246" i="15"/>
  <c r="BG234" i="15"/>
  <c r="BF244" i="15"/>
  <c r="AX253" i="15"/>
  <c r="S236" i="15"/>
  <c r="CN246" i="15"/>
  <c r="K239" i="15"/>
  <c r="AL241" i="15"/>
  <c r="BB238" i="15"/>
  <c r="BX211" i="15"/>
  <c r="CK234" i="15"/>
  <c r="AL240" i="15"/>
  <c r="AW231" i="15"/>
  <c r="CK285" i="15"/>
  <c r="BH242" i="15"/>
  <c r="AW232" i="15"/>
  <c r="BD231" i="15"/>
  <c r="AC270" i="15"/>
  <c r="BM233" i="15"/>
  <c r="CG232" i="15"/>
  <c r="AQ258" i="15"/>
  <c r="BU235" i="15"/>
  <c r="AL232" i="15"/>
  <c r="BH240" i="15"/>
  <c r="BF250" i="15"/>
  <c r="BZ240" i="15"/>
  <c r="CF236" i="15"/>
  <c r="CE235" i="15"/>
  <c r="AX238" i="15"/>
  <c r="R250" i="15"/>
  <c r="CH265" i="15"/>
  <c r="BV241" i="15"/>
  <c r="CI253" i="15"/>
  <c r="C245" i="15"/>
  <c r="BL238" i="15"/>
  <c r="BU243" i="15"/>
  <c r="AY258" i="15"/>
  <c r="CB247" i="15"/>
  <c r="R239" i="15"/>
  <c r="CL248" i="15"/>
  <c r="BX242" i="15"/>
  <c r="CR248" i="15"/>
  <c r="BB236" i="15"/>
  <c r="AI251" i="15"/>
  <c r="BC256" i="15"/>
  <c r="AO258" i="15"/>
  <c r="CE240" i="15"/>
  <c r="AA248" i="15"/>
  <c r="BY247" i="15"/>
  <c r="BW234" i="15"/>
  <c r="H242" i="15"/>
  <c r="K257" i="15"/>
  <c r="AK238" i="15"/>
  <c r="AV246" i="15"/>
  <c r="BX240" i="15"/>
  <c r="CF244" i="15"/>
  <c r="BJ258" i="15"/>
  <c r="R253" i="15"/>
  <c r="G241" i="15"/>
  <c r="BK258" i="15"/>
  <c r="CM260" i="15"/>
  <c r="BC257" i="15"/>
  <c r="BY277" i="15"/>
  <c r="BK277" i="15"/>
  <c r="AX231" i="15"/>
  <c r="BS268" i="15"/>
  <c r="C246" i="15"/>
  <c r="BW255" i="15"/>
  <c r="U253" i="15"/>
  <c r="T244" i="15"/>
  <c r="BX261" i="15"/>
  <c r="C244" i="15"/>
  <c r="CA244" i="15"/>
  <c r="AQ232" i="15"/>
  <c r="BH232" i="15"/>
  <c r="CR241" i="15"/>
  <c r="AZ253" i="15"/>
  <c r="CJ245" i="15"/>
  <c r="P276" i="15"/>
  <c r="AW250" i="15"/>
  <c r="V242" i="15"/>
  <c r="AK243" i="15"/>
  <c r="BH251" i="15"/>
  <c r="AL236" i="15"/>
  <c r="BO253" i="15"/>
  <c r="Q250" i="15"/>
  <c r="T232" i="15"/>
  <c r="BR251" i="15"/>
  <c r="K249" i="15"/>
  <c r="AE284" i="15"/>
  <c r="CR242" i="15"/>
  <c r="AL247" i="15"/>
  <c r="AP270" i="15"/>
  <c r="AA244" i="15"/>
  <c r="Q264" i="15"/>
  <c r="CK247" i="15"/>
  <c r="BO282" i="15"/>
  <c r="BB256" i="15"/>
  <c r="BH244" i="15"/>
  <c r="BR244" i="15"/>
  <c r="AG249" i="15"/>
  <c r="BD264" i="15"/>
  <c r="BW271" i="15"/>
  <c r="AB248" i="15"/>
  <c r="AE237" i="15"/>
  <c r="P255" i="15"/>
  <c r="BR254" i="15"/>
  <c r="CQ255" i="15"/>
  <c r="CL253" i="15"/>
  <c r="J255" i="15"/>
  <c r="AA238" i="15"/>
  <c r="S287" i="15"/>
  <c r="T247" i="15"/>
  <c r="CH262" i="15"/>
  <c r="U248" i="15"/>
  <c r="BG263" i="15"/>
  <c r="BM285" i="15"/>
  <c r="AF261" i="15"/>
  <c r="BP255" i="15"/>
  <c r="AN259" i="15"/>
  <c r="AF264" i="15"/>
  <c r="BJ272" i="15"/>
  <c r="AJ261" i="15"/>
  <c r="W283" i="15"/>
  <c r="BT255" i="15"/>
  <c r="BU273" i="15"/>
  <c r="AH272" i="15"/>
  <c r="CQ270" i="15"/>
  <c r="BW225" i="15"/>
  <c r="AO232" i="15"/>
  <c r="AH233" i="15"/>
  <c r="CM233" i="15"/>
  <c r="BE240" i="15"/>
  <c r="AH270" i="15"/>
  <c r="CG238" i="15"/>
  <c r="AS256" i="15"/>
  <c r="N254" i="15"/>
  <c r="AZ237" i="15"/>
  <c r="CB238" i="15"/>
  <c r="CH259" i="15"/>
  <c r="J237" i="15"/>
  <c r="AR247" i="15"/>
  <c r="BQ232" i="15"/>
  <c r="BC233" i="15"/>
  <c r="BI272" i="15"/>
  <c r="AJ234" i="15"/>
  <c r="AK250" i="15"/>
  <c r="AB249" i="15"/>
  <c r="BX257" i="15"/>
  <c r="CP232" i="15"/>
  <c r="AN238" i="15"/>
  <c r="AL270" i="15"/>
  <c r="X249" i="15"/>
  <c r="CO240" i="15"/>
  <c r="AT243" i="15"/>
  <c r="AR256" i="15"/>
  <c r="BM235" i="15"/>
  <c r="AJ242" i="15"/>
  <c r="C235" i="15"/>
  <c r="L250" i="15"/>
  <c r="AW239" i="15"/>
  <c r="F243" i="15"/>
  <c r="AH244" i="15"/>
  <c r="BW252" i="15"/>
  <c r="M240" i="15"/>
  <c r="AG268" i="15"/>
  <c r="AQ240" i="15"/>
  <c r="BQ239" i="15"/>
  <c r="BO237" i="15"/>
  <c r="AC236" i="15"/>
  <c r="BU237" i="15"/>
  <c r="H266" i="15"/>
  <c r="BV234" i="15"/>
  <c r="BN238" i="15"/>
  <c r="U271" i="15"/>
  <c r="BK244" i="15"/>
  <c r="R248" i="15"/>
  <c r="F251" i="15"/>
  <c r="P233" i="15"/>
  <c r="CK262" i="15"/>
  <c r="BX182" i="15"/>
  <c r="CK236" i="15"/>
  <c r="BW206" i="15"/>
  <c r="BW168" i="15"/>
  <c r="CI242" i="15"/>
  <c r="L251" i="15"/>
  <c r="BE279" i="15"/>
  <c r="Q244" i="15"/>
  <c r="BY250" i="15"/>
  <c r="CP260" i="15"/>
  <c r="CM240" i="15"/>
  <c r="BJ275" i="15"/>
  <c r="AE232" i="15"/>
  <c r="R244" i="15"/>
  <c r="H254" i="15"/>
  <c r="BV238" i="15"/>
  <c r="BX222" i="15"/>
  <c r="H243" i="15"/>
  <c r="BW224" i="15"/>
  <c r="AM234" i="15"/>
  <c r="L233" i="15"/>
  <c r="V251" i="15"/>
  <c r="BE248" i="15"/>
  <c r="BM245" i="15"/>
  <c r="CB259" i="15"/>
  <c r="CQ272" i="15"/>
  <c r="AC251" i="15"/>
  <c r="BJ274" i="15"/>
  <c r="Y238" i="15"/>
  <c r="P252" i="15"/>
  <c r="J248" i="15"/>
  <c r="S256" i="15"/>
  <c r="AS254" i="15"/>
  <c r="AO243" i="15"/>
  <c r="CD232" i="15"/>
  <c r="BW239" i="15"/>
  <c r="BP245" i="15"/>
  <c r="BG232" i="15"/>
  <c r="K264" i="15"/>
  <c r="CC241" i="15"/>
  <c r="V234" i="15"/>
  <c r="AR266" i="15"/>
  <c r="S247" i="15"/>
  <c r="Y231" i="15"/>
  <c r="AI247" i="15"/>
  <c r="CJ258" i="15"/>
  <c r="AF252" i="15"/>
  <c r="F231" i="15"/>
  <c r="CL251" i="15"/>
  <c r="CA245" i="15"/>
  <c r="AI253" i="15"/>
  <c r="AB264" i="15"/>
  <c r="BF259" i="15"/>
  <c r="AT264" i="15"/>
  <c r="AK275" i="15"/>
  <c r="CM252" i="15"/>
  <c r="AO231" i="15"/>
  <c r="BG243" i="15"/>
  <c r="Z262" i="15"/>
  <c r="CK255" i="15"/>
  <c r="BS234" i="15"/>
  <c r="BX255" i="15"/>
  <c r="BK242" i="15"/>
  <c r="V238" i="15"/>
  <c r="BJ244" i="15"/>
  <c r="AK256" i="15"/>
  <c r="J253" i="15"/>
  <c r="AL248" i="15"/>
  <c r="CI264" i="15"/>
  <c r="AY291" i="15"/>
  <c r="BY211" i="15"/>
  <c r="BY201" i="15"/>
  <c r="BY188" i="15"/>
  <c r="BZ231" i="15"/>
  <c r="R243" i="15"/>
  <c r="BX189" i="15"/>
  <c r="CH250" i="15"/>
  <c r="P243" i="15"/>
  <c r="BX215" i="15"/>
  <c r="BW189" i="15"/>
  <c r="T249" i="15"/>
  <c r="BW176" i="15"/>
  <c r="AU235" i="15"/>
  <c r="BY266" i="15"/>
  <c r="BK250" i="15"/>
  <c r="CG243" i="15"/>
  <c r="L246" i="15"/>
  <c r="AS261" i="15"/>
  <c r="BW251" i="15"/>
  <c r="BE233" i="15"/>
  <c r="AA245" i="15"/>
  <c r="H232" i="15"/>
  <c r="CM242" i="15"/>
  <c r="BO248" i="15"/>
  <c r="AO260" i="15"/>
  <c r="CR238" i="15"/>
  <c r="AN250" i="15"/>
  <c r="F234" i="15"/>
  <c r="AO262" i="15"/>
  <c r="L239" i="15"/>
  <c r="P237" i="15"/>
  <c r="AC231" i="15"/>
  <c r="BC267" i="15"/>
  <c r="BP235" i="15"/>
  <c r="AL237" i="15"/>
  <c r="CM238" i="15"/>
  <c r="AH266" i="15"/>
  <c r="BM259" i="15"/>
  <c r="F233" i="15"/>
  <c r="E255" i="15"/>
  <c r="BM252" i="15"/>
  <c r="BD272" i="15"/>
  <c r="BX180" i="15"/>
  <c r="BX239" i="15"/>
  <c r="BG236" i="15"/>
  <c r="AD233" i="15"/>
  <c r="BW173" i="15"/>
  <c r="CQ233" i="15"/>
  <c r="BX244" i="15"/>
  <c r="CQ252" i="15"/>
  <c r="G231" i="15"/>
  <c r="BJ242" i="15"/>
  <c r="AA247" i="15"/>
  <c r="K270" i="15"/>
  <c r="X238" i="15"/>
  <c r="G261" i="15"/>
  <c r="BR236" i="15"/>
  <c r="BX213" i="15"/>
  <c r="BL237" i="15"/>
  <c r="CR233" i="15"/>
  <c r="BG251" i="15"/>
  <c r="BN266" i="15"/>
  <c r="N238" i="15"/>
  <c r="AY265" i="15"/>
  <c r="K269" i="15"/>
  <c r="BH231" i="15"/>
  <c r="R249" i="15"/>
  <c r="CE248" i="15"/>
  <c r="Z236" i="15"/>
  <c r="BG259" i="15"/>
  <c r="AI260" i="15"/>
  <c r="AX235" i="15"/>
  <c r="BW254" i="15"/>
  <c r="N235" i="15"/>
  <c r="CO244" i="15"/>
  <c r="R237" i="15"/>
  <c r="AV249" i="15"/>
  <c r="T252" i="15"/>
  <c r="BQ237" i="15"/>
  <c r="G248" i="15"/>
  <c r="CM248" i="15"/>
  <c r="W233" i="15"/>
  <c r="CO258" i="15"/>
  <c r="CL238" i="15"/>
  <c r="BX252" i="15"/>
  <c r="BW166" i="15"/>
  <c r="U238" i="15"/>
  <c r="BB235" i="15"/>
  <c r="CO274" i="15"/>
  <c r="U242" i="15"/>
  <c r="I290" i="15"/>
  <c r="AB258" i="15"/>
  <c r="Y233" i="15"/>
  <c r="CM269" i="15"/>
  <c r="BQ267" i="15"/>
  <c r="CI257" i="15"/>
  <c r="CR289" i="15"/>
  <c r="AZ248" i="15"/>
  <c r="AU276" i="15"/>
  <c r="E244" i="15"/>
  <c r="CC271" i="15"/>
  <c r="W246" i="15"/>
  <c r="AI234" i="15"/>
  <c r="BS263" i="15"/>
  <c r="R240" i="15"/>
  <c r="M248" i="15"/>
  <c r="H244" i="15"/>
  <c r="CG233" i="15"/>
  <c r="AV259" i="15"/>
  <c r="BS235" i="15"/>
  <c r="BL261" i="15"/>
  <c r="BM249" i="15"/>
  <c r="BX248" i="15"/>
  <c r="AA254" i="15"/>
  <c r="M271" i="15"/>
  <c r="AG282" i="15"/>
  <c r="BY185" i="15"/>
  <c r="BY214" i="15"/>
  <c r="BY199" i="15"/>
  <c r="BY183" i="15"/>
  <c r="BW184" i="15"/>
  <c r="BX169" i="15"/>
  <c r="AO239" i="15"/>
  <c r="BX207" i="15"/>
  <c r="AB239" i="15"/>
  <c r="CB233" i="15"/>
  <c r="CI247" i="15"/>
  <c r="BW207" i="15"/>
  <c r="BK238" i="15"/>
  <c r="BY242" i="15"/>
  <c r="CB240" i="15"/>
  <c r="E288" i="15"/>
  <c r="AU266" i="15"/>
  <c r="BI261" i="15"/>
  <c r="BQ241" i="15"/>
  <c r="CC238" i="15"/>
  <c r="CQ279" i="15"/>
  <c r="AP241" i="15"/>
  <c r="C253" i="15"/>
  <c r="CA238" i="15"/>
  <c r="BZ252" i="15"/>
  <c r="CN248" i="15"/>
  <c r="BJ243" i="15"/>
  <c r="BW211" i="15"/>
  <c r="AL239" i="15"/>
  <c r="AG233" i="15"/>
  <c r="BH247" i="15"/>
  <c r="AW247" i="15"/>
  <c r="BY236" i="15"/>
  <c r="AL258" i="15"/>
  <c r="BO234" i="15"/>
  <c r="BS245" i="15"/>
  <c r="Z263" i="15"/>
  <c r="V237" i="15"/>
  <c r="CQ239" i="15"/>
  <c r="BW242" i="15"/>
  <c r="BS241" i="15"/>
  <c r="BL236" i="15"/>
  <c r="BX224" i="15"/>
  <c r="CA233" i="15"/>
  <c r="CH248" i="15"/>
  <c r="BG237" i="15"/>
  <c r="BF246" i="15"/>
  <c r="AG231" i="15"/>
  <c r="AC261" i="15"/>
  <c r="X235" i="15"/>
  <c r="BA241" i="15"/>
  <c r="BP236" i="15"/>
  <c r="BR238" i="15"/>
  <c r="BA259" i="15"/>
  <c r="U254" i="15"/>
  <c r="CB258" i="15"/>
  <c r="BE237" i="15"/>
  <c r="BX199" i="15"/>
  <c r="BD250" i="15"/>
  <c r="H236" i="15"/>
  <c r="BW241" i="15"/>
  <c r="Q235" i="15"/>
  <c r="Y251" i="15"/>
  <c r="BS233" i="15"/>
  <c r="CP247" i="15"/>
  <c r="K242" i="15"/>
  <c r="Q238" i="15"/>
  <c r="BZ244" i="15"/>
  <c r="AV234" i="15"/>
  <c r="CO250" i="15"/>
  <c r="BB249" i="15"/>
  <c r="AR234" i="15"/>
  <c r="O273" i="15"/>
  <c r="CH239" i="15"/>
  <c r="BM246" i="15"/>
  <c r="BC272" i="15"/>
  <c r="AZ235" i="15"/>
  <c r="BY261" i="15"/>
  <c r="CE263" i="15"/>
  <c r="AQ238" i="15"/>
  <c r="Q255" i="15"/>
  <c r="BE246" i="15"/>
  <c r="CN244" i="15"/>
  <c r="V236" i="15"/>
  <c r="AM251" i="15"/>
  <c r="AL245" i="15"/>
  <c r="CH235" i="15"/>
  <c r="CC244" i="15"/>
  <c r="S252" i="15"/>
  <c r="AM243" i="15"/>
  <c r="AN258" i="15"/>
  <c r="AS249" i="15"/>
  <c r="BP253" i="15"/>
  <c r="BG271" i="15"/>
  <c r="AQ267" i="15"/>
  <c r="L265" i="15"/>
  <c r="CJ273" i="15"/>
  <c r="AD242" i="15"/>
  <c r="BB250" i="15"/>
  <c r="CP251" i="15"/>
  <c r="CO232" i="15"/>
  <c r="CB255" i="15"/>
  <c r="BW238" i="15"/>
  <c r="AC235" i="15"/>
  <c r="BL240" i="15"/>
  <c r="J265" i="15"/>
  <c r="AQ247" i="15"/>
  <c r="AC243" i="15"/>
  <c r="I234" i="15"/>
  <c r="CI261" i="15"/>
  <c r="BS252" i="15"/>
  <c r="CD276" i="15"/>
  <c r="AV241" i="15"/>
  <c r="AY243" i="15"/>
  <c r="AI238" i="15"/>
  <c r="BA234" i="15"/>
  <c r="C236" i="15"/>
  <c r="M252" i="15"/>
  <c r="H277" i="15"/>
  <c r="AU241" i="15"/>
  <c r="CI268" i="15"/>
  <c r="AN266" i="15"/>
  <c r="F246" i="15"/>
  <c r="AL252" i="15"/>
  <c r="BH254" i="15"/>
  <c r="AS263" i="15"/>
  <c r="CH268" i="15"/>
  <c r="BO246" i="15"/>
  <c r="BG278" i="15"/>
  <c r="AP286" i="15"/>
  <c r="CN235" i="15"/>
  <c r="BD269" i="15"/>
  <c r="AZ257" i="15"/>
  <c r="BM282" i="15"/>
  <c r="AP259" i="15"/>
  <c r="CG253" i="15"/>
  <c r="AM257" i="15"/>
  <c r="AQ251" i="15"/>
  <c r="BJ252" i="15"/>
  <c r="BF254" i="15"/>
  <c r="Q259" i="15"/>
  <c r="CA256" i="15"/>
  <c r="AA236" i="15"/>
  <c r="CK252" i="15"/>
  <c r="CK240" i="15"/>
  <c r="BH268" i="15"/>
  <c r="X253" i="15"/>
  <c r="BZ285" i="15"/>
  <c r="CR274" i="15"/>
  <c r="CH261" i="15"/>
  <c r="BE257" i="15"/>
  <c r="BH290" i="15"/>
  <c r="CN263" i="15"/>
  <c r="BP275" i="15"/>
  <c r="CD269" i="15"/>
  <c r="CH251" i="15"/>
  <c r="AO271" i="15"/>
  <c r="F278" i="15"/>
  <c r="CE273" i="15"/>
  <c r="Y259" i="15"/>
  <c r="BG284" i="15"/>
  <c r="W251" i="15"/>
  <c r="CL237" i="15"/>
  <c r="BW187" i="15"/>
  <c r="CC245" i="15"/>
  <c r="CP236" i="15"/>
  <c r="BI237" i="15"/>
  <c r="AP249" i="15"/>
  <c r="AO248" i="15"/>
  <c r="F253" i="15"/>
  <c r="AF273" i="15"/>
  <c r="AZ243" i="15"/>
  <c r="CM257" i="15"/>
  <c r="G240" i="15"/>
  <c r="Y254" i="15"/>
  <c r="BY248" i="15"/>
  <c r="T236" i="15"/>
  <c r="AN243" i="15"/>
  <c r="CQ247" i="15"/>
  <c r="U233" i="15"/>
  <c r="AH234" i="15"/>
  <c r="BG241" i="15"/>
  <c r="P235" i="15"/>
  <c r="O251" i="15"/>
  <c r="BT246" i="15"/>
  <c r="AA286" i="15"/>
  <c r="AN239" i="15"/>
  <c r="BB252" i="15"/>
  <c r="BL235" i="15"/>
  <c r="AW254" i="15"/>
  <c r="BY231" i="15"/>
  <c r="K231" i="15"/>
  <c r="BI245" i="15"/>
  <c r="T238" i="15"/>
  <c r="BW201" i="15"/>
  <c r="CI233" i="15"/>
  <c r="CB232" i="15"/>
  <c r="AV247" i="15"/>
  <c r="BD263" i="15"/>
  <c r="AW241" i="15"/>
  <c r="O247" i="15"/>
  <c r="CN236" i="15"/>
  <c r="AR246" i="15"/>
  <c r="BC241" i="15"/>
  <c r="BA243" i="15"/>
  <c r="AQ254" i="15"/>
  <c r="BP242" i="15"/>
  <c r="AY233" i="15"/>
  <c r="BU240" i="15"/>
  <c r="AK234" i="15"/>
  <c r="BW200" i="15"/>
  <c r="CP258" i="15"/>
  <c r="AV242" i="15"/>
  <c r="S249" i="15"/>
  <c r="AP242" i="15"/>
  <c r="AA251" i="15"/>
  <c r="BW193" i="15"/>
  <c r="BW205" i="15"/>
  <c r="AU251" i="15"/>
  <c r="X241" i="15"/>
  <c r="BR264" i="15"/>
  <c r="X250" i="15"/>
  <c r="L237" i="15"/>
  <c r="O233" i="15"/>
  <c r="BF252" i="15"/>
  <c r="AM249" i="15"/>
  <c r="Y253" i="15"/>
  <c r="AE241" i="15"/>
  <c r="BV242" i="15"/>
  <c r="AY238" i="15"/>
  <c r="BW257" i="15"/>
  <c r="BX206" i="15"/>
  <c r="BW185" i="15"/>
  <c r="O232" i="15"/>
  <c r="X231" i="15"/>
  <c r="BQ252" i="15"/>
  <c r="V250" i="15"/>
  <c r="CA243" i="15"/>
  <c r="P273" i="15"/>
  <c r="AW245" i="15"/>
  <c r="BR268" i="15"/>
  <c r="W240" i="15"/>
  <c r="Q246" i="15"/>
  <c r="BE243" i="15"/>
  <c r="CO249" i="15"/>
  <c r="BS250" i="15"/>
  <c r="CG264" i="15"/>
  <c r="BK247" i="15"/>
  <c r="AR237" i="15"/>
  <c r="W244" i="15"/>
  <c r="CQ259" i="15"/>
  <c r="BE251" i="15"/>
  <c r="CB249" i="15"/>
  <c r="CI244" i="15"/>
  <c r="AM264" i="15"/>
  <c r="BQ255" i="15"/>
  <c r="BS239" i="15"/>
  <c r="Z271" i="15"/>
  <c r="AD270" i="15"/>
  <c r="AE265" i="15"/>
  <c r="AQ236" i="15"/>
  <c r="BH243" i="15"/>
  <c r="J262" i="15"/>
  <c r="Q254" i="15"/>
  <c r="T256" i="15"/>
  <c r="CL243" i="15"/>
  <c r="AO264" i="15"/>
  <c r="AJ264" i="15"/>
  <c r="AE277" i="15"/>
  <c r="BH280" i="15"/>
  <c r="BW276" i="15"/>
  <c r="BL239" i="15"/>
  <c r="BB272" i="15"/>
  <c r="BM241" i="15"/>
  <c r="Z250" i="15"/>
  <c r="K234" i="15"/>
  <c r="K238" i="15"/>
  <c r="CL264" i="15"/>
  <c r="Y249" i="15"/>
  <c r="CF237" i="15"/>
  <c r="BK236" i="15"/>
  <c r="BL244" i="15"/>
  <c r="AM273" i="15"/>
  <c r="CC243" i="15"/>
  <c r="BT275" i="15"/>
  <c r="L247" i="15"/>
  <c r="R231" i="15"/>
  <c r="CK238" i="15"/>
  <c r="CR232" i="15"/>
  <c r="CH238" i="15"/>
  <c r="BY184" i="15"/>
  <c r="BY203" i="15"/>
  <c r="BY178" i="15"/>
  <c r="BY165" i="15"/>
  <c r="BW214" i="15"/>
  <c r="BX201" i="15"/>
  <c r="AX248" i="15"/>
  <c r="BW171" i="15"/>
  <c r="BX173" i="15"/>
  <c r="BR259" i="15"/>
  <c r="BW165" i="15"/>
  <c r="BG249" i="15"/>
  <c r="BE250" i="15"/>
  <c r="CA236" i="15"/>
  <c r="S239" i="15"/>
  <c r="CH234" i="15"/>
  <c r="BC242" i="15"/>
  <c r="BW266" i="15"/>
  <c r="BE234" i="15"/>
  <c r="AH248" i="15"/>
  <c r="Z252" i="15"/>
  <c r="AT231" i="15"/>
  <c r="CE237" i="15"/>
  <c r="AK241" i="15"/>
  <c r="W247" i="15"/>
  <c r="CI236" i="15"/>
  <c r="CL232" i="15"/>
  <c r="BV232" i="15"/>
  <c r="CL233" i="15"/>
  <c r="BF234" i="15"/>
  <c r="AX246" i="15"/>
  <c r="CB242" i="15"/>
  <c r="AT259" i="15"/>
  <c r="Y241" i="15"/>
  <c r="AM253" i="15"/>
  <c r="BV246" i="15"/>
  <c r="BW198" i="15"/>
  <c r="BF239" i="15"/>
  <c r="AW253" i="15"/>
  <c r="BW235" i="15"/>
  <c r="AL246" i="15"/>
  <c r="BX186" i="15"/>
  <c r="CL234" i="15"/>
  <c r="CG239" i="15"/>
  <c r="J235" i="15"/>
  <c r="BL254" i="15"/>
  <c r="K258" i="15"/>
  <c r="CJ259" i="15"/>
  <c r="CE232" i="15"/>
  <c r="AJ267" i="15"/>
  <c r="C247" i="15"/>
  <c r="BZ246" i="15"/>
  <c r="CF241" i="15"/>
  <c r="BH237" i="15"/>
  <c r="BT239" i="15"/>
  <c r="CC234" i="15"/>
  <c r="P241" i="15"/>
  <c r="BX193" i="15"/>
  <c r="AO242" i="15"/>
  <c r="BC240" i="15"/>
  <c r="W242" i="15"/>
  <c r="E257" i="15"/>
  <c r="AP246" i="15"/>
  <c r="BV235" i="15"/>
  <c r="BS267" i="15"/>
  <c r="AB279" i="15"/>
  <c r="AR263" i="15"/>
  <c r="AX237" i="15"/>
  <c r="CL260" i="15"/>
  <c r="C233" i="15"/>
  <c r="BT231" i="15"/>
  <c r="BY251" i="15"/>
  <c r="BR239" i="15"/>
  <c r="BG231" i="15"/>
  <c r="BQ240" i="15"/>
  <c r="J243" i="15"/>
  <c r="Q231" i="15"/>
  <c r="AB253" i="15"/>
  <c r="U234" i="15"/>
  <c r="BV249" i="15"/>
  <c r="AX233" i="15"/>
  <c r="AR231" i="15"/>
  <c r="AR236" i="15"/>
  <c r="N251" i="15"/>
  <c r="CE234" i="15"/>
  <c r="W231" i="15"/>
  <c r="BV239" i="15"/>
  <c r="CO243" i="15"/>
  <c r="AR257" i="15"/>
  <c r="BM263" i="15"/>
  <c r="BX256" i="15"/>
  <c r="CR252" i="15"/>
  <c r="AF257" i="15"/>
  <c r="CE289" i="15"/>
  <c r="T270" i="15"/>
  <c r="AV270" i="15"/>
  <c r="BF291" i="15"/>
  <c r="BT263" i="15"/>
  <c r="X245" i="15"/>
  <c r="CI256" i="15"/>
  <c r="L235" i="15"/>
  <c r="E232" i="15"/>
  <c r="BL242" i="15"/>
  <c r="BJ237" i="15"/>
  <c r="BR233" i="15"/>
  <c r="I275" i="15"/>
  <c r="L236" i="15"/>
  <c r="BE231" i="15"/>
  <c r="BQ256" i="15"/>
  <c r="BK246" i="15"/>
  <c r="BC251" i="15"/>
  <c r="M274" i="15"/>
  <c r="Z231" i="15"/>
  <c r="Y240" i="15"/>
  <c r="AF237" i="15"/>
  <c r="W234" i="15"/>
  <c r="W249" i="15"/>
  <c r="AC248" i="15"/>
  <c r="H240" i="15"/>
  <c r="BH250" i="15"/>
  <c r="AQ237" i="15"/>
  <c r="BB253" i="15"/>
  <c r="AC255" i="15"/>
  <c r="BX254" i="15"/>
  <c r="BR263" i="15"/>
  <c r="CL256" i="15"/>
  <c r="AM268" i="15"/>
  <c r="G250" i="15"/>
  <c r="AE268" i="15"/>
  <c r="BD260" i="15"/>
  <c r="AF232" i="15"/>
  <c r="W237" i="15"/>
  <c r="H248" i="15"/>
  <c r="BZ239" i="15"/>
  <c r="BA266" i="15"/>
  <c r="AN268" i="15"/>
  <c r="AM233" i="15"/>
  <c r="AQ250" i="15"/>
  <c r="BY245" i="15"/>
  <c r="BC250" i="15"/>
  <c r="AC254" i="15"/>
  <c r="AB260" i="15"/>
  <c r="BV231" i="15"/>
  <c r="AK266" i="15"/>
  <c r="BF251" i="15"/>
  <c r="BG247" i="15"/>
  <c r="AH252" i="15"/>
  <c r="CO277" i="15"/>
  <c r="AP256" i="15"/>
  <c r="CB272" i="15"/>
  <c r="BV281" i="15"/>
  <c r="BD291" i="15"/>
  <c r="CF267" i="15"/>
  <c r="BG276" i="15"/>
  <c r="AF270" i="15"/>
  <c r="AS280" i="15"/>
  <c r="CG263" i="15"/>
  <c r="BQ275" i="15"/>
  <c r="CF264" i="15"/>
  <c r="AE281" i="15"/>
  <c r="BW169" i="15"/>
  <c r="AB237" i="15"/>
  <c r="CF234" i="15"/>
  <c r="AD236" i="15"/>
  <c r="BP246" i="15"/>
  <c r="CA242" i="15"/>
  <c r="AJ238" i="15"/>
  <c r="BT232" i="15"/>
  <c r="BR255" i="15"/>
  <c r="BM237" i="15"/>
  <c r="N243" i="15"/>
  <c r="CH249" i="15"/>
  <c r="CG289" i="15"/>
  <c r="AS233" i="15"/>
  <c r="X239" i="15"/>
  <c r="U243" i="15"/>
  <c r="CA273" i="15"/>
  <c r="AI242" i="15"/>
  <c r="AL243" i="15"/>
  <c r="Y250" i="15"/>
  <c r="AQ255" i="15"/>
  <c r="V241" i="15"/>
  <c r="K233" i="15"/>
  <c r="BG252" i="15"/>
  <c r="CK257" i="15"/>
  <c r="BJ249" i="15"/>
  <c r="BE254" i="15"/>
  <c r="AU272" i="15"/>
  <c r="I260" i="15"/>
  <c r="BD246" i="15"/>
  <c r="H245" i="15"/>
  <c r="BX246" i="15"/>
  <c r="CA251" i="15"/>
  <c r="P253" i="15"/>
  <c r="AG242" i="15"/>
  <c r="AI239" i="15"/>
  <c r="G239" i="15"/>
  <c r="BW233" i="15"/>
  <c r="CD240" i="15"/>
  <c r="BJ233" i="15"/>
  <c r="BK232" i="15"/>
  <c r="AA239" i="15"/>
  <c r="I243" i="15"/>
  <c r="M234" i="15"/>
  <c r="AZ245" i="15"/>
  <c r="AG255" i="15"/>
  <c r="CA232" i="15"/>
  <c r="CJ243" i="15"/>
  <c r="AS242" i="15"/>
  <c r="BW202" i="15"/>
  <c r="AL231" i="15"/>
  <c r="CG242" i="15"/>
  <c r="CP249" i="15"/>
  <c r="N252" i="15"/>
  <c r="BU236" i="15"/>
  <c r="BX200" i="15"/>
  <c r="BW192" i="15"/>
  <c r="AN240" i="15"/>
  <c r="AY247" i="15"/>
  <c r="AR240" i="15"/>
  <c r="CK232" i="15"/>
  <c r="BS242" i="15"/>
  <c r="AU233" i="15"/>
  <c r="AN242" i="15"/>
  <c r="AF240" i="15"/>
  <c r="AC233" i="15"/>
  <c r="BW197" i="15"/>
  <c r="BS231" i="15"/>
  <c r="BN261" i="15"/>
  <c r="AZ231" i="15"/>
  <c r="BX214" i="15"/>
  <c r="V240" i="15"/>
  <c r="I250" i="15"/>
  <c r="CH232" i="15"/>
  <c r="BH245" i="15"/>
  <c r="BZ247" i="15"/>
  <c r="CA260" i="15"/>
  <c r="BI246" i="15"/>
  <c r="V232" i="15"/>
  <c r="AN263" i="15"/>
  <c r="CM235" i="15"/>
  <c r="K236" i="15"/>
  <c r="AI231" i="15"/>
  <c r="BI244" i="15"/>
  <c r="AX260" i="15"/>
  <c r="CR254" i="15"/>
  <c r="CE236" i="15"/>
  <c r="H284" i="15"/>
  <c r="BC237" i="15"/>
  <c r="BF264" i="15"/>
  <c r="BQ257" i="15"/>
  <c r="AU256" i="15"/>
  <c r="BI254" i="15"/>
  <c r="BV291" i="15"/>
  <c r="AX275" i="15"/>
  <c r="BR241" i="15"/>
  <c r="AY244" i="15"/>
  <c r="BJ267" i="15"/>
  <c r="Z235" i="15"/>
  <c r="CP241" i="15"/>
  <c r="Y278" i="15"/>
  <c r="CM268" i="15"/>
  <c r="AL254" i="15"/>
  <c r="AF269" i="15"/>
  <c r="BR232" i="15"/>
  <c r="X254" i="15"/>
  <c r="CF270" i="15"/>
  <c r="AZ267" i="15"/>
  <c r="S278" i="15"/>
  <c r="M287" i="15"/>
  <c r="CL244" i="15"/>
  <c r="AM231" i="15"/>
  <c r="AG250" i="15"/>
  <c r="BG269" i="15"/>
  <c r="CI246" i="15"/>
  <c r="AR251" i="15"/>
  <c r="CO252" i="15"/>
  <c r="BQ259" i="15"/>
  <c r="R265" i="15"/>
  <c r="AU275" i="15"/>
  <c r="CD239" i="15"/>
  <c r="AQ253" i="15"/>
  <c r="AZ256" i="15"/>
  <c r="BI257" i="15"/>
  <c r="BY217" i="15"/>
  <c r="BY206" i="15"/>
  <c r="BY192" i="15"/>
  <c r="BY197" i="15"/>
  <c r="AF266" i="15"/>
  <c r="I246" i="15"/>
  <c r="BL252" i="15"/>
  <c r="BX178" i="15"/>
  <c r="AI232" i="15"/>
  <c r="R235" i="15"/>
  <c r="AZ246" i="15"/>
  <c r="CN232" i="15"/>
  <c r="AG243" i="15"/>
  <c r="BP240" i="15"/>
  <c r="CD234" i="15"/>
  <c r="O260" i="15"/>
  <c r="BB241" i="15"/>
  <c r="CJ254" i="15"/>
  <c r="CK246" i="15"/>
  <c r="G246" i="15"/>
  <c r="I244" i="15"/>
  <c r="BA238" i="15"/>
  <c r="I257" i="15"/>
  <c r="CN247" i="15"/>
  <c r="CO234" i="15"/>
  <c r="CC235" i="15"/>
  <c r="AE238" i="15"/>
  <c r="C237" i="15"/>
  <c r="O237" i="15"/>
  <c r="AT232" i="15"/>
  <c r="CM232" i="15"/>
  <c r="V243" i="15"/>
  <c r="BE244" i="15"/>
  <c r="F283" i="15"/>
  <c r="S231" i="15"/>
  <c r="F237" i="15"/>
  <c r="AN267" i="15"/>
  <c r="AN251" i="15"/>
  <c r="Z259" i="15"/>
  <c r="AY232" i="15"/>
  <c r="BT236" i="15"/>
  <c r="BZ248" i="15"/>
  <c r="BX187" i="15"/>
  <c r="BW220" i="15"/>
  <c r="AP253" i="15"/>
  <c r="AW234" i="15"/>
  <c r="C255" i="15"/>
  <c r="BL262" i="15"/>
  <c r="W245" i="15"/>
  <c r="M244" i="15"/>
  <c r="AJ247" i="15"/>
  <c r="P246" i="15"/>
  <c r="CR235" i="15"/>
  <c r="CL265" i="15"/>
  <c r="K240" i="15"/>
  <c r="Y235" i="15"/>
  <c r="BI233" i="15"/>
  <c r="CR255" i="15"/>
  <c r="BX223" i="15"/>
  <c r="AW243" i="15"/>
  <c r="CA254" i="15"/>
  <c r="BT241" i="15"/>
  <c r="CJ246" i="15"/>
  <c r="CO253" i="15"/>
  <c r="J232" i="15"/>
  <c r="BW212" i="15"/>
  <c r="AV231" i="15"/>
  <c r="BL257" i="15"/>
  <c r="AH249" i="15"/>
  <c r="BN248" i="15"/>
  <c r="G242" i="15"/>
  <c r="CQ283" i="15"/>
  <c r="M249" i="15"/>
  <c r="CG254" i="15"/>
  <c r="AY267" i="15"/>
  <c r="O245" i="15"/>
  <c r="BN236" i="15"/>
  <c r="AC245" i="15"/>
  <c r="CE239" i="15"/>
  <c r="AG241" i="15"/>
  <c r="CE267" i="15"/>
  <c r="BU259" i="15"/>
  <c r="CP255" i="15"/>
  <c r="CE265" i="15"/>
  <c r="BF257" i="15"/>
  <c r="BX235" i="15"/>
  <c r="W243" i="15"/>
  <c r="CH244" i="15"/>
  <c r="N285" i="15"/>
  <c r="BS261" i="15"/>
  <c r="AP252" i="15"/>
  <c r="BT243" i="15"/>
  <c r="CD266" i="15"/>
  <c r="G254" i="15"/>
  <c r="AN280" i="15"/>
  <c r="BD257" i="15"/>
  <c r="AC277" i="15"/>
  <c r="CA240" i="15"/>
  <c r="AV235" i="15"/>
  <c r="P238" i="15"/>
  <c r="CA255" i="15"/>
  <c r="BX210" i="15"/>
  <c r="K251" i="15"/>
  <c r="BW177" i="15"/>
  <c r="CI239" i="15"/>
  <c r="CF247" i="15"/>
  <c r="CF252" i="15"/>
  <c r="BC232" i="15"/>
  <c r="AM237" i="15"/>
  <c r="AG240" i="15"/>
  <c r="U240" i="15"/>
  <c r="CM237" i="15"/>
  <c r="AH246" i="15"/>
  <c r="BW261" i="15"/>
  <c r="AH241" i="15"/>
  <c r="U256" i="15"/>
  <c r="CN274" i="15"/>
  <c r="BY198" i="15"/>
  <c r="BY219" i="15"/>
  <c r="BY213" i="15"/>
  <c r="BX202" i="15"/>
  <c r="AE240" i="15"/>
  <c r="BX174" i="15"/>
  <c r="N281" i="15"/>
  <c r="BR246" i="15"/>
  <c r="BX197" i="15"/>
  <c r="E250" i="15"/>
  <c r="K253" i="15"/>
  <c r="AQ242" i="15"/>
  <c r="BM242" i="15"/>
  <c r="AR249" i="15"/>
  <c r="BO240" i="15"/>
  <c r="AA265" i="15"/>
  <c r="AW238" i="15"/>
  <c r="BU244" i="15"/>
  <c r="F238" i="15"/>
  <c r="CF249" i="15"/>
  <c r="BW190" i="15"/>
  <c r="AO250" i="15"/>
  <c r="AJ233" i="15"/>
  <c r="BL232" i="15"/>
  <c r="BY239" i="15"/>
  <c r="V233" i="15"/>
  <c r="BE236" i="15"/>
  <c r="BX233" i="15"/>
  <c r="BX236" i="15"/>
  <c r="Y273" i="15"/>
  <c r="AN235" i="15"/>
  <c r="AE250" i="15"/>
  <c r="AM263" i="15"/>
  <c r="BJ232" i="15"/>
  <c r="AT236" i="15"/>
  <c r="AB257" i="15"/>
  <c r="CM253" i="15"/>
  <c r="BG248" i="15"/>
  <c r="AT237" i="15"/>
  <c r="AT244" i="15"/>
  <c r="AA264" i="15"/>
  <c r="BX217" i="15"/>
  <c r="BW194" i="15"/>
  <c r="AZ239" i="15"/>
  <c r="R236" i="15"/>
  <c r="AE243" i="15"/>
  <c r="BU251" i="15"/>
  <c r="M231" i="15"/>
  <c r="CR236" i="15"/>
  <c r="BB237" i="15"/>
  <c r="CI254" i="15"/>
  <c r="BY235" i="15"/>
  <c r="BV243" i="15"/>
  <c r="V239" i="15"/>
  <c r="AL253" i="15"/>
  <c r="AK270" i="15"/>
  <c r="CQ257" i="15"/>
  <c r="BX204" i="15"/>
  <c r="BS243" i="15"/>
  <c r="CP233" i="15"/>
  <c r="CA237" i="15"/>
  <c r="L280" i="15"/>
  <c r="CR262" i="15"/>
  <c r="AY252" i="15"/>
  <c r="CC232" i="15"/>
  <c r="AI237" i="15"/>
  <c r="AD251" i="15"/>
  <c r="J236" i="15"/>
  <c r="BP239" i="15"/>
  <c r="BO238" i="15"/>
  <c r="L245" i="15"/>
  <c r="BK266" i="15"/>
  <c r="I241" i="15"/>
  <c r="Y246" i="15"/>
  <c r="CP240" i="15"/>
  <c r="BD232" i="15"/>
  <c r="X258" i="15"/>
  <c r="BF241" i="15"/>
  <c r="BB267" i="15"/>
  <c r="AF274" i="15"/>
  <c r="BU238" i="15"/>
  <c r="R256" i="15"/>
  <c r="AF233" i="15"/>
  <c r="AD244" i="15"/>
  <c r="AF239" i="15"/>
  <c r="BM244" i="15"/>
  <c r="BR253" i="15"/>
  <c r="BD248" i="15"/>
  <c r="R254" i="15"/>
  <c r="AJ255" i="15"/>
  <c r="BO249" i="15"/>
  <c r="CM273" i="15"/>
  <c r="CF250" i="15"/>
  <c r="BN252" i="15"/>
  <c r="CK269" i="15"/>
  <c r="CE279" i="15"/>
  <c r="CB235" i="15"/>
  <c r="BT237" i="15"/>
  <c r="N247" i="15"/>
  <c r="BJ248" i="15"/>
  <c r="V268" i="15"/>
  <c r="O243" i="15"/>
  <c r="AS243" i="15"/>
  <c r="AB247" i="15"/>
  <c r="O246" i="15"/>
  <c r="O259" i="15"/>
  <c r="AU231" i="15"/>
  <c r="BC245" i="15"/>
  <c r="BD251" i="15"/>
  <c r="BO263" i="15"/>
  <c r="CD244" i="15"/>
  <c r="AM254" i="15"/>
  <c r="CI235" i="15"/>
  <c r="H263" i="15"/>
  <c r="AE245" i="15"/>
  <c r="BL243" i="15"/>
  <c r="AD253" i="15"/>
  <c r="BS264" i="15"/>
  <c r="BV237" i="15"/>
  <c r="AL249" i="15"/>
  <c r="AD238" i="15"/>
  <c r="AC250" i="15"/>
  <c r="L253" i="15"/>
  <c r="AJ245" i="15"/>
  <c r="CB250" i="15"/>
  <c r="BF242" i="15"/>
  <c r="BV245" i="15"/>
  <c r="N268" i="15"/>
  <c r="AD262" i="15"/>
  <c r="N241" i="15"/>
  <c r="AF243" i="15"/>
  <c r="AR250" i="15"/>
  <c r="G268" i="15"/>
  <c r="CR247" i="15"/>
  <c r="AU271" i="15"/>
  <c r="BT245" i="15"/>
  <c r="AZ240" i="15"/>
  <c r="CJ236" i="15"/>
  <c r="BQ245" i="15"/>
  <c r="AM238" i="15"/>
  <c r="CN264" i="15"/>
  <c r="BT256" i="15"/>
  <c r="AD249" i="15"/>
  <c r="AF245" i="15"/>
  <c r="BQ253" i="15"/>
  <c r="Q248" i="15"/>
  <c r="BN254" i="15"/>
  <c r="BD262" i="15"/>
  <c r="AX266" i="15"/>
  <c r="V254" i="15"/>
  <c r="U257" i="15"/>
  <c r="S261" i="15"/>
  <c r="BF269" i="15"/>
  <c r="BM269" i="15"/>
  <c r="BL256" i="15"/>
  <c r="AY260" i="15"/>
  <c r="CE274" i="15"/>
  <c r="BE259" i="15"/>
  <c r="CC286" i="15"/>
  <c r="AK284" i="15"/>
  <c r="AC241" i="15"/>
  <c r="CD246" i="15"/>
  <c r="AG236" i="15"/>
  <c r="E231" i="15"/>
  <c r="CO238" i="15"/>
  <c r="BW240" i="15"/>
  <c r="W238" i="15"/>
  <c r="L252" i="15"/>
  <c r="BK249" i="15"/>
  <c r="CD263" i="15"/>
  <c r="CH270" i="15"/>
  <c r="BJ241" i="15"/>
  <c r="BC258" i="15"/>
  <c r="I251" i="15"/>
  <c r="CG240" i="15"/>
  <c r="AS266" i="15"/>
  <c r="AX245" i="15"/>
  <c r="F244" i="15"/>
  <c r="BN233" i="15"/>
  <c r="CI232" i="15"/>
  <c r="T251" i="15"/>
  <c r="BX234" i="15"/>
  <c r="AX256" i="15"/>
  <c r="H234" i="15"/>
  <c r="X274" i="15"/>
  <c r="CR237" i="15"/>
  <c r="M232" i="15"/>
  <c r="U236" i="15"/>
  <c r="E241" i="15"/>
  <c r="AT239" i="15"/>
  <c r="M241" i="15"/>
  <c r="F248" i="15"/>
  <c r="BY252" i="15"/>
  <c r="T257" i="15"/>
  <c r="G236" i="15"/>
  <c r="CK250" i="15"/>
  <c r="AL233" i="15"/>
  <c r="K272" i="15"/>
  <c r="C252" i="15"/>
  <c r="CK245" i="15"/>
  <c r="F245" i="15"/>
  <c r="AG252" i="15"/>
  <c r="AW248" i="15"/>
  <c r="AF244" i="15"/>
  <c r="BN243" i="15"/>
  <c r="CN249" i="15"/>
  <c r="CP250" i="15"/>
  <c r="BX245" i="15"/>
  <c r="BE247" i="15"/>
  <c r="AS234" i="15"/>
  <c r="CF239" i="15"/>
  <c r="CE251" i="15"/>
  <c r="CN265" i="15"/>
  <c r="BW258" i="15"/>
  <c r="BG272" i="15"/>
  <c r="AL266" i="15"/>
  <c r="BN278" i="15"/>
  <c r="F259" i="15"/>
  <c r="CK251" i="15"/>
  <c r="AM272" i="15"/>
  <c r="F260" i="15"/>
  <c r="BT248" i="15"/>
  <c r="H282" i="15"/>
  <c r="M242" i="15"/>
  <c r="AZ236" i="15"/>
  <c r="BU257" i="15"/>
  <c r="V245" i="15"/>
  <c r="H260" i="15"/>
  <c r="C258" i="15"/>
  <c r="CM236" i="15"/>
  <c r="AN269" i="15"/>
  <c r="BD247" i="15"/>
  <c r="AZ260" i="15"/>
  <c r="O249" i="15"/>
  <c r="BJ255" i="15"/>
  <c r="BU255" i="15"/>
  <c r="BX267" i="15"/>
  <c r="AA263" i="15"/>
  <c r="BU279" i="15"/>
  <c r="AW282" i="15"/>
  <c r="AM255" i="15"/>
  <c r="Y265" i="15"/>
  <c r="CH274" i="15"/>
  <c r="BS288" i="15"/>
  <c r="CA261" i="15"/>
  <c r="AF275" i="15"/>
  <c r="BZ276" i="15"/>
  <c r="CC233" i="15"/>
  <c r="BK243" i="15"/>
  <c r="AE239" i="15"/>
  <c r="BL231" i="15"/>
  <c r="BH239" i="15"/>
  <c r="W250" i="15"/>
  <c r="CQ234" i="15"/>
  <c r="E236" i="15"/>
  <c r="S267" i="15"/>
  <c r="BG238" i="15"/>
  <c r="F239" i="15"/>
  <c r="AN256" i="15"/>
  <c r="BF235" i="15"/>
  <c r="CI262" i="15"/>
  <c r="BX194" i="15"/>
  <c r="BH235" i="15"/>
  <c r="BW174" i="15"/>
  <c r="AV243" i="15"/>
  <c r="AT238" i="15"/>
  <c r="CJ250" i="15"/>
  <c r="AJ241" i="15"/>
  <c r="BB234" i="15"/>
  <c r="Y234" i="15"/>
  <c r="CA250" i="15"/>
  <c r="AY271" i="15"/>
  <c r="BT249" i="15"/>
  <c r="BU246" i="15"/>
  <c r="AO269" i="15"/>
  <c r="BB232" i="15"/>
  <c r="CR251" i="15"/>
  <c r="BD233" i="15"/>
  <c r="AP243" i="15"/>
  <c r="AH258" i="15"/>
  <c r="AP232" i="15"/>
  <c r="BJ231" i="15"/>
  <c r="AI263" i="15"/>
  <c r="AR261" i="15"/>
  <c r="BG240" i="15"/>
  <c r="V249" i="15"/>
  <c r="U250" i="15"/>
  <c r="BW247" i="15"/>
  <c r="C267" i="15"/>
  <c r="AR254" i="15"/>
  <c r="M256" i="15"/>
  <c r="K235" i="15"/>
  <c r="CE233" i="15"/>
  <c r="AG280" i="15"/>
  <c r="BH273" i="15"/>
  <c r="AH236" i="15"/>
  <c r="AB250" i="15"/>
  <c r="BM236" i="15"/>
  <c r="AR244" i="15"/>
  <c r="CM241" i="15"/>
  <c r="I239" i="15"/>
  <c r="E242" i="15"/>
  <c r="AA243" i="15"/>
  <c r="CL246" i="15"/>
  <c r="Z268" i="15"/>
  <c r="BF249" i="15"/>
  <c r="AT255" i="15"/>
  <c r="CJ235" i="15"/>
  <c r="T231" i="15"/>
  <c r="BR242" i="15"/>
  <c r="N264" i="15"/>
  <c r="M243" i="15"/>
  <c r="BU252" i="15"/>
  <c r="J242" i="15"/>
  <c r="AD240" i="15"/>
  <c r="L261" i="15"/>
  <c r="CJ234" i="15"/>
  <c r="CK242" i="15"/>
  <c r="J250" i="15"/>
  <c r="CO261" i="15"/>
  <c r="K245" i="15"/>
  <c r="AI246" i="15"/>
  <c r="AS277" i="15"/>
  <c r="BA239" i="15"/>
  <c r="AO233" i="15"/>
  <c r="BB244" i="15"/>
  <c r="V248" i="15"/>
  <c r="BE245" i="15"/>
  <c r="CK264" i="15"/>
  <c r="G247" i="15"/>
  <c r="BU250" i="15"/>
  <c r="CB261" i="15"/>
  <c r="AB242" i="15"/>
  <c r="AC249" i="15"/>
  <c r="U237" i="15"/>
  <c r="AH259" i="15"/>
  <c r="CB243" i="15"/>
  <c r="BT279" i="15"/>
  <c r="AB254" i="15"/>
  <c r="T261" i="15"/>
  <c r="BN244" i="15"/>
  <c r="T239" i="15"/>
  <c r="T241" i="15"/>
  <c r="CE262" i="15"/>
  <c r="C260" i="15"/>
  <c r="AL260" i="15"/>
  <c r="BN280" i="15"/>
  <c r="AI244" i="15"/>
  <c r="BF231" i="15"/>
  <c r="BG256" i="15"/>
  <c r="BP256" i="15"/>
  <c r="CL249" i="15"/>
  <c r="BL249" i="15"/>
  <c r="Q252" i="15"/>
  <c r="AZ289" i="15"/>
  <c r="CP265" i="15"/>
  <c r="CR270" i="15"/>
  <c r="X265" i="15"/>
  <c r="AJ252" i="15"/>
  <c r="AU260" i="15"/>
  <c r="AS271" i="15"/>
  <c r="CE266" i="15"/>
  <c r="CQ284" i="15"/>
  <c r="AB252" i="15"/>
  <c r="AB265" i="15"/>
  <c r="N269" i="15"/>
  <c r="CA267" i="15"/>
  <c r="E256" i="15"/>
  <c r="P278" i="15"/>
  <c r="O254" i="15"/>
  <c r="BI283" i="15"/>
  <c r="F255" i="15"/>
  <c r="BD267" i="15"/>
  <c r="K288" i="15"/>
  <c r="Y270" i="15"/>
  <c r="X280" i="15"/>
  <c r="AV289" i="15"/>
  <c r="CE257" i="15"/>
  <c r="C254" i="15"/>
  <c r="AR252" i="15"/>
  <c r="AZ255" i="15"/>
  <c r="O248" i="15"/>
  <c r="AD250" i="15"/>
  <c r="E252" i="15"/>
  <c r="V271" i="15"/>
  <c r="BX258" i="15"/>
  <c r="CM265" i="15"/>
  <c r="BV267" i="15"/>
  <c r="CB237" i="15"/>
  <c r="CJ280" i="15"/>
  <c r="BK256" i="15"/>
  <c r="CH258" i="15"/>
  <c r="S254" i="15"/>
  <c r="BT274" i="15"/>
  <c r="BB251" i="15"/>
  <c r="BR245" i="15"/>
  <c r="CR253" i="15"/>
  <c r="O276" i="15"/>
  <c r="V285" i="15"/>
  <c r="BG277" i="15"/>
  <c r="BQ263" i="15"/>
  <c r="CQ271" i="15"/>
  <c r="L256" i="15"/>
  <c r="CE275" i="15"/>
  <c r="BA277" i="15"/>
  <c r="M264" i="15"/>
  <c r="CC269" i="15"/>
  <c r="CM290" i="15"/>
  <c r="AL256" i="15"/>
  <c r="AV239" i="15"/>
  <c r="BQ281" i="15"/>
  <c r="BH257" i="15"/>
  <c r="Q233" i="15"/>
  <c r="AQ239" i="15"/>
  <c r="BV259" i="15"/>
  <c r="AZ247" i="15"/>
  <c r="H239" i="15"/>
  <c r="J239" i="15"/>
  <c r="BO242" i="15"/>
  <c r="BY253" i="15"/>
  <c r="V260" i="15"/>
  <c r="V246" i="15"/>
  <c r="N244" i="15"/>
  <c r="AE248" i="15"/>
  <c r="F242" i="15"/>
  <c r="AZ249" i="15"/>
  <c r="CF233" i="15"/>
  <c r="AU250" i="15"/>
  <c r="CQ232" i="15"/>
  <c r="BC261" i="15"/>
  <c r="BE239" i="15"/>
  <c r="H247" i="15"/>
  <c r="AW233" i="15"/>
  <c r="AV244" i="15"/>
  <c r="AE234" i="15"/>
  <c r="Z241" i="15"/>
  <c r="Q270" i="15"/>
  <c r="BZ249" i="15"/>
  <c r="BM247" i="15"/>
  <c r="AU234" i="15"/>
  <c r="CG237" i="15"/>
  <c r="BN245" i="15"/>
  <c r="AN231" i="15"/>
  <c r="BX243" i="15"/>
  <c r="CN243" i="15"/>
  <c r="AH243" i="15"/>
  <c r="AQ235" i="15"/>
  <c r="Z269" i="15"/>
  <c r="O244" i="15"/>
  <c r="BP241" i="15"/>
  <c r="AA232" i="15"/>
  <c r="BF238" i="15"/>
  <c r="M267" i="15"/>
  <c r="BK260" i="15"/>
  <c r="BA246" i="15"/>
  <c r="J238" i="15"/>
  <c r="BC231" i="15"/>
  <c r="Z242" i="15"/>
  <c r="CJ241" i="15"/>
  <c r="CG252" i="15"/>
  <c r="Y244" i="15"/>
  <c r="CE241" i="15"/>
  <c r="BC253" i="15"/>
  <c r="AQ260" i="15"/>
  <c r="Y284" i="15"/>
  <c r="F236" i="15"/>
  <c r="BU258" i="15"/>
  <c r="I262" i="15"/>
  <c r="AT284" i="15"/>
  <c r="BP251" i="15"/>
  <c r="T246" i="15"/>
  <c r="AY259" i="15"/>
  <c r="AS275" i="15"/>
  <c r="AE255" i="15"/>
  <c r="S241" i="15"/>
  <c r="S280" i="15"/>
  <c r="W264" i="15"/>
  <c r="AN234" i="15"/>
  <c r="BQ268" i="15"/>
  <c r="BM255" i="15"/>
  <c r="N232" i="15"/>
  <c r="AN246" i="15"/>
  <c r="BQ254" i="15"/>
  <c r="AP244" i="15"/>
  <c r="O264" i="15"/>
  <c r="BB259" i="15"/>
  <c r="AS245" i="15"/>
  <c r="CQ244" i="15"/>
  <c r="AR274" i="15"/>
  <c r="BL277" i="15"/>
  <c r="AX265" i="15"/>
  <c r="AJ259" i="15"/>
  <c r="BO257" i="15"/>
  <c r="AL257" i="15"/>
  <c r="BH267" i="15"/>
  <c r="V259" i="15"/>
  <c r="AI277" i="15"/>
  <c r="AI284" i="15"/>
  <c r="CR266" i="15"/>
  <c r="BF290" i="15"/>
  <c r="R274" i="15"/>
  <c r="CD250" i="15"/>
  <c r="F240" i="15"/>
  <c r="AA237" i="15"/>
  <c r="BC247" i="15"/>
  <c r="BR252" i="15"/>
  <c r="CJ251" i="15"/>
  <c r="AS236" i="15"/>
  <c r="AO245" i="15"/>
  <c r="N248" i="15"/>
  <c r="AQ243" i="15"/>
  <c r="CN245" i="15"/>
  <c r="AZ244" i="15"/>
  <c r="AE244" i="15"/>
  <c r="S242" i="15"/>
  <c r="BX220" i="15"/>
  <c r="Q247" i="15"/>
  <c r="CO260" i="15"/>
  <c r="CN233" i="15"/>
  <c r="BW182" i="15"/>
  <c r="CC236" i="15"/>
  <c r="BR248" i="15"/>
  <c r="CN241" i="15"/>
  <c r="AU232" i="15"/>
  <c r="BM239" i="15"/>
  <c r="BW272" i="15"/>
  <c r="CO246" i="15"/>
  <c r="BB240" i="15"/>
  <c r="AU252" i="15"/>
  <c r="BZ242" i="15"/>
  <c r="BA232" i="15"/>
  <c r="CF246" i="15"/>
  <c r="BD237" i="15"/>
  <c r="AA246" i="15"/>
  <c r="CJ257" i="15"/>
  <c r="AM239" i="15"/>
  <c r="CB278" i="15"/>
  <c r="AB271" i="15"/>
  <c r="AQ244" i="15"/>
  <c r="CM251" i="15"/>
  <c r="CO237" i="15"/>
  <c r="W266" i="15"/>
  <c r="CN273" i="15"/>
  <c r="BK261" i="15"/>
  <c r="BA233" i="15"/>
  <c r="BU234" i="15"/>
  <c r="BF232" i="15"/>
  <c r="BA235" i="15"/>
  <c r="BU248" i="15"/>
  <c r="BA244" i="15"/>
  <c r="AP237" i="15"/>
  <c r="BR243" i="15"/>
  <c r="I288" i="15"/>
  <c r="P263" i="15"/>
  <c r="CO241" i="15"/>
  <c r="AT245" i="15"/>
  <c r="AE242" i="15"/>
  <c r="BY234" i="15"/>
  <c r="AQ252" i="15"/>
  <c r="CG247" i="15"/>
  <c r="E249" i="15"/>
  <c r="BX231" i="15"/>
  <c r="AM240" i="15"/>
  <c r="AJ248" i="15"/>
  <c r="Y237" i="15"/>
  <c r="CI249" i="15"/>
  <c r="BI241" i="15"/>
  <c r="CG250" i="15"/>
  <c r="BP234" i="15"/>
  <c r="CJ256" i="15"/>
  <c r="AY249" i="15"/>
  <c r="CA257" i="15"/>
  <c r="CL240" i="15"/>
  <c r="BH236" i="15"/>
  <c r="AV257" i="15"/>
  <c r="AU253" i="15"/>
  <c r="AD239" i="15"/>
  <c r="BB231" i="15"/>
  <c r="AE236" i="15"/>
  <c r="CE250" i="15"/>
  <c r="AP239" i="15"/>
  <c r="CL239" i="15"/>
  <c r="AU265" i="15"/>
  <c r="Q236" i="15"/>
  <c r="BH256" i="15"/>
  <c r="BT283" i="15"/>
  <c r="BM238" i="15"/>
  <c r="BO243" i="15"/>
  <c r="CP245" i="15"/>
  <c r="AA257" i="15"/>
  <c r="AK248" i="15"/>
  <c r="BA273" i="15"/>
  <c r="P269" i="15"/>
  <c r="F274" i="15"/>
  <c r="BN242" i="15"/>
  <c r="Q232" i="15"/>
  <c r="U247" i="15"/>
  <c r="Y279" i="15"/>
  <c r="AQ245" i="15"/>
  <c r="BM254" i="15"/>
  <c r="BJ288" i="15"/>
  <c r="CD248" i="15"/>
  <c r="O262" i="15"/>
  <c r="AO249" i="15"/>
  <c r="AP275" i="15"/>
  <c r="M276" i="15"/>
  <c r="AL274" i="15"/>
  <c r="BZ264" i="15"/>
  <c r="K246" i="15"/>
  <c r="BN274" i="15"/>
  <c r="J264" i="15"/>
  <c r="BR269" i="15"/>
  <c r="Q261" i="15"/>
  <c r="AS248" i="15"/>
  <c r="AF290" i="15"/>
  <c r="CJ282" i="15"/>
  <c r="BE278" i="15"/>
  <c r="AG258" i="15"/>
  <c r="BB260" i="15"/>
  <c r="U258" i="15"/>
  <c r="L263" i="15"/>
  <c r="BW245" i="15"/>
  <c r="CN255" i="15"/>
  <c r="G270" i="15"/>
  <c r="AI266" i="15"/>
  <c r="AX262" i="15"/>
  <c r="BB269" i="15"/>
  <c r="O284" i="15"/>
  <c r="AA274" i="15"/>
  <c r="U280" i="15"/>
  <c r="BH276" i="15"/>
  <c r="BG286" i="15"/>
  <c r="BJ240" i="15"/>
  <c r="AZ250" i="15"/>
  <c r="AD279" i="15"/>
  <c r="BR234" i="15"/>
  <c r="G252" i="15"/>
  <c r="M261" i="15"/>
  <c r="Q240" i="15"/>
  <c r="U255" i="15"/>
  <c r="AY262" i="15"/>
  <c r="Q251" i="15"/>
  <c r="X242" i="15"/>
  <c r="AG246" i="15"/>
  <c r="W255" i="15"/>
  <c r="S234" i="15"/>
  <c r="CQ251" i="15"/>
  <c r="CR249" i="15"/>
  <c r="AN237" i="15"/>
  <c r="Q257" i="15"/>
  <c r="BA255" i="15"/>
  <c r="BX259" i="15"/>
  <c r="BN270" i="15"/>
  <c r="H246" i="15"/>
  <c r="AX276" i="15"/>
  <c r="CD265" i="15"/>
  <c r="BE266" i="15"/>
  <c r="AX290" i="15"/>
  <c r="BJ290" i="15"/>
  <c r="CN272" i="15"/>
  <c r="CP291" i="15"/>
  <c r="AH240" i="15"/>
  <c r="BY273" i="15"/>
  <c r="AR242" i="15"/>
  <c r="AN260" i="15"/>
  <c r="Y247" i="15"/>
  <c r="BN231" i="15"/>
  <c r="BK235" i="15"/>
  <c r="CF253" i="15"/>
  <c r="U239" i="15"/>
  <c r="BU242" i="15"/>
  <c r="O231" i="15"/>
  <c r="CO235" i="15"/>
  <c r="BV253" i="15"/>
  <c r="AM235" i="15"/>
  <c r="V263" i="15"/>
  <c r="AE257" i="15"/>
  <c r="AH264" i="15"/>
  <c r="AA252" i="15"/>
  <c r="W262" i="15"/>
  <c r="CH272" i="15"/>
  <c r="AD243" i="15"/>
  <c r="AK233" i="15"/>
  <c r="J254" i="15"/>
  <c r="BK254" i="15"/>
  <c r="BM253" i="15"/>
  <c r="L240" i="15"/>
  <c r="Q234" i="15"/>
  <c r="U244" i="15"/>
  <c r="BE232" i="15"/>
  <c r="BG242" i="15"/>
  <c r="L248" i="15"/>
  <c r="AN236" i="15"/>
  <c r="AP250" i="15"/>
  <c r="BI251" i="15"/>
  <c r="X257" i="15"/>
  <c r="AE266" i="15"/>
  <c r="BZ251" i="15"/>
  <c r="AR232" i="15"/>
  <c r="AE233" i="15"/>
  <c r="AR245" i="15"/>
  <c r="AW236" i="15"/>
  <c r="BV255" i="15"/>
  <c r="CI245" i="15"/>
  <c r="AQ261" i="15"/>
  <c r="AT273" i="15"/>
  <c r="BF236" i="15"/>
  <c r="CJ232" i="15"/>
  <c r="CH236" i="15"/>
  <c r="CJ271" i="15"/>
  <c r="BK245" i="15"/>
  <c r="BX263" i="15"/>
  <c r="BS258" i="15"/>
  <c r="J258" i="15"/>
  <c r="I233" i="15"/>
  <c r="AU255" i="15"/>
  <c r="CC249" i="15"/>
  <c r="I253" i="15"/>
  <c r="CH246" i="15"/>
  <c r="BZ280" i="15"/>
  <c r="AF249" i="15"/>
  <c r="CD252" i="15"/>
  <c r="BN258" i="15"/>
  <c r="CR273" i="15"/>
  <c r="AU259" i="15"/>
  <c r="J249" i="15"/>
  <c r="AB240" i="15"/>
  <c r="AI261" i="15"/>
  <c r="AO276" i="15"/>
  <c r="AW259" i="15"/>
  <c r="AQ263" i="15"/>
  <c r="AZ290" i="15"/>
  <c r="BH281" i="15"/>
  <c r="AQ291" i="15"/>
  <c r="BT278" i="15"/>
  <c r="I259" i="15"/>
  <c r="F266" i="15"/>
  <c r="AF262" i="15"/>
  <c r="G265" i="15"/>
  <c r="BH269" i="15"/>
  <c r="S262" i="15"/>
  <c r="M263" i="15"/>
  <c r="CI274" i="15"/>
  <c r="AX264" i="15"/>
  <c r="CC268" i="15"/>
  <c r="X247" i="15"/>
  <c r="AO237" i="15"/>
  <c r="AX243" i="15"/>
  <c r="AF248" i="15"/>
  <c r="BN235" i="15"/>
  <c r="P244" i="15"/>
  <c r="AE246" i="15"/>
  <c r="W232" i="15"/>
  <c r="BW217" i="15"/>
  <c r="E234" i="15"/>
  <c r="CF245" i="15"/>
  <c r="G233" i="15"/>
  <c r="CF284" i="15"/>
  <c r="W239" i="15"/>
  <c r="BW186" i="15"/>
  <c r="BW213" i="15"/>
  <c r="AZ272" i="15"/>
  <c r="Y232" i="15"/>
  <c r="CB246" i="15"/>
  <c r="CA253" i="15"/>
  <c r="BQ234" i="15"/>
  <c r="BA274" i="15"/>
  <c r="I254" i="15"/>
  <c r="T248" i="15"/>
  <c r="BN246" i="15"/>
  <c r="CK237" i="15"/>
  <c r="AH242" i="15"/>
  <c r="BW188" i="15"/>
  <c r="BC236" i="15"/>
  <c r="BN239" i="15"/>
  <c r="BW231" i="15"/>
  <c r="AX252" i="15"/>
  <c r="AG260" i="15"/>
  <c r="AX241" i="15"/>
  <c r="CE246" i="15"/>
  <c r="M273" i="15"/>
  <c r="CR259" i="15"/>
  <c r="I232" i="15"/>
  <c r="W235" i="15"/>
  <c r="AM242" i="15"/>
  <c r="AG238" i="15"/>
  <c r="AN249" i="15"/>
  <c r="CJ244" i="15"/>
  <c r="L234" i="15"/>
  <c r="BF253" i="15"/>
  <c r="CE238" i="15"/>
  <c r="AH255" i="15"/>
  <c r="BD236" i="15"/>
  <c r="BO256" i="15"/>
  <c r="G232" i="15"/>
  <c r="V235" i="15"/>
  <c r="AV266" i="15"/>
  <c r="AC257" i="15"/>
  <c r="AI248" i="15"/>
  <c r="BH241" i="15"/>
  <c r="BU253" i="15"/>
  <c r="BL248" i="15"/>
  <c r="E263" i="15"/>
  <c r="CP273" i="15"/>
  <c r="AL244" i="15"/>
  <c r="BN253" i="15"/>
  <c r="AG245" i="15"/>
  <c r="AV245" i="15"/>
  <c r="BV250" i="15"/>
  <c r="BS238" i="15"/>
  <c r="R232" i="15"/>
  <c r="CE242" i="15"/>
  <c r="CL241" i="15"/>
  <c r="I256" i="15"/>
  <c r="AD231" i="15"/>
  <c r="Z240" i="15"/>
  <c r="BA251" i="15"/>
  <c r="BE269" i="15"/>
  <c r="BG258" i="15"/>
  <c r="BE262" i="15"/>
  <c r="CP234" i="15"/>
  <c r="AK240" i="15"/>
  <c r="BS232" i="15"/>
  <c r="AU240" i="15"/>
  <c r="AV237" i="15"/>
  <c r="S250" i="15"/>
  <c r="W258" i="15"/>
  <c r="H253" i="15"/>
  <c r="H251" i="15"/>
  <c r="BW259" i="15"/>
  <c r="BA258" i="15"/>
  <c r="AN252" i="15"/>
  <c r="BB280" i="15"/>
  <c r="CG236" i="15"/>
  <c r="AH245" i="15"/>
  <c r="H275" i="15"/>
  <c r="BP271" i="15"/>
  <c r="AY236" i="15"/>
  <c r="BA237" i="15"/>
  <c r="BV265" i="15"/>
  <c r="Q291" i="15"/>
  <c r="T253" i="15"/>
  <c r="AE259" i="15"/>
  <c r="AU264" i="15"/>
  <c r="BK251" i="15"/>
  <c r="AK262" i="15"/>
  <c r="AH265" i="15"/>
  <c r="BH246" i="15"/>
  <c r="AR259" i="15"/>
  <c r="BO270" i="15"/>
  <c r="BX249" i="15"/>
  <c r="AD247" i="15"/>
  <c r="BY280" i="15"/>
  <c r="T267" i="15"/>
  <c r="BI249" i="15"/>
  <c r="F269" i="15"/>
  <c r="BA260" i="15"/>
  <c r="W260" i="15"/>
  <c r="AB289" i="15"/>
  <c r="AR283" i="15"/>
  <c r="AT251" i="15"/>
  <c r="S260" i="15"/>
  <c r="H261" i="15"/>
  <c r="BZ263" i="15"/>
  <c r="AO268" i="15"/>
  <c r="V257" i="15"/>
  <c r="BY285" i="15"/>
  <c r="BK259" i="15"/>
  <c r="AT257" i="15"/>
  <c r="AA280" i="15"/>
  <c r="AD266" i="15"/>
  <c r="BM280" i="15"/>
  <c r="O274" i="15"/>
  <c r="AJ278" i="15"/>
  <c r="CL281" i="15"/>
  <c r="CE286" i="15"/>
  <c r="AU262" i="15"/>
  <c r="BH248" i="15"/>
  <c r="AP240" i="15"/>
  <c r="CJ240" i="15"/>
  <c r="AT249" i="15"/>
  <c r="CM281" i="15"/>
  <c r="BQ235" i="15"/>
  <c r="CG267" i="15"/>
  <c r="BP261" i="15"/>
  <c r="F254" i="15"/>
  <c r="CB236" i="15"/>
  <c r="AS272" i="15"/>
  <c r="I264" i="15"/>
  <c r="CQ246" i="15"/>
  <c r="CG262" i="15"/>
  <c r="F257" i="15"/>
  <c r="AX250" i="15"/>
  <c r="BW280" i="15"/>
  <c r="CA269" i="15"/>
  <c r="C264" i="15"/>
  <c r="CG268" i="15"/>
  <c r="CI263" i="15"/>
  <c r="CL258" i="15"/>
  <c r="BT268" i="15"/>
  <c r="AQ283" i="15"/>
  <c r="AF288" i="15"/>
  <c r="BP273" i="15"/>
  <c r="K283" i="15"/>
  <c r="E283" i="15"/>
  <c r="CM243" i="15"/>
  <c r="CH247" i="15"/>
  <c r="H258" i="15"/>
  <c r="CH266" i="15"/>
  <c r="V272" i="15"/>
  <c r="AM236" i="15"/>
  <c r="CE243" i="15"/>
  <c r="CJ268" i="15"/>
  <c r="AU243" i="15"/>
  <c r="AV236" i="15"/>
  <c r="AC232" i="15"/>
  <c r="CI251" i="15"/>
  <c r="CC247" i="15"/>
  <c r="AH235" i="15"/>
  <c r="AI252" i="15"/>
  <c r="CJ239" i="15"/>
  <c r="BI243" i="15"/>
  <c r="AT260" i="15"/>
  <c r="BZ243" i="15"/>
  <c r="BQ270" i="15"/>
  <c r="CM244" i="15"/>
  <c r="AD241" i="15"/>
  <c r="AS239" i="15"/>
  <c r="BS247" i="15"/>
  <c r="AB233" i="15"/>
  <c r="BS244" i="15"/>
  <c r="BQ242" i="15"/>
  <c r="O236" i="15"/>
  <c r="Y252" i="15"/>
  <c r="CR246" i="15"/>
  <c r="BL251" i="15"/>
  <c r="L242" i="15"/>
  <c r="CC240" i="15"/>
  <c r="BS236" i="15"/>
  <c r="AG244" i="15"/>
  <c r="C277" i="15"/>
  <c r="AY253" i="15"/>
  <c r="AU245" i="15"/>
  <c r="N234" i="15"/>
  <c r="BA236" i="15"/>
  <c r="Y239" i="15"/>
  <c r="BY232" i="15"/>
  <c r="S286" i="15"/>
  <c r="P245" i="15"/>
  <c r="CH252" i="15"/>
  <c r="AK232" i="15"/>
  <c r="J252" i="15"/>
  <c r="CC252" i="15"/>
  <c r="AA258" i="15"/>
  <c r="AS252" i="15"/>
  <c r="AA256" i="15"/>
  <c r="AF241" i="15"/>
  <c r="CM276" i="15"/>
  <c r="AH267" i="15"/>
  <c r="AV278" i="15"/>
  <c r="AH237" i="15"/>
  <c r="P231" i="15"/>
  <c r="AC246" i="15"/>
  <c r="BP254" i="15"/>
  <c r="CH271" i="15"/>
  <c r="AE269" i="15"/>
  <c r="AC256" i="15"/>
  <c r="AK235" i="15"/>
  <c r="CA239" i="15"/>
  <c r="BL263" i="15"/>
  <c r="L260" i="15"/>
  <c r="J281" i="15"/>
  <c r="BL233" i="15"/>
  <c r="F261" i="15"/>
  <c r="AI233" i="15"/>
  <c r="BJ269" i="15"/>
  <c r="C251" i="15"/>
  <c r="BJ259" i="15"/>
  <c r="CA259" i="15"/>
  <c r="BM264" i="15"/>
  <c r="BJ262" i="15"/>
  <c r="BE273" i="15"/>
  <c r="BV263" i="15"/>
  <c r="AZ275" i="15"/>
  <c r="AT270" i="15"/>
  <c r="BZ279" i="15"/>
  <c r="AK261" i="15"/>
  <c r="N274" i="15"/>
  <c r="CB266" i="15"/>
  <c r="BB281" i="15"/>
  <c r="BX285" i="15"/>
  <c r="BY233" i="15"/>
  <c r="CD251" i="15"/>
  <c r="CA234" i="15"/>
  <c r="F250" i="15"/>
  <c r="AM266" i="15"/>
  <c r="CD242" i="15"/>
  <c r="BR249" i="15"/>
  <c r="CR272" i="15"/>
  <c r="BB243" i="15"/>
  <c r="BP237" i="15"/>
  <c r="V244" i="15"/>
  <c r="L238" i="15"/>
  <c r="T272" i="15"/>
  <c r="BX196" i="15"/>
  <c r="BW179" i="15"/>
  <c r="CP243" i="15"/>
  <c r="I240" i="15"/>
  <c r="Z239" i="15"/>
  <c r="BX270" i="15"/>
  <c r="CK233" i="15"/>
  <c r="AS240" i="15"/>
  <c r="CJ274" i="15"/>
  <c r="AV248" i="15"/>
  <c r="E267" i="15"/>
  <c r="S235" i="15"/>
  <c r="CE252" i="15"/>
  <c r="P248" i="15"/>
  <c r="AK242" i="15"/>
  <c r="BA247" i="15"/>
  <c r="AV232" i="15"/>
  <c r="AU238" i="15"/>
  <c r="BN247" i="15"/>
  <c r="BR231" i="15"/>
  <c r="CR260" i="15"/>
  <c r="BD240" i="15"/>
  <c r="N242" i="15"/>
  <c r="AL255" i="15"/>
  <c r="BS253" i="15"/>
  <c r="BX232" i="15"/>
  <c r="K237" i="15"/>
  <c r="CJ255" i="15"/>
  <c r="BJ251" i="15"/>
  <c r="BJ246" i="15"/>
  <c r="CQ260" i="15"/>
  <c r="AV255" i="15"/>
  <c r="AX240" i="15"/>
  <c r="BT267" i="15"/>
  <c r="CK273" i="15"/>
  <c r="AJ239" i="15"/>
  <c r="BE238" i="15"/>
  <c r="AW244" i="15"/>
  <c r="AA234" i="15"/>
  <c r="BM256" i="15"/>
  <c r="AG237" i="15"/>
  <c r="AO246" i="15"/>
  <c r="BZ254" i="15"/>
  <c r="AU247" i="15"/>
  <c r="AK257" i="15"/>
  <c r="BT258" i="15"/>
  <c r="F247" i="15"/>
  <c r="BX241" i="15"/>
  <c r="AW246" i="15"/>
  <c r="I276" i="15"/>
  <c r="BW236" i="15"/>
  <c r="BC243" i="15"/>
  <c r="CD256" i="15"/>
  <c r="AB241" i="15"/>
  <c r="CI243" i="15"/>
  <c r="K252" i="15"/>
  <c r="Q245" i="15"/>
  <c r="AW268" i="15"/>
  <c r="CR244" i="15"/>
  <c r="I248" i="15"/>
  <c r="CJ263" i="15"/>
  <c r="BW273" i="15"/>
  <c r="AB243" i="15"/>
  <c r="BC235" i="15"/>
  <c r="BQ250" i="15"/>
  <c r="BD241" i="15"/>
  <c r="BT234" i="15"/>
  <c r="AF253" i="15"/>
  <c r="BQ238" i="15"/>
  <c r="R252" i="15"/>
  <c r="CF243" i="15"/>
  <c r="AN248" i="15"/>
  <c r="BO279" i="15"/>
  <c r="J231" i="15"/>
  <c r="BO251" i="15"/>
  <c r="U246" i="15"/>
  <c r="CJ270" i="15"/>
  <c r="I247" i="15"/>
  <c r="AK277" i="15"/>
  <c r="M233" i="15"/>
  <c r="I236" i="15"/>
  <c r="CN240" i="15"/>
  <c r="AR248" i="15"/>
  <c r="BT235" i="15"/>
  <c r="O257" i="15"/>
  <c r="P249" i="15"/>
  <c r="AG234" i="15"/>
  <c r="BI271" i="15"/>
  <c r="AJ253" i="15"/>
  <c r="CA248" i="15"/>
  <c r="BG268" i="15"/>
  <c r="X287" i="15"/>
  <c r="BY237" i="15"/>
  <c r="CG241" i="15"/>
  <c r="AK265" i="15"/>
  <c r="AO263" i="15"/>
  <c r="S245" i="15"/>
  <c r="BV290" i="15"/>
  <c r="V280" i="15"/>
  <c r="G257" i="15"/>
  <c r="CB268" i="15"/>
  <c r="BA291" i="15"/>
  <c r="BI273" i="15"/>
  <c r="CN261" i="15"/>
  <c r="Z260" i="15"/>
  <c r="R268" i="15"/>
  <c r="BC259" i="15"/>
  <c r="BH253" i="15"/>
  <c r="AK269" i="15"/>
  <c r="AT272" i="15"/>
  <c r="BX269" i="15"/>
  <c r="CB260" i="15"/>
  <c r="BF274" i="15"/>
  <c r="I283" i="15"/>
  <c r="K274" i="15"/>
  <c r="CH283" i="15"/>
  <c r="BL284" i="15"/>
  <c r="AV290" i="15"/>
  <c r="BM251" i="15"/>
  <c r="BV260" i="15"/>
  <c r="AA240" i="15"/>
  <c r="X251" i="15"/>
  <c r="X259" i="15"/>
  <c r="CA246" i="15"/>
  <c r="CR245" i="15"/>
  <c r="AM256" i="15"/>
  <c r="CJ260" i="15"/>
  <c r="S255" i="15"/>
  <c r="CN242" i="15"/>
  <c r="AD252" i="15"/>
  <c r="AD255" i="15"/>
  <c r="AQ234" i="15"/>
  <c r="S248" i="15"/>
  <c r="BQ271" i="15"/>
  <c r="BI269" i="15"/>
  <c r="C249" i="15"/>
  <c r="O256" i="15"/>
  <c r="AC252" i="15"/>
  <c r="G266" i="15"/>
  <c r="BF245" i="15"/>
  <c r="F291" i="15"/>
  <c r="CI266" i="15"/>
  <c r="CR269" i="15"/>
  <c r="CO259" i="15"/>
  <c r="BN271" i="15"/>
  <c r="BN279" i="15"/>
  <c r="N277" i="15"/>
  <c r="BZ235" i="15"/>
  <c r="BF243" i="15"/>
  <c r="AU246" i="15"/>
  <c r="CR286" i="15"/>
  <c r="BY240" i="15"/>
  <c r="N259" i="15"/>
  <c r="AE252" i="15"/>
  <c r="K280" i="15"/>
  <c r="BJ250" i="15"/>
  <c r="CA235" i="15"/>
  <c r="CO263" i="15"/>
  <c r="BB261" i="15"/>
  <c r="BX275" i="15"/>
  <c r="G255" i="15"/>
  <c r="U235" i="15"/>
  <c r="X236" i="15"/>
  <c r="BF268" i="15"/>
  <c r="E254" i="15"/>
  <c r="AR238" i="15"/>
  <c r="AI267" i="15"/>
  <c r="BM274" i="15"/>
  <c r="CB253" i="15"/>
  <c r="AK258" i="15"/>
  <c r="J245" i="15"/>
  <c r="BV248" i="15"/>
  <c r="CG245" i="15"/>
  <c r="AP245" i="15"/>
  <c r="CK256" i="15"/>
  <c r="BN259" i="15"/>
  <c r="K248" i="15"/>
  <c r="AP258" i="15"/>
  <c r="J271" i="15"/>
  <c r="AE271" i="15"/>
  <c r="BL278" i="15"/>
  <c r="BB270" i="15"/>
  <c r="BZ268" i="15"/>
  <c r="U252" i="15"/>
  <c r="AD259" i="15"/>
  <c r="AP267" i="15"/>
  <c r="AN275" i="15"/>
  <c r="F282" i="15"/>
  <c r="CC272" i="15"/>
  <c r="M277" i="15"/>
  <c r="AI273" i="15"/>
  <c r="AM259" i="15"/>
  <c r="CG290" i="15"/>
  <c r="CJ290" i="15"/>
  <c r="CP286" i="15"/>
  <c r="BT257" i="15"/>
  <c r="BV247" i="15"/>
  <c r="AD248" i="15"/>
  <c r="BS265" i="15"/>
  <c r="BQ266" i="15"/>
  <c r="CB252" i="15"/>
  <c r="Y258" i="15"/>
  <c r="AL268" i="15"/>
  <c r="CA271" i="15"/>
  <c r="CQ264" i="15"/>
  <c r="BT276" i="15"/>
  <c r="J266" i="15"/>
  <c r="BW250" i="15"/>
  <c r="BZ259" i="15"/>
  <c r="CO269" i="15"/>
  <c r="AA287" i="15"/>
  <c r="AV274" i="15"/>
  <c r="BY260" i="15"/>
  <c r="BZ256" i="15"/>
  <c r="Q265" i="15"/>
  <c r="H262" i="15"/>
  <c r="AP264" i="15"/>
  <c r="BO267" i="15"/>
  <c r="N266" i="15"/>
  <c r="BK264" i="15"/>
  <c r="CG255" i="15"/>
  <c r="Z249" i="15"/>
  <c r="BC271" i="15"/>
  <c r="AG248" i="15"/>
  <c r="R276" i="15"/>
  <c r="BY269" i="15"/>
  <c r="Q279" i="15"/>
  <c r="BX274" i="15"/>
  <c r="AG277" i="15"/>
  <c r="CC277" i="15"/>
  <c r="AY257" i="15"/>
  <c r="BZ272" i="15"/>
  <c r="AZ284" i="15"/>
  <c r="M259" i="15"/>
  <c r="AU282" i="15"/>
  <c r="I266" i="15"/>
  <c r="X276" i="15"/>
  <c r="BJ282" i="15"/>
  <c r="CK268" i="15"/>
  <c r="S246" i="15"/>
  <c r="C248" i="15"/>
  <c r="CJ252" i="15"/>
  <c r="AR260" i="15"/>
  <c r="CB257" i="15"/>
  <c r="E253" i="15"/>
  <c r="CI248" i="15"/>
  <c r="CE256" i="15"/>
  <c r="AT250" i="15"/>
  <c r="CF272" i="15"/>
  <c r="T269" i="15"/>
  <c r="CG257" i="15"/>
  <c r="CP269" i="15"/>
  <c r="R275" i="15"/>
  <c r="K255" i="15"/>
  <c r="H280" i="15"/>
  <c r="BW260" i="15"/>
  <c r="Q258" i="15"/>
  <c r="BY257" i="15"/>
  <c r="BG264" i="15"/>
  <c r="CG261" i="15"/>
  <c r="AB261" i="15"/>
  <c r="BG262" i="15"/>
  <c r="CE276" i="15"/>
  <c r="CK259" i="15"/>
  <c r="Z283" i="15"/>
  <c r="N291" i="15"/>
  <c r="O277" i="15"/>
  <c r="G283" i="15"/>
  <c r="AP260" i="15"/>
  <c r="V258" i="15"/>
  <c r="CF269" i="15"/>
  <c r="AX277" i="15"/>
  <c r="BT265" i="15"/>
  <c r="AM274" i="15"/>
  <c r="AT265" i="15"/>
  <c r="BU275" i="15"/>
  <c r="BY282" i="15"/>
  <c r="BD279" i="15"/>
  <c r="AG269" i="15"/>
  <c r="G253" i="15"/>
  <c r="CI240" i="15"/>
  <c r="X234" i="15"/>
  <c r="P236" i="15"/>
  <c r="AS251" i="15"/>
  <c r="BJ235" i="15"/>
  <c r="BO255" i="15"/>
  <c r="CO257" i="15"/>
  <c r="X248" i="15"/>
  <c r="AI250" i="15"/>
  <c r="BZ253" i="15"/>
  <c r="X263" i="15"/>
  <c r="BP252" i="15"/>
  <c r="BV271" i="15"/>
  <c r="BF240" i="15"/>
  <c r="AU254" i="15"/>
  <c r="CB241" i="15"/>
  <c r="AK252" i="15"/>
  <c r="CE255" i="15"/>
  <c r="BC266" i="15"/>
  <c r="BI242" i="15"/>
  <c r="CF257" i="15"/>
  <c r="BW246" i="15"/>
  <c r="BK270" i="15"/>
  <c r="AN254" i="15"/>
  <c r="F249" i="15"/>
  <c r="E278" i="15"/>
  <c r="J241" i="15"/>
  <c r="BG257" i="15"/>
  <c r="R270" i="15"/>
  <c r="AH261" i="15"/>
  <c r="BM268" i="15"/>
  <c r="M283" i="15"/>
  <c r="CG266" i="15"/>
  <c r="AK279" i="15"/>
  <c r="AS258" i="15"/>
  <c r="AS270" i="15"/>
  <c r="CJ277" i="15"/>
  <c r="BZ270" i="15"/>
  <c r="BK279" i="15"/>
  <c r="BV256" i="15"/>
  <c r="AV250" i="15"/>
  <c r="L258" i="15"/>
  <c r="AW255" i="15"/>
  <c r="L268" i="15"/>
  <c r="P259" i="15"/>
  <c r="AB273" i="15"/>
  <c r="BN256" i="15"/>
  <c r="CR261" i="15"/>
  <c r="M266" i="15"/>
  <c r="BX268" i="15"/>
  <c r="CP268" i="15"/>
  <c r="AT261" i="15"/>
  <c r="R269" i="15"/>
  <c r="BD277" i="15"/>
  <c r="BD268" i="15"/>
  <c r="CP267" i="15"/>
  <c r="AS269" i="15"/>
  <c r="AA281" i="15"/>
  <c r="BE280" i="15"/>
  <c r="AI259" i="15"/>
  <c r="AW270" i="15"/>
  <c r="CB277" i="15"/>
  <c r="M289" i="15"/>
  <c r="AP266" i="15"/>
  <c r="CH278" i="15"/>
  <c r="AX286" i="15"/>
  <c r="AO270" i="15"/>
  <c r="T275" i="15"/>
  <c r="M269" i="15"/>
  <c r="AV267" i="15"/>
  <c r="CR276" i="15"/>
  <c r="CI269" i="15"/>
  <c r="AH289" i="15"/>
  <c r="AJ266" i="15"/>
  <c r="AY285" i="15"/>
  <c r="M291" i="15"/>
  <c r="BZ290" i="15"/>
  <c r="K241" i="15"/>
  <c r="BT233" i="15"/>
  <c r="CD277" i="15"/>
  <c r="AV252" i="15"/>
  <c r="P261" i="15"/>
  <c r="CK261" i="15"/>
  <c r="AL238" i="15"/>
  <c r="BY238" i="15"/>
  <c r="BW243" i="15"/>
  <c r="AP238" i="15"/>
  <c r="AH253" i="15"/>
  <c r="AF251" i="15"/>
  <c r="T237" i="15"/>
  <c r="BP248" i="15"/>
  <c r="Z245" i="15"/>
  <c r="Y277" i="15"/>
  <c r="BJ264" i="15"/>
  <c r="AM250" i="15"/>
  <c r="AS238" i="15"/>
  <c r="CD235" i="15"/>
  <c r="BC249" i="15"/>
  <c r="CC242" i="15"/>
  <c r="AE254" i="15"/>
  <c r="AC284" i="15"/>
  <c r="AF235" i="15"/>
  <c r="CJ267" i="15"/>
  <c r="AQ256" i="15"/>
  <c r="CC261" i="15"/>
  <c r="O266" i="15"/>
  <c r="R251" i="15"/>
  <c r="AY242" i="15"/>
  <c r="AT246" i="15"/>
  <c r="CE271" i="15"/>
  <c r="BQ243" i="15"/>
  <c r="BW249" i="15"/>
  <c r="AK286" i="15"/>
  <c r="S253" i="15"/>
  <c r="AE247" i="15"/>
  <c r="CN254" i="15"/>
  <c r="BT244" i="15"/>
  <c r="CI270" i="15"/>
  <c r="Q260" i="15"/>
  <c r="BP263" i="15"/>
  <c r="BW263" i="15"/>
  <c r="CD257" i="15"/>
  <c r="BR258" i="15"/>
  <c r="AI265" i="15"/>
  <c r="BD249" i="15"/>
  <c r="Y281" i="15"/>
  <c r="BX271" i="15"/>
  <c r="BH272" i="15"/>
  <c r="AW260" i="15"/>
  <c r="I269" i="15"/>
  <c r="AP272" i="15"/>
  <c r="BT291" i="15"/>
  <c r="K262" i="15"/>
  <c r="BK284" i="15"/>
  <c r="I267" i="15"/>
  <c r="N288" i="15"/>
  <c r="I284" i="15"/>
  <c r="F279" i="15"/>
  <c r="BM275" i="15"/>
  <c r="CM250" i="15"/>
  <c r="BH255" i="15"/>
  <c r="AM252" i="15"/>
  <c r="N261" i="15"/>
  <c r="AF258" i="15"/>
  <c r="CK248" i="15"/>
  <c r="L271" i="15"/>
  <c r="BQ278" i="15"/>
  <c r="CH279" i="15"/>
  <c r="AS273" i="15"/>
  <c r="CH273" i="15"/>
  <c r="BP270" i="15"/>
  <c r="CI252" i="15"/>
  <c r="BD265" i="15"/>
  <c r="W272" i="15"/>
  <c r="BZ261" i="15"/>
  <c r="AA278" i="15"/>
  <c r="P266" i="15"/>
  <c r="AJ275" i="15"/>
  <c r="AR258" i="15"/>
  <c r="CP254" i="15"/>
  <c r="AA261" i="15"/>
  <c r="F268" i="15"/>
  <c r="BA264" i="15"/>
  <c r="CA264" i="15"/>
  <c r="AY261" i="15"/>
  <c r="CD273" i="15"/>
  <c r="AE264" i="15"/>
  <c r="G258" i="15"/>
  <c r="AJ265" i="15"/>
  <c r="P270" i="15"/>
  <c r="AB270" i="15"/>
  <c r="F271" i="15"/>
  <c r="O287" i="15"/>
  <c r="CQ281" i="15"/>
  <c r="AJ272" i="15"/>
  <c r="AI276" i="15"/>
  <c r="CQ290" i="15"/>
  <c r="AT275" i="15"/>
  <c r="AY279" i="15"/>
  <c r="K266" i="15"/>
  <c r="P284" i="15"/>
  <c r="M275" i="15"/>
  <c r="T258" i="15"/>
  <c r="O269" i="15"/>
  <c r="CR234" i="15"/>
  <c r="AI285" i="15"/>
  <c r="S258" i="15"/>
  <c r="AW240" i="15"/>
  <c r="AH250" i="15"/>
  <c r="AQ269" i="15"/>
  <c r="BY256" i="15"/>
  <c r="I289" i="15"/>
  <c r="AE288" i="15"/>
  <c r="AE258" i="15"/>
  <c r="L266" i="15"/>
  <c r="N262" i="15"/>
  <c r="AG270" i="15"/>
  <c r="BT261" i="15"/>
  <c r="BP247" i="15"/>
  <c r="BE283" i="15"/>
  <c r="BJ254" i="15"/>
  <c r="BZ287" i="15"/>
  <c r="AW249" i="15"/>
  <c r="CL263" i="15"/>
  <c r="AQ262" i="15"/>
  <c r="BT289" i="15"/>
  <c r="Y262" i="15"/>
  <c r="AX285" i="15"/>
  <c r="BB258" i="15"/>
  <c r="CN277" i="15"/>
  <c r="AZ258" i="15"/>
  <c r="G286" i="15"/>
  <c r="BB287" i="15"/>
  <c r="AB284" i="15"/>
  <c r="CA268" i="15"/>
  <c r="AB272" i="15"/>
  <c r="CP279" i="15"/>
  <c r="C281" i="15"/>
  <c r="CO282" i="15"/>
  <c r="AN265" i="15"/>
  <c r="CE291" i="15"/>
  <c r="BS279" i="15"/>
  <c r="BD242" i="15"/>
  <c r="BI259" i="15"/>
  <c r="AU270" i="15"/>
  <c r="BV270" i="15"/>
  <c r="CR278" i="15"/>
  <c r="BV264" i="15"/>
  <c r="CD275" i="15"/>
  <c r="C275" i="15"/>
  <c r="T273" i="15"/>
  <c r="AB274" i="15"/>
  <c r="CO262" i="15"/>
  <c r="AN271" i="15"/>
  <c r="BQ274" i="15"/>
  <c r="W271" i="15"/>
  <c r="BU272" i="15"/>
  <c r="AE291" i="15"/>
  <c r="CI282" i="15"/>
  <c r="E248" i="15"/>
  <c r="CJ279" i="15"/>
  <c r="AJ257" i="15"/>
  <c r="CB262" i="15"/>
  <c r="BU270" i="15"/>
  <c r="CR287" i="15"/>
  <c r="Y271" i="15"/>
  <c r="E271" i="15"/>
  <c r="BM258" i="15"/>
  <c r="AM260" i="15"/>
  <c r="CN260" i="15"/>
  <c r="E268" i="15"/>
  <c r="CL271" i="15"/>
  <c r="P265" i="15"/>
  <c r="AK267" i="15"/>
  <c r="BG289" i="15"/>
  <c r="CQ266" i="15"/>
  <c r="BU286" i="15"/>
  <c r="BR281" i="15"/>
  <c r="Z281" i="15"/>
  <c r="O290" i="15"/>
  <c r="BA278" i="15"/>
  <c r="BJ257" i="15"/>
  <c r="L262" i="15"/>
  <c r="AX269" i="15"/>
  <c r="E275" i="15"/>
  <c r="AJ269" i="15"/>
  <c r="AG285" i="15"/>
  <c r="AG273" i="15"/>
  <c r="BF275" i="15"/>
  <c r="AU285" i="15"/>
  <c r="BP244" i="15"/>
  <c r="I238" i="15"/>
  <c r="AK253" i="15"/>
  <c r="BY258" i="15"/>
  <c r="BE256" i="15"/>
  <c r="H249" i="15"/>
  <c r="AZ234" i="15"/>
  <c r="CD249" i="15"/>
  <c r="J244" i="15"/>
  <c r="BD245" i="15"/>
  <c r="AT254" i="15"/>
  <c r="BQ261" i="15"/>
  <c r="AB285" i="15"/>
  <c r="AJ235" i="15"/>
  <c r="BC264" i="15"/>
  <c r="AC263" i="15"/>
  <c r="CA262" i="15"/>
  <c r="BO262" i="15"/>
  <c r="U268" i="15"/>
  <c r="BO252" i="15"/>
  <c r="AN264" i="15"/>
  <c r="AC247" i="15"/>
  <c r="AR241" i="15"/>
  <c r="K243" i="15"/>
  <c r="BO235" i="15"/>
  <c r="CR243" i="15"/>
  <c r="CE259" i="15"/>
  <c r="L254" i="15"/>
  <c r="CO248" i="15"/>
  <c r="T260" i="15"/>
  <c r="AX257" i="15"/>
  <c r="AH256" i="15"/>
  <c r="AU263" i="15"/>
  <c r="CO268" i="15"/>
  <c r="P232" i="15"/>
  <c r="AH231" i="15"/>
  <c r="AL250" i="15"/>
  <c r="L249" i="15"/>
  <c r="BP249" i="15"/>
  <c r="CB270" i="15"/>
  <c r="BV254" i="15"/>
  <c r="BD252" i="15"/>
  <c r="CG258" i="15"/>
  <c r="W253" i="15"/>
  <c r="AG265" i="15"/>
  <c r="BX250" i="15"/>
  <c r="O234" i="15"/>
  <c r="BC238" i="15"/>
  <c r="CL252" i="15"/>
  <c r="CO239" i="15"/>
  <c r="BK253" i="15"/>
  <c r="X260" i="15"/>
  <c r="CD253" i="15"/>
  <c r="Y267" i="15"/>
  <c r="BV252" i="15"/>
  <c r="BO274" i="15"/>
  <c r="CK272" i="15"/>
  <c r="BY274" i="15"/>
  <c r="CO284" i="15"/>
  <c r="AW283" i="15"/>
  <c r="AD264" i="15"/>
  <c r="BL253" i="15"/>
  <c r="BK275" i="15"/>
  <c r="BS266" i="15"/>
  <c r="CK275" i="15"/>
  <c r="H279" i="15"/>
  <c r="CG270" i="15"/>
  <c r="BW248" i="15"/>
  <c r="CP278" i="15"/>
  <c r="CD247" i="15"/>
  <c r="BR284" i="15"/>
  <c r="AO287" i="15"/>
  <c r="H267" i="15"/>
  <c r="G259" i="15"/>
  <c r="AM267" i="15"/>
  <c r="P277" i="15"/>
  <c r="AI262" i="15"/>
  <c r="AD257" i="15"/>
  <c r="CA266" i="15"/>
  <c r="BA263" i="15"/>
  <c r="BH259" i="15"/>
  <c r="AH278" i="15"/>
  <c r="BF282" i="15"/>
  <c r="C282" i="15"/>
  <c r="BH271" i="15"/>
  <c r="BH275" i="15"/>
  <c r="AW278" i="15"/>
  <c r="C271" i="15"/>
  <c r="BF258" i="15"/>
  <c r="AH276" i="15"/>
  <c r="AW272" i="15"/>
  <c r="AF267" i="15"/>
  <c r="Z266" i="15"/>
  <c r="Q284" i="15"/>
  <c r="BO287" i="15"/>
  <c r="AV286" i="15"/>
  <c r="AA277" i="15"/>
  <c r="AU239" i="15"/>
  <c r="J234" i="15"/>
  <c r="S233" i="15"/>
  <c r="CH281" i="15"/>
  <c r="BE258" i="15"/>
  <c r="AT252" i="15"/>
  <c r="X244" i="15"/>
  <c r="AS244" i="15"/>
  <c r="H237" i="15"/>
  <c r="AQ233" i="15"/>
  <c r="BW253" i="15"/>
  <c r="AQ249" i="15"/>
  <c r="AG247" i="15"/>
  <c r="BP250" i="15"/>
  <c r="BS273" i="15"/>
  <c r="AY254" i="15"/>
  <c r="BD275" i="15"/>
  <c r="BI252" i="15"/>
  <c r="M237" i="15"/>
  <c r="BN240" i="15"/>
  <c r="CE253" i="15"/>
  <c r="CD233" i="15"/>
  <c r="AG266" i="15"/>
  <c r="AJ260" i="15"/>
  <c r="AV253" i="15"/>
  <c r="CE245" i="15"/>
  <c r="BE264" i="15"/>
  <c r="AC271" i="15"/>
  <c r="CP244" i="15"/>
  <c r="C243" i="15"/>
  <c r="AW242" i="15"/>
  <c r="CC248" i="15"/>
  <c r="CC274" i="15"/>
  <c r="AN232" i="15"/>
  <c r="U251" i="15"/>
  <c r="E281" i="15"/>
  <c r="AK244" i="15"/>
  <c r="AC274" i="15"/>
  <c r="CF254" i="15"/>
  <c r="L267" i="15"/>
  <c r="CF251" i="15"/>
  <c r="CL259" i="15"/>
  <c r="AD260" i="15"/>
  <c r="AK260" i="15"/>
  <c r="T265" i="15"/>
  <c r="BB277" i="15"/>
  <c r="BI277" i="15"/>
  <c r="AT258" i="15"/>
  <c r="V278" i="15"/>
  <c r="AA266" i="15"/>
  <c r="Q267" i="15"/>
  <c r="AY278" i="15"/>
  <c r="P256" i="15"/>
  <c r="CB267" i="15"/>
  <c r="CI275" i="15"/>
  <c r="CC258" i="15"/>
  <c r="CF263" i="15"/>
  <c r="AR267" i="15"/>
  <c r="BY272" i="15"/>
  <c r="BG287" i="15"/>
  <c r="BI291" i="15"/>
  <c r="AU278" i="15"/>
  <c r="Y291" i="15"/>
  <c r="J247" i="15"/>
  <c r="AE256" i="15"/>
  <c r="U267" i="15"/>
  <c r="X272" i="15"/>
  <c r="J289" i="15"/>
  <c r="BN255" i="15"/>
  <c r="M272" i="15"/>
  <c r="BN265" i="15"/>
  <c r="CG260" i="15"/>
  <c r="CL269" i="15"/>
  <c r="CA249" i="15"/>
  <c r="AH247" i="15"/>
  <c r="CA252" i="15"/>
  <c r="AJ262" i="15"/>
  <c r="AK285" i="15"/>
  <c r="W267" i="15"/>
  <c r="Z258" i="15"/>
  <c r="BY284" i="15"/>
  <c r="X264" i="15"/>
  <c r="W259" i="15"/>
  <c r="CE285" i="15"/>
  <c r="R261" i="15"/>
  <c r="AD265" i="15"/>
  <c r="Z274" i="15"/>
  <c r="AI269" i="15"/>
  <c r="AD246" i="15"/>
  <c r="AK247" i="15"/>
  <c r="CB245" i="15"/>
  <c r="BV251" i="15"/>
  <c r="AB263" i="15"/>
  <c r="P262" i="15"/>
  <c r="AA273" i="15"/>
  <c r="N289" i="15"/>
  <c r="CB282" i="15"/>
  <c r="V262" i="15"/>
  <c r="CK263" i="15"/>
  <c r="CC273" i="15"/>
  <c r="AY269" i="15"/>
  <c r="AJ268" i="15"/>
  <c r="CF282" i="15"/>
  <c r="AN284" i="15"/>
  <c r="P280" i="15"/>
  <c r="Y248" i="15"/>
  <c r="X286" i="15"/>
  <c r="BU241" i="15"/>
  <c r="E238" i="15"/>
  <c r="H271" i="15"/>
  <c r="E262" i="15"/>
  <c r="Q241" i="15"/>
  <c r="CI258" i="15"/>
  <c r="V266" i="15"/>
  <c r="BE281" i="15"/>
  <c r="BV273" i="15"/>
  <c r="C261" i="15"/>
  <c r="G281" i="15"/>
  <c r="R258" i="15"/>
  <c r="BY263" i="15"/>
  <c r="AH263" i="15"/>
  <c r="CP289" i="15"/>
  <c r="I252" i="15"/>
  <c r="AS268" i="15"/>
  <c r="BT266" i="15"/>
  <c r="BQ262" i="15"/>
  <c r="BA245" i="15"/>
  <c r="BH288" i="15"/>
  <c r="BZ273" i="15"/>
  <c r="BQ269" i="15"/>
  <c r="CB283" i="15"/>
  <c r="CP259" i="15"/>
  <c r="Z270" i="15"/>
  <c r="BD283" i="15"/>
  <c r="BS280" i="15"/>
  <c r="BW267" i="15"/>
  <c r="AD271" i="15"/>
  <c r="BF272" i="15"/>
  <c r="AU269" i="15"/>
  <c r="BR283" i="15"/>
  <c r="AZ263" i="15"/>
  <c r="CD281" i="15"/>
  <c r="CR291" i="15"/>
  <c r="BY291" i="15"/>
  <c r="AL275" i="15"/>
  <c r="BP280" i="15"/>
  <c r="K285" i="15"/>
  <c r="E265" i="15"/>
  <c r="AC266" i="15"/>
  <c r="G251" i="15"/>
  <c r="BM260" i="15"/>
  <c r="AE274" i="15"/>
  <c r="CL284" i="15"/>
  <c r="BH274" i="15"/>
  <c r="M280" i="15"/>
  <c r="BN262" i="15"/>
  <c r="CO265" i="15"/>
  <c r="BT262" i="15"/>
  <c r="AR268" i="15"/>
  <c r="CB264" i="15"/>
  <c r="R282" i="15"/>
  <c r="BY255" i="15"/>
  <c r="AJ286" i="15"/>
  <c r="AL279" i="15"/>
  <c r="CP275" i="15"/>
  <c r="R260" i="15"/>
  <c r="AH268" i="15"/>
  <c r="AB266" i="15"/>
  <c r="AL265" i="15"/>
  <c r="L259" i="15"/>
  <c r="BR265" i="15"/>
  <c r="BC255" i="15"/>
  <c r="AC268" i="15"/>
  <c r="W276" i="15"/>
  <c r="Z273" i="15"/>
  <c r="W248" i="15"/>
  <c r="M268" i="15"/>
  <c r="CC260" i="15"/>
  <c r="BH270" i="15"/>
  <c r="AL282" i="15"/>
  <c r="AA279" i="15"/>
  <c r="BV277" i="15"/>
  <c r="BB265" i="15"/>
  <c r="AO291" i="15"/>
  <c r="I286" i="15"/>
  <c r="CE269" i="15"/>
  <c r="R266" i="15"/>
  <c r="J270" i="15"/>
  <c r="R278" i="15"/>
  <c r="BO266" i="15"/>
  <c r="AO255" i="15"/>
  <c r="AT266" i="15"/>
  <c r="CG272" i="15"/>
  <c r="T287" i="15"/>
  <c r="C286" i="15"/>
  <c r="BW283" i="15"/>
  <c r="BO236" i="15"/>
  <c r="R234" i="15"/>
  <c r="AS247" i="15"/>
  <c r="BU247" i="15"/>
  <c r="W261" i="15"/>
  <c r="AT235" i="15"/>
  <c r="BL234" i="15"/>
  <c r="N231" i="15"/>
  <c r="N245" i="15"/>
  <c r="BZ245" i="15"/>
  <c r="L291" i="15"/>
  <c r="AY256" i="15"/>
  <c r="BR278" i="15"/>
  <c r="C241" i="15"/>
  <c r="J269" i="15"/>
  <c r="AX259" i="15"/>
  <c r="BX265" i="15"/>
  <c r="AV254" i="15"/>
  <c r="BQ247" i="15"/>
  <c r="BS255" i="15"/>
  <c r="CG235" i="15"/>
  <c r="W236" i="15"/>
  <c r="AB235" i="15"/>
  <c r="AK236" i="15"/>
  <c r="CQ250" i="15"/>
  <c r="BE252" i="15"/>
  <c r="AJ271" i="15"/>
  <c r="E245" i="15"/>
  <c r="AU236" i="15"/>
  <c r="CC264" i="15"/>
  <c r="AV261" i="15"/>
  <c r="AA250" i="15"/>
  <c r="R277" i="15"/>
  <c r="BQ251" i="15"/>
  <c r="CO245" i="15"/>
  <c r="M250" i="15"/>
  <c r="CB276" i="15"/>
  <c r="BI263" i="15"/>
  <c r="BN272" i="15"/>
  <c r="BS271" i="15"/>
  <c r="AF231" i="15"/>
  <c r="BZ250" i="15"/>
  <c r="CR257" i="15"/>
  <c r="X255" i="15"/>
  <c r="X268" i="15"/>
  <c r="X269" i="15"/>
  <c r="CO256" i="15"/>
  <c r="CC251" i="15"/>
  <c r="C262" i="15"/>
  <c r="BW244" i="15"/>
  <c r="AN247" i="15"/>
  <c r="AY246" i="15"/>
  <c r="BJ266" i="15"/>
  <c r="Z284" i="15"/>
  <c r="C250" i="15"/>
  <c r="BW284" i="15"/>
  <c r="CO267" i="15"/>
  <c r="BI280" i="15"/>
  <c r="N273" i="15"/>
  <c r="BR261" i="15"/>
  <c r="BV282" i="15"/>
  <c r="BG245" i="15"/>
  <c r="CP256" i="15"/>
  <c r="G273" i="15"/>
  <c r="BJ260" i="15"/>
  <c r="CH277" i="15"/>
  <c r="H257" i="15"/>
  <c r="BL259" i="15"/>
  <c r="CD267" i="15"/>
  <c r="AZ280" i="15"/>
  <c r="AN262" i="15"/>
  <c r="AZ271" i="15"/>
  <c r="W273" i="15"/>
  <c r="U266" i="15"/>
  <c r="F256" i="15"/>
  <c r="CN284" i="15"/>
  <c r="CN257" i="15"/>
  <c r="BL264" i="15"/>
  <c r="BN275" i="15"/>
  <c r="AR255" i="15"/>
  <c r="AG254" i="15"/>
  <c r="BR267" i="15"/>
  <c r="W277" i="15"/>
  <c r="BP259" i="15"/>
  <c r="BW265" i="15"/>
  <c r="AF280" i="15"/>
  <c r="K263" i="15"/>
  <c r="CQ263" i="15"/>
  <c r="AM275" i="15"/>
  <c r="Y263" i="15"/>
  <c r="CK274" i="15"/>
  <c r="H291" i="15"/>
  <c r="BZ275" i="15"/>
  <c r="AG279" i="15"/>
  <c r="AZ283" i="15"/>
  <c r="AZ276" i="15"/>
  <c r="AF278" i="15"/>
  <c r="BH282" i="15"/>
  <c r="BP232" i="15"/>
  <c r="AP247" i="15"/>
  <c r="CH243" i="15"/>
  <c r="BH261" i="15"/>
  <c r="E266" i="15"/>
  <c r="BD239" i="15"/>
  <c r="CL236" i="15"/>
  <c r="Q239" i="15"/>
  <c r="M257" i="15"/>
  <c r="BZ258" i="15"/>
  <c r="CF262" i="15"/>
  <c r="N255" i="15"/>
  <c r="BN257" i="15"/>
  <c r="Y256" i="15"/>
  <c r="E246" i="15"/>
  <c r="CH253" i="15"/>
  <c r="BA257" i="15"/>
  <c r="R272" i="15"/>
  <c r="AK249" i="15"/>
  <c r="CM234" i="15"/>
  <c r="CL250" i="15"/>
  <c r="BP243" i="15"/>
  <c r="E247" i="15"/>
  <c r="CG259" i="15"/>
  <c r="BD258" i="15"/>
  <c r="BY244" i="15"/>
  <c r="BN264" i="15"/>
  <c r="CQ258" i="15"/>
  <c r="S240" i="15"/>
  <c r="BE235" i="15"/>
  <c r="T240" i="15"/>
  <c r="BM248" i="15"/>
  <c r="CH264" i="15"/>
  <c r="C283" i="15"/>
  <c r="BF265" i="15"/>
  <c r="BC268" i="15"/>
  <c r="AJ256" i="15"/>
  <c r="CA258" i="15"/>
  <c r="CN252" i="15"/>
  <c r="CF259" i="15"/>
  <c r="AK259" i="15"/>
  <c r="R262" i="15"/>
  <c r="BO265" i="15"/>
  <c r="BU269" i="15"/>
  <c r="AM276" i="15"/>
  <c r="L286" i="15"/>
  <c r="AK274" i="15"/>
  <c r="BF266" i="15"/>
  <c r="CK265" i="15"/>
  <c r="AP277" i="15"/>
  <c r="BB264" i="15"/>
  <c r="AV258" i="15"/>
  <c r="CM259" i="15"/>
  <c r="BV272" i="15"/>
  <c r="AV265" i="15"/>
  <c r="BD274" i="15"/>
  <c r="BQ276" i="15"/>
  <c r="T280" i="15"/>
  <c r="BW274" i="15"/>
  <c r="X284" i="15"/>
  <c r="AZ274" i="15"/>
  <c r="CA263" i="15"/>
  <c r="AF282" i="15"/>
  <c r="BG244" i="15"/>
  <c r="AM258" i="15"/>
  <c r="CK258" i="15"/>
  <c r="J267" i="15"/>
  <c r="CM264" i="15"/>
  <c r="AS255" i="15"/>
  <c r="AL264" i="15"/>
  <c r="AI274" i="15"/>
  <c r="BW269" i="15"/>
  <c r="CO271" i="15"/>
  <c r="BN250" i="15"/>
  <c r="CG248" i="15"/>
  <c r="BT254" i="15"/>
  <c r="G263" i="15"/>
  <c r="BB257" i="15"/>
  <c r="CI267" i="15"/>
  <c r="AF254" i="15"/>
  <c r="AW265" i="15"/>
  <c r="CK267" i="15"/>
  <c r="BD286" i="15"/>
  <c r="H256" i="15"/>
  <c r="AX261" i="15"/>
  <c r="BJ265" i="15"/>
  <c r="BC276" i="15"/>
  <c r="Z256" i="15"/>
  <c r="F267" i="15"/>
  <c r="CR258" i="15"/>
  <c r="CI276" i="15"/>
  <c r="CI272" i="15"/>
  <c r="BH263" i="15"/>
  <c r="CD264" i="15"/>
  <c r="CF265" i="15"/>
  <c r="BO261" i="15"/>
  <c r="V289" i="15"/>
  <c r="BL271" i="15"/>
  <c r="CO273" i="15"/>
  <c r="J263" i="15"/>
  <c r="R287" i="15"/>
  <c r="BH283" i="15"/>
  <c r="AQ282" i="15"/>
  <c r="W274" i="15"/>
  <c r="AM284" i="15"/>
  <c r="BK239" i="15"/>
  <c r="BK269" i="15"/>
  <c r="BD244" i="15"/>
  <c r="CH245" i="15"/>
  <c r="AJ251" i="15"/>
  <c r="CO280" i="15"/>
  <c r="BT252" i="15"/>
  <c r="BL246" i="15"/>
  <c r="BA256" i="15"/>
  <c r="W284" i="15"/>
  <c r="AF256" i="15"/>
  <c r="BH266" i="15"/>
  <c r="BN251" i="15"/>
  <c r="Z247" i="15"/>
  <c r="K279" i="15"/>
  <c r="CO275" i="15"/>
  <c r="AF250" i="15"/>
  <c r="AA249" i="15"/>
  <c r="T259" i="15"/>
  <c r="BU254" i="15"/>
  <c r="AP265" i="15"/>
  <c r="CG246" i="15"/>
  <c r="AP279" i="15"/>
  <c r="BA268" i="15"/>
  <c r="Z285" i="15"/>
  <c r="AB267" i="15"/>
  <c r="BU267" i="15"/>
  <c r="CK271" i="15"/>
  <c r="CN269" i="15"/>
  <c r="AW264" i="15"/>
  <c r="CD270" i="15"/>
  <c r="BJ263" i="15"/>
  <c r="BY264" i="15"/>
  <c r="AU289" i="15"/>
  <c r="BB273" i="15"/>
  <c r="V276" i="15"/>
  <c r="V287" i="15"/>
  <c r="CF279" i="15"/>
  <c r="AR289" i="15"/>
  <c r="O279" i="15"/>
  <c r="AJ270" i="15"/>
  <c r="AJ281" i="15"/>
  <c r="CC265" i="15"/>
  <c r="BO241" i="15"/>
  <c r="BF273" i="15"/>
  <c r="AB232" i="15"/>
  <c r="J257" i="15"/>
  <c r="AW252" i="15"/>
  <c r="AQ248" i="15"/>
  <c r="Z257" i="15"/>
  <c r="CD255" i="15"/>
  <c r="CD262" i="15"/>
  <c r="CQ249" i="15"/>
  <c r="I273" i="15"/>
  <c r="G256" i="15"/>
  <c r="CQ278" i="15"/>
  <c r="X256" i="15"/>
  <c r="AQ278" i="15"/>
  <c r="L274" i="15"/>
  <c r="AZ251" i="15"/>
  <c r="CL290" i="15"/>
  <c r="CL272" i="15"/>
  <c r="CC278" i="15"/>
  <c r="V274" i="15"/>
  <c r="J273" i="15"/>
  <c r="H255" i="15"/>
  <c r="L270" i="15"/>
  <c r="N256" i="15"/>
  <c r="J261" i="15"/>
  <c r="AW269" i="15"/>
  <c r="BJ281" i="15"/>
  <c r="S264" i="15"/>
  <c r="H264" i="15"/>
  <c r="BI253" i="15"/>
  <c r="R255" i="15"/>
  <c r="CM254" i="15"/>
  <c r="AI256" i="15"/>
  <c r="BF271" i="15"/>
  <c r="BR266" i="15"/>
  <c r="E261" i="15"/>
  <c r="BZ274" i="15"/>
  <c r="AC278" i="15"/>
  <c r="AY273" i="15"/>
  <c r="CE277" i="15"/>
  <c r="F273" i="15"/>
  <c r="AN255" i="15"/>
  <c r="AT283" i="15"/>
  <c r="AG274" i="15"/>
  <c r="U263" i="15"/>
  <c r="AB262" i="15"/>
  <c r="BE284" i="15"/>
  <c r="CH275" i="15"/>
  <c r="AL278" i="15"/>
  <c r="AA282" i="15"/>
  <c r="BE282" i="15"/>
  <c r="I280" i="15"/>
  <c r="AE272" i="15"/>
  <c r="Q256" i="15"/>
  <c r="E237" i="15"/>
  <c r="AR281" i="15"/>
  <c r="BY276" i="15"/>
  <c r="BD289" i="15"/>
  <c r="Q276" i="15"/>
  <c r="I271" i="15"/>
  <c r="BW268" i="15"/>
  <c r="H268" i="15"/>
  <c r="AA260" i="15"/>
  <c r="E274" i="15"/>
  <c r="AH277" i="15"/>
  <c r="BK255" i="15"/>
  <c r="CI255" i="15"/>
  <c r="N260" i="15"/>
  <c r="BG266" i="15"/>
  <c r="AA275" i="15"/>
  <c r="S259" i="15"/>
  <c r="BR257" i="15"/>
  <c r="CR275" i="15"/>
  <c r="S263" i="15"/>
  <c r="AG263" i="15"/>
  <c r="AR273" i="15"/>
  <c r="BJ256" i="15"/>
  <c r="CC263" i="15"/>
  <c r="BZ282" i="15"/>
  <c r="AM269" i="15"/>
  <c r="CK277" i="15"/>
  <c r="CG285" i="15"/>
  <c r="AD269" i="15"/>
  <c r="BW291" i="15"/>
  <c r="AB286" i="15"/>
  <c r="O261" i="15"/>
  <c r="AK278" i="15"/>
  <c r="BW279" i="15"/>
  <c r="CH256" i="15"/>
  <c r="CN259" i="15"/>
  <c r="BC263" i="15"/>
  <c r="BN277" i="15"/>
  <c r="BI266" i="15"/>
  <c r="BK280" i="15"/>
  <c r="AK263" i="15"/>
  <c r="U269" i="15"/>
  <c r="AK287" i="15"/>
  <c r="R259" i="15"/>
  <c r="BM257" i="15"/>
  <c r="S277" i="15"/>
  <c r="AU258" i="15"/>
  <c r="CM255" i="15"/>
  <c r="BX273" i="15"/>
  <c r="CK266" i="15"/>
  <c r="AC253" i="15"/>
  <c r="BI256" i="15"/>
  <c r="BO260" i="15"/>
  <c r="CB275" i="15"/>
  <c r="BF262" i="15"/>
  <c r="BH264" i="15"/>
  <c r="CG271" i="15"/>
  <c r="AJ287" i="15"/>
  <c r="AO259" i="15"/>
  <c r="AH254" i="15"/>
  <c r="E269" i="15"/>
  <c r="BV268" i="15"/>
  <c r="CB256" i="15"/>
  <c r="Y255" i="15"/>
  <c r="BS278" i="15"/>
  <c r="AO286" i="15"/>
  <c r="AF263" i="15"/>
  <c r="BS274" i="15"/>
  <c r="BA271" i="15"/>
  <c r="BF283" i="15"/>
  <c r="AD281" i="15"/>
  <c r="BO291" i="15"/>
  <c r="V277" i="15"/>
  <c r="BQ283" i="15"/>
  <c r="AR276" i="15"/>
  <c r="CB279" i="15"/>
  <c r="I285" i="15"/>
  <c r="AR271" i="15"/>
  <c r="CC262" i="15"/>
  <c r="N272" i="15"/>
  <c r="CH276" i="15"/>
  <c r="AO285" i="15"/>
  <c r="CO288" i="15"/>
  <c r="J259" i="15"/>
  <c r="AN233" i="15"/>
  <c r="AG251" i="15"/>
  <c r="BI274" i="15"/>
  <c r="Y268" i="15"/>
  <c r="AE251" i="15"/>
  <c r="G234" i="15"/>
  <c r="AO283" i="15"/>
  <c r="BG250" i="15"/>
  <c r="BG281" i="15"/>
  <c r="CN279" i="15"/>
  <c r="BK257" i="15"/>
  <c r="BQ244" i="15"/>
  <c r="BZ236" i="15"/>
  <c r="CM261" i="15"/>
  <c r="CL242" i="15"/>
  <c r="AP251" i="15"/>
  <c r="BP257" i="15"/>
  <c r="N246" i="15"/>
  <c r="AN282" i="15"/>
  <c r="BL245" i="15"/>
  <c r="AC279" i="15"/>
  <c r="AW261" i="15"/>
  <c r="AW279" i="15"/>
  <c r="V261" i="15"/>
  <c r="O270" i="15"/>
  <c r="E260" i="15"/>
  <c r="J268" i="15"/>
  <c r="CN256" i="15"/>
  <c r="CQ261" i="15"/>
  <c r="AP262" i="15"/>
  <c r="AZ261" i="15"/>
  <c r="AA269" i="15"/>
  <c r="S251" i="15"/>
  <c r="BC248" i="15"/>
  <c r="N250" i="15"/>
  <c r="AX258" i="15"/>
  <c r="AB268" i="15"/>
  <c r="CJ264" i="15"/>
  <c r="Z272" i="15"/>
  <c r="BU260" i="15"/>
  <c r="BM271" i="15"/>
  <c r="AJ250" i="15"/>
  <c r="BT247" i="15"/>
  <c r="F272" i="15"/>
  <c r="T255" i="15"/>
  <c r="BP265" i="15"/>
  <c r="BH278" i="15"/>
  <c r="L273" i="15"/>
  <c r="AO257" i="15"/>
  <c r="Y266" i="15"/>
  <c r="AR286" i="15"/>
  <c r="U259" i="15"/>
  <c r="AP273" i="15"/>
  <c r="AE276" i="15"/>
  <c r="AG257" i="15"/>
  <c r="CP281" i="15"/>
  <c r="AI264" i="15"/>
  <c r="BD282" i="15"/>
  <c r="CO272" i="15"/>
  <c r="AK281" i="15"/>
  <c r="BA276" i="15"/>
  <c r="CP274" i="15"/>
  <c r="BX280" i="15"/>
  <c r="CM258" i="15"/>
  <c r="M282" i="15"/>
  <c r="AH271" i="15"/>
  <c r="AV271" i="15"/>
  <c r="K282" i="15"/>
  <c r="BQ279" i="15"/>
  <c r="AJ273" i="15"/>
  <c r="BU287" i="15"/>
  <c r="AT263" i="15"/>
  <c r="AR290" i="15"/>
  <c r="V281" i="15"/>
  <c r="BD278" i="15"/>
  <c r="BT287" i="15"/>
  <c r="BC278" i="15"/>
  <c r="AO261" i="15"/>
  <c r="AY287" i="15"/>
  <c r="CG291" i="15"/>
  <c r="K267" i="15"/>
  <c r="AH288" i="15"/>
  <c r="AL259" i="15"/>
  <c r="BT264" i="15"/>
  <c r="BC239" i="15"/>
  <c r="AK255" i="15"/>
  <c r="BT280" i="15"/>
  <c r="BP269" i="15"/>
  <c r="AL263" i="15"/>
  <c r="N249" i="15"/>
  <c r="CL274" i="15"/>
  <c r="L287" i="15"/>
  <c r="J233" i="15"/>
  <c r="BG233" i="15"/>
  <c r="BN260" i="15"/>
  <c r="CJ248" i="15"/>
  <c r="G245" i="15"/>
  <c r="BI258" i="15"/>
  <c r="CD254" i="15"/>
  <c r="J282" i="15"/>
  <c r="CL247" i="15"/>
  <c r="F280" i="15"/>
  <c r="BQ248" i="15"/>
  <c r="BX262" i="15"/>
  <c r="AX263" i="15"/>
  <c r="AR243" i="15"/>
  <c r="CF235" i="15"/>
  <c r="AV251" i="15"/>
  <c r="S238" i="15"/>
  <c r="X246" i="15"/>
  <c r="O255" i="15"/>
  <c r="AA231" i="15"/>
  <c r="CM249" i="15"/>
  <c r="W252" i="15"/>
  <c r="CR256" i="15"/>
  <c r="CE254" i="15"/>
  <c r="X233" i="15"/>
  <c r="O252" i="15"/>
  <c r="BQ265" i="15"/>
  <c r="AE249" i="15"/>
  <c r="AI282" i="15"/>
  <c r="BL269" i="15"/>
  <c r="BS251" i="15"/>
  <c r="W254" i="15"/>
  <c r="BI260" i="15"/>
  <c r="AC269" i="15"/>
  <c r="AH257" i="15"/>
  <c r="Z267" i="15"/>
  <c r="AU257" i="15"/>
  <c r="AM262" i="15"/>
  <c r="M253" i="15"/>
  <c r="AF255" i="15"/>
  <c r="BP260" i="15"/>
  <c r="C259" i="15"/>
  <c r="CK260" i="15"/>
  <c r="AI257" i="15"/>
  <c r="BM270" i="15"/>
  <c r="M246" i="15"/>
  <c r="Z253" i="15"/>
  <c r="AL261" i="15"/>
  <c r="CQ262" i="15"/>
  <c r="AR265" i="15"/>
  <c r="F263" i="15"/>
  <c r="AT269" i="15"/>
  <c r="AZ262" i="15"/>
  <c r="BK274" i="15"/>
  <c r="CF255" i="15"/>
  <c r="C269" i="15"/>
  <c r="BU256" i="15"/>
  <c r="G267" i="15"/>
  <c r="BP272" i="15"/>
  <c r="BO273" i="15"/>
  <c r="CI284" i="15"/>
  <c r="J280" i="15"/>
  <c r="CE264" i="15"/>
  <c r="CA272" i="15"/>
  <c r="P268" i="15"/>
  <c r="AV268" i="15"/>
  <c r="BB274" i="15"/>
  <c r="BJ280" i="15"/>
  <c r="CC266" i="15"/>
  <c r="BE276" i="15"/>
  <c r="AB277" i="15"/>
  <c r="U275" i="15"/>
  <c r="BP282" i="15"/>
  <c r="CE268" i="15"/>
  <c r="AC281" i="15"/>
  <c r="CQ267" i="15"/>
  <c r="AE289" i="15"/>
  <c r="BG255" i="15"/>
  <c r="AB246" i="15"/>
  <c r="L244" i="15"/>
  <c r="AD268" i="15"/>
  <c r="CJ249" i="15"/>
  <c r="BV278" i="15"/>
  <c r="AA255" i="15"/>
  <c r="T250" i="15"/>
  <c r="AZ265" i="15"/>
  <c r="X279" i="15"/>
  <c r="AP255" i="15"/>
  <c r="AP257" i="15"/>
  <c r="P267" i="15"/>
  <c r="CO255" i="15"/>
  <c r="J256" i="15"/>
  <c r="AH260" i="15"/>
  <c r="AJ277" i="15"/>
  <c r="BD290" i="15"/>
  <c r="AQ259" i="15"/>
  <c r="CL257" i="15"/>
  <c r="CF261" i="15"/>
  <c r="BS259" i="15"/>
  <c r="BT270" i="15"/>
  <c r="BE267" i="15"/>
  <c r="F284" i="15"/>
  <c r="CC255" i="15"/>
  <c r="AY263" i="15"/>
  <c r="AG264" i="15"/>
  <c r="U261" i="15"/>
  <c r="O265" i="15"/>
  <c r="AG267" i="15"/>
  <c r="AO267" i="15"/>
  <c r="CM263" i="15"/>
  <c r="BF261" i="15"/>
  <c r="AC273" i="15"/>
  <c r="BQ258" i="15"/>
  <c r="M270" i="15"/>
  <c r="BJ245" i="15"/>
  <c r="Z254" i="15"/>
  <c r="AL251" i="15"/>
  <c r="N253" i="15"/>
  <c r="X252" i="15"/>
  <c r="AN272" i="15"/>
  <c r="BV261" i="15"/>
  <c r="CC282" i="15"/>
  <c r="CI289" i="15"/>
  <c r="X261" i="15"/>
  <c r="AF276" i="15"/>
  <c r="BY289" i="15"/>
  <c r="AF260" i="15"/>
  <c r="BY283" i="15"/>
  <c r="G269" i="15"/>
  <c r="AM248" i="15"/>
  <c r="CB251" i="15"/>
  <c r="BR274" i="15"/>
  <c r="AN245" i="15"/>
  <c r="AT247" i="15"/>
  <c r="CI250" i="15"/>
  <c r="X266" i="15"/>
  <c r="CL255" i="15"/>
  <c r="CQ256" i="15"/>
  <c r="O253" i="15"/>
  <c r="AH274" i="15"/>
  <c r="BC260" i="15"/>
  <c r="BF255" i="15"/>
  <c r="BU264" i="15"/>
  <c r="U286" i="15"/>
  <c r="U265" i="15"/>
  <c r="CI281" i="15"/>
  <c r="CC259" i="15"/>
  <c r="AE285" i="15"/>
  <c r="BZ266" i="15"/>
  <c r="BZ277" i="15"/>
  <c r="AV284" i="15"/>
  <c r="L285" i="15"/>
  <c r="AO290" i="15"/>
  <c r="BJ287" i="15"/>
  <c r="Y290" i="15"/>
  <c r="CB281" i="15"/>
  <c r="CE282" i="15"/>
  <c r="BR285" i="15"/>
  <c r="CN266" i="15"/>
  <c r="AW289" i="15"/>
  <c r="CQ291" i="15"/>
  <c r="AD232" i="15"/>
  <c r="CM245" i="15"/>
  <c r="BF256" i="15"/>
  <c r="BG260" i="15"/>
  <c r="G249" i="15"/>
  <c r="AB231" i="15"/>
  <c r="BB245" i="15"/>
  <c r="AY255" i="15"/>
  <c r="H250" i="15"/>
  <c r="CR282" i="15"/>
  <c r="K268" i="15"/>
  <c r="BL268" i="15"/>
  <c r="AS253" i="15"/>
  <c r="CM247" i="15"/>
  <c r="AS274" i="15"/>
  <c r="R257" i="15"/>
  <c r="AA253" i="15"/>
  <c r="AJ258" i="15"/>
  <c r="CP270" i="15"/>
  <c r="BG280" i="15"/>
  <c r="CA275" i="15"/>
  <c r="BY275" i="15"/>
  <c r="AY274" i="15"/>
  <c r="CK284" i="15"/>
  <c r="AV276" i="15"/>
  <c r="AZ266" i="15"/>
  <c r="AD245" i="15"/>
  <c r="BY265" i="15"/>
  <c r="BO271" i="15"/>
  <c r="X275" i="15"/>
  <c r="AD275" i="15"/>
  <c r="BA265" i="15"/>
  <c r="CQ277" i="15"/>
  <c r="V265" i="15"/>
  <c r="P251" i="15"/>
  <c r="AE280" i="15"/>
  <c r="BC252" i="15"/>
  <c r="AE270" i="15"/>
  <c r="BC254" i="15"/>
  <c r="T282" i="15"/>
  <c r="CQ265" i="15"/>
  <c r="U262" i="15"/>
  <c r="M245" i="15"/>
  <c r="CG256" i="15"/>
  <c r="AY277" i="15"/>
  <c r="AD290" i="15"/>
  <c r="AB287" i="15"/>
  <c r="CI279" i="15"/>
  <c r="CN275" i="15"/>
  <c r="AO284" i="15"/>
  <c r="AB269" i="15"/>
  <c r="G262" i="15"/>
  <c r="CI287" i="15"/>
  <c r="AO274" i="15"/>
  <c r="AQ274" i="15"/>
  <c r="BN267" i="15"/>
  <c r="AW281" i="15"/>
  <c r="AM286" i="15"/>
  <c r="CE280" i="15"/>
  <c r="M278" i="15"/>
  <c r="CG287" i="15"/>
  <c r="CM280" i="15"/>
  <c r="T264" i="15"/>
  <c r="V264" i="15"/>
  <c r="V269" i="15"/>
  <c r="AR262" i="15"/>
  <c r="AV277" i="15"/>
  <c r="AH285" i="15"/>
  <c r="CI265" i="15"/>
  <c r="BX264" i="15"/>
  <c r="BZ291" i="15"/>
  <c r="CG284" i="15"/>
  <c r="CM271" i="15"/>
  <c r="AR291" i="15"/>
  <c r="S274" i="15"/>
  <c r="X282" i="15"/>
  <c r="AO278" i="15"/>
  <c r="L255" i="15"/>
  <c r="AQ287" i="15"/>
  <c r="H288" i="15"/>
  <c r="BE261" i="15"/>
  <c r="CD291" i="15"/>
  <c r="BO283" i="15"/>
  <c r="Z261" i="15"/>
  <c r="CP257" i="15"/>
  <c r="AJ282" i="15"/>
  <c r="C266" i="15"/>
  <c r="AY283" i="15"/>
  <c r="AI280" i="15"/>
  <c r="W275" i="15"/>
  <c r="BS275" i="15"/>
  <c r="O278" i="15"/>
  <c r="CC284" i="15"/>
  <c r="BK282" i="15"/>
  <c r="V286" i="15"/>
  <c r="AX289" i="15"/>
  <c r="CN267" i="15"/>
  <c r="BM272" i="15"/>
  <c r="F286" i="15"/>
  <c r="T274" i="15"/>
  <c r="AO288" i="15"/>
  <c r="CO291" i="15"/>
  <c r="BL266" i="15"/>
  <c r="BF263" i="15"/>
  <c r="K275" i="15"/>
  <c r="E264" i="15"/>
  <c r="BK265" i="15"/>
  <c r="BX281" i="15"/>
  <c r="BS257" i="15"/>
  <c r="AV272" i="15"/>
  <c r="CL266" i="15"/>
  <c r="AO275" i="15"/>
  <c r="AV256" i="15"/>
  <c r="CE281" i="15"/>
  <c r="CP263" i="15"/>
  <c r="W268" i="15"/>
  <c r="BU276" i="15"/>
  <c r="AX291" i="15"/>
  <c r="AT268" i="15"/>
  <c r="CD278" i="15"/>
  <c r="AL269" i="15"/>
  <c r="AA267" i="15"/>
  <c r="T263" i="15"/>
  <c r="AA276" i="15"/>
  <c r="BZ269" i="15"/>
  <c r="V279" i="15"/>
  <c r="G264" i="15"/>
  <c r="Z279" i="15"/>
  <c r="BJ268" i="15"/>
  <c r="AK268" i="15"/>
  <c r="AV279" i="15"/>
  <c r="CR268" i="15"/>
  <c r="AW274" i="15"/>
  <c r="BY287" i="15"/>
  <c r="BK267" i="15"/>
  <c r="Q282" i="15"/>
  <c r="C270" i="15"/>
  <c r="CF275" i="15"/>
  <c r="Z278" i="15"/>
  <c r="L284" i="15"/>
  <c r="U291" i="15"/>
  <c r="CI280" i="15"/>
  <c r="AT286" i="15"/>
  <c r="AX270" i="15"/>
  <c r="AG291" i="15"/>
  <c r="Z290" i="15"/>
  <c r="CR267" i="15"/>
  <c r="BJ279" i="15"/>
  <c r="AU284" i="15"/>
  <c r="AT276" i="15"/>
  <c r="CD290" i="15"/>
  <c r="C287" i="15"/>
  <c r="BP289" i="15"/>
  <c r="BO268" i="15"/>
  <c r="CI271" i="15"/>
  <c r="J288" i="15"/>
  <c r="AR278" i="15"/>
  <c r="F281" i="15"/>
  <c r="BI281" i="15"/>
  <c r="P282" i="15"/>
  <c r="AC289" i="15"/>
  <c r="BG290" i="15"/>
  <c r="CE284" i="15"/>
  <c r="AF265" i="15"/>
  <c r="AB256" i="15"/>
  <c r="AH282" i="15"/>
  <c r="CC276" i="15"/>
  <c r="AI272" i="15"/>
  <c r="CB287" i="15"/>
  <c r="CN262" i="15"/>
  <c r="AP284" i="15"/>
  <c r="BU289" i="15"/>
  <c r="AU283" i="15"/>
  <c r="BE285" i="15"/>
  <c r="G279" i="15"/>
  <c r="BC277" i="15"/>
  <c r="AZ259" i="15"/>
  <c r="CK283" i="15"/>
  <c r="CL276" i="15"/>
  <c r="J276" i="15"/>
  <c r="CI288" i="15"/>
  <c r="O288" i="15"/>
  <c r="CQ275" i="15"/>
  <c r="P290" i="15"/>
  <c r="CM288" i="15"/>
  <c r="AS267" i="15"/>
  <c r="CP261" i="15"/>
  <c r="BC289" i="15"/>
  <c r="BU284" i="15"/>
  <c r="CR263" i="15"/>
  <c r="CK289" i="15"/>
  <c r="BO280" i="15"/>
  <c r="CD280" i="15"/>
  <c r="BP281" i="15"/>
  <c r="BJ284" i="15"/>
  <c r="BC287" i="15"/>
  <c r="CF288" i="15"/>
  <c r="CN291" i="15"/>
  <c r="AQ257" i="15"/>
  <c r="BL273" i="15"/>
  <c r="F258" i="15"/>
  <c r="CM266" i="15"/>
  <c r="BG279" i="15"/>
  <c r="AW280" i="15"/>
  <c r="CD261" i="15"/>
  <c r="P257" i="15"/>
  <c r="BG267" i="15"/>
  <c r="AQ273" i="15"/>
  <c r="AD273" i="15"/>
  <c r="AT256" i="15"/>
  <c r="AJ274" i="15"/>
  <c r="CF283" i="15"/>
  <c r="BC280" i="15"/>
  <c r="CM279" i="15"/>
  <c r="CA279" i="15"/>
  <c r="BR289" i="15"/>
  <c r="G284" i="15"/>
  <c r="AC282" i="15"/>
  <c r="CO281" i="15"/>
  <c r="CB271" i="15"/>
  <c r="BE275" i="15"/>
  <c r="V283" i="15"/>
  <c r="BO278" i="15"/>
  <c r="CM275" i="15"/>
  <c r="BM265" i="15"/>
  <c r="AE282" i="15"/>
  <c r="CF273" i="15"/>
  <c r="W263" i="15"/>
  <c r="BV269" i="15"/>
  <c r="BX238" i="15"/>
  <c r="AI254" i="15"/>
  <c r="AG259" i="15"/>
  <c r="AD267" i="15"/>
  <c r="AP248" i="15"/>
  <c r="S270" i="15"/>
  <c r="BB266" i="15"/>
  <c r="AD256" i="15"/>
  <c r="Z238" i="15"/>
  <c r="V247" i="15"/>
  <c r="BH233" i="15"/>
  <c r="M254" i="15"/>
  <c r="AB234" i="15"/>
  <c r="CN268" i="15"/>
  <c r="CO270" i="15"/>
  <c r="CC285" i="15"/>
  <c r="CJ247" i="15"/>
  <c r="BA248" i="15"/>
  <c r="BP264" i="15"/>
  <c r="BL258" i="15"/>
  <c r="BX266" i="15"/>
  <c r="BK262" i="15"/>
  <c r="AI236" i="15"/>
  <c r="AT240" i="15"/>
  <c r="AM232" i="15"/>
  <c r="AX255" i="15"/>
  <c r="BE253" i="15"/>
  <c r="CJ269" i="15"/>
  <c r="BQ290" i="15"/>
  <c r="AG256" i="15"/>
  <c r="BS256" i="15"/>
  <c r="AO253" i="15"/>
  <c r="BB246" i="15"/>
  <c r="BI270" i="15"/>
  <c r="X291" i="15"/>
  <c r="AS260" i="15"/>
  <c r="I255" i="15"/>
  <c r="E259" i="15"/>
  <c r="AG261" i="15"/>
  <c r="CL268" i="15"/>
  <c r="CI260" i="15"/>
  <c r="L257" i="15"/>
  <c r="W265" i="15"/>
  <c r="AG262" i="15"/>
  <c r="BX272" i="15"/>
  <c r="BV257" i="15"/>
  <c r="BJ261" i="15"/>
  <c r="CH267" i="15"/>
  <c r="W278" i="15"/>
  <c r="AB259" i="15"/>
  <c r="CD274" i="15"/>
  <c r="AQ279" i="15"/>
  <c r="BM276" i="15"/>
  <c r="K273" i="15"/>
  <c r="CF266" i="15"/>
  <c r="W257" i="15"/>
  <c r="P264" i="15"/>
  <c r="AH262" i="15"/>
  <c r="AO277" i="15"/>
  <c r="BV262" i="15"/>
  <c r="BN263" i="15"/>
  <c r="BK276" i="15"/>
  <c r="AY264" i="15"/>
  <c r="BO259" i="15"/>
  <c r="BD256" i="15"/>
  <c r="BU262" i="15"/>
  <c r="CQ269" i="15"/>
  <c r="X267" i="15"/>
  <c r="BY278" i="15"/>
  <c r="Z275" i="15"/>
  <c r="AF272" i="15"/>
  <c r="CD258" i="15"/>
  <c r="CB269" i="15"/>
  <c r="T254" i="15"/>
  <c r="G289" i="15"/>
  <c r="BG265" i="15"/>
  <c r="BZ267" i="15"/>
  <c r="AE273" i="15"/>
  <c r="AE261" i="15"/>
  <c r="AE260" i="15"/>
  <c r="CE260" i="15"/>
  <c r="AD254" i="15"/>
  <c r="AX272" i="15"/>
  <c r="AC267" i="15"/>
  <c r="AQ268" i="15"/>
  <c r="AR253" i="15"/>
  <c r="CP266" i="15"/>
  <c r="AO273" i="15"/>
  <c r="AU291" i="15"/>
  <c r="BT269" i="15"/>
  <c r="AP268" i="15"/>
  <c r="Y264" i="15"/>
  <c r="AE267" i="15"/>
  <c r="BC283" i="15"/>
  <c r="Z289" i="15"/>
  <c r="BB279" i="15"/>
  <c r="BE270" i="15"/>
  <c r="AI268" i="15"/>
  <c r="AB255" i="15"/>
  <c r="AI271" i="15"/>
  <c r="CK270" i="15"/>
  <c r="F288" i="15"/>
  <c r="AU280" i="15"/>
  <c r="BI276" i="15"/>
  <c r="AS262" i="15"/>
  <c r="W281" i="15"/>
  <c r="CH286" i="15"/>
  <c r="CE278" i="15"/>
  <c r="W287" i="15"/>
  <c r="CL286" i="15"/>
  <c r="R264" i="15"/>
  <c r="G282" i="15"/>
  <c r="BL291" i="15"/>
  <c r="U278" i="15"/>
  <c r="CA277" i="15"/>
  <c r="O286" i="15"/>
  <c r="L269" i="15"/>
  <c r="J279" i="15"/>
  <c r="AP261" i="15"/>
  <c r="BH291" i="15"/>
  <c r="AZ282" i="15"/>
  <c r="BO285" i="15"/>
  <c r="AA271" i="15"/>
  <c r="CD285" i="15"/>
  <c r="BR291" i="15"/>
  <c r="BN269" i="15"/>
  <c r="CN270" i="15"/>
  <c r="BE272" i="15"/>
  <c r="CQ268" i="15"/>
  <c r="O267" i="15"/>
  <c r="BH287" i="15"/>
  <c r="AY270" i="15"/>
  <c r="BY279" i="15"/>
  <c r="N267" i="15"/>
  <c r="C272" i="15"/>
  <c r="Y287" i="15"/>
  <c r="T285" i="15"/>
  <c r="CJ261" i="15"/>
  <c r="AA259" i="15"/>
  <c r="N257" i="15"/>
  <c r="K278" i="15"/>
  <c r="AV269" i="15"/>
  <c r="AJ279" i="15"/>
  <c r="AW267" i="15"/>
  <c r="AU274" i="15"/>
  <c r="BL275" i="15"/>
  <c r="AT262" i="15"/>
  <c r="AU261" i="15"/>
  <c r="V275" i="15"/>
  <c r="H270" i="15"/>
  <c r="BN276" i="15"/>
  <c r="BV280" i="15"/>
  <c r="Q271" i="15"/>
  <c r="BM290" i="15"/>
  <c r="S273" i="15"/>
  <c r="BO272" i="15"/>
  <c r="T284" i="15"/>
  <c r="BK272" i="15"/>
  <c r="BP285" i="15"/>
  <c r="X290" i="15"/>
  <c r="CB280" i="15"/>
  <c r="W269" i="15"/>
  <c r="BD266" i="15"/>
  <c r="BP268" i="15"/>
  <c r="AJ291" i="15"/>
  <c r="CN289" i="15"/>
  <c r="BM273" i="15"/>
  <c r="S266" i="15"/>
  <c r="T283" i="15"/>
  <c r="AZ291" i="15"/>
  <c r="CL261" i="15"/>
  <c r="BL286" i="15"/>
  <c r="F277" i="15"/>
  <c r="AA283" i="15"/>
  <c r="BP277" i="15"/>
  <c r="CM270" i="15"/>
  <c r="AA284" i="15"/>
  <c r="C284" i="15"/>
  <c r="H265" i="15"/>
  <c r="BS284" i="15"/>
  <c r="C288" i="15"/>
  <c r="BD280" i="15"/>
  <c r="CN281" i="15"/>
  <c r="BY286" i="15"/>
  <c r="AP283" i="15"/>
  <c r="BK273" i="15"/>
  <c r="G271" i="15"/>
  <c r="P285" i="15"/>
  <c r="AC275" i="15"/>
  <c r="CF268" i="15"/>
  <c r="AW271" i="15"/>
  <c r="CJ262" i="15"/>
  <c r="L283" i="15"/>
  <c r="AP288" i="15"/>
  <c r="Q278" i="15"/>
  <c r="G275" i="15"/>
  <c r="P291" i="15"/>
  <c r="CK286" i="15"/>
  <c r="P281" i="15"/>
  <c r="AY282" i="15"/>
  <c r="O289" i="15"/>
  <c r="AQ288" i="15"/>
  <c r="O275" i="15"/>
  <c r="AN279" i="15"/>
  <c r="W291" i="15"/>
  <c r="S276" i="15"/>
  <c r="BZ281" i="15"/>
  <c r="Z280" i="15"/>
  <c r="BA283" i="15"/>
  <c r="Q289" i="15"/>
  <c r="BQ260" i="15"/>
  <c r="AN273" i="15"/>
  <c r="AD285" i="15"/>
  <c r="AS279" i="15"/>
  <c r="CG269" i="15"/>
  <c r="CL283" i="15"/>
  <c r="AE290" i="15"/>
  <c r="C274" i="15"/>
  <c r="AH291" i="15"/>
  <c r="CI291" i="15"/>
  <c r="CE290" i="15"/>
  <c r="CL285" i="15"/>
  <c r="CJ265" i="15"/>
  <c r="CA274" i="15"/>
  <c r="AL271" i="15"/>
  <c r="Y261" i="15"/>
  <c r="I265" i="15"/>
  <c r="CR264" i="15"/>
  <c r="AR287" i="15"/>
  <c r="BH279" i="15"/>
  <c r="U264" i="15"/>
  <c r="BW278" i="15"/>
  <c r="S272" i="15"/>
  <c r="AT281" i="15"/>
  <c r="CF280" i="15"/>
  <c r="BE271" i="15"/>
  <c r="BH285" i="15"/>
  <c r="BQ280" i="15"/>
  <c r="S285" i="15"/>
  <c r="BJ278" i="15"/>
  <c r="AK264" i="15"/>
  <c r="S288" i="15"/>
  <c r="AG278" i="15"/>
  <c r="AI289" i="15"/>
  <c r="AU281" i="15"/>
  <c r="AR275" i="15"/>
  <c r="CB290" i="15"/>
  <c r="BN290" i="15"/>
  <c r="CQ254" i="15"/>
  <c r="CB263" i="15"/>
  <c r="F232" i="15"/>
  <c r="AY245" i="15"/>
  <c r="BV244" i="15"/>
  <c r="BG253" i="15"/>
  <c r="BR256" i="15"/>
  <c r="AW251" i="15"/>
  <c r="CH263" i="15"/>
  <c r="AW263" i="15"/>
  <c r="BW232" i="15"/>
  <c r="J240" i="15"/>
  <c r="BS249" i="15"/>
  <c r="BU249" i="15"/>
  <c r="AI241" i="15"/>
  <c r="BB271" i="15"/>
  <c r="R247" i="15"/>
  <c r="AL276" i="15"/>
  <c r="K259" i="15"/>
  <c r="H278" i="15"/>
  <c r="AA268" i="15"/>
  <c r="G278" i="15"/>
  <c r="AU268" i="15"/>
  <c r="BZ238" i="15"/>
  <c r="BZ233" i="15"/>
  <c r="P247" i="15"/>
  <c r="AY248" i="15"/>
  <c r="V255" i="15"/>
  <c r="CG251" i="15"/>
  <c r="BT260" i="15"/>
  <c r="BY243" i="15"/>
  <c r="H259" i="15"/>
  <c r="BD259" i="15"/>
  <c r="S269" i="15"/>
  <c r="BM266" i="15"/>
  <c r="AY251" i="15"/>
  <c r="V256" i="15"/>
  <c r="AI255" i="15"/>
  <c r="CP262" i="15"/>
  <c r="AM265" i="15"/>
  <c r="Z265" i="15"/>
  <c r="N258" i="15"/>
  <c r="CB284" i="15"/>
  <c r="AG286" i="15"/>
  <c r="BT259" i="15"/>
  <c r="AK271" i="15"/>
  <c r="BB283" i="15"/>
  <c r="O258" i="15"/>
  <c r="BX260" i="15"/>
  <c r="M265" i="15"/>
  <c r="U260" i="15"/>
  <c r="CA284" i="15"/>
  <c r="M258" i="15"/>
  <c r="BG261" i="15"/>
  <c r="C265" i="15"/>
  <c r="BX287" i="15"/>
  <c r="CD272" i="15"/>
  <c r="CQ276" i="15"/>
  <c r="AO279" i="15"/>
  <c r="I274" i="15"/>
  <c r="Q274" i="15"/>
  <c r="N280" i="15"/>
  <c r="CO264" i="15"/>
  <c r="AW258" i="15"/>
  <c r="AJ249" i="15"/>
  <c r="CQ253" i="15"/>
  <c r="H274" i="15"/>
  <c r="BH260" i="15"/>
  <c r="CH255" i="15"/>
  <c r="BE260" i="15"/>
  <c r="AE262" i="15"/>
  <c r="BR277" i="15"/>
  <c r="AK276" i="15"/>
  <c r="AW257" i="15"/>
  <c r="CF271" i="15"/>
  <c r="AG271" i="15"/>
  <c r="AS288" i="15"/>
  <c r="CM256" i="15"/>
  <c r="AR280" i="15"/>
  <c r="AE263" i="15"/>
  <c r="E251" i="15"/>
  <c r="CL245" i="15"/>
  <c r="CI259" i="15"/>
  <c r="AX271" i="15"/>
  <c r="BA253" i="15"/>
  <c r="AZ252" i="15"/>
  <c r="AR272" i="15"/>
  <c r="AC276" i="15"/>
  <c r="BZ257" i="15"/>
  <c r="N263" i="15"/>
  <c r="BA261" i="15"/>
  <c r="G287" i="15"/>
  <c r="Q268" i="15"/>
  <c r="N270" i="15"/>
  <c r="U273" i="15"/>
  <c r="BR272" i="15"/>
  <c r="AW266" i="15"/>
  <c r="AN276" i="15"/>
  <c r="AM261" i="15"/>
  <c r="BY267" i="15"/>
  <c r="BI268" i="15"/>
  <c r="AL273" i="15"/>
  <c r="BP274" i="15"/>
  <c r="BG283" i="15"/>
  <c r="AR264" i="15"/>
  <c r="CJ272" i="15"/>
  <c r="BV274" i="15"/>
  <c r="CA270" i="15"/>
  <c r="V270" i="15"/>
  <c r="BW281" i="15"/>
  <c r="K277" i="15"/>
  <c r="AS265" i="15"/>
  <c r="Y275" i="15"/>
  <c r="CA265" i="15"/>
  <c r="AT278" i="15"/>
  <c r="Q273" i="15"/>
  <c r="BR271" i="15"/>
  <c r="K284" i="15"/>
  <c r="Y274" i="15"/>
  <c r="BE265" i="15"/>
  <c r="CF287" i="15"/>
  <c r="H289" i="15"/>
  <c r="AT267" i="15"/>
  <c r="BR273" i="15"/>
  <c r="BG291" i="15"/>
  <c r="BM286" i="15"/>
  <c r="CK290" i="15"/>
  <c r="H269" i="15"/>
  <c r="CL277" i="15"/>
  <c r="BR275" i="15"/>
  <c r="BL281" i="15"/>
  <c r="C263" i="15"/>
  <c r="AZ254" i="15"/>
  <c r="L272" i="15"/>
  <c r="CL282" i="15"/>
  <c r="AY289" i="15"/>
  <c r="Y272" i="15"/>
  <c r="AU279" i="15"/>
  <c r="F270" i="15"/>
  <c r="BS276" i="15"/>
  <c r="BE263" i="15"/>
  <c r="BR260" i="15"/>
  <c r="BK288" i="15"/>
  <c r="CJ278" i="15"/>
  <c r="AH269" i="15"/>
  <c r="BG285" i="15"/>
  <c r="BH265" i="15"/>
  <c r="BV279" i="15"/>
  <c r="BH262" i="15"/>
  <c r="BE268" i="15"/>
  <c r="CO283" i="15"/>
  <c r="AF279" i="15"/>
  <c r="BB262" i="15"/>
  <c r="C289" i="15"/>
  <c r="BA269" i="15"/>
  <c r="AX273" i="15"/>
  <c r="AW273" i="15"/>
  <c r="BP283" i="15"/>
  <c r="AO266" i="15"/>
  <c r="CB291" i="15"/>
  <c r="CP272" i="15"/>
  <c r="BY262" i="15"/>
  <c r="BE277" i="15"/>
  <c r="P260" i="15"/>
  <c r="BS270" i="15"/>
  <c r="AD263" i="15"/>
  <c r="CG278" i="15"/>
  <c r="Q280" i="15"/>
  <c r="N276" i="15"/>
  <c r="BQ291" i="15"/>
  <c r="CN280" i="15"/>
  <c r="AC280" i="15"/>
  <c r="P271" i="15"/>
  <c r="AX267" i="15"/>
  <c r="BR280" i="15"/>
  <c r="CK282" i="15"/>
  <c r="AM283" i="15"/>
  <c r="BZ265" i="15"/>
  <c r="C290" i="15"/>
  <c r="H290" i="15"/>
  <c r="AY272" i="15"/>
  <c r="AP287" i="15"/>
  <c r="AB281" i="15"/>
  <c r="CP283" i="15"/>
  <c r="E291" i="15"/>
  <c r="AW286" i="15"/>
  <c r="AD283" i="15"/>
  <c r="BA275" i="15"/>
  <c r="AZ264" i="15"/>
  <c r="BM278" i="15"/>
  <c r="BN273" i="15"/>
  <c r="CM287" i="15"/>
  <c r="M281" i="15"/>
  <c r="S290" i="15"/>
  <c r="CM289" i="15"/>
  <c r="F276" i="15"/>
  <c r="BX279" i="15"/>
  <c r="BE274" i="15"/>
  <c r="CM282" i="15"/>
  <c r="E270" i="15"/>
  <c r="BZ283" i="15"/>
  <c r="AM271" i="15"/>
  <c r="Z287" i="15"/>
  <c r="BB291" i="15"/>
  <c r="BF286" i="15"/>
  <c r="BX288" i="15"/>
  <c r="BK291" i="15"/>
  <c r="AT271" i="15"/>
  <c r="R280" i="15"/>
  <c r="AN283" i="15"/>
  <c r="O268" i="15"/>
  <c r="CM291" i="15"/>
  <c r="CI285" i="15"/>
  <c r="L279" i="15"/>
  <c r="BW289" i="15"/>
  <c r="AA262" i="15"/>
  <c r="BD273" i="15"/>
  <c r="X285" i="15"/>
  <c r="S268" i="15"/>
  <c r="CE270" i="15"/>
  <c r="F289" i="15"/>
  <c r="CI290" i="15"/>
  <c r="BV289" i="15"/>
  <c r="V267" i="15"/>
  <c r="CE287" i="15"/>
  <c r="R283" i="15"/>
  <c r="BJ277" i="15"/>
  <c r="CP287" i="15"/>
  <c r="BU282" i="15"/>
  <c r="BY288" i="15"/>
  <c r="CP282" i="15"/>
  <c r="CO285" i="15"/>
  <c r="X262" i="15"/>
  <c r="X277" i="15"/>
  <c r="BD270" i="15"/>
  <c r="BB278" i="15"/>
  <c r="Q277" i="15"/>
  <c r="W280" i="15"/>
  <c r="O272" i="15"/>
  <c r="AI278" i="15"/>
  <c r="CH260" i="15"/>
  <c r="E282" i="15"/>
  <c r="AR277" i="15"/>
  <c r="CL279" i="15"/>
  <c r="J277" i="15"/>
  <c r="K261" i="15"/>
  <c r="U274" i="15"/>
  <c r="CC290" i="15"/>
  <c r="BS262" i="15"/>
  <c r="AS284" i="15"/>
  <c r="CO279" i="15"/>
  <c r="P283" i="15"/>
  <c r="CL273" i="15"/>
  <c r="BW270" i="15"/>
  <c r="AF287" i="15"/>
  <c r="AN288" i="15"/>
  <c r="BO277" i="15"/>
  <c r="BA284" i="15"/>
  <c r="AH279" i="15"/>
  <c r="Z286" i="15"/>
  <c r="CO276" i="15"/>
  <c r="O263" i="15"/>
  <c r="T277" i="15"/>
  <c r="CC279" i="15"/>
  <c r="AB275" i="15"/>
  <c r="U277" i="15"/>
  <c r="BZ286" i="15"/>
  <c r="BP290" i="15"/>
  <c r="CQ285" i="15"/>
  <c r="BN291" i="15"/>
  <c r="BU266" i="15"/>
  <c r="CM262" i="15"/>
  <c r="P279" i="15"/>
  <c r="CQ274" i="15"/>
  <c r="AZ270" i="15"/>
  <c r="BZ278" i="15"/>
  <c r="CO278" i="15"/>
  <c r="M284" i="15"/>
  <c r="CH287" i="15"/>
  <c r="BW256" i="15"/>
  <c r="AD282" i="15"/>
  <c r="J274" i="15"/>
  <c r="AT289" i="15"/>
  <c r="U282" i="15"/>
  <c r="AA272" i="15"/>
  <c r="AL272" i="15"/>
  <c r="AT280" i="15"/>
  <c r="G274" i="15"/>
  <c r="BA289" i="15"/>
  <c r="AL280" i="15"/>
  <c r="BA279" i="15"/>
  <c r="AB278" i="15"/>
  <c r="BL265" i="15"/>
  <c r="I270" i="15"/>
  <c r="AQ264" i="15"/>
  <c r="CE261" i="15"/>
  <c r="AP263" i="15"/>
  <c r="CL280" i="15"/>
  <c r="BV284" i="15"/>
  <c r="T289" i="15"/>
  <c r="BD285" i="15"/>
  <c r="BH277" i="15"/>
  <c r="CH280" i="15"/>
  <c r="AZ273" i="15"/>
  <c r="CC283" i="15"/>
  <c r="Q266" i="15"/>
  <c r="AM277" i="15"/>
  <c r="BK286" i="15"/>
  <c r="CD283" i="15"/>
  <c r="J260" i="15"/>
  <c r="BV275" i="15"/>
  <c r="BE290" i="15"/>
  <c r="C276" i="15"/>
  <c r="AP271" i="15"/>
  <c r="AB290" i="15"/>
  <c r="X289" i="15"/>
  <c r="AB276" i="15"/>
  <c r="AY290" i="15"/>
  <c r="AC272" i="15"/>
  <c r="R284" i="15"/>
  <c r="BS277" i="15"/>
  <c r="BS287" i="15"/>
  <c r="C280" i="15"/>
  <c r="AU273" i="15"/>
  <c r="N279" i="15"/>
  <c r="CA276" i="15"/>
  <c r="AL286" i="15"/>
  <c r="AD280" i="15"/>
  <c r="BS281" i="15"/>
  <c r="CM284" i="15"/>
  <c r="I263" i="15"/>
  <c r="AQ271" i="15"/>
  <c r="CE288" i="15"/>
  <c r="Q262" i="15"/>
  <c r="T271" i="15"/>
  <c r="BM283" i="15"/>
  <c r="CB273" i="15"/>
  <c r="AF285" i="15"/>
  <c r="CP264" i="15"/>
  <c r="AQ281" i="15"/>
  <c r="BN289" i="15"/>
  <c r="BY270" i="15"/>
  <c r="AD261" i="15"/>
  <c r="R288" i="15"/>
  <c r="Q275" i="15"/>
  <c r="BF278" i="15"/>
  <c r="CK276" i="15"/>
  <c r="BQ277" i="15"/>
  <c r="AN261" i="15"/>
  <c r="I282" i="15"/>
  <c r="CD289" i="15"/>
  <c r="AQ277" i="15"/>
  <c r="R267" i="15"/>
  <c r="BT271" i="15"/>
  <c r="BX284" i="15"/>
  <c r="BI287" i="15"/>
  <c r="O280" i="15"/>
  <c r="AI291" i="15"/>
  <c r="CN287" i="15"/>
  <c r="AD278" i="15"/>
  <c r="BB284" i="15"/>
  <c r="V291" i="15"/>
  <c r="CP285" i="15"/>
  <c r="AL290" i="15"/>
  <c r="CK287" i="15"/>
  <c r="U284" i="15"/>
  <c r="BS290" i="15"/>
  <c r="AM280" i="15"/>
  <c r="BA270" i="15"/>
  <c r="CJ276" i="15"/>
  <c r="BX291" i="15"/>
  <c r="AZ287" i="15"/>
  <c r="AL281" i="15"/>
  <c r="AK289" i="15"/>
  <c r="CL288" i="15"/>
  <c r="I279" i="15"/>
  <c r="AC291" i="15"/>
  <c r="CH269" i="15"/>
  <c r="BG275" i="15"/>
  <c r="BY271" i="15"/>
  <c r="BU263" i="15"/>
  <c r="AC262" i="15"/>
  <c r="Q269" i="15"/>
  <c r="AN270" i="15"/>
  <c r="U270" i="15"/>
  <c r="N287" i="15"/>
  <c r="Q283" i="15"/>
  <c r="AQ284" i="15"/>
  <c r="AY266" i="15"/>
  <c r="BI282" i="15"/>
  <c r="CR281" i="15"/>
  <c r="AB283" i="15"/>
  <c r="I272" i="15"/>
  <c r="G280" i="15"/>
  <c r="CG279" i="15"/>
  <c r="BK278" i="15"/>
  <c r="AH273" i="15"/>
  <c r="CR265" i="15"/>
  <c r="H285" i="15"/>
  <c r="P289" i="15"/>
  <c r="AV263" i="15"/>
  <c r="C273" i="15"/>
  <c r="N283" i="15"/>
  <c r="AQ270" i="15"/>
  <c r="BU278" i="15"/>
  <c r="L264" i="15"/>
  <c r="AU288" i="15"/>
  <c r="V288" i="15"/>
  <c r="BQ282" i="15"/>
  <c r="R281" i="15"/>
  <c r="CC291" i="15"/>
  <c r="CA287" i="15"/>
  <c r="C291" i="15"/>
  <c r="AG289" i="15"/>
  <c r="BL290" i="15"/>
  <c r="AA291" i="15"/>
  <c r="AZ279" i="15"/>
  <c r="AP290" i="15"/>
  <c r="AU267" i="15"/>
  <c r="X278" i="15"/>
  <c r="BR270" i="15"/>
  <c r="AP285" i="15"/>
  <c r="CK280" i="15"/>
  <c r="CN278" i="15"/>
  <c r="S257" i="15"/>
  <c r="P274" i="15"/>
  <c r="BG274" i="15"/>
  <c r="BO269" i="15"/>
  <c r="BX276" i="15"/>
  <c r="BC265" i="15"/>
  <c r="CA282" i="15"/>
  <c r="BW277" i="15"/>
  <c r="AQ280" i="15"/>
  <c r="AS264" i="15"/>
  <c r="BQ272" i="15"/>
  <c r="BS285" i="15"/>
  <c r="Y288" i="15"/>
  <c r="K256" i="15"/>
  <c r="O271" i="15"/>
  <c r="Y283" i="15"/>
  <c r="AG283" i="15"/>
  <c r="R271" i="15"/>
  <c r="BJ271" i="15"/>
  <c r="W285" i="15"/>
  <c r="BJ291" i="15"/>
  <c r="AA288" i="15"/>
  <c r="AA290" i="15"/>
  <c r="BI288" i="15"/>
  <c r="CE283" i="15"/>
  <c r="AX281" i="15"/>
  <c r="AQ275" i="15"/>
  <c r="Z291" i="15"/>
  <c r="AN289" i="15"/>
  <c r="CN288" i="15"/>
  <c r="CF285" i="15"/>
  <c r="BI267" i="15"/>
  <c r="AD272" i="15"/>
  <c r="BA287" i="15"/>
  <c r="AY276" i="15"/>
  <c r="CQ287" i="15"/>
  <c r="CM267" i="15"/>
  <c r="AJ285" i="15"/>
  <c r="H272" i="15"/>
  <c r="BE286" i="15"/>
  <c r="BA280" i="15"/>
  <c r="AZ286" i="15"/>
  <c r="BZ284" i="15"/>
  <c r="L288" i="15"/>
  <c r="AK290" i="15"/>
  <c r="AU286" i="15"/>
  <c r="K276" i="15"/>
  <c r="BT277" i="15"/>
  <c r="BQ273" i="15"/>
  <c r="BD284" i="15"/>
  <c r="K271" i="15"/>
  <c r="Y276" i="15"/>
  <c r="S282" i="15"/>
  <c r="CR284" i="15"/>
  <c r="AB288" i="15"/>
  <c r="AW285" i="15"/>
  <c r="BU261" i="15"/>
  <c r="AT279" i="15"/>
  <c r="X270" i="15"/>
  <c r="BC269" i="15"/>
  <c r="X273" i="15"/>
  <c r="T279" i="15"/>
  <c r="S281" i="15"/>
  <c r="AY268" i="15"/>
  <c r="BJ273" i="15"/>
  <c r="I261" i="15"/>
  <c r="AA270" i="15"/>
  <c r="L275" i="15"/>
  <c r="AX284" i="15"/>
  <c r="CB265" i="15"/>
  <c r="AO282" i="15"/>
  <c r="AL291" i="15"/>
  <c r="AT277" i="15"/>
  <c r="W270" i="15"/>
  <c r="BP279" i="15"/>
  <c r="BO286" i="15"/>
  <c r="BY281" i="15"/>
  <c r="AW287" i="15"/>
  <c r="AC286" i="15"/>
  <c r="CP288" i="15"/>
  <c r="T291" i="15"/>
  <c r="G277" i="15"/>
  <c r="BB290" i="15"/>
  <c r="BC286" i="15"/>
  <c r="BM279" i="15"/>
  <c r="AO280" i="15"/>
  <c r="AR282" i="15"/>
  <c r="BX277" i="15"/>
  <c r="BB285" i="15"/>
  <c r="Z21" i="359"/>
  <c r="E280" i="15"/>
  <c r="BL270" i="15"/>
  <c r="AF268" i="15"/>
  <c r="CM285" i="15"/>
  <c r="CJ266" i="15"/>
  <c r="Y285" i="15"/>
  <c r="AS285" i="15"/>
  <c r="AN278" i="15"/>
  <c r="AE287" i="15"/>
  <c r="AC264" i="15"/>
  <c r="AR279" i="15"/>
  <c r="C268" i="15"/>
  <c r="L278" i="15"/>
  <c r="CJ281" i="15"/>
  <c r="F287" i="15"/>
  <c r="T276" i="15"/>
  <c r="Q287" i="15"/>
  <c r="CR271" i="15"/>
  <c r="AO272" i="15"/>
  <c r="BC291" i="15"/>
  <c r="C285" i="15"/>
  <c r="CB289" i="15"/>
  <c r="CG273" i="15"/>
  <c r="AG281" i="15"/>
  <c r="CH285" i="15"/>
  <c r="AL283" i="15"/>
  <c r="BL283" i="15"/>
  <c r="BD276" i="15"/>
  <c r="K281" i="15"/>
  <c r="F265" i="15"/>
  <c r="CG275" i="15"/>
  <c r="BI262" i="15"/>
  <c r="CG265" i="15"/>
  <c r="F275" i="15"/>
  <c r="CF276" i="15"/>
  <c r="W279" i="15"/>
  <c r="S279" i="15"/>
  <c r="BF276" i="15"/>
  <c r="CD260" i="15"/>
  <c r="U272" i="15"/>
  <c r="CD271" i="15"/>
  <c r="CH288" i="15"/>
  <c r="BL274" i="15"/>
  <c r="M290" i="15"/>
  <c r="BS269" i="15"/>
  <c r="CP280" i="15"/>
  <c r="AW276" i="15"/>
  <c r="T268" i="15"/>
  <c r="CG281" i="15"/>
  <c r="L276" i="15"/>
  <c r="BI264" i="15"/>
  <c r="BF280" i="15"/>
  <c r="S289" i="15"/>
  <c r="BU290" i="15"/>
  <c r="BI275" i="15"/>
  <c r="BU285" i="15"/>
  <c r="Z276" i="15"/>
  <c r="BX283" i="15"/>
  <c r="CA280" i="15"/>
  <c r="BE289" i="15"/>
  <c r="BL260" i="15"/>
  <c r="AJ263" i="15"/>
  <c r="CR277" i="15"/>
  <c r="J275" i="15"/>
  <c r="BW290" i="15"/>
  <c r="BN288" i="15"/>
  <c r="AK282" i="15"/>
  <c r="BX278" i="15"/>
  <c r="BV283" i="15"/>
  <c r="AX278" i="15"/>
  <c r="BC275" i="15"/>
  <c r="AC259" i="15"/>
  <c r="BX282" i="15"/>
  <c r="AX268" i="15"/>
  <c r="AW290" i="15"/>
  <c r="AS282" i="15"/>
  <c r="CM277" i="15"/>
  <c r="BH289" i="15"/>
  <c r="J285" i="15"/>
  <c r="AF291" i="15"/>
  <c r="U276" i="15"/>
  <c r="BS289" i="15"/>
  <c r="BL280" i="15"/>
  <c r="BJ283" i="15"/>
  <c r="H287" i="15"/>
  <c r="AS259" i="15"/>
  <c r="BI278" i="15"/>
  <c r="AP278" i="15"/>
  <c r="BO288" i="15"/>
  <c r="X288" i="15"/>
  <c r="BL267" i="15"/>
  <c r="CB274" i="15"/>
  <c r="AM278" i="15"/>
  <c r="AE275" i="15"/>
  <c r="AT282" i="15"/>
  <c r="BP284" i="15"/>
  <c r="AW262" i="15"/>
  <c r="M262" i="15"/>
  <c r="AH280" i="15"/>
  <c r="AZ268" i="15"/>
  <c r="CG283" i="15"/>
  <c r="BC284" i="15"/>
  <c r="AS276" i="15"/>
  <c r="BC270" i="15"/>
  <c r="N282" i="15"/>
  <c r="BL276" i="15"/>
  <c r="BE288" i="15"/>
  <c r="H286" i="15"/>
  <c r="BO289" i="15"/>
  <c r="BK271" i="15"/>
  <c r="CG288" i="15"/>
  <c r="O285" i="15"/>
  <c r="AG284" i="15"/>
  <c r="BK287" i="15"/>
  <c r="AM285" i="15"/>
  <c r="AZ269" i="15"/>
  <c r="CF274" i="15"/>
  <c r="X283" i="15"/>
  <c r="BQ289" i="15"/>
  <c r="AL289" i="15"/>
  <c r="G272" i="15"/>
  <c r="S291" i="15"/>
  <c r="W290" i="15"/>
  <c r="BI286" i="15"/>
  <c r="CH282" i="15"/>
  <c r="L21" i="359"/>
  <c r="AM270" i="15"/>
  <c r="BW264" i="15"/>
  <c r="AD276" i="15"/>
  <c r="CH290" i="15"/>
  <c r="I278" i="15"/>
  <c r="BL285" i="15"/>
  <c r="CP284" i="15"/>
  <c r="BA286" i="15"/>
  <c r="BA282" i="15"/>
  <c r="U283" i="15"/>
  <c r="AQ272" i="15"/>
  <c r="CJ275" i="15"/>
  <c r="BQ285" i="15"/>
  <c r="CN276" i="15"/>
  <c r="R279" i="15"/>
  <c r="BK283" i="15"/>
  <c r="H276" i="15"/>
  <c r="AN285" i="15"/>
  <c r="K265" i="15"/>
  <c r="W286" i="15"/>
  <c r="U287" i="15"/>
  <c r="BK263" i="15"/>
  <c r="BT281" i="15"/>
  <c r="L290" i="15"/>
  <c r="BV287" i="15"/>
  <c r="C279" i="15"/>
  <c r="CJ285" i="15"/>
  <c r="AV260" i="15"/>
  <c r="AP276" i="15"/>
  <c r="BS272" i="15"/>
  <c r="CE272" i="15"/>
  <c r="AY280" i="15"/>
  <c r="BN284" i="15"/>
  <c r="BN268" i="15"/>
  <c r="BW275" i="15"/>
  <c r="CR283" i="15"/>
  <c r="E286" i="15"/>
  <c r="CL270" i="15"/>
  <c r="BN283" i="15"/>
  <c r="G290" i="15"/>
  <c r="CO286" i="15"/>
  <c r="BN282" i="15"/>
  <c r="BC279" i="15"/>
  <c r="CK279" i="15"/>
  <c r="K291" i="15"/>
  <c r="AR284" i="15"/>
  <c r="BC281" i="15"/>
  <c r="AY286" i="15"/>
  <c r="CG280" i="15"/>
  <c r="CF290" i="15"/>
  <c r="CC288" i="15"/>
  <c r="AC288" i="15"/>
  <c r="AM282" i="15"/>
  <c r="AH284" i="15"/>
  <c r="T278" i="15"/>
  <c r="AB291" i="15"/>
  <c r="M285" i="15"/>
  <c r="H283" i="15"/>
  <c r="AN290" i="15"/>
  <c r="BV285" i="15"/>
  <c r="CK291" i="15"/>
  <c r="I287" i="15"/>
  <c r="BF289" i="15"/>
  <c r="BO284" i="15"/>
  <c r="V21" i="359"/>
  <c r="CP271" i="15"/>
  <c r="AZ277" i="15"/>
  <c r="CQ280" i="15"/>
  <c r="CD287" i="15"/>
  <c r="BM262" i="15"/>
  <c r="CJ284" i="15"/>
  <c r="AV273" i="15"/>
  <c r="BF285" i="15"/>
  <c r="CC287" i="15"/>
  <c r="AC285" i="15"/>
  <c r="CP277" i="15"/>
  <c r="CL287" i="15"/>
  <c r="AW284" i="15"/>
  <c r="T281" i="15"/>
  <c r="BF288" i="15"/>
  <c r="K289" i="15"/>
  <c r="CJ287" i="15"/>
  <c r="AI275" i="15"/>
  <c r="CR279" i="15"/>
  <c r="BP258" i="15"/>
  <c r="BA285" i="15"/>
  <c r="BD271" i="15"/>
  <c r="AJ280" i="15"/>
  <c r="P288" i="15"/>
  <c r="BY259" i="15"/>
  <c r="BY268" i="15"/>
  <c r="BQ264" i="15"/>
  <c r="CJ283" i="15"/>
  <c r="AG276" i="15"/>
  <c r="AI287" i="15"/>
  <c r="AU290" i="15"/>
  <c r="CK278" i="15"/>
  <c r="N275" i="15"/>
  <c r="N265" i="15"/>
  <c r="BI284" i="15"/>
  <c r="AL262" i="15"/>
  <c r="BR279" i="15"/>
  <c r="BO264" i="15"/>
  <c r="BT290" i="15"/>
  <c r="BS283" i="15"/>
  <c r="C278" i="15"/>
  <c r="BM267" i="15"/>
  <c r="AP281" i="15"/>
  <c r="BU281" i="15"/>
  <c r="E277" i="15"/>
  <c r="BG270" i="15"/>
  <c r="Z277" i="15"/>
  <c r="CM274" i="15"/>
  <c r="BT288" i="15"/>
  <c r="V282" i="15"/>
  <c r="CN282" i="15"/>
  <c r="E272" i="15"/>
  <c r="CL275" i="15"/>
  <c r="AP289" i="15"/>
  <c r="CO266" i="15"/>
  <c r="CK281" i="15"/>
  <c r="AF281" i="15"/>
  <c r="AF271" i="15"/>
  <c r="AG272" i="15"/>
  <c r="BW288" i="15"/>
  <c r="W288" i="15"/>
  <c r="U279" i="15"/>
  <c r="AV282" i="15"/>
  <c r="CR290" i="15"/>
  <c r="U281" i="15"/>
  <c r="BG273" i="15"/>
  <c r="BK289" i="15"/>
  <c r="BB282" i="15"/>
  <c r="BV258" i="15"/>
  <c r="E279" i="15"/>
  <c r="BM284" i="15"/>
  <c r="BS282" i="15"/>
  <c r="BP291" i="15"/>
  <c r="AE286" i="15"/>
  <c r="BM277" i="15"/>
  <c r="BE287" i="15"/>
  <c r="CM272" i="15"/>
  <c r="BF277" i="15"/>
  <c r="AB282" i="15"/>
  <c r="CD282" i="15"/>
  <c r="S284" i="15"/>
  <c r="Y286" i="15"/>
  <c r="BC288" i="15"/>
  <c r="BD287" i="15"/>
  <c r="BP278" i="15"/>
  <c r="R285" i="15"/>
  <c r="BW262" i="15"/>
  <c r="AQ266" i="15"/>
  <c r="CI278" i="15"/>
  <c r="AN274" i="15"/>
  <c r="K290" i="15"/>
  <c r="F262" i="15"/>
  <c r="AQ286" i="15"/>
  <c r="U285" i="15"/>
  <c r="AD287" i="15"/>
  <c r="AX282" i="15"/>
  <c r="BI285" i="15"/>
  <c r="AM288" i="15"/>
  <c r="CP276" i="15"/>
  <c r="I291" i="15"/>
  <c r="CR288" i="15"/>
  <c r="BP288" i="15"/>
  <c r="AJ276" i="15"/>
  <c r="W289" i="15"/>
  <c r="BM291" i="15"/>
  <c r="CL289" i="15"/>
  <c r="N284" i="15"/>
  <c r="BL287" i="15"/>
  <c r="AD291" i="15"/>
  <c r="T288" i="15"/>
  <c r="BZ289" i="15"/>
  <c r="AR288" i="15"/>
  <c r="AM289" i="15"/>
  <c r="BB275" i="15"/>
  <c r="L289" i="15"/>
  <c r="AV287" i="15"/>
  <c r="CA291" i="15"/>
  <c r="CN290" i="15"/>
  <c r="AV280" i="15"/>
  <c r="AA289" i="15"/>
  <c r="CI277" i="15"/>
  <c r="AJ284" i="15"/>
  <c r="CG286" i="15"/>
  <c r="CK288" i="15"/>
  <c r="CA281" i="15"/>
  <c r="G21" i="359"/>
  <c r="S21" i="359"/>
  <c r="BF270" i="15"/>
  <c r="BF281" i="15"/>
  <c r="BM288" i="15"/>
  <c r="G291" i="15"/>
  <c r="AM287" i="15"/>
  <c r="BH286" i="15"/>
  <c r="BI289" i="15"/>
  <c r="CC275" i="15"/>
  <c r="AQ265" i="15"/>
  <c r="CA278" i="15"/>
  <c r="CD288" i="15"/>
  <c r="J272" i="15"/>
  <c r="BK268" i="15"/>
  <c r="AF284" i="15"/>
  <c r="J284" i="15"/>
  <c r="AN277" i="15"/>
  <c r="CG274" i="15"/>
  <c r="AL285" i="15"/>
  <c r="AQ285" i="15"/>
  <c r="BF287" i="15"/>
  <c r="CA288" i="15"/>
  <c r="BB289" i="15"/>
  <c r="AU287" i="15"/>
  <c r="BQ288" i="15"/>
  <c r="CM286" i="15"/>
  <c r="N271" i="15"/>
  <c r="AY288" i="15"/>
  <c r="AU277" i="15"/>
  <c r="F290" i="15"/>
  <c r="BO290" i="15"/>
  <c r="AW277" i="15"/>
  <c r="BO281" i="15"/>
  <c r="AH281" i="15"/>
  <c r="I277" i="15"/>
  <c r="AV275" i="15"/>
  <c r="CR280" i="15"/>
  <c r="BM287" i="15"/>
  <c r="AF286" i="15"/>
  <c r="BB276" i="15"/>
  <c r="AV281" i="15"/>
  <c r="BQ287" i="15"/>
  <c r="AH287" i="15"/>
  <c r="AI288" i="15"/>
  <c r="BU291" i="15"/>
  <c r="AJ290" i="15"/>
  <c r="AH286" i="15"/>
  <c r="O291" i="15"/>
  <c r="M288" i="15"/>
  <c r="J286" i="15"/>
  <c r="AW288" i="15"/>
  <c r="Z282" i="15"/>
  <c r="R290" i="15"/>
  <c r="M279" i="15"/>
  <c r="P287" i="15"/>
  <c r="V273" i="15"/>
  <c r="BP276" i="15"/>
  <c r="BT282" i="15"/>
  <c r="AT291" i="15"/>
  <c r="BK290" i="15"/>
  <c r="CP290" i="15"/>
  <c r="Y289" i="15"/>
  <c r="AK280" i="15"/>
  <c r="AS290" i="15"/>
  <c r="CB286" i="15"/>
  <c r="O281" i="15"/>
  <c r="BQ286" i="15"/>
  <c r="AV291" i="15"/>
  <c r="BJ286" i="15"/>
  <c r="E287" i="15"/>
  <c r="Q286" i="15"/>
  <c r="BN286" i="15"/>
  <c r="AX287" i="15"/>
  <c r="C21" i="359"/>
  <c r="N21" i="359"/>
  <c r="H273" i="15"/>
  <c r="CF289" i="15"/>
  <c r="S283" i="15"/>
  <c r="U288" i="15"/>
  <c r="AN291" i="15"/>
  <c r="CF286" i="15"/>
  <c r="BI279" i="15"/>
  <c r="AD284" i="15"/>
  <c r="AS281" i="15"/>
  <c r="CN285" i="15"/>
  <c r="AV283" i="15"/>
  <c r="BB288" i="15"/>
  <c r="BN287" i="15"/>
  <c r="J283" i="15"/>
  <c r="BP266" i="15"/>
  <c r="AH275" i="15"/>
  <c r="BX290" i="15"/>
  <c r="CG276" i="15"/>
  <c r="BA281" i="15"/>
  <c r="AF283" i="15"/>
  <c r="L277" i="15"/>
  <c r="CD284" i="15"/>
  <c r="N290" i="15"/>
  <c r="BO276" i="15"/>
  <c r="AE278" i="15"/>
  <c r="AI290" i="15"/>
  <c r="K286" i="15"/>
  <c r="AL287" i="15"/>
  <c r="BV286" i="15"/>
  <c r="CR285" i="15"/>
  <c r="K287" i="15"/>
  <c r="J291" i="15"/>
  <c r="AH283" i="15"/>
  <c r="C232" i="15"/>
  <c r="AS278" i="15"/>
  <c r="L281" i="15"/>
  <c r="BG282" i="15"/>
  <c r="BR287" i="15"/>
  <c r="H281" i="15"/>
  <c r="BL282" i="15"/>
  <c r="BW282" i="15"/>
  <c r="R289" i="15"/>
  <c r="I281" i="15"/>
  <c r="BF279" i="15"/>
  <c r="BB286" i="15"/>
  <c r="AG275" i="15"/>
  <c r="E285" i="15"/>
  <c r="CM278" i="15"/>
  <c r="V290" i="15"/>
  <c r="BY290" i="15"/>
  <c r="CF277" i="15"/>
  <c r="BP287" i="15"/>
  <c r="AC283" i="15"/>
  <c r="AY284" i="15"/>
  <c r="E289" i="15"/>
  <c r="BC282" i="15"/>
  <c r="W282" i="15"/>
  <c r="CG282" i="15"/>
  <c r="Y282" i="15"/>
  <c r="CM283" i="15"/>
  <c r="U289" i="15"/>
  <c r="AP280" i="15"/>
  <c r="Z288" i="15"/>
  <c r="AC290" i="15"/>
  <c r="L282" i="15"/>
  <c r="CC289" i="15"/>
  <c r="BR276" i="15"/>
  <c r="BD261" i="15"/>
  <c r="CC280" i="15"/>
  <c r="BT286" i="15"/>
  <c r="AN281" i="15"/>
  <c r="AM279" i="15"/>
  <c r="AV285" i="15"/>
  <c r="CO289" i="15"/>
  <c r="BJ285" i="15"/>
  <c r="BC273" i="15"/>
  <c r="AS287" i="15"/>
  <c r="BU280" i="15"/>
  <c r="BK285" i="15"/>
  <c r="CF281" i="15"/>
  <c r="AN286" i="15"/>
  <c r="CH291" i="15"/>
  <c r="T290" i="15"/>
  <c r="BA288" i="15"/>
  <c r="J278" i="15"/>
  <c r="AD286" i="15"/>
  <c r="CN286" i="15"/>
  <c r="AM290" i="15"/>
  <c r="AO281" i="15"/>
  <c r="AX283" i="15"/>
  <c r="BV276" i="15"/>
  <c r="BT273" i="15"/>
  <c r="AC287" i="15"/>
  <c r="BC274" i="15"/>
  <c r="BU283" i="15"/>
  <c r="AY275" i="15"/>
  <c r="AD289" i="15"/>
  <c r="AT290" i="15"/>
  <c r="E290" i="15"/>
  <c r="BU288" i="15"/>
  <c r="BU277" i="15"/>
  <c r="AS286" i="15"/>
  <c r="R291" i="15"/>
  <c r="M286" i="15"/>
  <c r="BL288" i="15"/>
  <c r="J290" i="15"/>
  <c r="BD281" i="15"/>
  <c r="AW291" i="15"/>
  <c r="CA290" i="15"/>
  <c r="AS291" i="15"/>
  <c r="CQ286" i="15"/>
  <c r="BC290" i="15"/>
  <c r="CO287" i="15"/>
  <c r="BF284" i="15"/>
  <c r="CQ288" i="15"/>
  <c r="F21" i="359"/>
  <c r="B21" i="359"/>
  <c r="AA21" i="359"/>
  <c r="W21" i="359"/>
  <c r="R21" i="359"/>
  <c r="O21" i="359"/>
  <c r="K21" i="359"/>
  <c r="AM291" i="15"/>
  <c r="BR290" i="15"/>
  <c r="CJ289" i="15"/>
  <c r="AQ290" i="15"/>
  <c r="BN281" i="15"/>
  <c r="AQ289" i="15"/>
  <c r="CD279" i="15"/>
  <c r="I21" i="359"/>
  <c r="E21" i="359"/>
  <c r="X21" i="359"/>
  <c r="AB21" i="359"/>
  <c r="U21" i="359"/>
  <c r="T21" i="359"/>
  <c r="J21" i="359"/>
  <c r="E273" i="15"/>
  <c r="T286" i="15"/>
  <c r="AQ276" i="15"/>
  <c r="E276" i="15"/>
  <c r="BR282" i="15"/>
  <c r="AN287" i="15"/>
  <c r="AD288" i="15"/>
  <c r="CQ282" i="15"/>
  <c r="AT287" i="15"/>
  <c r="AG290" i="15"/>
  <c r="BX289" i="15"/>
  <c r="CN283" i="15"/>
  <c r="AK283" i="15"/>
  <c r="BH284" i="15"/>
  <c r="AI270" i="15"/>
  <c r="E284" i="15"/>
  <c r="BU274" i="15"/>
  <c r="AJ288" i="15"/>
  <c r="BR288" i="15"/>
  <c r="BM281" i="15"/>
  <c r="AK291" i="15"/>
  <c r="AF289" i="15"/>
  <c r="BL279" i="15"/>
  <c r="Q285" i="15"/>
  <c r="BO275" i="15"/>
  <c r="AG287" i="15"/>
  <c r="BI290" i="15"/>
  <c r="AO289" i="15"/>
  <c r="CB288" i="15"/>
  <c r="F285" i="15"/>
  <c r="AZ278" i="15"/>
  <c r="AS283" i="15"/>
  <c r="CA289" i="15"/>
  <c r="CQ289" i="15"/>
  <c r="BR262" i="15"/>
  <c r="AW275" i="15"/>
  <c r="BG288" i="15"/>
  <c r="CL291" i="15"/>
  <c r="CC267" i="15"/>
  <c r="BC285" i="15"/>
  <c r="BL272" i="15"/>
  <c r="BA272" i="15"/>
  <c r="Q272" i="15"/>
  <c r="AX288" i="15"/>
  <c r="CF278" i="15"/>
  <c r="BW285" i="15"/>
  <c r="V284" i="15"/>
  <c r="BA290" i="15"/>
  <c r="AH290" i="15"/>
  <c r="BZ271" i="15"/>
  <c r="CD286" i="15"/>
  <c r="BQ284" i="15"/>
  <c r="X281" i="15"/>
  <c r="BL289" i="15"/>
  <c r="G285" i="15"/>
  <c r="AX280" i="15"/>
  <c r="U290" i="15"/>
  <c r="CJ288" i="15"/>
  <c r="AZ281" i="15"/>
  <c r="AZ288" i="15"/>
  <c r="CA283" i="15"/>
  <c r="CA285" i="15"/>
  <c r="CL278" i="15"/>
  <c r="AK288" i="15"/>
  <c r="AI286" i="15"/>
  <c r="N286" i="15"/>
  <c r="AL284" i="15"/>
  <c r="AI279" i="15"/>
  <c r="AL277" i="15"/>
  <c r="BD288" i="15"/>
  <c r="AS289" i="15"/>
  <c r="P286" i="15"/>
  <c r="CA286" i="15"/>
  <c r="BV288" i="15"/>
  <c r="J287" i="15"/>
  <c r="BW286" i="15"/>
  <c r="AK272" i="15"/>
  <c r="Q290" i="15"/>
  <c r="R286" i="15"/>
  <c r="BR286" i="15"/>
  <c r="AZ285" i="15"/>
  <c r="AP291" i="15"/>
  <c r="CH289" i="15"/>
  <c r="CJ286" i="15"/>
  <c r="BS286" i="15"/>
  <c r="BW287" i="15"/>
  <c r="CJ291" i="15"/>
  <c r="AR285" i="15"/>
  <c r="CI283" i="15"/>
  <c r="AG288" i="15"/>
  <c r="AI281" i="15"/>
  <c r="G288" i="15"/>
  <c r="AT285" i="15"/>
  <c r="O283" i="15"/>
  <c r="AT288" i="15"/>
  <c r="BS291" i="15"/>
  <c r="AI283" i="15"/>
  <c r="AV288" i="15"/>
  <c r="BJ289" i="15"/>
  <c r="CO290" i="15"/>
  <c r="BE291" i="15"/>
  <c r="AX279" i="15"/>
  <c r="BM289" i="15"/>
  <c r="Q288" i="15"/>
  <c r="AJ289" i="15"/>
  <c r="BX286" i="15"/>
  <c r="BZ288" i="15"/>
  <c r="AD277" i="15"/>
  <c r="AY281" i="15"/>
  <c r="BT285" i="15"/>
  <c r="CI286" i="15"/>
  <c r="BK281" i="15"/>
  <c r="BN285" i="15"/>
  <c r="H21" i="359"/>
  <c r="D21" i="359"/>
  <c r="Y21" i="359"/>
  <c r="AC21" i="359"/>
  <c r="Q21" i="359"/>
  <c r="P21" i="359"/>
  <c r="M21" i="359"/>
  <c r="X22" i="359"/>
  <c r="AA22" i="359"/>
  <c r="Y22" i="359"/>
  <c r="Z22" i="359"/>
  <c r="AC22" i="359"/>
  <c r="AB22" i="359"/>
  <c r="W22" i="359"/>
  <c r="V22" i="359"/>
  <c r="U22" i="359"/>
  <c r="R22" i="359"/>
  <c r="S22" i="359"/>
  <c r="T22" i="359"/>
  <c r="Q22" i="359"/>
  <c r="N22" i="359"/>
  <c r="O22" i="359"/>
  <c r="P22" i="359"/>
  <c r="J22" i="359"/>
  <c r="K22" i="359"/>
  <c r="L22" i="359"/>
  <c r="M22" i="359"/>
  <c r="I22" i="359"/>
  <c r="H22" i="359"/>
  <c r="G22" i="359"/>
  <c r="F22" i="359"/>
  <c r="D22" i="359"/>
  <c r="E22" i="359"/>
  <c r="C22" i="359"/>
  <c r="B22" i="359"/>
  <c r="A23" i="359"/>
  <c r="CB231" i="15"/>
  <c r="CA165" i="15"/>
  <c r="CA170" i="15"/>
  <c r="CA185" i="15"/>
  <c r="CA190" i="15"/>
  <c r="CA194" i="15"/>
  <c r="CA198" i="15"/>
  <c r="CA203" i="15"/>
  <c r="CA210" i="15"/>
  <c r="CA214" i="15"/>
  <c r="CA222" i="15"/>
  <c r="CA171" i="15"/>
  <c r="CA174" i="15"/>
  <c r="CA172" i="15"/>
  <c r="CA181" i="15"/>
  <c r="CA175" i="15"/>
  <c r="CA187" i="15"/>
  <c r="CA191" i="15"/>
  <c r="CA195" i="15"/>
  <c r="CA199" i="15"/>
  <c r="CA209" i="15"/>
  <c r="CA204" i="15"/>
  <c r="CA211" i="15"/>
  <c r="CA215" i="15"/>
  <c r="CA216" i="15"/>
  <c r="CA221" i="15"/>
  <c r="CA166" i="15"/>
  <c r="CA186" i="15"/>
  <c r="CA192" i="15"/>
  <c r="CA202" i="15"/>
  <c r="CA223" i="15"/>
  <c r="CA173" i="15"/>
  <c r="CA176" i="15"/>
  <c r="CA179" i="15"/>
  <c r="CA188" i="15"/>
  <c r="CA196" i="15"/>
  <c r="CA200" i="15"/>
  <c r="CA207" i="15"/>
  <c r="CA212" i="15"/>
  <c r="CA224" i="15"/>
  <c r="CA217" i="15"/>
  <c r="CA167" i="15"/>
  <c r="CA180" i="15"/>
  <c r="CA168" i="15"/>
  <c r="CA178" i="15"/>
  <c r="CA182" i="15"/>
  <c r="CA183" i="15"/>
  <c r="CA189" i="15"/>
  <c r="CA193" i="15"/>
  <c r="CA197" i="15"/>
  <c r="CA201" i="15"/>
  <c r="CA206" i="15"/>
  <c r="CA208" i="15"/>
  <c r="CA213" i="15"/>
  <c r="CA220" i="15"/>
  <c r="CA218" i="15"/>
  <c r="CA225" i="15"/>
  <c r="CA169" i="15"/>
  <c r="CA177" i="15"/>
  <c r="CA184" i="15"/>
  <c r="CA205" i="15"/>
  <c r="CA219" i="15"/>
  <c r="CC164" i="15"/>
  <c r="B46" i="15"/>
  <c r="E47" i="8" a="1"/>
  <c r="E127" i="8" a="1"/>
  <c r="E88" i="8" a="1"/>
  <c r="M23" i="359" a="1"/>
  <c r="N23" i="359" a="1"/>
  <c r="T23" i="359" a="1"/>
  <c r="U23" i="359" a="1"/>
  <c r="Y23" i="359" a="1"/>
  <c r="B23" i="359" a="1"/>
  <c r="F23" i="359" a="1"/>
  <c r="CB217" i="15" a="1"/>
  <c r="CB221" i="15" a="1"/>
  <c r="CB207" i="15" a="1"/>
  <c r="CB209" i="15" a="1"/>
  <c r="CB195" i="15" a="1"/>
  <c r="CB218" i="15" a="1"/>
  <c r="CB179" i="15" a="1"/>
  <c r="CB167" i="15" a="1"/>
  <c r="CB201" i="15" a="1"/>
  <c r="CB176" i="15" a="1"/>
  <c r="CB192" i="15" a="1"/>
  <c r="CC231" i="15" a="1"/>
  <c r="CB211" i="15" a="1"/>
  <c r="CB210" i="15" a="1"/>
  <c r="CB175" i="15" a="1"/>
  <c r="CB170" i="15" a="1"/>
  <c r="E46" i="8" a="1"/>
  <c r="J23" i="359" a="1"/>
  <c r="P23" i="359" a="1"/>
  <c r="S23" i="359" a="1"/>
  <c r="V23" i="359" a="1"/>
  <c r="AA23" i="359" a="1"/>
  <c r="C23" i="359" a="1"/>
  <c r="G23" i="359" a="1"/>
  <c r="CB174" i="15" a="1"/>
  <c r="CB224" i="15" a="1"/>
  <c r="CB206" i="15" a="1"/>
  <c r="CB191" i="15" a="1"/>
  <c r="CB220" i="15" a="1"/>
  <c r="CB190" i="15" a="1"/>
  <c r="CB171" i="15" a="1"/>
  <c r="CB194" i="15" a="1"/>
  <c r="CB184" i="15" a="1"/>
  <c r="CB185" i="15" a="1"/>
  <c r="CB180" i="15" a="1"/>
  <c r="CB197" i="15" a="1"/>
  <c r="CB213" i="15" a="1"/>
  <c r="CB216" i="15" a="1"/>
  <c r="CB183" i="15" a="1"/>
  <c r="CB199" i="15" a="1"/>
  <c r="E48" i="8" a="1"/>
  <c r="E87" i="8" a="1"/>
  <c r="L23" i="359" a="1"/>
  <c r="W23" i="359" a="1"/>
  <c r="X23" i="359" a="1"/>
  <c r="I23" i="359" a="1"/>
  <c r="CB169" i="15" a="1"/>
  <c r="CB204" i="15" a="1"/>
  <c r="CB203" i="15" a="1"/>
  <c r="CB225" i="15" a="1"/>
  <c r="CB193" i="15" a="1"/>
  <c r="CB165" i="15" a="1"/>
  <c r="CB168" i="15" a="1"/>
  <c r="E128" i="8" a="1"/>
  <c r="E129" i="8" a="1"/>
  <c r="E49" i="8" a="1"/>
  <c r="E130" i="8" a="1"/>
  <c r="E90" i="8" a="1"/>
  <c r="E89" i="8" a="1"/>
  <c r="K23" i="359" a="1"/>
  <c r="O23" i="359" a="1"/>
  <c r="Q23" i="359" a="1"/>
  <c r="AB23" i="359" a="1"/>
  <c r="Z23" i="359" a="1"/>
  <c r="E23" i="359" a="1"/>
  <c r="H23" i="359" a="1"/>
  <c r="CB182" i="15" a="1"/>
  <c r="CB198" i="15" a="1"/>
  <c r="CB208" i="15" a="1"/>
  <c r="CB181" i="15" a="1"/>
  <c r="CB214" i="15" a="1"/>
  <c r="CB177" i="15" a="1"/>
  <c r="CB196" i="15" a="1"/>
  <c r="CB186" i="15" a="1"/>
  <c r="CB188" i="15" a="1"/>
  <c r="CB178" i="15" a="1"/>
  <c r="CB223" i="15" a="1"/>
  <c r="CB200" i="15" a="1"/>
  <c r="CB172" i="15" a="1"/>
  <c r="CB222" i="15" a="1"/>
  <c r="CB187" i="15" a="1"/>
  <c r="R23" i="359" a="1"/>
  <c r="AC23" i="359" a="1"/>
  <c r="D23" i="359" a="1"/>
  <c r="CB205" i="15" a="1"/>
  <c r="CB173" i="15" a="1"/>
  <c r="CB212" i="15" a="1"/>
  <c r="CB215" i="15" a="1"/>
  <c r="CB166" i="15" a="1"/>
  <c r="CB219" i="15" a="1"/>
  <c r="CB202" i="15" a="1"/>
  <c r="CB189" i="15" a="1"/>
  <c r="E89" i="8" l="1"/>
  <c r="E90" i="8"/>
  <c r="E130" i="8"/>
  <c r="E49" i="8"/>
  <c r="E129" i="8"/>
  <c r="E128" i="8"/>
  <c r="E87" i="8"/>
  <c r="E48" i="8"/>
  <c r="E46" i="8"/>
  <c r="E88" i="8"/>
  <c r="E127" i="8"/>
  <c r="E47" i="8"/>
  <c r="X23" i="359"/>
  <c r="Z23" i="359"/>
  <c r="AA23" i="359"/>
  <c r="Y23" i="359"/>
  <c r="AC23" i="359"/>
  <c r="AB23" i="359"/>
  <c r="V23" i="359"/>
  <c r="U23" i="359"/>
  <c r="W23" i="359"/>
  <c r="Q23" i="359"/>
  <c r="S23" i="359"/>
  <c r="T23" i="359"/>
  <c r="R23" i="359"/>
  <c r="O23" i="359"/>
  <c r="P23" i="359"/>
  <c r="N23" i="359"/>
  <c r="L23" i="359"/>
  <c r="K23" i="359"/>
  <c r="J23" i="359"/>
  <c r="M23" i="359"/>
  <c r="I23" i="359"/>
  <c r="H23" i="359"/>
  <c r="G23" i="359"/>
  <c r="F23" i="359"/>
  <c r="D23" i="359"/>
  <c r="E23" i="359"/>
  <c r="C23" i="359"/>
  <c r="B23" i="359"/>
  <c r="A24" i="359"/>
  <c r="CC231" i="15"/>
  <c r="CB166" i="15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B105" i="8"/>
  <c r="L24" i="359" a="1"/>
  <c r="R24" i="359" a="1"/>
  <c r="U24" i="359" a="1"/>
  <c r="AC24" i="359" a="1"/>
  <c r="X24" i="359" a="1"/>
  <c r="D24" i="359" a="1"/>
  <c r="I24" i="359" a="1"/>
  <c r="CD231" i="15" a="1"/>
  <c r="B104" i="8"/>
  <c r="J24" i="359" a="1"/>
  <c r="P24" i="359" a="1"/>
  <c r="Q24" i="359" a="1"/>
  <c r="W24" i="359" a="1"/>
  <c r="AB24" i="359" a="1"/>
  <c r="B24" i="359" a="1"/>
  <c r="F24" i="359" a="1"/>
  <c r="B103" i="8"/>
  <c r="M24" i="359" a="1"/>
  <c r="N24" i="359" a="1"/>
  <c r="S24" i="359" a="1"/>
  <c r="V24" i="359" a="1"/>
  <c r="AA24" i="359" a="1"/>
  <c r="C24" i="359" a="1"/>
  <c r="G24" i="359" a="1"/>
  <c r="B106" i="8"/>
  <c r="K24" i="359" a="1"/>
  <c r="O24" i="359" a="1"/>
  <c r="T24" i="359" a="1"/>
  <c r="Z24" i="359" a="1"/>
  <c r="Y24" i="359" a="1"/>
  <c r="E24" i="359" a="1"/>
  <c r="H24" i="359" a="1"/>
  <c r="X24" i="359" l="1"/>
  <c r="Y24" i="359"/>
  <c r="AA24" i="359"/>
  <c r="AB24" i="359"/>
  <c r="AC24" i="359"/>
  <c r="Z24" i="359"/>
  <c r="V24" i="359"/>
  <c r="W24" i="359"/>
  <c r="U24" i="359"/>
  <c r="T24" i="359"/>
  <c r="S24" i="359"/>
  <c r="Q24" i="359"/>
  <c r="R24" i="359"/>
  <c r="O24" i="359"/>
  <c r="N24" i="359"/>
  <c r="P24" i="359"/>
  <c r="L24" i="359"/>
  <c r="K24" i="359"/>
  <c r="M24" i="359"/>
  <c r="J24" i="359"/>
  <c r="I24" i="359"/>
  <c r="H24" i="359"/>
  <c r="G24" i="359"/>
  <c r="F24" i="359"/>
  <c r="D24" i="359"/>
  <c r="E24" i="359"/>
  <c r="C24" i="359"/>
  <c r="B24" i="359"/>
  <c r="A25" i="359"/>
  <c r="CD231" i="15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E103" i="8" a="1"/>
  <c r="E67" i="8" a="1"/>
  <c r="E77" i="8" a="1"/>
  <c r="J25" i="359" a="1"/>
  <c r="S25" i="359" a="1"/>
  <c r="U25" i="359" a="1"/>
  <c r="Z25" i="359" a="1"/>
  <c r="X25" i="359" a="1"/>
  <c r="D25" i="359" a="1"/>
  <c r="I25" i="359" a="1"/>
  <c r="E97" i="8" a="1"/>
  <c r="Y25" i="359" a="1"/>
  <c r="E104" i="8" a="1"/>
  <c r="L25" i="359" a="1"/>
  <c r="P25" i="359" a="1"/>
  <c r="T25" i="359" a="1"/>
  <c r="V25" i="359" a="1"/>
  <c r="AB25" i="359" a="1"/>
  <c r="B25" i="359" a="1"/>
  <c r="F25" i="359" a="1"/>
  <c r="CE231" i="15" a="1"/>
  <c r="K25" i="359" a="1"/>
  <c r="R25" i="359" a="1"/>
  <c r="E25" i="359" a="1"/>
  <c r="E57" i="8" a="1"/>
  <c r="M25" i="359" a="1"/>
  <c r="O25" i="359" a="1"/>
  <c r="Q25" i="359" a="1"/>
  <c r="W25" i="359" a="1"/>
  <c r="AA25" i="359" a="1"/>
  <c r="C25" i="359" a="1"/>
  <c r="G25" i="359" a="1"/>
  <c r="N25" i="359" a="1"/>
  <c r="AC25" i="359" a="1"/>
  <c r="H25" i="359" a="1"/>
  <c r="E103" i="8" l="1"/>
  <c r="E77" i="8"/>
  <c r="E97" i="8"/>
  <c r="E57" i="8"/>
  <c r="E104" i="8"/>
  <c r="E67" i="8"/>
  <c r="D78" i="8"/>
  <c r="D98" i="8"/>
  <c r="D58" i="8"/>
  <c r="D105" i="8"/>
  <c r="D68" i="8"/>
  <c r="X25" i="359"/>
  <c r="Y25" i="359"/>
  <c r="AA25" i="359"/>
  <c r="AB25" i="359"/>
  <c r="Z25" i="359"/>
  <c r="AC25" i="359"/>
  <c r="W25" i="359"/>
  <c r="V25" i="359"/>
  <c r="U25" i="359"/>
  <c r="R25" i="359"/>
  <c r="Q25" i="359"/>
  <c r="T25" i="359"/>
  <c r="S25" i="359"/>
  <c r="N25" i="359"/>
  <c r="O25" i="359"/>
  <c r="P25" i="359"/>
  <c r="J25" i="359"/>
  <c r="K25" i="359"/>
  <c r="M25" i="359"/>
  <c r="L25" i="359"/>
  <c r="I25" i="359"/>
  <c r="H25" i="359"/>
  <c r="G25" i="359"/>
  <c r="F25" i="359"/>
  <c r="D25" i="359"/>
  <c r="E25" i="359"/>
  <c r="C25" i="359"/>
  <c r="B25" i="359"/>
  <c r="A26" i="359"/>
  <c r="CE231" i="15"/>
  <c r="CF164" i="15"/>
  <c r="F39" i="8"/>
  <c r="E68" i="8" a="1"/>
  <c r="F46" i="8" a="1"/>
  <c r="F89" i="8" a="1"/>
  <c r="F67" i="8" a="1"/>
  <c r="F47" i="8" a="1"/>
  <c r="F129" i="8" a="1"/>
  <c r="E98" i="8" a="1"/>
  <c r="L26" i="359" a="1"/>
  <c r="N26" i="359" a="1"/>
  <c r="S26" i="359" a="1"/>
  <c r="U26" i="359" a="1"/>
  <c r="AC26" i="359" a="1"/>
  <c r="C26" i="359" a="1"/>
  <c r="G26" i="359" a="1"/>
  <c r="E78" i="8" a="1"/>
  <c r="F68" i="8" a="1"/>
  <c r="F49" i="8" a="1"/>
  <c r="T26" i="359" a="1"/>
  <c r="B26" i="359" a="1"/>
  <c r="F105" i="8" a="1"/>
  <c r="F127" i="8" a="1"/>
  <c r="F58" i="8" a="1"/>
  <c r="F130" i="8" a="1"/>
  <c r="F128" i="8" a="1"/>
  <c r="F78" i="8" a="1"/>
  <c r="E58" i="8" a="1"/>
  <c r="K26" i="359" a="1"/>
  <c r="P26" i="359" a="1"/>
  <c r="R26" i="359" a="1"/>
  <c r="AB26" i="359" a="1"/>
  <c r="AA26" i="359" a="1"/>
  <c r="D26" i="359" a="1"/>
  <c r="H26" i="359" a="1"/>
  <c r="I26" i="359" a="1"/>
  <c r="F90" i="8" a="1"/>
  <c r="F48" i="8" a="1"/>
  <c r="O26" i="359" a="1"/>
  <c r="W26" i="359" a="1"/>
  <c r="F26" i="359" a="1"/>
  <c r="F103" i="8" a="1"/>
  <c r="F87" i="8" a="1"/>
  <c r="F88" i="8" a="1"/>
  <c r="F98" i="8" a="1"/>
  <c r="F97" i="8" a="1"/>
  <c r="F57" i="8" a="1"/>
  <c r="E105" i="8" a="1"/>
  <c r="J26" i="359" a="1"/>
  <c r="Q26" i="359" a="1"/>
  <c r="V26" i="359" a="1"/>
  <c r="Z26" i="359" a="1"/>
  <c r="X26" i="359" a="1"/>
  <c r="E26" i="359" a="1"/>
  <c r="F104" i="8" a="1"/>
  <c r="F77" i="8" a="1"/>
  <c r="M26" i="359" a="1"/>
  <c r="Y26" i="359" a="1"/>
  <c r="CF231" i="15" a="1"/>
  <c r="E105" i="8" l="1"/>
  <c r="E58" i="8"/>
  <c r="E98" i="8"/>
  <c r="F49" i="8"/>
  <c r="F57" i="8"/>
  <c r="F78" i="8"/>
  <c r="F129" i="8"/>
  <c r="F48" i="8"/>
  <c r="F97" i="8"/>
  <c r="F128" i="8"/>
  <c r="F47" i="8"/>
  <c r="F77" i="8"/>
  <c r="F98" i="8"/>
  <c r="F130" i="8"/>
  <c r="F67" i="8"/>
  <c r="F68" i="8"/>
  <c r="F88" i="8"/>
  <c r="F58" i="8"/>
  <c r="F89" i="8"/>
  <c r="F90" i="8"/>
  <c r="F87" i="8"/>
  <c r="F127" i="8"/>
  <c r="F46" i="8"/>
  <c r="F104" i="8"/>
  <c r="F103" i="8"/>
  <c r="F105" i="8"/>
  <c r="E68" i="8"/>
  <c r="E78" i="8"/>
  <c r="D106" i="8"/>
  <c r="E117" i="8"/>
  <c r="D59" i="8"/>
  <c r="D99" i="8"/>
  <c r="D69" i="8"/>
  <c r="D79" i="8"/>
  <c r="X26" i="359"/>
  <c r="AA26" i="359"/>
  <c r="AC26" i="359"/>
  <c r="Y26" i="359"/>
  <c r="Z26" i="359"/>
  <c r="AB26" i="359"/>
  <c r="U26" i="359"/>
  <c r="W26" i="359"/>
  <c r="V26" i="359"/>
  <c r="R26" i="359"/>
  <c r="S26" i="359"/>
  <c r="T26" i="359"/>
  <c r="Q26" i="359"/>
  <c r="P26" i="359"/>
  <c r="N26" i="359"/>
  <c r="O26" i="359"/>
  <c r="J26" i="359"/>
  <c r="K26" i="359"/>
  <c r="L26" i="359"/>
  <c r="M26" i="359"/>
  <c r="I26" i="359"/>
  <c r="H26" i="359"/>
  <c r="G26" i="359"/>
  <c r="F26" i="359"/>
  <c r="E26" i="359"/>
  <c r="D26" i="359"/>
  <c r="C26" i="359"/>
  <c r="B26" i="359"/>
  <c r="A27" i="359"/>
  <c r="CF231" i="15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G39" i="8"/>
  <c r="E79" i="8" a="1"/>
  <c r="E99" i="8" a="1"/>
  <c r="E69" i="8" a="1"/>
  <c r="G104" i="8" a="1"/>
  <c r="G90" i="8" a="1"/>
  <c r="G46" i="8" a="1"/>
  <c r="G69" i="8" a="1"/>
  <c r="G97" i="8" a="1"/>
  <c r="G47" i="8" a="1"/>
  <c r="G49" i="8" a="1"/>
  <c r="J27" i="359" a="1"/>
  <c r="S27" i="359" a="1"/>
  <c r="V27" i="359" a="1"/>
  <c r="AA27" i="359" a="1"/>
  <c r="X27" i="359" a="1"/>
  <c r="E27" i="359" a="1"/>
  <c r="I27" i="359" a="1"/>
  <c r="P27" i="359" a="1"/>
  <c r="T27" i="359" a="1"/>
  <c r="AC27" i="359" a="1"/>
  <c r="F27" i="359" a="1"/>
  <c r="F69" i="8" a="1"/>
  <c r="G130" i="8" a="1"/>
  <c r="G128" i="8" a="1"/>
  <c r="K27" i="359" a="1"/>
  <c r="Z27" i="359" a="1"/>
  <c r="H27" i="359" a="1"/>
  <c r="F59" i="8" a="1"/>
  <c r="F106" i="8" a="1"/>
  <c r="G105" i="8" a="1"/>
  <c r="G79" i="8" a="1"/>
  <c r="G89" i="8" a="1"/>
  <c r="G67" i="8" a="1"/>
  <c r="G99" i="8" a="1"/>
  <c r="G129" i="8" a="1"/>
  <c r="G98" i="8" a="1"/>
  <c r="M27" i="359" a="1"/>
  <c r="U27" i="359" a="1"/>
  <c r="B27" i="359" a="1"/>
  <c r="CG231" i="15" a="1"/>
  <c r="G87" i="8" a="1"/>
  <c r="G59" i="8" a="1"/>
  <c r="Q27" i="359" a="1"/>
  <c r="D27" i="359" a="1"/>
  <c r="E59" i="8" a="1"/>
  <c r="E106" i="8" a="1"/>
  <c r="G106" i="8" a="1"/>
  <c r="G127" i="8" a="1"/>
  <c r="G58" i="8" a="1"/>
  <c r="G68" i="8" a="1"/>
  <c r="G77" i="8" a="1"/>
  <c r="G78" i="8" a="1"/>
  <c r="G48" i="8" a="1"/>
  <c r="L27" i="359" a="1"/>
  <c r="O27" i="359" a="1"/>
  <c r="R27" i="359" a="1"/>
  <c r="W27" i="359" a="1"/>
  <c r="AB27" i="359" a="1"/>
  <c r="C27" i="359" a="1"/>
  <c r="G27" i="359" a="1"/>
  <c r="F79" i="8" a="1"/>
  <c r="F99" i="8" a="1"/>
  <c r="G103" i="8" a="1"/>
  <c r="G88" i="8" a="1"/>
  <c r="G57" i="8" a="1"/>
  <c r="N27" i="359" a="1"/>
  <c r="Y27" i="359" a="1"/>
  <c r="G49" i="8" l="1"/>
  <c r="G57" i="8"/>
  <c r="G48" i="8"/>
  <c r="G98" i="8"/>
  <c r="G47" i="8"/>
  <c r="G59" i="8"/>
  <c r="G78" i="8"/>
  <c r="G129" i="8"/>
  <c r="G97" i="8"/>
  <c r="G128" i="8"/>
  <c r="G77" i="8"/>
  <c r="G99" i="8"/>
  <c r="G69" i="8"/>
  <c r="G88" i="8"/>
  <c r="G68" i="8"/>
  <c r="G67" i="8"/>
  <c r="G46" i="8"/>
  <c r="G130" i="8"/>
  <c r="G58" i="8"/>
  <c r="G89" i="8"/>
  <c r="G90" i="8"/>
  <c r="G87" i="8"/>
  <c r="G127" i="8"/>
  <c r="G79" i="8"/>
  <c r="G104" i="8"/>
  <c r="G103" i="8"/>
  <c r="G106" i="8"/>
  <c r="G105" i="8"/>
  <c r="E69" i="8"/>
  <c r="F69" i="8"/>
  <c r="E106" i="8"/>
  <c r="F106" i="8"/>
  <c r="E99" i="8"/>
  <c r="F99" i="8"/>
  <c r="E59" i="8"/>
  <c r="F59" i="8"/>
  <c r="E79" i="8"/>
  <c r="F79" i="8"/>
  <c r="D70" i="8"/>
  <c r="D107" i="8"/>
  <c r="D100" i="8"/>
  <c r="E118" i="8"/>
  <c r="F117" i="8"/>
  <c r="D60" i="8"/>
  <c r="D80" i="8"/>
  <c r="F118" i="8"/>
  <c r="X27" i="359"/>
  <c r="Y27" i="359"/>
  <c r="AB27" i="359"/>
  <c r="AC27" i="359"/>
  <c r="AA27" i="359"/>
  <c r="Z27" i="359"/>
  <c r="W27" i="359"/>
  <c r="U27" i="359"/>
  <c r="V27" i="359"/>
  <c r="Q27" i="359"/>
  <c r="R27" i="359"/>
  <c r="T27" i="359"/>
  <c r="S27" i="359"/>
  <c r="N27" i="359"/>
  <c r="O27" i="359"/>
  <c r="P27" i="359"/>
  <c r="J27" i="359"/>
  <c r="K27" i="359"/>
  <c r="L27" i="359"/>
  <c r="M27" i="359"/>
  <c r="I27" i="359"/>
  <c r="H27" i="359"/>
  <c r="G27" i="359"/>
  <c r="F27" i="359"/>
  <c r="E27" i="359"/>
  <c r="D27" i="359"/>
  <c r="C27" i="359"/>
  <c r="B27" i="359"/>
  <c r="A28" i="359"/>
  <c r="CG231" i="15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48" i="15"/>
  <c r="H39" i="8"/>
  <c r="G107" i="8" a="1"/>
  <c r="F60" i="8" a="1"/>
  <c r="E100" i="8" a="1"/>
  <c r="H105" i="8" a="1"/>
  <c r="H46" i="8" a="1"/>
  <c r="H69" i="8" a="1"/>
  <c r="H99" i="8" a="1"/>
  <c r="H100" i="8" a="1"/>
  <c r="H78" i="8" a="1"/>
  <c r="H128" i="8" a="1"/>
  <c r="H97" i="8" a="1"/>
  <c r="H80" i="8" a="1"/>
  <c r="J28" i="359" a="1"/>
  <c r="T28" i="359" a="1"/>
  <c r="W28" i="359" a="1"/>
  <c r="AA28" i="359" a="1"/>
  <c r="X28" i="359" a="1"/>
  <c r="E28" i="359" a="1"/>
  <c r="I28" i="359" a="1"/>
  <c r="Y28" i="359" a="1"/>
  <c r="G28" i="359" a="1"/>
  <c r="E70" i="8" a="1"/>
  <c r="E80" i="8" a="1"/>
  <c r="H130" i="8" a="1"/>
  <c r="H47" i="8" a="1"/>
  <c r="H49" i="8" a="1"/>
  <c r="Q28" i="359" a="1"/>
  <c r="D28" i="359" a="1"/>
  <c r="G70" i="8" a="1"/>
  <c r="F107" i="8" a="1"/>
  <c r="E60" i="8" a="1"/>
  <c r="G80" i="8" a="1"/>
  <c r="H106" i="8" a="1"/>
  <c r="H79" i="8" a="1"/>
  <c r="H77" i="8" a="1"/>
  <c r="H87" i="8" a="1"/>
  <c r="H89" i="8" a="1"/>
  <c r="H70" i="8" a="1"/>
  <c r="H48" i="8" a="1"/>
  <c r="H59" i="8" a="1"/>
  <c r="L28" i="359" a="1"/>
  <c r="O28" i="359" a="1"/>
  <c r="R28" i="359" a="1"/>
  <c r="V28" i="359" a="1"/>
  <c r="Z28" i="359" a="1"/>
  <c r="B28" i="359" a="1"/>
  <c r="F28" i="359" a="1"/>
  <c r="CH231" i="15" a="1"/>
  <c r="G60" i="8" a="1"/>
  <c r="H104" i="8" a="1"/>
  <c r="H90" i="8" a="1"/>
  <c r="H57" i="8" a="1"/>
  <c r="P28" i="359" a="1"/>
  <c r="AC28" i="359" a="1"/>
  <c r="H28" i="359" a="1"/>
  <c r="F70" i="8" a="1"/>
  <c r="E107" i="8" a="1"/>
  <c r="G100" i="8" a="1"/>
  <c r="F80" i="8" a="1"/>
  <c r="H103" i="8" a="1"/>
  <c r="H127" i="8" a="1"/>
  <c r="H67" i="8" a="1"/>
  <c r="H88" i="8" a="1"/>
  <c r="H68" i="8" a="1"/>
  <c r="H107" i="8" a="1"/>
  <c r="H129" i="8" a="1"/>
  <c r="H60" i="8" a="1"/>
  <c r="K28" i="359" a="1"/>
  <c r="N28" i="359" a="1"/>
  <c r="S28" i="359" a="1"/>
  <c r="U28" i="359" a="1"/>
  <c r="C28" i="359" a="1"/>
  <c r="F100" i="8" a="1"/>
  <c r="H58" i="8" a="1"/>
  <c r="H98" i="8" a="1"/>
  <c r="M28" i="359" a="1"/>
  <c r="AB28" i="359" a="1"/>
  <c r="G117" i="8" l="1"/>
  <c r="H80" i="8"/>
  <c r="H49" i="8"/>
  <c r="H60" i="8"/>
  <c r="H59" i="8"/>
  <c r="H97" i="8"/>
  <c r="H57" i="8"/>
  <c r="H129" i="8"/>
  <c r="H48" i="8"/>
  <c r="H128" i="8"/>
  <c r="H98" i="8"/>
  <c r="H107" i="8"/>
  <c r="H70" i="8"/>
  <c r="H78" i="8"/>
  <c r="H47" i="8"/>
  <c r="H68" i="8"/>
  <c r="H89" i="8"/>
  <c r="H100" i="8"/>
  <c r="H90" i="8"/>
  <c r="H88" i="8"/>
  <c r="H87" i="8"/>
  <c r="H99" i="8"/>
  <c r="H130" i="8"/>
  <c r="H67" i="8"/>
  <c r="H77" i="8"/>
  <c r="H69" i="8"/>
  <c r="H58" i="8"/>
  <c r="H127" i="8"/>
  <c r="H79" i="8"/>
  <c r="H46" i="8"/>
  <c r="H104" i="8"/>
  <c r="H103" i="8"/>
  <c r="H106" i="8"/>
  <c r="H105" i="8"/>
  <c r="E80" i="8"/>
  <c r="F80" i="8"/>
  <c r="G80" i="8"/>
  <c r="E100" i="8"/>
  <c r="F100" i="8"/>
  <c r="G100" i="8"/>
  <c r="E60" i="8"/>
  <c r="F60" i="8"/>
  <c r="G60" i="8"/>
  <c r="E107" i="8"/>
  <c r="F107" i="8"/>
  <c r="G107" i="8"/>
  <c r="E70" i="8"/>
  <c r="F70" i="8"/>
  <c r="G70" i="8"/>
  <c r="E119" i="8"/>
  <c r="D108" i="8"/>
  <c r="G119" i="8"/>
  <c r="G118" i="8"/>
  <c r="F119" i="8"/>
  <c r="X28" i="359"/>
  <c r="AB28" i="359"/>
  <c r="Y28" i="359"/>
  <c r="Z28" i="359"/>
  <c r="AA28" i="359"/>
  <c r="AC28" i="359"/>
  <c r="U28" i="359"/>
  <c r="V28" i="359"/>
  <c r="W28" i="359"/>
  <c r="Q28" i="359"/>
  <c r="S28" i="359"/>
  <c r="R28" i="359"/>
  <c r="T28" i="359"/>
  <c r="P28" i="359"/>
  <c r="N28" i="359"/>
  <c r="O28" i="359"/>
  <c r="J28" i="359"/>
  <c r="M28" i="359"/>
  <c r="K28" i="359"/>
  <c r="L28" i="359"/>
  <c r="I28" i="359"/>
  <c r="H28" i="359"/>
  <c r="G28" i="359"/>
  <c r="F28" i="359"/>
  <c r="E28" i="359"/>
  <c r="D28" i="359"/>
  <c r="C28" i="359"/>
  <c r="B28" i="359"/>
  <c r="A29" i="359"/>
  <c r="CH231" i="15"/>
  <c r="CI164" i="15"/>
  <c r="B49" i="15"/>
  <c r="I39" i="8"/>
  <c r="G108" i="8" a="1"/>
  <c r="I106" i="8" a="1"/>
  <c r="I46" i="8" a="1"/>
  <c r="I100" i="8" a="1"/>
  <c r="I127" i="8" a="1"/>
  <c r="I69" i="8" a="1"/>
  <c r="I98" i="8" a="1"/>
  <c r="I47" i="8" a="1"/>
  <c r="I129" i="8" a="1"/>
  <c r="I49" i="8" a="1"/>
  <c r="K29" i="359" a="1"/>
  <c r="Q29" i="359" a="1"/>
  <c r="V29" i="359" a="1"/>
  <c r="Y29" i="359" a="1"/>
  <c r="X29" i="359" a="1"/>
  <c r="D29" i="359" a="1"/>
  <c r="I29" i="359" a="1"/>
  <c r="I105" i="8" a="1"/>
  <c r="I68" i="8" a="1"/>
  <c r="I107" i="8" a="1"/>
  <c r="J29" i="359" a="1"/>
  <c r="AC29" i="359" a="1"/>
  <c r="Z29" i="359" a="1"/>
  <c r="F108" i="8" a="1"/>
  <c r="I103" i="8" a="1"/>
  <c r="I87" i="8" a="1"/>
  <c r="I88" i="8" a="1"/>
  <c r="I108" i="8" a="1"/>
  <c r="I97" i="8" a="1"/>
  <c r="I59" i="8" a="1"/>
  <c r="I128" i="8" a="1"/>
  <c r="I57" i="8" a="1"/>
  <c r="L29" i="359" a="1"/>
  <c r="P29" i="359" a="1"/>
  <c r="S29" i="359" a="1"/>
  <c r="W29" i="359" a="1"/>
  <c r="AB29" i="359" a="1"/>
  <c r="B29" i="359" a="1"/>
  <c r="F29" i="359" a="1"/>
  <c r="CI231" i="15" a="1"/>
  <c r="H108" i="8" a="1"/>
  <c r="I67" i="8" a="1"/>
  <c r="I77" i="8" a="1"/>
  <c r="I60" i="8" a="1"/>
  <c r="T29" i="359" a="1"/>
  <c r="H29" i="359" a="1"/>
  <c r="E108" i="8" a="1"/>
  <c r="I104" i="8" a="1"/>
  <c r="I90" i="8" a="1"/>
  <c r="I130" i="8" a="1"/>
  <c r="I89" i="8" a="1"/>
  <c r="I48" i="8" a="1"/>
  <c r="I70" i="8" a="1"/>
  <c r="I99" i="8" a="1"/>
  <c r="I80" i="8" a="1"/>
  <c r="M29" i="359" a="1"/>
  <c r="N29" i="359" a="1"/>
  <c r="R29" i="359" a="1"/>
  <c r="U29" i="359" a="1"/>
  <c r="AA29" i="359" a="1"/>
  <c r="C29" i="359" a="1"/>
  <c r="G29" i="359" a="1"/>
  <c r="I79" i="8" a="1"/>
  <c r="I58" i="8" a="1"/>
  <c r="I78" i="8" a="1"/>
  <c r="O29" i="359" a="1"/>
  <c r="E29" i="359" a="1"/>
  <c r="H120" i="8" l="1"/>
  <c r="I49" i="8"/>
  <c r="I60" i="8"/>
  <c r="I80" i="8"/>
  <c r="I57" i="8"/>
  <c r="I129" i="8"/>
  <c r="I78" i="8"/>
  <c r="I99" i="8"/>
  <c r="I128" i="8"/>
  <c r="I47" i="8"/>
  <c r="I107" i="8"/>
  <c r="I70" i="8"/>
  <c r="I59" i="8"/>
  <c r="I98" i="8"/>
  <c r="I77" i="8"/>
  <c r="I48" i="8"/>
  <c r="I97" i="8"/>
  <c r="I69" i="8"/>
  <c r="I58" i="8"/>
  <c r="I89" i="8"/>
  <c r="I108" i="8"/>
  <c r="I127" i="8"/>
  <c r="I68" i="8"/>
  <c r="I130" i="8"/>
  <c r="I88" i="8"/>
  <c r="I100" i="8"/>
  <c r="I67" i="8"/>
  <c r="I90" i="8"/>
  <c r="I87" i="8"/>
  <c r="I46" i="8"/>
  <c r="I79" i="8"/>
  <c r="I104" i="8"/>
  <c r="I103" i="8"/>
  <c r="I106" i="8"/>
  <c r="I105" i="8"/>
  <c r="E108" i="8"/>
  <c r="F108" i="8"/>
  <c r="G108" i="8"/>
  <c r="H108" i="8"/>
  <c r="H118" i="8"/>
  <c r="G120" i="8"/>
  <c r="H119" i="8"/>
  <c r="H117" i="8"/>
  <c r="F120" i="8"/>
  <c r="D109" i="8"/>
  <c r="E120" i="8"/>
  <c r="X29" i="359"/>
  <c r="Z29" i="359"/>
  <c r="AA29" i="359"/>
  <c r="AB29" i="359"/>
  <c r="Y29" i="359"/>
  <c r="AC29" i="359"/>
  <c r="U29" i="359"/>
  <c r="W29" i="359"/>
  <c r="V29" i="359"/>
  <c r="T29" i="359"/>
  <c r="R29" i="359"/>
  <c r="S29" i="359"/>
  <c r="Q29" i="359"/>
  <c r="O29" i="359"/>
  <c r="N29" i="359"/>
  <c r="P29" i="359"/>
  <c r="K29" i="359"/>
  <c r="J29" i="359"/>
  <c r="M29" i="359"/>
  <c r="L29" i="359"/>
  <c r="I29" i="359"/>
  <c r="H29" i="359"/>
  <c r="G29" i="359"/>
  <c r="F29" i="359"/>
  <c r="D29" i="359"/>
  <c r="E29" i="359"/>
  <c r="C29" i="359"/>
  <c r="B29" i="359"/>
  <c r="A30" i="359"/>
  <c r="CI231" i="15"/>
  <c r="CJ164" i="15"/>
  <c r="B50" i="15"/>
  <c r="J39" i="8"/>
  <c r="J106" i="8" a="1"/>
  <c r="J46" i="8" a="1"/>
  <c r="J88" i="8" a="1"/>
  <c r="J89" i="8" a="1"/>
  <c r="J87" i="8" a="1"/>
  <c r="J107" i="8" a="1"/>
  <c r="J78" i="8" a="1"/>
  <c r="J129" i="8" a="1"/>
  <c r="J80" i="8" a="1"/>
  <c r="G109" i="8" a="1"/>
  <c r="M30" i="359" a="1"/>
  <c r="N30" i="359" a="1"/>
  <c r="R30" i="359" a="1"/>
  <c r="V30" i="359" a="1"/>
  <c r="AB30" i="359" a="1"/>
  <c r="C30" i="359" a="1"/>
  <c r="G30" i="359" a="1"/>
  <c r="J103" i="8" a="1"/>
  <c r="J67" i="8" a="1"/>
  <c r="J108" i="8" a="1"/>
  <c r="J127" i="8" a="1"/>
  <c r="J130" i="8" a="1"/>
  <c r="J47" i="8" a="1"/>
  <c r="J70" i="8" a="1"/>
  <c r="J109" i="8" a="1"/>
  <c r="J60" i="8" a="1"/>
  <c r="F109" i="8" a="1"/>
  <c r="K30" i="359" a="1"/>
  <c r="O30" i="359" a="1"/>
  <c r="Q30" i="359" a="1"/>
  <c r="Z30" i="359" a="1"/>
  <c r="AA30" i="359" a="1"/>
  <c r="D30" i="359" a="1"/>
  <c r="H30" i="359" a="1"/>
  <c r="J104" i="8" a="1"/>
  <c r="J99" i="8" a="1"/>
  <c r="J90" i="8" a="1"/>
  <c r="J69" i="8" a="1"/>
  <c r="J98" i="8" a="1"/>
  <c r="J128" i="8" a="1"/>
  <c r="J77" i="8" a="1"/>
  <c r="J49" i="8" a="1"/>
  <c r="I109" i="8" a="1"/>
  <c r="E109" i="8" a="1"/>
  <c r="J30" i="359" a="1"/>
  <c r="T30" i="359" a="1"/>
  <c r="W30" i="359" a="1"/>
  <c r="AC30" i="359" a="1"/>
  <c r="X30" i="359" a="1"/>
  <c r="E30" i="359" a="1"/>
  <c r="I30" i="359" a="1"/>
  <c r="J105" i="8" a="1"/>
  <c r="J79" i="8" a="1"/>
  <c r="J58" i="8" a="1"/>
  <c r="J100" i="8" a="1"/>
  <c r="J68" i="8" a="1"/>
  <c r="J97" i="8" a="1"/>
  <c r="J48" i="8" a="1"/>
  <c r="J59" i="8" a="1"/>
  <c r="J57" i="8" a="1"/>
  <c r="H109" i="8" a="1"/>
  <c r="L30" i="359" a="1"/>
  <c r="P30" i="359" a="1"/>
  <c r="S30" i="359" a="1"/>
  <c r="U30" i="359" a="1"/>
  <c r="Y30" i="359" a="1"/>
  <c r="B30" i="359" a="1"/>
  <c r="F30" i="359" a="1"/>
  <c r="CJ231" i="15" a="1"/>
  <c r="I119" i="8" l="1"/>
  <c r="E109" i="8"/>
  <c r="F109" i="8"/>
  <c r="G109" i="8"/>
  <c r="H109" i="8"/>
  <c r="I109" i="8"/>
  <c r="J60" i="8"/>
  <c r="J80" i="8"/>
  <c r="J57" i="8"/>
  <c r="J49" i="8"/>
  <c r="J109" i="8"/>
  <c r="J129" i="8"/>
  <c r="J59" i="8"/>
  <c r="J77" i="8"/>
  <c r="J70" i="8"/>
  <c r="J78" i="8"/>
  <c r="J48" i="8"/>
  <c r="J128" i="8"/>
  <c r="J47" i="8"/>
  <c r="J107" i="8"/>
  <c r="J97" i="8"/>
  <c r="J98" i="8"/>
  <c r="J130" i="8"/>
  <c r="J87" i="8"/>
  <c r="J68" i="8"/>
  <c r="J69" i="8"/>
  <c r="J127" i="8"/>
  <c r="J89" i="8"/>
  <c r="J100" i="8"/>
  <c r="J90" i="8"/>
  <c r="J108" i="8"/>
  <c r="J88" i="8"/>
  <c r="J58" i="8"/>
  <c r="J99" i="8"/>
  <c r="J67" i="8"/>
  <c r="J46" i="8"/>
  <c r="J79" i="8"/>
  <c r="J104" i="8"/>
  <c r="J103" i="8"/>
  <c r="J106" i="8"/>
  <c r="J105" i="8"/>
  <c r="D110" i="8"/>
  <c r="I120" i="8"/>
  <c r="I117" i="8"/>
  <c r="I118" i="8"/>
  <c r="X30" i="359"/>
  <c r="AA30" i="359"/>
  <c r="AB30" i="359"/>
  <c r="Y30" i="359"/>
  <c r="AC30" i="359"/>
  <c r="Z30" i="359"/>
  <c r="V30" i="359"/>
  <c r="U30" i="359"/>
  <c r="W30" i="359"/>
  <c r="Q30" i="359"/>
  <c r="R30" i="359"/>
  <c r="S30" i="359"/>
  <c r="T30" i="359"/>
  <c r="O30" i="359"/>
  <c r="N30" i="359"/>
  <c r="P30" i="359"/>
  <c r="J30" i="359"/>
  <c r="K30" i="359"/>
  <c r="M30" i="359"/>
  <c r="L30" i="359"/>
  <c r="I30" i="359"/>
  <c r="H30" i="359"/>
  <c r="G30" i="359"/>
  <c r="F30" i="359"/>
  <c r="E30" i="359"/>
  <c r="D30" i="359"/>
  <c r="C30" i="359"/>
  <c r="B30" i="359"/>
  <c r="A31" i="359"/>
  <c r="CJ231" i="15"/>
  <c r="CK164" i="15"/>
  <c r="B51" i="15"/>
  <c r="K39" i="8"/>
  <c r="H110" i="8" a="1"/>
  <c r="K105" i="8" a="1"/>
  <c r="K79" i="8" a="1"/>
  <c r="K89" i="8" a="1"/>
  <c r="K130" i="8" a="1"/>
  <c r="K69" i="8" a="1"/>
  <c r="K78" i="8" a="1"/>
  <c r="K59" i="8" a="1"/>
  <c r="K70" i="8" a="1"/>
  <c r="K80" i="8" a="1"/>
  <c r="J31" i="359" a="1"/>
  <c r="O31" i="359" a="1"/>
  <c r="S31" i="359" a="1"/>
  <c r="V31" i="359" a="1"/>
  <c r="AC31" i="359" a="1"/>
  <c r="G110" i="8" a="1"/>
  <c r="K106" i="8" a="1"/>
  <c r="K58" i="8" a="1"/>
  <c r="K68" i="8" a="1"/>
  <c r="K110" i="8" a="1"/>
  <c r="K67" i="8" a="1"/>
  <c r="K99" i="8" a="1"/>
  <c r="K129" i="8" a="1"/>
  <c r="K57" i="8" a="1"/>
  <c r="K60" i="8" a="1"/>
  <c r="M31" i="359" a="1"/>
  <c r="P31" i="359" a="1"/>
  <c r="R31" i="359" a="1"/>
  <c r="U31" i="359" a="1"/>
  <c r="AB31" i="359" a="1"/>
  <c r="C31" i="359" a="1"/>
  <c r="G31" i="359" a="1"/>
  <c r="W31" i="359" a="1"/>
  <c r="I31" i="359" a="1"/>
  <c r="F31" i="359" a="1"/>
  <c r="J110" i="8" a="1"/>
  <c r="F110" i="8" a="1"/>
  <c r="K103" i="8" a="1"/>
  <c r="K108" i="8" a="1"/>
  <c r="K127" i="8" a="1"/>
  <c r="K46" i="8" a="1"/>
  <c r="K100" i="8" a="1"/>
  <c r="K77" i="8" a="1"/>
  <c r="K47" i="8" a="1"/>
  <c r="K128" i="8" a="1"/>
  <c r="K109" i="8" a="1"/>
  <c r="L31" i="359" a="1"/>
  <c r="N31" i="359" a="1"/>
  <c r="T31" i="359" a="1"/>
  <c r="Z31" i="359" a="1"/>
  <c r="Y31" i="359" a="1"/>
  <c r="D31" i="359" a="1"/>
  <c r="H31" i="359" a="1"/>
  <c r="AA31" i="359" a="1"/>
  <c r="E31" i="359" a="1"/>
  <c r="CK231" i="15" a="1"/>
  <c r="I110" i="8" a="1"/>
  <c r="E110" i="8" a="1"/>
  <c r="K104" i="8" a="1"/>
  <c r="K90" i="8" a="1"/>
  <c r="K87" i="8" a="1"/>
  <c r="K88" i="8" a="1"/>
  <c r="K97" i="8" a="1"/>
  <c r="K48" i="8" a="1"/>
  <c r="K98" i="8" a="1"/>
  <c r="K107" i="8" a="1"/>
  <c r="K49" i="8" a="1"/>
  <c r="K31" i="359" a="1"/>
  <c r="Q31" i="359" a="1"/>
  <c r="X31" i="359" a="1"/>
  <c r="B31" i="359" a="1"/>
  <c r="J120" i="8" l="1"/>
  <c r="J117" i="8"/>
  <c r="J118" i="8"/>
  <c r="K49" i="8"/>
  <c r="K109" i="8"/>
  <c r="K60" i="8"/>
  <c r="K80" i="8"/>
  <c r="K107" i="8"/>
  <c r="K128" i="8"/>
  <c r="K57" i="8"/>
  <c r="K70" i="8"/>
  <c r="K98" i="8"/>
  <c r="K47" i="8"/>
  <c r="K129" i="8"/>
  <c r="K59" i="8"/>
  <c r="K48" i="8"/>
  <c r="K77" i="8"/>
  <c r="K99" i="8"/>
  <c r="K78" i="8"/>
  <c r="K97" i="8"/>
  <c r="K100" i="8"/>
  <c r="K67" i="8"/>
  <c r="K69" i="8"/>
  <c r="K88" i="8"/>
  <c r="K46" i="8"/>
  <c r="K110" i="8"/>
  <c r="K130" i="8"/>
  <c r="K87" i="8"/>
  <c r="K127" i="8"/>
  <c r="K68" i="8"/>
  <c r="K89" i="8"/>
  <c r="K90" i="8"/>
  <c r="K108" i="8"/>
  <c r="K58" i="8"/>
  <c r="K79" i="8"/>
  <c r="K119" i="8" s="1"/>
  <c r="K104" i="8"/>
  <c r="K103" i="8"/>
  <c r="K106" i="8"/>
  <c r="K105" i="8"/>
  <c r="E110" i="8"/>
  <c r="F110" i="8"/>
  <c r="G110" i="8"/>
  <c r="H110" i="8"/>
  <c r="I110" i="8"/>
  <c r="J110" i="8"/>
  <c r="J119" i="8"/>
  <c r="X31" i="359"/>
  <c r="Y31" i="359"/>
  <c r="AB31" i="359"/>
  <c r="AC31" i="359"/>
  <c r="AA31" i="359"/>
  <c r="Z31" i="359"/>
  <c r="U31" i="359"/>
  <c r="V31" i="359"/>
  <c r="W31" i="359"/>
  <c r="T31" i="359"/>
  <c r="R31" i="359"/>
  <c r="S31" i="359"/>
  <c r="Q31" i="359"/>
  <c r="N31" i="359"/>
  <c r="P31" i="359"/>
  <c r="O31" i="359"/>
  <c r="K31" i="359"/>
  <c r="L31" i="359"/>
  <c r="M31" i="359"/>
  <c r="J31" i="359"/>
  <c r="I31" i="359"/>
  <c r="H31" i="359"/>
  <c r="G31" i="359"/>
  <c r="F31" i="359"/>
  <c r="E31" i="359"/>
  <c r="D31" i="359"/>
  <c r="C31" i="359"/>
  <c r="B31" i="359"/>
  <c r="A32" i="359"/>
  <c r="CK231" i="15"/>
  <c r="CL164" i="15"/>
  <c r="B52" i="15"/>
  <c r="L39" i="8"/>
  <c r="L106" i="8" a="1"/>
  <c r="L130" i="8" a="1"/>
  <c r="L58" i="8" a="1"/>
  <c r="L87" i="8" a="1"/>
  <c r="L68" i="8" a="1"/>
  <c r="L78" i="8" a="1"/>
  <c r="L70" i="8" a="1"/>
  <c r="L99" i="8" a="1"/>
  <c r="L60" i="8" a="1"/>
  <c r="L32" i="359" a="1"/>
  <c r="O32" i="359" a="1"/>
  <c r="R32" i="359" a="1"/>
  <c r="U32" i="359" a="1"/>
  <c r="AB32" i="359" a="1"/>
  <c r="C32" i="359" a="1"/>
  <c r="G32" i="359" a="1"/>
  <c r="L103" i="8" a="1"/>
  <c r="L46" i="8" a="1"/>
  <c r="L69" i="8" a="1"/>
  <c r="L88" i="8" a="1"/>
  <c r="L110" i="8" a="1"/>
  <c r="L129" i="8" a="1"/>
  <c r="L128" i="8" a="1"/>
  <c r="L98" i="8" a="1"/>
  <c r="L109" i="8" a="1"/>
  <c r="M32" i="359" a="1"/>
  <c r="N32" i="359" a="1"/>
  <c r="S32" i="359" a="1"/>
  <c r="Y32" i="359" a="1"/>
  <c r="Z32" i="359" a="1"/>
  <c r="E32" i="359" a="1"/>
  <c r="H32" i="359" a="1"/>
  <c r="L104" i="8" a="1"/>
  <c r="L79" i="8" a="1"/>
  <c r="L100" i="8" a="1"/>
  <c r="L108" i="8" a="1"/>
  <c r="L77" i="8" a="1"/>
  <c r="L107" i="8" a="1"/>
  <c r="L97" i="8" a="1"/>
  <c r="L80" i="8" a="1"/>
  <c r="L49" i="8" a="1"/>
  <c r="J32" i="359" a="1"/>
  <c r="Q32" i="359" a="1"/>
  <c r="W32" i="359" a="1"/>
  <c r="AA32" i="359" a="1"/>
  <c r="X32" i="359" a="1"/>
  <c r="D32" i="359" a="1"/>
  <c r="I32" i="359" a="1"/>
  <c r="CL231" i="15" a="1"/>
  <c r="L105" i="8" a="1"/>
  <c r="L67" i="8" a="1"/>
  <c r="L127" i="8" a="1"/>
  <c r="L89" i="8" a="1"/>
  <c r="L90" i="8" a="1"/>
  <c r="L48" i="8" a="1"/>
  <c r="L47" i="8" a="1"/>
  <c r="L59" i="8" a="1"/>
  <c r="L57" i="8" a="1"/>
  <c r="K32" i="359" a="1"/>
  <c r="P32" i="359" a="1"/>
  <c r="T32" i="359" a="1"/>
  <c r="V32" i="359" a="1"/>
  <c r="AC32" i="359" a="1"/>
  <c r="B32" i="359" a="1"/>
  <c r="F32" i="359" a="1"/>
  <c r="L49" i="8" l="1"/>
  <c r="L109" i="8"/>
  <c r="L60" i="8"/>
  <c r="L57" i="8"/>
  <c r="L80" i="8"/>
  <c r="L98" i="8"/>
  <c r="L99" i="8"/>
  <c r="L59" i="8"/>
  <c r="L97" i="8"/>
  <c r="L128" i="8"/>
  <c r="L70" i="8"/>
  <c r="L47" i="8"/>
  <c r="L107" i="8"/>
  <c r="L129" i="8"/>
  <c r="L78" i="8"/>
  <c r="L48" i="8"/>
  <c r="L77" i="8"/>
  <c r="L110" i="8"/>
  <c r="L68" i="8"/>
  <c r="L90" i="8"/>
  <c r="L108" i="8"/>
  <c r="L88" i="8"/>
  <c r="L87" i="8"/>
  <c r="L89" i="8"/>
  <c r="L100" i="8"/>
  <c r="L69" i="8"/>
  <c r="L58" i="8"/>
  <c r="L127" i="8"/>
  <c r="L79" i="8"/>
  <c r="L46" i="8"/>
  <c r="L130" i="8"/>
  <c r="L67" i="8"/>
  <c r="L104" i="8"/>
  <c r="L103" i="8"/>
  <c r="L106" i="8"/>
  <c r="L105" i="8"/>
  <c r="K118" i="8"/>
  <c r="K120" i="8"/>
  <c r="K117" i="8"/>
  <c r="X32" i="359"/>
  <c r="Z32" i="359"/>
  <c r="AB32" i="359"/>
  <c r="AC32" i="359"/>
  <c r="AA32" i="359"/>
  <c r="Y32" i="359"/>
  <c r="U32" i="359"/>
  <c r="V32" i="359"/>
  <c r="W32" i="359"/>
  <c r="S32" i="359"/>
  <c r="R32" i="359"/>
  <c r="T32" i="359"/>
  <c r="Q32" i="359"/>
  <c r="N32" i="359"/>
  <c r="O32" i="359"/>
  <c r="P32" i="359"/>
  <c r="J32" i="359"/>
  <c r="M32" i="359"/>
  <c r="L32" i="359"/>
  <c r="K32" i="359"/>
  <c r="I32" i="359"/>
  <c r="H32" i="359"/>
  <c r="G32" i="359"/>
  <c r="F32" i="359"/>
  <c r="D32" i="359"/>
  <c r="E32" i="359"/>
  <c r="C32" i="359"/>
  <c r="B32" i="359"/>
  <c r="A33" i="359"/>
  <c r="CL231" i="15"/>
  <c r="CM164" i="15"/>
  <c r="B53" i="15"/>
  <c r="M39" i="8"/>
  <c r="M105" i="8" a="1"/>
  <c r="M79" i="8" a="1"/>
  <c r="M130" i="8" a="1"/>
  <c r="M100" i="8" a="1"/>
  <c r="M77" i="8" a="1"/>
  <c r="M67" i="8" a="1"/>
  <c r="M97" i="8" a="1"/>
  <c r="M128" i="8" a="1"/>
  <c r="M60" i="8" a="1"/>
  <c r="L33" i="359" a="1"/>
  <c r="O33" i="359" a="1"/>
  <c r="R33" i="359" a="1"/>
  <c r="U33" i="359" a="1"/>
  <c r="Y33" i="359" a="1"/>
  <c r="B33" i="359" a="1"/>
  <c r="M106" i="8" a="1"/>
  <c r="M46" i="8" a="1"/>
  <c r="M89" i="8" a="1"/>
  <c r="M68" i="8" a="1"/>
  <c r="M58" i="8" a="1"/>
  <c r="M78" i="8" a="1"/>
  <c r="M48" i="8" a="1"/>
  <c r="M70" i="8" a="1"/>
  <c r="M57" i="8" a="1"/>
  <c r="M33" i="359" a="1"/>
  <c r="P33" i="359" a="1"/>
  <c r="Q33" i="359" a="1"/>
  <c r="V33" i="359" a="1"/>
  <c r="AA33" i="359" a="1"/>
  <c r="C33" i="359" a="1"/>
  <c r="G33" i="359" a="1"/>
  <c r="M103" i="8" a="1"/>
  <c r="M87" i="8" a="1"/>
  <c r="M99" i="8" a="1"/>
  <c r="M127" i="8" a="1"/>
  <c r="M69" i="8" a="1"/>
  <c r="M80" i="8" a="1"/>
  <c r="M59" i="8" a="1"/>
  <c r="M107" i="8" a="1"/>
  <c r="M49" i="8" a="1"/>
  <c r="K33" i="359" a="1"/>
  <c r="N33" i="359" a="1"/>
  <c r="S33" i="359" a="1"/>
  <c r="AC33" i="359" a="1"/>
  <c r="AB33" i="359" a="1"/>
  <c r="E33" i="359" a="1"/>
  <c r="H33" i="359" a="1"/>
  <c r="CM231" i="15" a="1"/>
  <c r="M104" i="8" a="1"/>
  <c r="M108" i="8" a="1"/>
  <c r="M88" i="8" a="1"/>
  <c r="M110" i="8" a="1"/>
  <c r="M90" i="8" a="1"/>
  <c r="M47" i="8" a="1"/>
  <c r="M129" i="8" a="1"/>
  <c r="M98" i="8" a="1"/>
  <c r="M109" i="8" a="1"/>
  <c r="J33" i="359" a="1"/>
  <c r="T33" i="359" a="1"/>
  <c r="W33" i="359" a="1"/>
  <c r="Z33" i="359" a="1"/>
  <c r="X33" i="359" a="1"/>
  <c r="D33" i="359" a="1"/>
  <c r="I33" i="359" a="1"/>
  <c r="F33" i="359" a="1"/>
  <c r="L117" i="8" l="1"/>
  <c r="L119" i="8"/>
  <c r="M109" i="8"/>
  <c r="M49" i="8"/>
  <c r="M57" i="8"/>
  <c r="M60" i="8"/>
  <c r="M98" i="8"/>
  <c r="M107" i="8"/>
  <c r="M70" i="8"/>
  <c r="M128" i="8"/>
  <c r="M129" i="8"/>
  <c r="M59" i="8"/>
  <c r="M48" i="8"/>
  <c r="M97" i="8"/>
  <c r="M47" i="8"/>
  <c r="M80" i="8"/>
  <c r="M78" i="8"/>
  <c r="M67" i="8"/>
  <c r="M90" i="8"/>
  <c r="M69" i="8"/>
  <c r="M58" i="8"/>
  <c r="M77" i="8"/>
  <c r="M117" i="8" s="1"/>
  <c r="M110" i="8"/>
  <c r="M127" i="8"/>
  <c r="M68" i="8"/>
  <c r="M100" i="8"/>
  <c r="M88" i="8"/>
  <c r="M99" i="8"/>
  <c r="M89" i="8"/>
  <c r="M130" i="8"/>
  <c r="M108" i="8"/>
  <c r="M87" i="8"/>
  <c r="M46" i="8"/>
  <c r="M79" i="8"/>
  <c r="M104" i="8"/>
  <c r="M103" i="8"/>
  <c r="M106" i="8"/>
  <c r="M105" i="8"/>
  <c r="L120" i="8"/>
  <c r="L118" i="8"/>
  <c r="X33" i="359"/>
  <c r="AB33" i="359"/>
  <c r="AA33" i="359"/>
  <c r="Y33" i="359"/>
  <c r="Z33" i="359"/>
  <c r="AC33" i="359"/>
  <c r="V33" i="359"/>
  <c r="U33" i="359"/>
  <c r="W33" i="359"/>
  <c r="S33" i="359"/>
  <c r="Q33" i="359"/>
  <c r="R33" i="359"/>
  <c r="T33" i="359"/>
  <c r="N33" i="359"/>
  <c r="P33" i="359"/>
  <c r="O33" i="359"/>
  <c r="J33" i="359"/>
  <c r="K33" i="359"/>
  <c r="M33" i="359"/>
  <c r="L33" i="359"/>
  <c r="I33" i="359"/>
  <c r="H33" i="359"/>
  <c r="G33" i="359"/>
  <c r="F33" i="359"/>
  <c r="D33" i="359"/>
  <c r="E33" i="359"/>
  <c r="C33" i="359"/>
  <c r="B33" i="359"/>
  <c r="A34" i="359"/>
  <c r="CM231" i="15"/>
  <c r="CN164" i="15"/>
  <c r="B54" i="15"/>
  <c r="N39" i="8"/>
  <c r="N104" i="8" a="1"/>
  <c r="N88" i="8" a="1"/>
  <c r="N127" i="8" a="1"/>
  <c r="N68" i="8" a="1"/>
  <c r="N100" i="8" a="1"/>
  <c r="N47" i="8" a="1"/>
  <c r="N59" i="8" a="1"/>
  <c r="N97" i="8" a="1"/>
  <c r="N49" i="8" a="1"/>
  <c r="K34" i="359" a="1"/>
  <c r="S34" i="359" a="1"/>
  <c r="W34" i="359" a="1"/>
  <c r="AB34" i="359" a="1"/>
  <c r="X34" i="359" a="1"/>
  <c r="D34" i="359" a="1"/>
  <c r="N105" i="8" a="1"/>
  <c r="N79" i="8" a="1"/>
  <c r="N108" i="8" a="1"/>
  <c r="N69" i="8" a="1"/>
  <c r="N110" i="8" a="1"/>
  <c r="N78" i="8" a="1"/>
  <c r="N70" i="8" a="1"/>
  <c r="N129" i="8" a="1"/>
  <c r="N48" i="8" a="1"/>
  <c r="M34" i="359" a="1"/>
  <c r="P34" i="359" a="1"/>
  <c r="Q34" i="359" a="1"/>
  <c r="V34" i="359" a="1"/>
  <c r="Y34" i="359" a="1"/>
  <c r="B34" i="359" a="1"/>
  <c r="F34" i="359" a="1"/>
  <c r="E34" i="359" a="1"/>
  <c r="N106" i="8" a="1"/>
  <c r="N46" i="8" a="1"/>
  <c r="N90" i="8" a="1"/>
  <c r="N67" i="8" a="1"/>
  <c r="N130" i="8" a="1"/>
  <c r="N107" i="8" a="1"/>
  <c r="N57" i="8" a="1"/>
  <c r="N98" i="8" a="1"/>
  <c r="N109" i="8" a="1"/>
  <c r="J34" i="359" a="1"/>
  <c r="O34" i="359" a="1"/>
  <c r="T34" i="359" a="1"/>
  <c r="U34" i="359" a="1"/>
  <c r="Z34" i="359" a="1"/>
  <c r="C34" i="359" a="1"/>
  <c r="G34" i="359" a="1"/>
  <c r="H34" i="359" a="1"/>
  <c r="N103" i="8" a="1"/>
  <c r="N87" i="8" a="1"/>
  <c r="N99" i="8" a="1"/>
  <c r="N89" i="8" a="1"/>
  <c r="N58" i="8" a="1"/>
  <c r="N77" i="8" a="1"/>
  <c r="N60" i="8" a="1"/>
  <c r="N128" i="8" a="1"/>
  <c r="N80" i="8" a="1"/>
  <c r="L34" i="359" a="1"/>
  <c r="N34" i="359" a="1"/>
  <c r="R34" i="359" a="1"/>
  <c r="AC34" i="359" a="1"/>
  <c r="AA34" i="359" a="1"/>
  <c r="I34" i="359" a="1"/>
  <c r="M119" i="8" l="1"/>
  <c r="N49" i="8"/>
  <c r="N80" i="8"/>
  <c r="N109" i="8"/>
  <c r="N48" i="8"/>
  <c r="N97" i="8"/>
  <c r="N128" i="8"/>
  <c r="N98" i="8"/>
  <c r="N129" i="8"/>
  <c r="N59" i="8"/>
  <c r="N60" i="8"/>
  <c r="N57" i="8"/>
  <c r="N70" i="8"/>
  <c r="N47" i="8"/>
  <c r="N77" i="8"/>
  <c r="N107" i="8"/>
  <c r="N78" i="8"/>
  <c r="N100" i="8"/>
  <c r="N58" i="8"/>
  <c r="N130" i="8"/>
  <c r="N110" i="8"/>
  <c r="N68" i="8"/>
  <c r="N89" i="8"/>
  <c r="N67" i="8"/>
  <c r="N69" i="8"/>
  <c r="N127" i="8"/>
  <c r="N99" i="8"/>
  <c r="N90" i="8"/>
  <c r="N108" i="8"/>
  <c r="N88" i="8"/>
  <c r="N87" i="8"/>
  <c r="N46" i="8"/>
  <c r="N79" i="8"/>
  <c r="N119" i="8" s="1"/>
  <c r="N104" i="8"/>
  <c r="N103" i="8"/>
  <c r="N106" i="8"/>
  <c r="N105" i="8"/>
  <c r="M118" i="8"/>
  <c r="M120" i="8"/>
  <c r="X34" i="359"/>
  <c r="AA34" i="359"/>
  <c r="Z34" i="359"/>
  <c r="Y34" i="359"/>
  <c r="AB34" i="359"/>
  <c r="AC34" i="359"/>
  <c r="U34" i="359"/>
  <c r="V34" i="359"/>
  <c r="W34" i="359"/>
  <c r="R34" i="359"/>
  <c r="T34" i="359"/>
  <c r="Q34" i="359"/>
  <c r="S34" i="359"/>
  <c r="N34" i="359"/>
  <c r="O34" i="359"/>
  <c r="P34" i="359"/>
  <c r="K34" i="359"/>
  <c r="L34" i="359"/>
  <c r="J34" i="359"/>
  <c r="M34" i="359"/>
  <c r="I34" i="359"/>
  <c r="H34" i="359"/>
  <c r="G34" i="359"/>
  <c r="F34" i="359"/>
  <c r="D34" i="359"/>
  <c r="E34" i="359"/>
  <c r="C34" i="359"/>
  <c r="B34" i="359"/>
  <c r="A35" i="359"/>
  <c r="CO164" i="15"/>
  <c r="B55" i="15"/>
  <c r="O39" i="8"/>
  <c r="N118" i="8" l="1"/>
  <c r="N117" i="8"/>
  <c r="N120" i="8"/>
  <c r="A36" i="359"/>
  <c r="CP164" i="15"/>
  <c r="B56" i="15"/>
  <c r="P39" i="8"/>
  <c r="O106" i="8" a="1"/>
  <c r="O69" i="8" a="1"/>
  <c r="O88" i="8" a="1"/>
  <c r="O79" i="8" a="1"/>
  <c r="O127" i="8" a="1"/>
  <c r="O47" i="8" a="1"/>
  <c r="O129" i="8" a="1"/>
  <c r="O70" i="8" a="1"/>
  <c r="O49" i="8" a="1"/>
  <c r="L35" i="359" a="1"/>
  <c r="O35" i="359" a="1"/>
  <c r="R35" i="359" a="1"/>
  <c r="U35" i="359" a="1"/>
  <c r="Z35" i="359" a="1"/>
  <c r="C35" i="359" a="1"/>
  <c r="G35" i="359" a="1"/>
  <c r="BE224" i="15" a="1"/>
  <c r="T221" i="15" a="1"/>
  <c r="AP166" i="15" a="1"/>
  <c r="BO183" i="15" a="1"/>
  <c r="H188" i="15" a="1"/>
  <c r="AB167" i="15" a="1"/>
  <c r="BG176" i="15" a="1"/>
  <c r="BA202" i="15" a="1"/>
  <c r="H207" i="15" a="1"/>
  <c r="AO210" i="15" a="1"/>
  <c r="CC190" i="15" a="1"/>
  <c r="AU168" i="15" a="1"/>
  <c r="CK172" i="15" a="1"/>
  <c r="AO172" i="15" a="1"/>
  <c r="J179" i="15" a="1"/>
  <c r="BD209" i="15" a="1"/>
  <c r="BL223" i="15" a="1"/>
  <c r="H178" i="15" a="1"/>
  <c r="CF191" i="15" a="1"/>
  <c r="BS207" i="15" a="1"/>
  <c r="BK181" i="15" a="1"/>
  <c r="P183" i="15" a="1"/>
  <c r="AT172" i="15" a="1"/>
  <c r="W179" i="15" a="1"/>
  <c r="CF216" i="15" a="1"/>
  <c r="CF171" i="15" a="1"/>
  <c r="CF219" i="15" a="1"/>
  <c r="N206" i="15" a="1"/>
  <c r="BQ210" i="15" a="1"/>
  <c r="AO207" i="15" a="1"/>
  <c r="BI207" i="15" a="1"/>
  <c r="BP209" i="15" a="1"/>
  <c r="BM206" i="15" a="1"/>
  <c r="AF198" i="15" a="1"/>
  <c r="E224" i="15" a="1"/>
  <c r="BA183" i="15" a="1"/>
  <c r="L184" i="15" a="1"/>
  <c r="N218" i="15" a="1"/>
  <c r="C46" i="15" a="1"/>
  <c r="AI196" i="15" a="1"/>
  <c r="AS199" i="15" a="1"/>
  <c r="BD174" i="15" a="1"/>
  <c r="Q167" i="15" a="1"/>
  <c r="BA167" i="15" a="1"/>
  <c r="AI199" i="15" a="1"/>
  <c r="X211" i="15" a="1"/>
  <c r="BI208" i="15" a="1"/>
  <c r="AK190" i="15" a="1"/>
  <c r="BA208" i="15" a="1"/>
  <c r="AD176" i="15" a="1"/>
  <c r="L177" i="15" a="1"/>
  <c r="E200" i="15" a="1"/>
  <c r="BV187" i="15" a="1"/>
  <c r="CL201" i="15" a="1"/>
  <c r="AT187" i="15" a="1"/>
  <c r="AF206" i="15" a="1"/>
  <c r="N187" i="15" a="1"/>
  <c r="CE194" i="15" a="1"/>
  <c r="BU204" i="15" a="1"/>
  <c r="AC194" i="15" a="1"/>
  <c r="CH218" i="15" a="1"/>
  <c r="E225" i="15" a="1"/>
  <c r="AZ177" i="15" a="1"/>
  <c r="AB208" i="15" a="1"/>
  <c r="R172" i="15" a="1"/>
  <c r="CJ170" i="15" a="1"/>
  <c r="BB188" i="15" a="1"/>
  <c r="BS213" i="15" a="1"/>
  <c r="BN200" i="15" a="1"/>
  <c r="AX217" i="15" a="1"/>
  <c r="BK221" i="15" a="1"/>
  <c r="K186" i="15" a="1"/>
  <c r="AG214" i="15" a="1"/>
  <c r="P176" i="15" a="1"/>
  <c r="CK181" i="15" a="1"/>
  <c r="AQ211" i="15" a="1"/>
  <c r="AF222" i="15" a="1"/>
  <c r="BJ177" i="15" a="1"/>
  <c r="BB204" i="15" a="1"/>
  <c r="AC192" i="15" a="1"/>
  <c r="U179" i="15" a="1"/>
  <c r="AP174" i="15" a="1"/>
  <c r="AJ207" i="15" a="1"/>
  <c r="AU205" i="15" a="1"/>
  <c r="AD202" i="15" a="1"/>
  <c r="BJ219" i="15" a="1"/>
  <c r="AU222" i="15" a="1"/>
  <c r="H223" i="15" a="1"/>
  <c r="BF176" i="15" a="1"/>
  <c r="Z211" i="15" a="1"/>
  <c r="AO170" i="15" a="1"/>
  <c r="R182" i="15" a="1"/>
  <c r="AL209" i="15" a="1"/>
  <c r="AH220" i="15" a="1"/>
  <c r="H183" i="15" a="1"/>
  <c r="BI217" i="15" a="1"/>
  <c r="BE210" i="15" a="1"/>
  <c r="CH203" i="15" a="1"/>
  <c r="AV182" i="15" a="1"/>
  <c r="P217" i="15" a="1"/>
  <c r="AQ213" i="15" a="1"/>
  <c r="AD173" i="15" a="1"/>
  <c r="BL184" i="15" a="1"/>
  <c r="L179" i="15" a="1"/>
  <c r="O210" i="15" a="1"/>
  <c r="BT199" i="15" a="1"/>
  <c r="AR222" i="15" a="1"/>
  <c r="R206" i="15" a="1"/>
  <c r="AW167" i="15" a="1"/>
  <c r="CF165" i="15" a="1"/>
  <c r="BF177" i="15" a="1"/>
  <c r="J182" i="15" a="1"/>
  <c r="BB205" i="15" a="1"/>
  <c r="BL196" i="15" a="1"/>
  <c r="AV186" i="15" a="1"/>
  <c r="BV176" i="15" a="1"/>
  <c r="Z218" i="15" a="1"/>
  <c r="BL183" i="15" a="1"/>
  <c r="P211" i="15" a="1"/>
  <c r="AH167" i="15" a="1"/>
  <c r="BL172" i="15" a="1"/>
  <c r="I211" i="15" a="1"/>
  <c r="N170" i="15" a="1"/>
  <c r="BD180" i="15" a="1"/>
  <c r="BT214" i="15" a="1"/>
  <c r="BB184" i="15" a="1"/>
  <c r="AY180" i="15" a="1"/>
  <c r="CD192" i="15" a="1"/>
  <c r="V172" i="15" a="1"/>
  <c r="CM198" i="15" a="1"/>
  <c r="K203" i="15" a="1"/>
  <c r="I178" i="15" a="1"/>
  <c r="E211" i="15" a="1"/>
  <c r="AO206" i="15" a="1"/>
  <c r="G221" i="15" a="1"/>
  <c r="AG183" i="15" a="1"/>
  <c r="L194" i="15" a="1"/>
  <c r="BL179" i="15" a="1"/>
  <c r="BJ166" i="15" a="1"/>
  <c r="AE199" i="15" a="1"/>
  <c r="AG195" i="15" a="1"/>
  <c r="M205" i="15" a="1"/>
  <c r="BH185" i="15" a="1"/>
  <c r="BF170" i="15" a="1"/>
  <c r="BD166" i="15" a="1"/>
  <c r="N196" i="15" a="1"/>
  <c r="BF206" i="15" a="1"/>
  <c r="CI225" i="15" a="1"/>
  <c r="F189" i="15" a="1"/>
  <c r="G202" i="15" a="1"/>
  <c r="AM178" i="15" a="1"/>
  <c r="BF215" i="15" a="1"/>
  <c r="Y224" i="15" a="1"/>
  <c r="AL206" i="15" a="1"/>
  <c r="AP175" i="15" a="1"/>
  <c r="BL211" i="15" a="1"/>
  <c r="N215" i="15" a="1"/>
  <c r="CI211" i="15" a="1"/>
  <c r="AT178" i="15" a="1"/>
  <c r="X198" i="15" a="1"/>
  <c r="L197" i="15" a="1"/>
  <c r="V187" i="15" a="1"/>
  <c r="U189" i="15" a="1"/>
  <c r="CC207" i="15" a="1"/>
  <c r="L204" i="15" a="1"/>
  <c r="BI174" i="15" a="1"/>
  <c r="AT171" i="15" a="1"/>
  <c r="F202" i="15" a="1"/>
  <c r="P223" i="15" a="1"/>
  <c r="AU219" i="15" a="1"/>
  <c r="P193" i="15" a="1"/>
  <c r="H165" i="15" a="1"/>
  <c r="CG219" i="15" a="1"/>
  <c r="BL200" i="15" a="1"/>
  <c r="CL197" i="15" a="1"/>
  <c r="BV182" i="15" a="1"/>
  <c r="BJ165" i="15" a="1"/>
  <c r="BV195" i="15" a="1"/>
  <c r="R194" i="15" a="1"/>
  <c r="BJ197" i="15" a="1"/>
  <c r="BC172" i="15" a="1"/>
  <c r="BK214" i="15" a="1"/>
  <c r="BS224" i="15" a="1"/>
  <c r="BH173" i="15" a="1"/>
  <c r="BJ222" i="15" a="1"/>
  <c r="Q165" i="15" a="1"/>
  <c r="AR181" i="15" a="1"/>
  <c r="CH198" i="15" a="1"/>
  <c r="AN167" i="15" a="1"/>
  <c r="BC197" i="15" a="1"/>
  <c r="AG167" i="15" a="1"/>
  <c r="BB169" i="15" a="1"/>
  <c r="W198" i="15" a="1"/>
  <c r="H191" i="15" a="1"/>
  <c r="L166" i="15" a="1"/>
  <c r="AL220" i="15" a="1"/>
  <c r="AM224" i="15" a="1"/>
  <c r="BE196" i="15" a="1"/>
  <c r="AY207" i="15" a="1"/>
  <c r="F211" i="15" a="1"/>
  <c r="BU174" i="15" a="1"/>
  <c r="BS165" i="15" a="1"/>
  <c r="C218" i="15" a="1"/>
  <c r="E199" i="15" a="1"/>
  <c r="BR182" i="15" a="1"/>
  <c r="BF186" i="15" a="1"/>
  <c r="BG214" i="15" a="1"/>
  <c r="AL181" i="15" a="1"/>
  <c r="AJ183" i="15" a="1"/>
  <c r="H198" i="15" a="1"/>
  <c r="BN185" i="15" a="1"/>
  <c r="AD213" i="15" a="1"/>
  <c r="AQ210" i="15" a="1"/>
  <c r="AU174" i="15" a="1"/>
  <c r="BN182" i="15" a="1"/>
  <c r="BE199" i="15" a="1"/>
  <c r="BH197" i="15" a="1"/>
  <c r="AH216" i="15" a="1"/>
  <c r="H209" i="15" a="1"/>
  <c r="X204" i="15" a="1"/>
  <c r="AU195" i="15" a="1"/>
  <c r="BB165" i="15" a="1"/>
  <c r="AB170" i="15" a="1"/>
  <c r="AI176" i="15" a="1"/>
  <c r="Z221" i="15" a="1"/>
  <c r="J204" i="15" a="1"/>
  <c r="J188" i="15" a="1"/>
  <c r="G189" i="15" a="1"/>
  <c r="BS205" i="15" a="1"/>
  <c r="AR214" i="15" a="1"/>
  <c r="AU206" i="15" a="1"/>
  <c r="O168" i="15" a="1"/>
  <c r="CJ202" i="15" a="1"/>
  <c r="AW191" i="15" a="1"/>
  <c r="CF210" i="15" a="1"/>
  <c r="BI199" i="15" a="1"/>
  <c r="BF214" i="15" a="1"/>
  <c r="Y215" i="15" a="1"/>
  <c r="P200" i="15" a="1"/>
  <c r="T188" i="15" a="1"/>
  <c r="V181" i="15" a="1"/>
  <c r="N178" i="15" a="1"/>
  <c r="CD182" i="15" a="1"/>
  <c r="CI205" i="15" a="1"/>
  <c r="H190" i="15" a="1"/>
  <c r="W174" i="15" a="1"/>
  <c r="E213" i="15" a="1"/>
  <c r="AU167" i="15" a="1"/>
  <c r="X202" i="15" a="1"/>
  <c r="AR172" i="15" a="1"/>
  <c r="AG182" i="15" a="1"/>
  <c r="AN185" i="15" a="1"/>
  <c r="CC167" i="15" a="1"/>
  <c r="N191" i="15" a="1"/>
  <c r="W167" i="15" a="1"/>
  <c r="AY194" i="15" a="1"/>
  <c r="AC175" i="15" a="1"/>
  <c r="AC185" i="15" a="1"/>
  <c r="AQ220" i="15" a="1"/>
  <c r="M215" i="15" a="1"/>
  <c r="E173" i="15" a="1"/>
  <c r="Q182" i="15" a="1"/>
  <c r="BI196" i="15" a="1"/>
  <c r="BG169" i="15" a="1"/>
  <c r="CF188" i="15" a="1"/>
  <c r="L181" i="15" a="1"/>
  <c r="CJ220" i="15" a="1"/>
  <c r="AB178" i="15" a="1"/>
  <c r="G203" i="15" a="1"/>
  <c r="CC194" i="15" a="1"/>
  <c r="Z175" i="15" a="1"/>
  <c r="BK166" i="15" a="1"/>
  <c r="AB196" i="15" a="1"/>
  <c r="T216" i="15" a="1"/>
  <c r="AZ224" i="15" a="1"/>
  <c r="BL181" i="15" a="1"/>
  <c r="Y173" i="15" a="1"/>
  <c r="CG208" i="15" a="1"/>
  <c r="AM207" i="15" a="1"/>
  <c r="CF197" i="15" a="1"/>
  <c r="AK194" i="15" a="1"/>
  <c r="AD168" i="15" a="1"/>
  <c r="I202" i="15" a="1"/>
  <c r="AF184" i="15" a="1"/>
  <c r="BM168" i="15" a="1"/>
  <c r="CD214" i="15" a="1"/>
  <c r="W194" i="15" a="1"/>
  <c r="AI167" i="15" a="1"/>
  <c r="AG180" i="15" a="1"/>
  <c r="BG207" i="15" a="1"/>
  <c r="O213" i="15" a="1"/>
  <c r="AX185" i="15" a="1"/>
  <c r="U172" i="15" a="1"/>
  <c r="AV197" i="15" a="1"/>
  <c r="Q209" i="15" a="1"/>
  <c r="BM195" i="15" a="1"/>
  <c r="O193" i="15" a="1"/>
  <c r="AL185" i="15" a="1"/>
  <c r="AZ185" i="15" a="1"/>
  <c r="BV199" i="15" a="1"/>
  <c r="BE215" i="15" a="1"/>
  <c r="K167" i="15" a="1"/>
  <c r="BC200" i="15" a="1"/>
  <c r="AU176" i="15" a="1"/>
  <c r="CL174" i="15" a="1"/>
  <c r="CE225" i="15" a="1"/>
  <c r="BK218" i="15" a="1"/>
  <c r="CG187" i="15" a="1"/>
  <c r="CH172" i="15" a="1"/>
  <c r="BT200" i="15" a="1"/>
  <c r="CL212" i="15" a="1"/>
  <c r="BB197" i="15" a="1"/>
  <c r="Q185" i="15" a="1"/>
  <c r="BH183" i="15" a="1"/>
  <c r="AY223" i="15" a="1"/>
  <c r="T212" i="15" a="1"/>
  <c r="BU175" i="15" a="1"/>
  <c r="CN209" i="15" a="1"/>
  <c r="CN216" i="15" a="1"/>
  <c r="CN182" i="15" a="1"/>
  <c r="CN179" i="15" a="1"/>
  <c r="BT216" i="15" a="1"/>
  <c r="BU178" i="15" a="1"/>
  <c r="CO231" i="15" a="1"/>
  <c r="CN183" i="15" a="1"/>
  <c r="BE180" i="15" a="1"/>
  <c r="AD204" i="15" a="1"/>
  <c r="V225" i="15" a="1"/>
  <c r="AB221" i="15" a="1"/>
  <c r="B43" i="8"/>
  <c r="AS188" i="15" a="1"/>
  <c r="Z206" i="15" a="1"/>
  <c r="BE192" i="15" a="1"/>
  <c r="CC220" i="15" a="1"/>
  <c r="AO196" i="15" a="1"/>
  <c r="B41" i="8"/>
  <c r="AJ197" i="15" a="1"/>
  <c r="CL207" i="15" a="1"/>
  <c r="AU180" i="15" a="1"/>
  <c r="BM208" i="15" a="1"/>
  <c r="F203" i="15" a="1"/>
  <c r="CG224" i="15" a="1"/>
  <c r="AS168" i="15" a="1"/>
  <c r="BJ209" i="15" a="1"/>
  <c r="BO192" i="15" a="1"/>
  <c r="CG167" i="15" a="1"/>
  <c r="BQ221" i="15" a="1"/>
  <c r="AZ213" i="15" a="1"/>
  <c r="AU166" i="15" a="1"/>
  <c r="AH180" i="15" a="1"/>
  <c r="L211" i="15" a="1"/>
  <c r="CI175" i="15" a="1"/>
  <c r="AJ182" i="15" a="1"/>
  <c r="BC214" i="15" a="1"/>
  <c r="CL214" i="15" a="1"/>
  <c r="BM217" i="15" a="1"/>
  <c r="BJ215" i="15" a="1"/>
  <c r="BT179" i="15" a="1"/>
  <c r="W193" i="15" a="1"/>
  <c r="C207" i="15" a="1"/>
  <c r="K224" i="15" a="1"/>
  <c r="N186" i="15" a="1"/>
  <c r="AA196" i="15" a="1"/>
  <c r="AA188" i="15" a="1"/>
  <c r="CG217" i="15" a="1"/>
  <c r="AD201" i="15" a="1"/>
  <c r="AI180" i="15" a="1"/>
  <c r="AR213" i="15" a="1"/>
  <c r="AY175" i="15" a="1"/>
  <c r="AE165" i="15" a="1"/>
  <c r="AH211" i="15" a="1"/>
  <c r="J207" i="15" a="1"/>
  <c r="AV178" i="15" a="1"/>
  <c r="AX198" i="15" a="1"/>
  <c r="AW173" i="15" a="1"/>
  <c r="T176" i="15" a="1"/>
  <c r="D44" i="15" a="1"/>
  <c r="AA225" i="15" a="1"/>
  <c r="AV179" i="15" a="1"/>
  <c r="M176" i="15" a="1"/>
  <c r="AI193" i="15" a="1"/>
  <c r="Y178" i="15" a="1"/>
  <c r="CH206" i="15" a="1"/>
  <c r="BQ199" i="15" a="1"/>
  <c r="I217" i="15" a="1"/>
  <c r="BG183" i="15" a="1"/>
  <c r="BT206" i="15" a="1"/>
  <c r="F212" i="15" a="1"/>
  <c r="BF201" i="15" a="1"/>
  <c r="BE220" i="15" a="1"/>
  <c r="BD203" i="15" a="1"/>
  <c r="U184" i="15" a="1"/>
  <c r="BG223" i="15" a="1"/>
  <c r="CF173" i="15" a="1"/>
  <c r="CF207" i="15" a="1"/>
  <c r="C174" i="15" a="1"/>
  <c r="AA176" i="15" a="1"/>
  <c r="BT204" i="15" a="1"/>
  <c r="AY209" i="15" a="1"/>
  <c r="Y213" i="15" a="1"/>
  <c r="AP186" i="15" a="1"/>
  <c r="O165" i="15" a="1"/>
  <c r="AX200" i="15" a="1"/>
  <c r="BC208" i="15" a="1"/>
  <c r="BN180" i="15" a="1"/>
  <c r="AC205" i="15" a="1"/>
  <c r="Z208" i="15" a="1"/>
  <c r="BK207" i="15" a="1"/>
  <c r="AM221" i="15" a="1"/>
  <c r="AG210" i="15" a="1"/>
  <c r="Q211" i="15" a="1"/>
  <c r="AR200" i="15" a="1"/>
  <c r="CK195" i="15" a="1"/>
  <c r="BV197" i="15" a="1"/>
  <c r="CD171" i="15" a="1"/>
  <c r="BM186" i="15" a="1"/>
  <c r="BO185" i="15" a="1"/>
  <c r="AL193" i="15" a="1"/>
  <c r="U166" i="15" a="1"/>
  <c r="M216" i="15" a="1"/>
  <c r="F200" i="15" a="1"/>
  <c r="BT181" i="15" a="1"/>
  <c r="CM195" i="15" a="1"/>
  <c r="L171" i="15" a="1"/>
  <c r="BH182" i="15" a="1"/>
  <c r="CI219" i="15" a="1"/>
  <c r="AB199" i="15" a="1"/>
  <c r="AA207" i="15" a="1"/>
  <c r="CE219" i="15" a="1"/>
  <c r="BD208" i="15" a="1"/>
  <c r="Q189" i="15" a="1"/>
  <c r="BS181" i="15" a="1"/>
  <c r="CJ222" i="15" a="1"/>
  <c r="BV212" i="15" a="1"/>
  <c r="BR208" i="15" a="1"/>
  <c r="BN213" i="15" a="1"/>
  <c r="AB201" i="15" a="1"/>
  <c r="BF178" i="15" a="1"/>
  <c r="AN197" i="15" a="1"/>
  <c r="CI199" i="15" a="1"/>
  <c r="Q217" i="15" a="1"/>
  <c r="AB212" i="15" a="1"/>
  <c r="AY169" i="15" a="1"/>
  <c r="AG218" i="15" a="1"/>
  <c r="BA176" i="15" a="1"/>
  <c r="BE207" i="15" a="1"/>
  <c r="O205" i="15" a="1"/>
  <c r="R209" i="15" a="1"/>
  <c r="J178" i="15" a="1"/>
  <c r="AR207" i="15" a="1"/>
  <c r="BQ219" i="15" a="1"/>
  <c r="E220" i="15" a="1"/>
  <c r="I203" i="15" a="1"/>
  <c r="BB216" i="15" a="1"/>
  <c r="W166" i="15" a="1"/>
  <c r="BR220" i="15" a="1"/>
  <c r="M187" i="15" a="1"/>
  <c r="AN171" i="15" a="1"/>
  <c r="J202" i="15" a="1"/>
  <c r="S204" i="15" a="1"/>
  <c r="BU177" i="15" a="1"/>
  <c r="AX173" i="15" a="1"/>
  <c r="AK216" i="15" a="1"/>
  <c r="AS179" i="15" a="1"/>
  <c r="AM187" i="15" a="1"/>
  <c r="BV224" i="15" a="1"/>
  <c r="BK196" i="15" a="1"/>
  <c r="AF205" i="15" a="1"/>
  <c r="BJ203" i="15" a="1"/>
  <c r="BG178" i="15" a="1"/>
  <c r="CL200" i="15" a="1"/>
  <c r="AP194" i="15" a="1"/>
  <c r="AC169" i="15" a="1"/>
  <c r="BI205" i="15" a="1"/>
  <c r="AE194" i="15" a="1"/>
  <c r="AQ172" i="15" a="1"/>
  <c r="AZ166" i="15" a="1"/>
  <c r="E170" i="15" a="1"/>
  <c r="AA181" i="15" a="1"/>
  <c r="BF213" i="15" a="1"/>
  <c r="BV173" i="15" a="1"/>
  <c r="J216" i="15" a="1"/>
  <c r="CL196" i="15" a="1"/>
  <c r="BU172" i="15" a="1"/>
  <c r="BN186" i="15" a="1"/>
  <c r="CK191" i="15" a="1"/>
  <c r="BV184" i="15" a="1"/>
  <c r="R197" i="15" a="1"/>
  <c r="BR194" i="15" a="1"/>
  <c r="BI215" i="15" a="1"/>
  <c r="R213" i="15" a="1"/>
  <c r="AY173" i="15" a="1"/>
  <c r="AF177" i="15" a="1"/>
  <c r="BL199" i="15" a="1"/>
  <c r="I199" i="15" a="1"/>
  <c r="AV187" i="15" a="1"/>
  <c r="BH216" i="15" a="1"/>
  <c r="P189" i="15" a="1"/>
  <c r="BA200" i="15" a="1"/>
  <c r="F184" i="15" a="1"/>
  <c r="CK185" i="15" a="1"/>
  <c r="BA224" i="15" a="1"/>
  <c r="AN221" i="15" a="1"/>
  <c r="Z199" i="15" a="1"/>
  <c r="Z193" i="15" a="1"/>
  <c r="CI198" i="15" a="1"/>
  <c r="BO223" i="15" a="1"/>
  <c r="AR187" i="15" a="1"/>
  <c r="AJ177" i="15" a="1"/>
  <c r="P185" i="15" a="1"/>
  <c r="AK180" i="15" a="1"/>
  <c r="AB169" i="15" a="1"/>
  <c r="BN217" i="15" a="1"/>
  <c r="BO188" i="15" a="1"/>
  <c r="BG213" i="15" a="1"/>
  <c r="S197" i="15" a="1"/>
  <c r="AL218" i="15" a="1"/>
  <c r="I180" i="15" a="1"/>
  <c r="BU224" i="15" a="1"/>
  <c r="S181" i="15" a="1"/>
  <c r="BS174" i="15" a="1"/>
  <c r="AE202" i="15" a="1"/>
  <c r="BK213" i="15" a="1"/>
  <c r="W207" i="15" a="1"/>
  <c r="BR195" i="15" a="1"/>
  <c r="W197" i="15" a="1"/>
  <c r="Q169" i="15" a="1"/>
  <c r="BA171" i="15" a="1"/>
  <c r="AF168" i="15" a="1"/>
  <c r="J217" i="15" a="1"/>
  <c r="CH170" i="15" a="1"/>
  <c r="BT215" i="15" a="1"/>
  <c r="L207" i="15" a="1"/>
  <c r="BF180" i="15" a="1"/>
  <c r="CF225" i="15" a="1"/>
  <c r="AM225" i="15" a="1"/>
  <c r="H211" i="15" a="1"/>
  <c r="BT222" i="15" a="1"/>
  <c r="AQ186" i="15" a="1"/>
  <c r="AT200" i="15" a="1"/>
  <c r="I183" i="15" a="1"/>
  <c r="S188" i="15" a="1"/>
  <c r="AE221" i="15" a="1"/>
  <c r="AH201" i="15" a="1"/>
  <c r="BH204" i="15" a="1"/>
  <c r="AN182" i="15" a="1"/>
  <c r="BP175" i="15" a="1"/>
  <c r="AA174" i="15" a="1"/>
  <c r="CE208" i="15" a="1"/>
  <c r="AE184" i="15" a="1"/>
  <c r="K220" i="15" a="1"/>
  <c r="AY168" i="15" a="1"/>
  <c r="BR168" i="15" a="1"/>
  <c r="AL192" i="15" a="1"/>
  <c r="BF169" i="15" a="1"/>
  <c r="B96" i="8"/>
  <c r="BK225" i="15" a="1"/>
  <c r="AF211" i="15" a="1"/>
  <c r="V206" i="15" a="1"/>
  <c r="AA165" i="15" a="1"/>
  <c r="BI219" i="15" a="1"/>
  <c r="AW207" i="15" a="1"/>
  <c r="L172" i="15" a="1"/>
  <c r="BR206" i="15" a="1"/>
  <c r="K214" i="15" a="1"/>
  <c r="Z209" i="15" a="1"/>
  <c r="I205" i="15" a="1"/>
  <c r="C190" i="15" a="1"/>
  <c r="AW189" i="15" a="1"/>
  <c r="M167" i="15" a="1"/>
  <c r="BL206" i="15" a="1"/>
  <c r="C176" i="15" a="1"/>
  <c r="AN174" i="15" a="1"/>
  <c r="AJ205" i="15" a="1"/>
  <c r="AV165" i="15" a="1"/>
  <c r="AF165" i="15" a="1"/>
  <c r="AZ197" i="15" a="1"/>
  <c r="BO209" i="15" a="1"/>
  <c r="N171" i="15" a="1"/>
  <c r="O201" i="15" a="1"/>
  <c r="B62" i="8"/>
  <c r="Q184" i="15" a="1"/>
  <c r="BO199" i="15" a="1"/>
  <c r="AS167" i="15" a="1"/>
  <c r="AD218" i="15" a="1"/>
  <c r="AG225" i="15" a="1"/>
  <c r="O191" i="15" a="1"/>
  <c r="AD179" i="15" a="1"/>
  <c r="CG214" i="15" a="1"/>
  <c r="BA194" i="15" a="1"/>
  <c r="L201" i="15" a="1"/>
  <c r="BD221" i="15" a="1"/>
  <c r="AA223" i="15" a="1"/>
  <c r="BG206" i="15" a="1"/>
  <c r="AT194" i="15" a="1"/>
  <c r="BA182" i="15" a="1"/>
  <c r="AQ201" i="15" a="1"/>
  <c r="G222" i="15" a="1"/>
  <c r="CF212" i="15" a="1"/>
  <c r="AM195" i="15" a="1"/>
  <c r="CL208" i="15" a="1"/>
  <c r="BT171" i="15" a="1"/>
  <c r="CC183" i="15" a="1"/>
  <c r="AS180" i="15" a="1"/>
  <c r="F186" i="15" a="1"/>
  <c r="CE212" i="15" a="1"/>
  <c r="CI209" i="15" a="1"/>
  <c r="BM169" i="15" a="1"/>
  <c r="Q194" i="15" a="1"/>
  <c r="CL217" i="15" a="1"/>
  <c r="AN214" i="15" a="1"/>
  <c r="BA172" i="15" a="1"/>
  <c r="AH179" i="15" a="1"/>
  <c r="P191" i="15" a="1"/>
  <c r="M175" i="15" a="1"/>
  <c r="AS210" i="15" a="1"/>
  <c r="CJ187" i="15" a="1"/>
  <c r="W221" i="15" a="1"/>
  <c r="BJ206" i="15" a="1"/>
  <c r="BU197" i="15" a="1"/>
  <c r="CM216" i="15" a="1"/>
  <c r="AC219" i="15" a="1"/>
  <c r="H205" i="15" a="1"/>
  <c r="BD206" i="15" a="1"/>
  <c r="AY177" i="15" a="1"/>
  <c r="AL174" i="15" a="1"/>
  <c r="AR178" i="15" a="1"/>
  <c r="AG221" i="15" a="1"/>
  <c r="Z182" i="15" a="1"/>
  <c r="BK199" i="15" a="1"/>
  <c r="CK220" i="15" a="1"/>
  <c r="AU209" i="15" a="1"/>
  <c r="AC190" i="15" a="1"/>
  <c r="M184" i="15" a="1"/>
  <c r="AT208" i="15" a="1"/>
  <c r="BI202" i="15" a="1"/>
  <c r="Z194" i="15" a="1"/>
  <c r="BG210" i="15" a="1"/>
  <c r="F216" i="15" a="1"/>
  <c r="CN180" i="15" a="1"/>
  <c r="CN194" i="15" a="1"/>
  <c r="BN169" i="15" a="1"/>
  <c r="BJ179" i="15" a="1"/>
  <c r="CF198" i="15" a="1"/>
  <c r="BM188" i="15" a="1"/>
  <c r="O179" i="15" a="1"/>
  <c r="Z214" i="15" a="1"/>
  <c r="BD217" i="15" a="1"/>
  <c r="J181" i="15" a="1"/>
  <c r="AZ223" i="15" a="1"/>
  <c r="O199" i="15" a="1"/>
  <c r="E180" i="15" a="1"/>
  <c r="AR186" i="15" a="1"/>
  <c r="BT195" i="15" a="1"/>
  <c r="M213" i="15" a="1"/>
  <c r="E182" i="15" a="1"/>
  <c r="O218" i="15" a="1"/>
  <c r="AI221" i="15" a="1"/>
  <c r="BR214" i="15" a="1"/>
  <c r="CC200" i="15" a="1"/>
  <c r="AD171" i="15" a="1"/>
  <c r="BM218" i="15" a="1"/>
  <c r="AT201" i="15" a="1"/>
  <c r="I196" i="15" a="1"/>
  <c r="AQ166" i="15" a="1"/>
  <c r="CK173" i="15" a="1"/>
  <c r="F204" i="15" a="1"/>
  <c r="V218" i="15" a="1"/>
  <c r="AH205" i="15" a="1"/>
  <c r="CD169" i="15" a="1"/>
  <c r="BT188" i="15" a="1"/>
  <c r="AL216" i="15" a="1"/>
  <c r="N217" i="15" a="1"/>
  <c r="BO178" i="15" a="1"/>
  <c r="X212" i="15" a="1"/>
  <c r="BI214" i="15" a="1"/>
  <c r="CH178" i="15" a="1"/>
  <c r="B85" i="8"/>
  <c r="W214" i="15" a="1"/>
  <c r="AE204" i="15" a="1"/>
  <c r="AX220" i="15" a="1"/>
  <c r="BD182" i="15" a="1"/>
  <c r="M214" i="15" a="1"/>
  <c r="AU213" i="15" a="1"/>
  <c r="BI177" i="15" a="1"/>
  <c r="AV166" i="15" a="1"/>
  <c r="N200" i="15" a="1"/>
  <c r="AU217" i="15" a="1"/>
  <c r="BL215" i="15" a="1"/>
  <c r="CL173" i="15" a="1"/>
  <c r="BM203" i="15" a="1"/>
  <c r="CH223" i="15" a="1"/>
  <c r="BO193" i="15" a="1"/>
  <c r="AA205" i="15" a="1"/>
  <c r="M172" i="15" a="1"/>
  <c r="BD171" i="15" a="1"/>
  <c r="Z192" i="15" a="1"/>
  <c r="BR224" i="15" a="1"/>
  <c r="BO206" i="15" a="1"/>
  <c r="AV196" i="15" a="1"/>
  <c r="R217" i="15" a="1"/>
  <c r="BJ192" i="15" a="1"/>
  <c r="AI189" i="15" a="1"/>
  <c r="U220" i="15" a="1"/>
  <c r="AH223" i="15" a="1"/>
  <c r="AT182" i="15" a="1"/>
  <c r="BR189" i="15" a="1"/>
  <c r="BP187" i="15" a="1"/>
  <c r="G169" i="15" a="1"/>
  <c r="BD170" i="15" a="1"/>
  <c r="CK171" i="15" a="1"/>
  <c r="CD176" i="15" a="1"/>
  <c r="AJ217" i="15" a="1"/>
  <c r="X215" i="15" a="1"/>
  <c r="AH195" i="15" a="1"/>
  <c r="D45" i="15" a="1"/>
  <c r="BK223" i="15" a="1"/>
  <c r="T189" i="15" a="1"/>
  <c r="CH193" i="15" a="1"/>
  <c r="BV217" i="15" a="1"/>
  <c r="BC210" i="15" a="1"/>
  <c r="CK214" i="15" a="1"/>
  <c r="AZ192" i="15" a="1"/>
  <c r="BL165" i="15" a="1"/>
  <c r="AP196" i="15" a="1"/>
  <c r="CD180" i="15" a="1"/>
  <c r="BI186" i="15" a="1"/>
  <c r="U170" i="15" a="1"/>
  <c r="AS190" i="15" a="1"/>
  <c r="AF203" i="15" a="1"/>
  <c r="AY217" i="15" a="1"/>
  <c r="CK205" i="15" a="1"/>
  <c r="AI169" i="15" a="1"/>
  <c r="AA217" i="15" a="1"/>
  <c r="AI197" i="15" a="1"/>
  <c r="K215" i="15" a="1"/>
  <c r="BM178" i="15" a="1"/>
  <c r="C171" i="15" a="1"/>
  <c r="AS170" i="15" a="1"/>
  <c r="P199" i="15" a="1"/>
  <c r="AU173" i="15" a="1"/>
  <c r="Y209" i="15" a="1"/>
  <c r="BG222" i="15" a="1"/>
  <c r="AI224" i="15" a="1"/>
  <c r="L222" i="15" a="1"/>
  <c r="AQ222" i="15" a="1"/>
  <c r="BV190" i="15" a="1"/>
  <c r="BE223" i="15" a="1"/>
  <c r="BI216" i="15" a="1"/>
  <c r="AF220" i="15" a="1"/>
  <c r="AF217" i="15" a="1"/>
  <c r="BA179" i="15" a="1"/>
  <c r="G206" i="15" a="1"/>
  <c r="CJ216" i="15" a="1"/>
  <c r="P187" i="15" a="1"/>
  <c r="BC195" i="15" a="1"/>
  <c r="BC171" i="15" a="1"/>
  <c r="AN187" i="15" a="1"/>
  <c r="AT209" i="15" a="1"/>
  <c r="BS211" i="15" a="1"/>
  <c r="G173" i="15" a="1"/>
  <c r="BD213" i="15" a="1"/>
  <c r="V222" i="15" a="1"/>
  <c r="AE211" i="15" a="1"/>
  <c r="BK198" i="15" a="1"/>
  <c r="BE179" i="15" a="1"/>
  <c r="AA224" i="15" a="1"/>
  <c r="CG210" i="15" a="1"/>
  <c r="U168" i="15" a="1"/>
  <c r="K209" i="15" a="1"/>
  <c r="AF185" i="15" a="1"/>
  <c r="AF186" i="15" a="1"/>
  <c r="AI202" i="15" a="1"/>
  <c r="H189" i="15" a="1"/>
  <c r="BI184" i="15" a="1"/>
  <c r="CK187" i="15" a="1"/>
  <c r="T209" i="15" a="1"/>
  <c r="AK206" i="15" a="1"/>
  <c r="BP186" i="15" a="1"/>
  <c r="BM171" i="15" a="1"/>
  <c r="Z181" i="15" a="1"/>
  <c r="AU194" i="15" a="1"/>
  <c r="H187" i="15" a="1"/>
  <c r="T199" i="15" a="1"/>
  <c r="BC216" i="15" a="1"/>
  <c r="BD184" i="15" a="1"/>
  <c r="CJ219" i="15" a="1"/>
  <c r="BK203" i="15" a="1"/>
  <c r="AG165" i="15" a="1"/>
  <c r="AY189" i="15" a="1"/>
  <c r="AM198" i="15" a="1"/>
  <c r="AA182" i="15" a="1"/>
  <c r="CD167" i="15" a="1"/>
  <c r="AJ203" i="15" a="1"/>
  <c r="AP168" i="15" a="1"/>
  <c r="AP218" i="15" a="1"/>
  <c r="AZ173" i="15" a="1"/>
  <c r="AU216" i="15" a="1"/>
  <c r="AX193" i="15" a="1"/>
  <c r="E165" i="15" a="1"/>
  <c r="BA199" i="15" a="1"/>
  <c r="CG220" i="15" a="1"/>
  <c r="BK211" i="15" a="1"/>
  <c r="AR210" i="15" a="1"/>
  <c r="AH210" i="15" a="1"/>
  <c r="CM165" i="15" a="1"/>
  <c r="AS197" i="15" a="1"/>
  <c r="S203" i="15" a="1"/>
  <c r="C191" i="15" a="1"/>
  <c r="H215" i="15" a="1"/>
  <c r="BF171" i="15" a="1"/>
  <c r="AC188" i="15" a="1"/>
  <c r="C216" i="15" a="1"/>
  <c r="H200" i="15" a="1"/>
  <c r="P216" i="15" a="1"/>
  <c r="AA183" i="15" a="1"/>
  <c r="CG225" i="15" a="1"/>
  <c r="BP185" i="15" a="1"/>
  <c r="AS192" i="15" a="1"/>
  <c r="AG212" i="15" a="1"/>
  <c r="T183" i="15" a="1"/>
  <c r="J214" i="15" a="1"/>
  <c r="AA186" i="15" a="1"/>
  <c r="CI210" i="15" a="1"/>
  <c r="BH212" i="15" a="1"/>
  <c r="BG181" i="15" a="1"/>
  <c r="BV213" i="15" a="1"/>
  <c r="CK169" i="15" a="1"/>
  <c r="BP190" i="15" a="1"/>
  <c r="AB202" i="15" a="1"/>
  <c r="AJ216" i="15" a="1"/>
  <c r="D53" i="15" a="1"/>
  <c r="AD169" i="15" a="1"/>
  <c r="AP205" i="15" a="1"/>
  <c r="BK206" i="15" a="1"/>
  <c r="AW178" i="15" a="1"/>
  <c r="CI192" i="15" a="1"/>
  <c r="P188" i="15" a="1"/>
  <c r="AZ203" i="15" a="1"/>
  <c r="Y192" i="15" a="1"/>
  <c r="AL177" i="15" a="1"/>
  <c r="BG203" i="15" a="1"/>
  <c r="BD198" i="15" a="1"/>
  <c r="G195" i="15" a="1"/>
  <c r="AQ214" i="15" a="1"/>
  <c r="BU206" i="15" a="1"/>
  <c r="CM192" i="15" a="1"/>
  <c r="BD211" i="15" a="1"/>
  <c r="AP217" i="15" a="1"/>
  <c r="BB194" i="15" a="1"/>
  <c r="AG175" i="15" a="1"/>
  <c r="AJ180" i="15" a="1"/>
  <c r="AC196" i="15" a="1"/>
  <c r="S217" i="15" a="1"/>
  <c r="AG170" i="15" a="1"/>
  <c r="W205" i="15" a="1"/>
  <c r="AT204" i="15" a="1"/>
  <c r="BF190" i="15" a="1"/>
  <c r="AN223" i="15" a="1"/>
  <c r="Z166" i="15" a="1"/>
  <c r="BC169" i="15" a="1"/>
  <c r="CE171" i="15" a="1"/>
  <c r="CC222" i="15" a="1"/>
  <c r="BH184" i="15" a="1"/>
  <c r="AQ176" i="15" a="1"/>
  <c r="BT184" i="15" a="1"/>
  <c r="CC223" i="15" a="1"/>
  <c r="BH198" i="15" a="1"/>
  <c r="O198" i="15" a="1"/>
  <c r="BH213" i="15" a="1"/>
  <c r="H213" i="15" a="1"/>
  <c r="P215" i="15" a="1"/>
  <c r="P198" i="15" a="1"/>
  <c r="X192" i="15" a="1"/>
  <c r="Y195" i="15" a="1"/>
  <c r="M179" i="15" a="1"/>
  <c r="AI183" i="15" a="1"/>
  <c r="N188" i="15" a="1"/>
  <c r="V177" i="15" a="1"/>
  <c r="CI191" i="15" a="1"/>
  <c r="AZ198" i="15" a="1"/>
  <c r="C45" i="15" a="1"/>
  <c r="BM215" i="15" a="1"/>
  <c r="N168" i="15" a="1"/>
  <c r="BI195" i="15" a="1"/>
  <c r="BS209" i="15" a="1"/>
  <c r="U212" i="15" a="1"/>
  <c r="AP189" i="15" a="1"/>
  <c r="J221" i="15" a="1"/>
  <c r="AP177" i="15" a="1"/>
  <c r="R171" i="15" a="1"/>
  <c r="AC202" i="15" a="1"/>
  <c r="AG174" i="15" a="1"/>
  <c r="O176" i="15" a="1"/>
  <c r="AR183" i="15" a="1"/>
  <c r="AW212" i="15" a="1"/>
  <c r="G211" i="15" a="1"/>
  <c r="V214" i="15" a="1"/>
  <c r="M189" i="15" a="1"/>
  <c r="P182" i="15" a="1"/>
  <c r="V192" i="15" a="1"/>
  <c r="AJ186" i="15" a="1"/>
  <c r="CK194" i="15" a="1"/>
  <c r="AX201" i="15" a="1"/>
  <c r="AY213" i="15" a="1"/>
  <c r="BP181" i="15" a="1"/>
  <c r="AP211" i="15" a="1"/>
  <c r="CM167" i="15" a="1"/>
  <c r="AA216" i="15" a="1"/>
  <c r="AR212" i="15" a="1"/>
  <c r="Y205" i="15" a="1"/>
  <c r="CJ184" i="15" a="1"/>
  <c r="B126" i="8"/>
  <c r="S175" i="15" a="1"/>
  <c r="AM192" i="15" a="1"/>
  <c r="AS184" i="15" a="1"/>
  <c r="CJ213" i="15" a="1"/>
  <c r="CC187" i="15" a="1"/>
  <c r="AH188" i="15" a="1"/>
  <c r="CF200" i="15" a="1"/>
  <c r="W200" i="15" a="1"/>
  <c r="BT201" i="15" a="1"/>
  <c r="CF184" i="15" a="1"/>
  <c r="G197" i="15" a="1"/>
  <c r="T214" i="15" a="1"/>
  <c r="BP169" i="15" a="1"/>
  <c r="CG191" i="15" a="1"/>
  <c r="AX179" i="15" a="1"/>
  <c r="AH185" i="15" a="1"/>
  <c r="AT199" i="15" a="1"/>
  <c r="BR225" i="15" a="1"/>
  <c r="P209" i="15" a="1"/>
  <c r="R224" i="15" a="1"/>
  <c r="BA221" i="15" a="1"/>
  <c r="O214" i="15" a="1"/>
  <c r="X219" i="15" a="1"/>
  <c r="E166" i="15" a="1"/>
  <c r="AD182" i="15" a="1"/>
  <c r="CE169" i="15" a="1"/>
  <c r="BH167" i="15" a="1"/>
  <c r="CL206" i="15" a="1"/>
  <c r="BE217" i="15" a="1"/>
  <c r="BB177" i="15" a="1"/>
  <c r="BF181" i="15" a="1"/>
  <c r="AF179" i="15" a="1"/>
  <c r="AI191" i="15" a="1"/>
  <c r="BC193" i="15" a="1"/>
  <c r="AB176" i="15" a="1"/>
  <c r="AC207" i="15" a="1"/>
  <c r="F194" i="15" a="1"/>
  <c r="AU220" i="15" a="1"/>
  <c r="AK182" i="15" a="1"/>
  <c r="AP173" i="15" a="1"/>
  <c r="AR194" i="15" a="1"/>
  <c r="U201" i="15" a="1"/>
  <c r="I179" i="15" a="1"/>
  <c r="CK188" i="15" a="1"/>
  <c r="BV179" i="15" a="1"/>
  <c r="CN205" i="15" a="1"/>
  <c r="CN181" i="15" a="1"/>
  <c r="CN170" i="15" a="1"/>
  <c r="CN175" i="15" a="1"/>
  <c r="CD223" i="15" a="1"/>
  <c r="AL207" i="15" a="1"/>
  <c r="CN217" i="15" a="1"/>
  <c r="CN185" i="15" a="1"/>
  <c r="CN231" i="15" a="1"/>
  <c r="CI183" i="15" a="1"/>
  <c r="BC218" i="15" a="1"/>
  <c r="AD220" i="15" a="1"/>
  <c r="AA204" i="15" a="1"/>
  <c r="AO183" i="15" a="1"/>
  <c r="BA184" i="15" a="1"/>
  <c r="X214" i="15" a="1"/>
  <c r="AP188" i="15" a="1"/>
  <c r="BE200" i="15" a="1"/>
  <c r="AE187" i="15" a="1"/>
  <c r="CD197" i="15" a="1"/>
  <c r="P203" i="15" a="1"/>
  <c r="BF174" i="15" a="1"/>
  <c r="AF171" i="15" a="1"/>
  <c r="AZ167" i="15" a="1"/>
  <c r="AY215" i="15" a="1"/>
  <c r="AY195" i="15" a="1"/>
  <c r="AG209" i="15" a="1"/>
  <c r="BG212" i="15" a="1"/>
  <c r="F167" i="15" a="1"/>
  <c r="AS178" i="15" a="1"/>
  <c r="Y216" i="15" a="1"/>
  <c r="AF194" i="15" a="1"/>
  <c r="W213" i="15" a="1"/>
  <c r="AL180" i="15" a="1"/>
  <c r="O103" i="8" a="1"/>
  <c r="O67" i="8" a="1"/>
  <c r="O108" i="8" a="1"/>
  <c r="O87" i="8" a="1"/>
  <c r="O58" i="8" a="1"/>
  <c r="O48" i="8" a="1"/>
  <c r="O98" i="8" a="1"/>
  <c r="O107" i="8" a="1"/>
  <c r="O109" i="8" a="1"/>
  <c r="K35" i="359" a="1"/>
  <c r="N35" i="359" a="1"/>
  <c r="Q35" i="359" a="1"/>
  <c r="AB35" i="359" a="1"/>
  <c r="Y35" i="359" a="1"/>
  <c r="D35" i="359" a="1"/>
  <c r="H35" i="359" a="1"/>
  <c r="BP178" i="15" a="1"/>
  <c r="BT176" i="15" a="1"/>
  <c r="O187" i="15" a="1"/>
  <c r="CK213" i="15" a="1"/>
  <c r="BV177" i="15" a="1"/>
  <c r="AB185" i="15" a="1"/>
  <c r="Q186" i="15" a="1"/>
  <c r="V197" i="15" a="1"/>
  <c r="AJ184" i="15" a="1"/>
  <c r="W192" i="15" a="1"/>
  <c r="CC171" i="15" a="1"/>
  <c r="BF205" i="15" a="1"/>
  <c r="AP197" i="15" a="1"/>
  <c r="BN202" i="15" a="1"/>
  <c r="Z187" i="15" a="1"/>
  <c r="CG165" i="15" a="1"/>
  <c r="AY187" i="15" a="1"/>
  <c r="BQ191" i="15" a="1"/>
  <c r="E167" i="15" a="1"/>
  <c r="AF191" i="15" a="1"/>
  <c r="BU184" i="15" a="1"/>
  <c r="BK190" i="15" a="1"/>
  <c r="P202" i="15" a="1"/>
  <c r="C181" i="15" a="1"/>
  <c r="BH172" i="15" a="1"/>
  <c r="CJ167" i="15" a="1"/>
  <c r="H195" i="15" a="1"/>
  <c r="AT188" i="15" a="1"/>
  <c r="O197" i="15" a="1"/>
  <c r="AE215" i="15" a="1"/>
  <c r="CE174" i="15" a="1"/>
  <c r="CL216" i="15" a="1"/>
  <c r="CE177" i="15" a="1"/>
  <c r="BR185" i="15" a="1"/>
  <c r="CF181" i="15" a="1"/>
  <c r="CL165" i="15" a="1"/>
  <c r="W210" i="15" a="1"/>
  <c r="AE210" i="15" a="1"/>
  <c r="P167" i="15" a="1"/>
  <c r="CD217" i="15" a="1"/>
  <c r="L216" i="15" a="1"/>
  <c r="AI179" i="15" a="1"/>
  <c r="AJ179" i="15" a="1"/>
  <c r="Z204" i="15" a="1"/>
  <c r="BC167" i="15" a="1"/>
  <c r="BN224" i="15" a="1"/>
  <c r="CC177" i="15" a="1"/>
  <c r="R199" i="15" a="1"/>
  <c r="CC203" i="15" a="1"/>
  <c r="CE209" i="15" a="1"/>
  <c r="BG220" i="15" a="1"/>
  <c r="R203" i="15" a="1"/>
  <c r="N172" i="15" a="1"/>
  <c r="BA217" i="15" a="1"/>
  <c r="F208" i="15" a="1"/>
  <c r="AR189" i="15" a="1"/>
  <c r="AM203" i="15" a="1"/>
  <c r="H216" i="15" a="1"/>
  <c r="CF178" i="15" a="1"/>
  <c r="BA204" i="15" a="1"/>
  <c r="BE189" i="15" a="1"/>
  <c r="CK217" i="15" a="1"/>
  <c r="CF214" i="15" a="1"/>
  <c r="AA184" i="15" a="1"/>
  <c r="H220" i="15" a="1"/>
  <c r="G177" i="15" a="1"/>
  <c r="BV201" i="15" a="1"/>
  <c r="BC179" i="15" a="1"/>
  <c r="AD200" i="15" a="1"/>
  <c r="AY218" i="15" a="1"/>
  <c r="P196" i="15" a="1"/>
  <c r="AX225" i="15" a="1"/>
  <c r="C210" i="15" a="1"/>
  <c r="AH214" i="15" a="1"/>
  <c r="AE176" i="15" a="1"/>
  <c r="O196" i="15" a="1"/>
  <c r="CE203" i="15" a="1"/>
  <c r="BL192" i="15" a="1"/>
  <c r="AP195" i="15" a="1"/>
  <c r="BE190" i="15" a="1"/>
  <c r="E169" i="15" a="1"/>
  <c r="T206" i="15" a="1"/>
  <c r="AS220" i="15" a="1"/>
  <c r="BS212" i="15" a="1"/>
  <c r="H196" i="15" a="1"/>
  <c r="L223" i="15" a="1"/>
  <c r="T197" i="15" a="1"/>
  <c r="AJ168" i="15" a="1"/>
  <c r="AF192" i="15" a="1"/>
  <c r="BN210" i="15" a="1"/>
  <c r="BH175" i="15" a="1"/>
  <c r="BN176" i="15" a="1"/>
  <c r="BE185" i="15" a="1"/>
  <c r="AP207" i="15" a="1"/>
  <c r="CJ218" i="15" a="1"/>
  <c r="V201" i="15" a="1"/>
  <c r="J166" i="15" a="1"/>
  <c r="W201" i="15" a="1"/>
  <c r="CG197" i="15" a="1"/>
  <c r="BG182" i="15" a="1"/>
  <c r="BH209" i="15" a="1"/>
  <c r="F209" i="15" a="1"/>
  <c r="CK192" i="15" a="1"/>
  <c r="AF172" i="15" a="1"/>
  <c r="AE197" i="15" a="1"/>
  <c r="BB182" i="15" a="1"/>
  <c r="AA209" i="15" a="1"/>
  <c r="Q177" i="15" a="1"/>
  <c r="CJ185" i="15" a="1"/>
  <c r="N219" i="15" a="1"/>
  <c r="BL166" i="15" a="1"/>
  <c r="G212" i="15" a="1"/>
  <c r="AG189" i="15" a="1"/>
  <c r="S199" i="15" a="1"/>
  <c r="C184" i="15" a="1"/>
  <c r="BR175" i="15" a="1"/>
  <c r="AM177" i="15" a="1"/>
  <c r="BQ204" i="15" a="1"/>
  <c r="AC220" i="15" a="1"/>
  <c r="BA165" i="15" a="1"/>
  <c r="CL195" i="15" a="1"/>
  <c r="AS169" i="15" a="1"/>
  <c r="AU214" i="15" a="1"/>
  <c r="W196" i="15" a="1"/>
  <c r="D39" i="15" a="1"/>
  <c r="CJ198" i="15" a="1"/>
  <c r="CH166" i="15" a="1"/>
  <c r="BE174" i="15" a="1"/>
  <c r="BE167" i="15" a="1"/>
  <c r="BR196" i="15" a="1"/>
  <c r="AH166" i="15" a="1"/>
  <c r="AX192" i="15" a="1"/>
  <c r="CI217" i="15" a="1"/>
  <c r="F172" i="15" a="1"/>
  <c r="BR184" i="15" a="1"/>
  <c r="W181" i="15" a="1"/>
  <c r="T175" i="15" a="1"/>
  <c r="AS205" i="15" a="1"/>
  <c r="AO167" i="15" a="1"/>
  <c r="R204" i="15" a="1"/>
  <c r="W218" i="15" a="1"/>
  <c r="CJ206" i="15" a="1"/>
  <c r="X176" i="15" a="1"/>
  <c r="BI171" i="15" a="1"/>
  <c r="AR175" i="15" a="1"/>
  <c r="AM214" i="15" a="1"/>
  <c r="AY205" i="15" a="1"/>
  <c r="BF195" i="15" a="1"/>
  <c r="BU173" i="15" a="1"/>
  <c r="BQ168" i="15" a="1"/>
  <c r="AK170" i="15" a="1"/>
  <c r="M222" i="15" a="1"/>
  <c r="BJ167" i="15" a="1"/>
  <c r="AF221" i="15" a="1"/>
  <c r="AN215" i="15" a="1"/>
  <c r="BL208" i="15" a="1"/>
  <c r="AZ193" i="15" a="1"/>
  <c r="BO173" i="15" a="1"/>
  <c r="BT172" i="15" a="1"/>
  <c r="F199" i="15" a="1"/>
  <c r="BQ217" i="15" a="1"/>
  <c r="BL225" i="15" a="1"/>
  <c r="AE180" i="15" a="1"/>
  <c r="T207" i="15" a="1"/>
  <c r="AA191" i="15" a="1"/>
  <c r="AI212" i="15" a="1"/>
  <c r="AX221" i="15" a="1"/>
  <c r="BD195" i="15" a="1"/>
  <c r="AV219" i="15" a="1"/>
  <c r="G216" i="15" a="1"/>
  <c r="CF223" i="15" a="1"/>
  <c r="R201" i="15" a="1"/>
  <c r="CG194" i="15" a="1"/>
  <c r="AT205" i="15" a="1"/>
  <c r="CE176" i="15" a="1"/>
  <c r="AD194" i="15" a="1"/>
  <c r="K183" i="15" a="1"/>
  <c r="BD202" i="15" a="1"/>
  <c r="CH181" i="15" a="1"/>
  <c r="BU222" i="15" a="1"/>
  <c r="AA167" i="15" a="1"/>
  <c r="BO210" i="15" a="1"/>
  <c r="BB179" i="15" a="1"/>
  <c r="AI184" i="15" a="1"/>
  <c r="AX206" i="15" a="1"/>
  <c r="BC219" i="15" a="1"/>
  <c r="BV171" i="15" a="1"/>
  <c r="BB215" i="15" a="1"/>
  <c r="J189" i="15" a="1"/>
  <c r="BN174" i="15" a="1"/>
  <c r="Q179" i="15" a="1"/>
  <c r="Q205" i="15" a="1"/>
  <c r="G176" i="15" a="1"/>
  <c r="Z179" i="15" a="1"/>
  <c r="CJ180" i="15" a="1"/>
  <c r="AH172" i="15" a="1"/>
  <c r="AD184" i="15" a="1"/>
  <c r="X195" i="15" a="1"/>
  <c r="R214" i="15" a="1"/>
  <c r="Q220" i="15" a="1"/>
  <c r="AZ168" i="15" a="1"/>
  <c r="CJ166" i="15" a="1"/>
  <c r="CG213" i="15" a="1"/>
  <c r="BE182" i="15" a="1"/>
  <c r="AZ190" i="15" a="1"/>
  <c r="CM199" i="15" a="1"/>
  <c r="R179" i="15" a="1"/>
  <c r="D50" i="15" a="1"/>
  <c r="AU186" i="15" a="1"/>
  <c r="AS219" i="15" a="1"/>
  <c r="K172" i="15" a="1"/>
  <c r="BC206" i="15" a="1"/>
  <c r="AD181" i="15" a="1"/>
  <c r="AI210" i="15" a="1"/>
  <c r="CD199" i="15" a="1"/>
  <c r="T186" i="15" a="1"/>
  <c r="AV192" i="15" a="1"/>
  <c r="T218" i="15" a="1"/>
  <c r="S191" i="15" a="1"/>
  <c r="BS219" i="15" a="1"/>
  <c r="L182" i="15" a="1"/>
  <c r="BI179" i="15" a="1"/>
  <c r="BC189" i="15" a="1"/>
  <c r="BQ187" i="15" a="1"/>
  <c r="J203" i="15" a="1"/>
  <c r="Y188" i="15" a="1"/>
  <c r="CH213" i="15" a="1"/>
  <c r="Y183" i="15" a="1"/>
  <c r="AQ189" i="15" a="1"/>
  <c r="AH219" i="15" a="1"/>
  <c r="AF212" i="15" a="1"/>
  <c r="AK185" i="15" a="1"/>
  <c r="CJ188" i="15" a="1"/>
  <c r="BV198" i="15" a="1"/>
  <c r="E219" i="15" a="1"/>
  <c r="W190" i="15" a="1"/>
  <c r="BG172" i="15" a="1"/>
  <c r="Z217" i="15" a="1"/>
  <c r="G218" i="15" a="1"/>
  <c r="BT218" i="15" a="1"/>
  <c r="BQ223" i="15" a="1"/>
  <c r="K180" i="15" a="1"/>
  <c r="AC223" i="15" a="1"/>
  <c r="BS178" i="15" a="1"/>
  <c r="S169" i="15" a="1"/>
  <c r="AU221" i="15" a="1"/>
  <c r="AE206" i="15" a="1"/>
  <c r="G165" i="15" a="1"/>
  <c r="C48" i="15" a="1"/>
  <c r="BA223" i="15" a="1"/>
  <c r="CG204" i="15" a="1"/>
  <c r="AM216" i="15" a="1"/>
  <c r="BJ174" i="15" a="1"/>
  <c r="BS215" i="15" a="1"/>
  <c r="BK184" i="15" a="1"/>
  <c r="BU189" i="15" a="1"/>
  <c r="BV205" i="15" a="1"/>
  <c r="F221" i="15" a="1"/>
  <c r="S223" i="15" a="1"/>
  <c r="AA199" i="15" a="1"/>
  <c r="AW185" i="15" a="1"/>
  <c r="AY174" i="15" a="1"/>
  <c r="CJ210" i="15" a="1"/>
  <c r="C180" i="15" a="1"/>
  <c r="CE191" i="15" a="1"/>
  <c r="CF195" i="15" a="1"/>
  <c r="CM193" i="15" a="1"/>
  <c r="BO190" i="15" a="1"/>
  <c r="AS176" i="15" a="1"/>
  <c r="BA191" i="15" a="1"/>
  <c r="BR183" i="15" a="1"/>
  <c r="X188" i="15" a="1"/>
  <c r="AW202" i="15" a="1"/>
  <c r="P222" i="15" a="1"/>
  <c r="AW180" i="15" a="1"/>
  <c r="BU185" i="15" a="1"/>
  <c r="I187" i="15" a="1"/>
  <c r="BV225" i="15" a="1"/>
  <c r="BK204" i="15" a="1"/>
  <c r="H184" i="15" a="1"/>
  <c r="AP187" i="15" a="1"/>
  <c r="BV189" i="15" a="1"/>
  <c r="E204" i="15" a="1"/>
  <c r="AO203" i="15" a="1"/>
  <c r="BV206" i="15" a="1"/>
  <c r="AJ196" i="15" a="1"/>
  <c r="AX175" i="15" a="1"/>
  <c r="CJ221" i="15" a="1"/>
  <c r="BS206" i="15" a="1"/>
  <c r="P172" i="15" a="1"/>
  <c r="O177" i="15" a="1"/>
  <c r="CL202" i="15" a="1"/>
  <c r="AI215" i="15" a="1"/>
  <c r="AW166" i="15" a="1"/>
  <c r="BP195" i="15" a="1"/>
  <c r="Q187" i="15" a="1"/>
  <c r="H201" i="15" a="1"/>
  <c r="BF208" i="15" a="1"/>
  <c r="G201" i="15" a="1"/>
  <c r="S221" i="15" a="1"/>
  <c r="X174" i="15" a="1"/>
  <c r="AE189" i="15" a="1"/>
  <c r="AI166" i="15" a="1"/>
  <c r="AR184" i="15" a="1"/>
  <c r="BA201" i="15" a="1"/>
  <c r="AC204" i="15" a="1"/>
  <c r="CD190" i="15" a="1"/>
  <c r="AL212" i="15" a="1"/>
  <c r="AY178" i="15" a="1"/>
  <c r="W188" i="15" a="1"/>
  <c r="CG212" i="15" a="1"/>
  <c r="V224" i="15" a="1"/>
  <c r="BV223" i="15" a="1"/>
  <c r="AL188" i="15" a="1"/>
  <c r="BU223" i="15" a="1"/>
  <c r="AC218" i="15" a="1"/>
  <c r="CN190" i="15" a="1"/>
  <c r="CN200" i="15" a="1"/>
  <c r="CN178" i="15" a="1"/>
  <c r="CN214" i="15" a="1"/>
  <c r="AE173" i="15" a="1"/>
  <c r="M192" i="15" a="1"/>
  <c r="L213" i="15" a="1"/>
  <c r="CN187" i="15" a="1"/>
  <c r="CN174" i="15" a="1"/>
  <c r="AT173" i="15" a="1"/>
  <c r="S218" i="15" a="1"/>
  <c r="CD202" i="15" a="1"/>
  <c r="K174" i="15" a="1"/>
  <c r="AA189" i="15" a="1"/>
  <c r="CG189" i="15" a="1"/>
  <c r="H193" i="15" a="1"/>
  <c r="BH217" i="15" a="1"/>
  <c r="L202" i="15" a="1"/>
  <c r="BC180" i="15" a="1"/>
  <c r="O167" i="15" a="1"/>
  <c r="AU218" i="15" a="1"/>
  <c r="N165" i="15" a="1"/>
  <c r="CC168" i="15" a="1"/>
  <c r="BD183" i="15" a="1"/>
  <c r="F187" i="15" a="1"/>
  <c r="AU196" i="15" a="1"/>
  <c r="AO178" i="15" a="1"/>
  <c r="BV174" i="15" a="1"/>
  <c r="CJ168" i="15" a="1"/>
  <c r="U207" i="15" a="1"/>
  <c r="BA187" i="15" a="1"/>
  <c r="BQ175" i="15" a="1"/>
  <c r="BA212" i="15" a="1"/>
  <c r="AG213" i="15" a="1"/>
  <c r="AN196" i="15" a="1"/>
  <c r="BE178" i="15" a="1"/>
  <c r="AI181" i="15" a="1"/>
  <c r="BI210" i="15" a="1"/>
  <c r="BU181" i="15" a="1"/>
  <c r="BP206" i="15" a="1"/>
  <c r="BQ211" i="15" a="1"/>
  <c r="BU201" i="15" a="1"/>
  <c r="BQ198" i="15" a="1"/>
  <c r="BM183" i="15" a="1"/>
  <c r="AU199" i="15" a="1"/>
  <c r="AA166" i="15" a="1"/>
  <c r="BK212" i="15" a="1"/>
  <c r="Z203" i="15" a="1"/>
  <c r="X221" i="15" a="1"/>
  <c r="AF200" i="15" a="1"/>
  <c r="AJ173" i="15" a="1"/>
  <c r="AX213" i="15" a="1"/>
  <c r="AC165" i="15" a="1"/>
  <c r="AJ185" i="15" a="1"/>
  <c r="AC182" i="15" a="1"/>
  <c r="AN175" i="15" a="1"/>
  <c r="BA206" i="15" a="1"/>
  <c r="S193" i="15" a="1"/>
  <c r="Q176" i="15" a="1"/>
  <c r="C221" i="15" a="1"/>
  <c r="AO174" i="15" a="1"/>
  <c r="M218" i="15" a="1"/>
  <c r="AN169" i="15" a="1"/>
  <c r="BU211" i="15" a="1"/>
  <c r="AO197" i="15" a="1"/>
  <c r="O170" i="15" a="1"/>
  <c r="BO174" i="15" a="1"/>
  <c r="AV208" i="15" a="1"/>
  <c r="AH212" i="15" a="1"/>
  <c r="CH200" i="15" a="1"/>
  <c r="AA177" i="15" a="1"/>
  <c r="T184" i="15" a="1"/>
  <c r="BC175" i="15" a="1"/>
  <c r="B53" i="8"/>
  <c r="BC213" i="15" a="1"/>
  <c r="AF208" i="15" a="1"/>
  <c r="AB219" i="15" a="1"/>
  <c r="O181" i="15" a="1"/>
  <c r="AI175" i="15" a="1"/>
  <c r="O204" i="15" a="1"/>
  <c r="AE177" i="15" a="1"/>
  <c r="V190" i="15" a="1"/>
  <c r="BB209" i="15" a="1"/>
  <c r="CC195" i="15" a="1"/>
  <c r="S168" i="15" a="1"/>
  <c r="X166" i="15" a="1"/>
  <c r="AD166" i="15" a="1"/>
  <c r="AP181" i="15" a="1"/>
  <c r="AC214" i="15" a="1"/>
  <c r="Q197" i="15" a="1"/>
  <c r="AK203" i="15" a="1"/>
  <c r="AU177" i="15" a="1"/>
  <c r="BJ169" i="15" a="1"/>
  <c r="BD194" i="15" a="1"/>
  <c r="AC193" i="15" a="1"/>
  <c r="G179" i="15" a="1"/>
  <c r="C201" i="15" a="1"/>
  <c r="CF196" i="15" a="1"/>
  <c r="BQ184" i="15" a="1"/>
  <c r="V209" i="15" a="1"/>
  <c r="AL166" i="15" a="1"/>
  <c r="AH199" i="15" a="1"/>
  <c r="BK175" i="15" a="1"/>
  <c r="BL209" i="15" a="1"/>
  <c r="CC176" i="15" a="1"/>
  <c r="AK174" i="15" a="1"/>
  <c r="AD221" i="15" a="1"/>
  <c r="CI168" i="15" a="1"/>
  <c r="BS185" i="15" a="1"/>
  <c r="X220" i="15" a="1"/>
  <c r="T195" i="15" a="1"/>
  <c r="BN198" i="15" a="1"/>
  <c r="BR178" i="15" a="1"/>
  <c r="BJ180" i="15" a="1"/>
  <c r="BC212" i="15" a="1"/>
  <c r="AO202" i="15" a="1"/>
  <c r="F196" i="15" a="1"/>
  <c r="C194" i="15" a="1"/>
  <c r="CJ191" i="15" a="1"/>
  <c r="E188" i="15" a="1"/>
  <c r="AX212" i="15" a="1"/>
  <c r="M190" i="15" a="1"/>
  <c r="AX191" i="15" a="1"/>
  <c r="AL187" i="15" a="1"/>
  <c r="BN221" i="15" a="1"/>
  <c r="BQ173" i="15" a="1"/>
  <c r="BJ193" i="15" a="1"/>
  <c r="Y190" i="15" a="1"/>
  <c r="AN204" i="15" a="1"/>
  <c r="C224" i="15" a="1"/>
  <c r="AV202" i="15" a="1"/>
  <c r="Q175" i="15" a="1"/>
  <c r="J208" i="15" a="1"/>
  <c r="BL212" i="15" a="1"/>
  <c r="BM192" i="15" a="1"/>
  <c r="BR191" i="15" a="1"/>
  <c r="CE167" i="15" a="1"/>
  <c r="CM171" i="15" a="1"/>
  <c r="U193" i="15" a="1"/>
  <c r="P201" i="15" a="1"/>
  <c r="N192" i="15" a="1"/>
  <c r="AV174" i="15" a="1"/>
  <c r="CH209" i="15" a="1"/>
  <c r="F224" i="15" a="1"/>
  <c r="BK210" i="15" a="1"/>
  <c r="AX203" i="15" a="1"/>
  <c r="AF173" i="15" a="1"/>
  <c r="BT207" i="15" a="1"/>
  <c r="CH186" i="15" a="1"/>
  <c r="I185" i="15" a="1"/>
  <c r="CE224" i="15" a="1"/>
  <c r="W168" i="15" a="1"/>
  <c r="Q215" i="15" a="1"/>
  <c r="AN201" i="15" a="1"/>
  <c r="CI214" i="15" a="1"/>
  <c r="H199" i="15" a="1"/>
  <c r="M169" i="15" a="1"/>
  <c r="AK209" i="15" a="1"/>
  <c r="M166" i="15" a="1"/>
  <c r="BD177" i="15" a="1"/>
  <c r="AL191" i="15" a="1"/>
  <c r="AM217" i="15" a="1"/>
  <c r="BP170" i="15" a="1"/>
  <c r="AR223" i="15" a="1"/>
  <c r="AD217" i="15" a="1"/>
  <c r="AH213" i="15" a="1"/>
  <c r="AM172" i="15" a="1"/>
  <c r="AZ205" i="15" a="1"/>
  <c r="BN167" i="15" a="1"/>
  <c r="AJ166" i="15" a="1"/>
  <c r="T190" i="15" a="1"/>
  <c r="BM165" i="15" a="1"/>
  <c r="BD185" i="15" a="1"/>
  <c r="C215" i="15" a="1"/>
  <c r="BP176" i="15" a="1"/>
  <c r="AJ190" i="15" a="1"/>
  <c r="AJ171" i="15" a="1"/>
  <c r="AT165" i="15" a="1"/>
  <c r="AY219" i="15" a="1"/>
  <c r="W225" i="15" a="1"/>
  <c r="L190" i="15" a="1"/>
  <c r="BG177" i="15" a="1"/>
  <c r="N209" i="15" a="1"/>
  <c r="AG188" i="15" a="1"/>
  <c r="X191" i="15" a="1"/>
  <c r="E38" i="15"/>
  <c r="AB205" i="15" a="1"/>
  <c r="AW168" i="15" a="1"/>
  <c r="AG176" i="15" a="1"/>
  <c r="CL185" i="15" a="1"/>
  <c r="AH218" i="15" a="1"/>
  <c r="H186" i="15" a="1"/>
  <c r="AD222" i="15" a="1"/>
  <c r="F170" i="15" a="1"/>
  <c r="BF212" i="15" a="1"/>
  <c r="AW192" i="15" a="1"/>
  <c r="BP165" i="15" a="1"/>
  <c r="AL213" i="15" a="1"/>
  <c r="BU165" i="15" a="1"/>
  <c r="U204" i="15" a="1"/>
  <c r="AC216" i="15" a="1"/>
  <c r="BP224" i="15" a="1"/>
  <c r="AL198" i="15" a="1"/>
  <c r="BD172" i="15" a="1"/>
  <c r="AL165" i="15" a="1"/>
  <c r="BB217" i="15" a="1"/>
  <c r="CD187" i="15" a="1"/>
  <c r="BS222" i="15" a="1"/>
  <c r="CD220" i="15" a="1"/>
  <c r="R220" i="15" a="1"/>
  <c r="CI202" i="15" a="1"/>
  <c r="AK181" i="15" a="1"/>
  <c r="CF205" i="15" a="1"/>
  <c r="L209" i="15" a="1"/>
  <c r="V175" i="15" a="1"/>
  <c r="AL215" i="15" a="1"/>
  <c r="BS217" i="15" a="1"/>
  <c r="AC197" i="15" a="1"/>
  <c r="BF218" i="15" a="1"/>
  <c r="N167" i="15" a="1"/>
  <c r="M211" i="15" a="1"/>
  <c r="BA216" i="15" a="1"/>
  <c r="O180" i="15" a="1"/>
  <c r="BS168" i="15" a="1"/>
  <c r="CK204" i="15" a="1"/>
  <c r="I168" i="15" a="1"/>
  <c r="W220" i="15" a="1"/>
  <c r="V189" i="15" a="1"/>
  <c r="CD186" i="15" a="1"/>
  <c r="AZ170" i="15" a="1"/>
  <c r="BA203" i="15" a="1"/>
  <c r="CI207" i="15" a="1"/>
  <c r="BD187" i="15" a="1"/>
  <c r="G217" i="15" a="1"/>
  <c r="BO184" i="15" a="1"/>
  <c r="B42" i="8"/>
  <c r="AX182" i="15" a="1"/>
  <c r="AC195" i="15" a="1"/>
  <c r="I213" i="15" a="1"/>
  <c r="S171" i="15" a="1"/>
  <c r="BA180" i="15" a="1"/>
  <c r="C205" i="15" a="1"/>
  <c r="AG179" i="15" a="1"/>
  <c r="AA221" i="15" a="1"/>
  <c r="CH212" i="15" a="1"/>
  <c r="C43" i="15" a="1"/>
  <c r="BM209" i="15" a="1"/>
  <c r="K200" i="15" a="1"/>
  <c r="CH217" i="15" a="1"/>
  <c r="AW203" i="15" a="1"/>
  <c r="BF217" i="15" a="1"/>
  <c r="BA219" i="15" a="1"/>
  <c r="AO193" i="15" a="1"/>
  <c r="AE213" i="15" a="1"/>
  <c r="BG168" i="15" a="1"/>
  <c r="AL205" i="15" a="1"/>
  <c r="BC184" i="15" a="1"/>
  <c r="AW219" i="15" a="1"/>
  <c r="S225" i="15" a="1"/>
  <c r="AZ184" i="15" a="1"/>
  <c r="AA169" i="15" a="1"/>
  <c r="AG196" i="15" a="1"/>
  <c r="E197" i="15" a="1"/>
  <c r="CE202" i="15" a="1"/>
  <c r="L183" i="15" a="1"/>
  <c r="BN191" i="15" a="1"/>
  <c r="AA222" i="15" a="1"/>
  <c r="BQ194" i="15" a="1"/>
  <c r="Y179" i="15" a="1"/>
  <c r="AL194" i="15" a="1"/>
  <c r="AF187" i="15" a="1"/>
  <c r="BN173" i="15" a="1"/>
  <c r="BV216" i="15" a="1"/>
  <c r="AS171" i="15" a="1"/>
  <c r="AO221" i="15" a="1"/>
  <c r="AA192" i="15" a="1"/>
  <c r="AY210" i="15" a="1"/>
  <c r="X179" i="15" a="1"/>
  <c r="N205" i="15" a="1"/>
  <c r="BM225" i="15" a="1"/>
  <c r="AB203" i="15" a="1"/>
  <c r="BM174" i="15" a="1"/>
  <c r="Q199" i="15" a="1"/>
  <c r="AH187" i="15" a="1"/>
  <c r="AQ209" i="15" a="1"/>
  <c r="BI182" i="15" a="1"/>
  <c r="CJ217" i="15" a="1"/>
  <c r="CD188" i="15" a="1"/>
  <c r="BB176" i="15" a="1"/>
  <c r="AR166" i="15" a="1"/>
  <c r="BQ185" i="15" a="1"/>
  <c r="CC173" i="15" a="1"/>
  <c r="AG204" i="15" a="1"/>
  <c r="AD198" i="15" a="1"/>
  <c r="T192" i="15" a="1"/>
  <c r="C192" i="15" a="1"/>
  <c r="CJ208" i="15" a="1"/>
  <c r="BS173" i="15" a="1"/>
  <c r="R219" i="15" a="1"/>
  <c r="BH180" i="15" a="1"/>
  <c r="AF169" i="15" a="1"/>
  <c r="CI170" i="15" a="1"/>
  <c r="AV212" i="15" a="1"/>
  <c r="AQ175" i="15" a="1"/>
  <c r="AJ165" i="15" a="1"/>
  <c r="BT173" i="15" a="1"/>
  <c r="S176" i="15" a="1"/>
  <c r="BJ207" i="15" a="1"/>
  <c r="R212" i="15" a="1"/>
  <c r="CH183" i="15" a="1"/>
  <c r="N211" i="15" a="1"/>
  <c r="Q208" i="15" a="1"/>
  <c r="BJ220" i="15" a="1"/>
  <c r="AZ210" i="15" a="1"/>
  <c r="O166" i="15" a="1"/>
  <c r="AW187" i="15" a="1"/>
  <c r="V173" i="15" a="1"/>
  <c r="T179" i="15" a="1"/>
  <c r="AB211" i="15" a="1"/>
  <c r="X184" i="15" a="1"/>
  <c r="F180" i="15" a="1"/>
  <c r="BC198" i="15" a="1"/>
  <c r="L180" i="15" a="1"/>
  <c r="CN193" i="15" a="1"/>
  <c r="CN184" i="15" a="1"/>
  <c r="AO224" i="15" a="1"/>
  <c r="AR224" i="15" a="1"/>
  <c r="CI190" i="15" a="1"/>
  <c r="E215" i="15" a="1"/>
  <c r="C225" i="15" a="1"/>
  <c r="BH166" i="15" a="1"/>
  <c r="AZ196" i="15" a="1"/>
  <c r="AX209" i="15" a="1"/>
  <c r="CK202" i="15" a="1"/>
  <c r="BG167" i="15" a="1"/>
  <c r="X196" i="15" a="1"/>
  <c r="AS218" i="15" a="1"/>
  <c r="AJ224" i="15" a="1"/>
  <c r="AO192" i="15" a="1"/>
  <c r="AX189" i="15" a="1"/>
  <c r="BF219" i="15" a="1"/>
  <c r="AN177" i="15" a="1"/>
  <c r="AE214" i="15" a="1"/>
  <c r="BK189" i="15" a="1"/>
  <c r="N213" i="15" a="1"/>
  <c r="Q168" i="15" a="1"/>
  <c r="AJ204" i="15" a="1"/>
  <c r="AO181" i="15" a="1"/>
  <c r="H185" i="15" a="1"/>
  <c r="BJ168" i="15" a="1"/>
  <c r="AY199" i="15" a="1"/>
  <c r="CK211" i="15" a="1"/>
  <c r="AB210" i="15" a="1"/>
  <c r="AW190" i="15" a="1"/>
  <c r="AA208" i="15" a="1"/>
  <c r="BO220" i="15" a="1"/>
  <c r="I188" i="15" a="1"/>
  <c r="AV222" i="15" a="1"/>
  <c r="BJ188" i="15" a="1"/>
  <c r="AW218" i="15" a="1"/>
  <c r="AP170" i="15" a="1"/>
  <c r="CK186" i="15" a="1"/>
  <c r="AD175" i="15" a="1"/>
  <c r="W212" i="15" a="1"/>
  <c r="P206" i="15" a="1"/>
  <c r="AJ176" i="15" a="1"/>
  <c r="AU207" i="15" a="1"/>
  <c r="P184" i="15" a="1"/>
  <c r="BU179" i="15" a="1"/>
  <c r="CH174" i="15" a="1"/>
  <c r="J213" i="15" a="1"/>
  <c r="CH215" i="15" a="1"/>
  <c r="BT186" i="15" a="1"/>
  <c r="BM207" i="15" a="1"/>
  <c r="BR171" i="15" a="1"/>
  <c r="AQ202" i="15" a="1"/>
  <c r="BE198" i="15" a="1"/>
  <c r="J198" i="15" a="1"/>
  <c r="AB197" i="15" a="1"/>
  <c r="BE188" i="15" a="1"/>
  <c r="AK204" i="15" a="1"/>
  <c r="AL210" i="15" a="1"/>
  <c r="BC217" i="15" a="1"/>
  <c r="BN190" i="15" a="1"/>
  <c r="R170" i="15" a="1"/>
  <c r="CD185" i="15" a="1"/>
  <c r="CD168" i="15" a="1"/>
  <c r="AQ221" i="15" a="1"/>
  <c r="AF215" i="15" a="1"/>
  <c r="AK212" i="15" a="1"/>
  <c r="CM168" i="15" a="1"/>
  <c r="AR220" i="15" a="1"/>
  <c r="AV195" i="15" a="1"/>
  <c r="AC166" i="15" a="1"/>
  <c r="BS172" i="15" a="1"/>
  <c r="BS186" i="15" a="1"/>
  <c r="BI194" i="15" a="1"/>
  <c r="BH201" i="15" a="1"/>
  <c r="R222" i="15" a="1"/>
  <c r="AU171" i="15" a="1"/>
  <c r="BB198" i="15" a="1"/>
  <c r="W169" i="15" a="1"/>
  <c r="U213" i="15" a="1"/>
  <c r="I219" i="15" a="1"/>
  <c r="AM171" i="15" a="1"/>
  <c r="CF172" i="15" a="1"/>
  <c r="BF211" i="15" a="1"/>
  <c r="CD222" i="15" a="1"/>
  <c r="O209" i="15" a="1"/>
  <c r="CF183" i="15" a="1"/>
  <c r="C185" i="15" a="1"/>
  <c r="X216" i="15" a="1"/>
  <c r="G223" i="15" a="1"/>
  <c r="BI185" i="15" a="1"/>
  <c r="CC213" i="15" a="1"/>
  <c r="BG180" i="15" a="1"/>
  <c r="AL178" i="15" a="1"/>
  <c r="CF168" i="15" a="1"/>
  <c r="CK178" i="15" a="1"/>
  <c r="R218" i="15" a="1"/>
  <c r="AP223" i="15" a="1"/>
  <c r="BC187" i="15" a="1"/>
  <c r="CM203" i="15" a="1"/>
  <c r="S173" i="15" a="1"/>
  <c r="BF189" i="15" a="1"/>
  <c r="BF210" i="15" a="1"/>
  <c r="AK186" i="15" a="1"/>
  <c r="AX188" i="15" a="1"/>
  <c r="AB204" i="15" a="1"/>
  <c r="CC198" i="15" a="1"/>
  <c r="Y166" i="15" a="1"/>
  <c r="AC184" i="15" a="1"/>
  <c r="AA168" i="15" a="1"/>
  <c r="AS181" i="15" a="1"/>
  <c r="AX169" i="15" a="1"/>
  <c r="I201" i="15" a="1"/>
  <c r="C177" i="15" a="1"/>
  <c r="CD184" i="15" a="1"/>
  <c r="I172" i="15" a="1"/>
  <c r="AA203" i="15" a="1"/>
  <c r="AU208" i="15" a="1"/>
  <c r="CK174" i="15" a="1"/>
  <c r="R216" i="15" a="1"/>
  <c r="Q222" i="15" a="1"/>
  <c r="BO215" i="15" a="1"/>
  <c r="AD207" i="15" a="1"/>
  <c r="AZ215" i="15" a="1"/>
  <c r="BD196" i="15" a="1"/>
  <c r="BE205" i="15" a="1"/>
  <c r="BI193" i="15" a="1"/>
  <c r="BF220" i="15" a="1"/>
  <c r="K168" i="15" a="1"/>
  <c r="AS200" i="15" a="1"/>
  <c r="CK168" i="15" a="1"/>
  <c r="BS225" i="15" a="1"/>
  <c r="BG188" i="15" a="1"/>
  <c r="BM216" i="15" a="1"/>
  <c r="J175" i="15" a="1"/>
  <c r="Q181" i="15" a="1"/>
  <c r="AL219" i="15" a="1"/>
  <c r="W208" i="15" a="1"/>
  <c r="Y181" i="15" a="1"/>
  <c r="BE166" i="15" a="1"/>
  <c r="AR196" i="15" a="1"/>
  <c r="V210" i="15" a="1"/>
  <c r="W165" i="15" a="1"/>
  <c r="AP171" i="15" a="1"/>
  <c r="Z201" i="15" a="1"/>
  <c r="AJ209" i="15" a="1"/>
  <c r="BP213" i="15" a="1"/>
  <c r="Y182" i="15" a="1"/>
  <c r="BR202" i="15" a="1"/>
  <c r="CJ182" i="15" a="1"/>
  <c r="AK171" i="15" a="1"/>
  <c r="AL222" i="15" a="1"/>
  <c r="BP225" i="15" a="1"/>
  <c r="CG181" i="15" a="1"/>
  <c r="BT175" i="15" a="1"/>
  <c r="AE181" i="15" a="1"/>
  <c r="AO223" i="15" a="1"/>
  <c r="G187" i="15" a="1"/>
  <c r="S214" i="15" a="1"/>
  <c r="Z220" i="15" a="1"/>
  <c r="CK224" i="15" a="1"/>
  <c r="I170" i="15" a="1"/>
  <c r="CK201" i="15" a="1"/>
  <c r="BQ167" i="15" a="1"/>
  <c r="AE212" i="15" a="1"/>
  <c r="CK180" i="15" a="1"/>
  <c r="AY221" i="15" a="1"/>
  <c r="CG190" i="15" a="1"/>
  <c r="BM180" i="15" a="1"/>
  <c r="AG184" i="15" a="1"/>
  <c r="V219" i="15" a="1"/>
  <c r="BT223" i="15" a="1"/>
  <c r="U190" i="15" a="1"/>
  <c r="BO205" i="15" a="1"/>
  <c r="BO165" i="15" a="1"/>
  <c r="K184" i="15" a="1"/>
  <c r="AR179" i="15" a="1"/>
  <c r="CJ203" i="15" a="1"/>
  <c r="AS213" i="15" a="1"/>
  <c r="Y191" i="15" a="1"/>
  <c r="X205" i="15" a="1"/>
  <c r="Y169" i="15" a="1"/>
  <c r="H214" i="15" a="1"/>
  <c r="F192" i="15" a="1"/>
  <c r="CI215" i="15" a="1"/>
  <c r="CE184" i="15" a="1"/>
  <c r="S207" i="15" a="1"/>
  <c r="AZ191" i="15" a="1"/>
  <c r="AG169" i="15" a="1"/>
  <c r="AX222" i="15" a="1"/>
  <c r="BK183" i="15" a="1"/>
  <c r="BQ174" i="15" a="1"/>
  <c r="BU169" i="15" a="1"/>
  <c r="F222" i="15" a="1"/>
  <c r="CJ172" i="15" a="1"/>
  <c r="P173" i="15" a="1"/>
  <c r="BS187" i="15" a="1"/>
  <c r="K202" i="15" a="1"/>
  <c r="G184" i="15" a="1"/>
  <c r="AI206" i="15" a="1"/>
  <c r="R225" i="15" a="1"/>
  <c r="BG208" i="15" a="1"/>
  <c r="S179" i="15" a="1"/>
  <c r="BB211" i="15" a="1"/>
  <c r="F225" i="15" a="1"/>
  <c r="H212" i="15" a="1"/>
  <c r="G196" i="15" a="1"/>
  <c r="AD180" i="15" a="1"/>
  <c r="L178" i="15" a="1"/>
  <c r="AX187" i="15" a="1"/>
  <c r="Y189" i="15" a="1"/>
  <c r="K169" i="15" a="1"/>
  <c r="R210" i="15" a="1"/>
  <c r="X197" i="15" a="1"/>
  <c r="AE178" i="15" a="1"/>
  <c r="BJ212" i="15" a="1"/>
  <c r="AL225" i="15" a="1"/>
  <c r="V194" i="15" a="1"/>
  <c r="AO204" i="15" a="1"/>
  <c r="U195" i="15" a="1"/>
  <c r="E171" i="15" a="1"/>
  <c r="CG188" i="15" a="1"/>
  <c r="CK165" i="15" a="1"/>
  <c r="CC205" i="15" a="1"/>
  <c r="AQ207" i="15" a="1"/>
  <c r="CM218" i="15" a="1"/>
  <c r="BI203" i="15" a="1"/>
  <c r="H167" i="15" a="1"/>
  <c r="BU188" i="15" a="1"/>
  <c r="AZ194" i="15" a="1"/>
  <c r="BK177" i="15" a="1"/>
  <c r="BH169" i="15" a="1"/>
  <c r="M181" i="15" a="1"/>
  <c r="AO201" i="15" a="1"/>
  <c r="AB180" i="15" a="1"/>
  <c r="AL186" i="15" a="1"/>
  <c r="CM220" i="15" a="1"/>
  <c r="AT183" i="15" a="1"/>
  <c r="N185" i="15" a="1"/>
  <c r="CI196" i="15" a="1"/>
  <c r="P210" i="15" a="1"/>
  <c r="Q178" i="15" a="1"/>
  <c r="T168" i="15" a="1"/>
  <c r="K210" i="15" a="1"/>
  <c r="Z176" i="15" a="1"/>
  <c r="AH200" i="15" a="1"/>
  <c r="CD174" i="15" a="1"/>
  <c r="AT168" i="15" a="1"/>
  <c r="AI200" i="15" a="1"/>
  <c r="H210" i="15" a="1"/>
  <c r="BK219" i="15" a="1"/>
  <c r="AS208" i="15" a="1"/>
  <c r="F220" i="15" a="1"/>
  <c r="S198" i="15" a="1"/>
  <c r="CF175" i="15" a="1"/>
  <c r="CH194" i="15" a="1"/>
  <c r="V176" i="15" a="1"/>
  <c r="CJ201" i="15" a="1"/>
  <c r="X203" i="15" a="1"/>
  <c r="BQ170" i="15" a="1"/>
  <c r="BG190" i="15" a="1"/>
  <c r="B54" i="8"/>
  <c r="AR206" i="15" a="1"/>
  <c r="AZ169" i="15" a="1"/>
  <c r="L176" i="15" a="1"/>
  <c r="J212" i="15" a="1"/>
  <c r="AV211" i="15" a="1"/>
  <c r="BT189" i="15" a="1"/>
  <c r="AS186" i="15" a="1"/>
  <c r="BM220" i="15" a="1"/>
  <c r="AI188" i="15" a="1"/>
  <c r="BH177" i="15" a="1"/>
  <c r="CH185" i="15" a="1"/>
  <c r="AO177" i="15" a="1"/>
  <c r="CF185" i="15" a="1"/>
  <c r="BU217" i="15" a="1"/>
  <c r="BJ198" i="15" a="1"/>
  <c r="AR180" i="15" a="1"/>
  <c r="AK223" i="15" a="1"/>
  <c r="AA214" i="15" a="1"/>
  <c r="BL187" i="15" a="1"/>
  <c r="BI172" i="15" a="1"/>
  <c r="BU219" i="15" a="1"/>
  <c r="CC218" i="15" a="1"/>
  <c r="I200" i="15" a="1"/>
  <c r="X189" i="15" a="1"/>
  <c r="CM190" i="15" a="1"/>
  <c r="I186" i="15" a="1"/>
  <c r="CK190" i="15" a="1"/>
  <c r="CH179" i="15" a="1"/>
  <c r="Y184" i="15" a="1"/>
  <c r="BF202" i="15" a="1"/>
  <c r="Y172" i="15" a="1"/>
  <c r="BS176" i="15" a="1"/>
  <c r="BB193" i="15" a="1"/>
  <c r="S194" i="15" a="1"/>
  <c r="L210" i="15" a="1"/>
  <c r="CM225" i="15" a="1"/>
  <c r="CC186" i="15" a="1"/>
  <c r="AC217" i="15" a="1"/>
  <c r="AZ171" i="15" a="1"/>
  <c r="Z198" i="15" a="1"/>
  <c r="BG171" i="15" a="1"/>
  <c r="CH187" i="15" a="1"/>
  <c r="AJ202" i="15" a="1"/>
  <c r="F195" i="15" a="1"/>
  <c r="BH220" i="15" a="1"/>
  <c r="W171" i="15" a="1"/>
  <c r="X213" i="15" a="1"/>
  <c r="AK196" i="15" a="1"/>
  <c r="V179" i="15" a="1"/>
  <c r="E196" i="15" a="1"/>
  <c r="V220" i="15" a="1"/>
  <c r="AN213" i="15" a="1"/>
  <c r="CF206" i="15" a="1"/>
  <c r="BB221" i="15" a="1"/>
  <c r="CH199" i="15" a="1"/>
  <c r="Q171" i="15" a="1"/>
  <c r="CN207" i="15" a="1"/>
  <c r="CN222" i="15" a="1"/>
  <c r="CN202" i="15" a="1"/>
  <c r="CN173" i="15" a="1"/>
  <c r="BK186" i="15" a="1"/>
  <c r="CE206" i="15" a="1"/>
  <c r="AI198" i="15" a="1"/>
  <c r="CN221" i="15" a="1"/>
  <c r="CN219" i="15" a="1"/>
  <c r="AO205" i="15" a="1"/>
  <c r="H221" i="15" a="1"/>
  <c r="AI168" i="15" a="1"/>
  <c r="BM175" i="15" a="1"/>
  <c r="AY181" i="15" a="1"/>
  <c r="BL197" i="15" a="1"/>
  <c r="AI208" i="15" a="1"/>
  <c r="R215" i="15" a="1"/>
  <c r="E186" i="15" a="1"/>
  <c r="AD172" i="15" a="1"/>
  <c r="BG195" i="15" a="1"/>
  <c r="AV185" i="15" a="1"/>
  <c r="BI197" i="15" a="1"/>
  <c r="AB182" i="15" a="1"/>
  <c r="Y180" i="15" a="1"/>
  <c r="AG223" i="15" a="1"/>
  <c r="N184" i="15" a="1"/>
  <c r="V183" i="15" a="1"/>
  <c r="AW198" i="15" a="1"/>
  <c r="BC221" i="15" a="1"/>
  <c r="S211" i="15" a="1"/>
  <c r="W175" i="15" a="1"/>
  <c r="BQ214" i="15" a="1"/>
  <c r="L217" i="15" a="1"/>
  <c r="CJ179" i="15" a="1"/>
  <c r="AM175" i="15" a="1"/>
  <c r="AS217" i="15" a="1"/>
  <c r="S186" i="15" a="1"/>
  <c r="AR203" i="15" a="1"/>
  <c r="CL177" i="15" a="1"/>
  <c r="X200" i="15" a="1"/>
  <c r="BG187" i="15" a="1"/>
  <c r="BL190" i="15" a="1"/>
  <c r="J200" i="15" a="1"/>
  <c r="CH207" i="15" a="1"/>
  <c r="CE181" i="15" a="1"/>
  <c r="BD193" i="15" a="1"/>
  <c r="BN209" i="15" a="1"/>
  <c r="I167" i="15" a="1"/>
  <c r="BL178" i="15" a="1"/>
  <c r="CI173" i="15" a="1"/>
  <c r="O104" i="8" a="1"/>
  <c r="O89" i="8" a="1"/>
  <c r="O100" i="8" a="1"/>
  <c r="O90" i="8" a="1"/>
  <c r="O130" i="8" a="1"/>
  <c r="O77" i="8" a="1"/>
  <c r="O128" i="8" a="1"/>
  <c r="O80" i="8" a="1"/>
  <c r="O57" i="8" a="1"/>
  <c r="J35" i="359" a="1"/>
  <c r="T35" i="359" a="1"/>
  <c r="W35" i="359" a="1"/>
  <c r="AA35" i="359" a="1"/>
  <c r="X35" i="359" a="1"/>
  <c r="E35" i="359" a="1"/>
  <c r="I35" i="359" a="1"/>
  <c r="AD205" i="15" a="1"/>
  <c r="AU197" i="15" a="1"/>
  <c r="BE168" i="15" a="1"/>
  <c r="BV218" i="15" a="1"/>
  <c r="BO189" i="15" a="1"/>
  <c r="S183" i="15" a="1"/>
  <c r="BD197" i="15" a="1"/>
  <c r="E223" i="15" a="1"/>
  <c r="AV207" i="15" a="1"/>
  <c r="BS189" i="15" a="1"/>
  <c r="T200" i="15" a="1"/>
  <c r="BD201" i="15" a="1"/>
  <c r="N197" i="15" a="1"/>
  <c r="S206" i="15" a="1"/>
  <c r="P171" i="15" a="1"/>
  <c r="BF182" i="15" a="1"/>
  <c r="CJ165" i="15" a="1"/>
  <c r="AM202" i="15" a="1"/>
  <c r="E203" i="15" a="1"/>
  <c r="CD175" i="15" a="1"/>
  <c r="C51" i="15" a="1"/>
  <c r="N208" i="15" a="1"/>
  <c r="AG216" i="15" a="1"/>
  <c r="BL168" i="15" a="1"/>
  <c r="AU223" i="15" a="1"/>
  <c r="AB218" i="15" a="1"/>
  <c r="BE177" i="15" a="1"/>
  <c r="AU172" i="15" a="1"/>
  <c r="BM185" i="15" a="1"/>
  <c r="AK172" i="15" a="1"/>
  <c r="X181" i="15" a="1"/>
  <c r="CD209" i="15" a="1"/>
  <c r="BT194" i="15" a="1"/>
  <c r="AJ222" i="15" a="1"/>
  <c r="CF203" i="15" a="1"/>
  <c r="BC203" i="15" a="1"/>
  <c r="Z180" i="15" a="1"/>
  <c r="AY222" i="15" a="1"/>
  <c r="AU183" i="15" a="1"/>
  <c r="BO171" i="15" a="1"/>
  <c r="AT189" i="15" a="1"/>
  <c r="N176" i="15" a="1"/>
  <c r="AM205" i="15" a="1"/>
  <c r="BQ188" i="15" a="1"/>
  <c r="BB203" i="15" a="1"/>
  <c r="BO176" i="15" a="1"/>
  <c r="T194" i="15" a="1"/>
  <c r="BT209" i="15" a="1"/>
  <c r="AF183" i="15" a="1"/>
  <c r="AX183" i="15" a="1"/>
  <c r="C52" i="15" a="1"/>
  <c r="AC167" i="15" a="1"/>
  <c r="AT185" i="15" a="1"/>
  <c r="P224" i="15" a="1"/>
  <c r="BQ212" i="15" a="1"/>
  <c r="AK208" i="15" a="1"/>
  <c r="AF202" i="15" a="1"/>
  <c r="BV202" i="15" a="1"/>
  <c r="Y185" i="15" a="1"/>
  <c r="BA196" i="15" a="1"/>
  <c r="BL195" i="15" a="1"/>
  <c r="Z196" i="15" a="1"/>
  <c r="BB185" i="15" a="1"/>
  <c r="AN186" i="15" a="1"/>
  <c r="E198" i="15" a="1"/>
  <c r="AZ214" i="15" a="1"/>
  <c r="CC189" i="15" a="1"/>
  <c r="BK215" i="15" a="1"/>
  <c r="BA193" i="15" a="1"/>
  <c r="AC222" i="15" a="1"/>
  <c r="AA171" i="15" a="1"/>
  <c r="BR218" i="15" a="1"/>
  <c r="CE182" i="15" a="1"/>
  <c r="BI192" i="15" a="1"/>
  <c r="BI201" i="15" a="1"/>
  <c r="U222" i="15" a="1"/>
  <c r="AY167" i="15" a="1"/>
  <c r="G167" i="15" a="1"/>
  <c r="AD224" i="15" a="1"/>
  <c r="AS172" i="15" a="1"/>
  <c r="G220" i="15" a="1"/>
  <c r="K170" i="15" a="1"/>
  <c r="Q166" i="15" a="1"/>
  <c r="N189" i="15" a="1"/>
  <c r="AN207" i="15" a="1"/>
  <c r="BS221" i="15" a="1"/>
  <c r="M225" i="15" a="1"/>
  <c r="AB183" i="15" a="1"/>
  <c r="BG194" i="15" a="1"/>
  <c r="T213" i="15" a="1"/>
  <c r="H197" i="15" a="1"/>
  <c r="BE184" i="15" a="1"/>
  <c r="B86" i="8"/>
  <c r="CD215" i="15" a="1"/>
  <c r="AP221" i="15" a="1"/>
  <c r="CH182" i="15" a="1"/>
  <c r="CJ183" i="15" a="1"/>
  <c r="Q203" i="15" a="1"/>
  <c r="H194" i="15" a="1"/>
  <c r="X207" i="15" a="1"/>
  <c r="BS208" i="15" a="1"/>
  <c r="C204" i="15" a="1"/>
  <c r="BQ202" i="15" a="1"/>
  <c r="W223" i="15" a="1"/>
  <c r="BO197" i="15" a="1"/>
  <c r="X175" i="15" a="1"/>
  <c r="O222" i="15" a="1"/>
  <c r="BJ172" i="15" a="1"/>
  <c r="AV170" i="15" a="1"/>
  <c r="CK170" i="15" a="1"/>
  <c r="CH192" i="15" a="1"/>
  <c r="R223" i="15" a="1"/>
  <c r="AF207" i="15" a="1"/>
  <c r="CL176" i="15" a="1"/>
  <c r="AU182" i="15" a="1"/>
  <c r="CL203" i="15" a="1"/>
  <c r="CM224" i="15" a="1"/>
  <c r="AN181" i="15" a="1"/>
  <c r="K192" i="15" a="1"/>
  <c r="BU218" i="15" a="1"/>
  <c r="CF201" i="15" a="1"/>
  <c r="CG193" i="15" a="1"/>
  <c r="J184" i="15" a="1"/>
  <c r="G209" i="15" a="1"/>
  <c r="BM177" i="15" a="1"/>
  <c r="BK191" i="15" a="1"/>
  <c r="BU166" i="15" a="1"/>
  <c r="AQ204" i="15" a="1"/>
  <c r="CM211" i="15" a="1"/>
  <c r="O182" i="15" a="1"/>
  <c r="BI212" i="15" a="1"/>
  <c r="BH202" i="15" a="1"/>
  <c r="CJ181" i="15" a="1"/>
  <c r="AK176" i="15" a="1"/>
  <c r="AI205" i="15" a="1"/>
  <c r="CK210" i="15" a="1"/>
  <c r="AE208" i="15" a="1"/>
  <c r="BM219" i="15" a="1"/>
  <c r="BD169" i="15" a="1"/>
  <c r="CH189" i="15" a="1"/>
  <c r="AQ216" i="15" a="1"/>
  <c r="BB206" i="15" a="1"/>
  <c r="BU171" i="15" a="1"/>
  <c r="AV167" i="15" a="1"/>
  <c r="CE193" i="15" a="1"/>
  <c r="P218" i="15" a="1"/>
  <c r="AZ204" i="15" a="1"/>
  <c r="G183" i="15" a="1"/>
  <c r="CM175" i="15" a="1"/>
  <c r="AP172" i="15" a="1"/>
  <c r="AF181" i="15" a="1"/>
  <c r="AF213" i="15" a="1"/>
  <c r="B66" i="8"/>
  <c r="BI167" i="15" a="1"/>
  <c r="AO166" i="15" a="1"/>
  <c r="U191" i="15" a="1"/>
  <c r="BL213" i="15" a="1"/>
  <c r="AX194" i="15" a="1"/>
  <c r="BG198" i="15" a="1"/>
  <c r="BT177" i="15" a="1"/>
  <c r="BT191" i="15" a="1"/>
  <c r="CG177" i="15" a="1"/>
  <c r="M202" i="15" a="1"/>
  <c r="CM205" i="15" a="1"/>
  <c r="BN165" i="15" a="1"/>
  <c r="AQ223" i="15" a="1"/>
  <c r="AP202" i="15" a="1"/>
  <c r="CD166" i="15" a="1"/>
  <c r="M219" i="15" a="1"/>
  <c r="AW175" i="15" a="1"/>
  <c r="AS225" i="15" a="1"/>
  <c r="CJ190" i="15" a="1"/>
  <c r="BQ196" i="15" a="1"/>
  <c r="C214" i="15" a="1"/>
  <c r="BL177" i="15" a="1"/>
  <c r="CE201" i="15" a="1"/>
  <c r="BN170" i="15" a="1"/>
  <c r="CC214" i="15" a="1"/>
  <c r="CI194" i="15" a="1"/>
  <c r="U183" i="15" a="1"/>
  <c r="AX204" i="15" a="1"/>
  <c r="U225" i="15" a="1"/>
  <c r="AZ172" i="15" a="1"/>
  <c r="G205" i="15" a="1"/>
  <c r="CK216" i="15" a="1"/>
  <c r="BK187" i="15" a="1"/>
  <c r="E191" i="15" a="1"/>
  <c r="AG202" i="15" a="1"/>
  <c r="BR174" i="15" a="1"/>
  <c r="BK179" i="15" a="1"/>
  <c r="C197" i="15" a="1"/>
  <c r="AP206" i="15" a="1"/>
  <c r="CC212" i="15" a="1"/>
  <c r="BN206" i="15" a="1"/>
  <c r="Z178" i="15" a="1"/>
  <c r="CL193" i="15" a="1"/>
  <c r="CE179" i="15" a="1"/>
  <c r="BS170" i="15" a="1"/>
  <c r="AK165" i="15" a="1"/>
  <c r="I223" i="15" a="1"/>
  <c r="J225" i="15" a="1"/>
  <c r="CI171" i="15" a="1"/>
  <c r="CL192" i="15" a="1"/>
  <c r="B44" i="8"/>
  <c r="AC221" i="15" a="1"/>
  <c r="BP167" i="15" a="1"/>
  <c r="BV178" i="15" a="1"/>
  <c r="AB173" i="15" a="1"/>
  <c r="U188" i="15" a="1"/>
  <c r="CI203" i="15" a="1"/>
  <c r="AJ194" i="15" a="1"/>
  <c r="G186" i="15" a="1"/>
  <c r="BO196" i="15" a="1"/>
  <c r="AT198" i="15" a="1"/>
  <c r="AY166" i="15" a="1"/>
  <c r="F173" i="15" a="1"/>
  <c r="J170" i="15" a="1"/>
  <c r="AI225" i="15" a="1"/>
  <c r="AR177" i="15" a="1"/>
  <c r="BR190" i="15" a="1"/>
  <c r="CL199" i="15" a="1"/>
  <c r="C222" i="15" a="1"/>
  <c r="BE173" i="15" a="1"/>
  <c r="AK222" i="15" a="1"/>
  <c r="R181" i="15" a="1"/>
  <c r="I189" i="15" a="1"/>
  <c r="L174" i="15" a="1"/>
  <c r="CD178" i="15" a="1"/>
  <c r="BJ189" i="15" a="1"/>
  <c r="Y177" i="15" a="1"/>
  <c r="AR176" i="15" a="1"/>
  <c r="AS187" i="15" a="1"/>
  <c r="CF215" i="15" a="1"/>
  <c r="AV205" i="15" a="1"/>
  <c r="BU215" i="15" a="1"/>
  <c r="G214" i="15" a="1"/>
  <c r="Z183" i="15" a="1"/>
  <c r="BF175" i="15" a="1"/>
  <c r="V211" i="15" a="1"/>
  <c r="BB222" i="15" a="1"/>
  <c r="AC208" i="15" a="1"/>
  <c r="BJ211" i="15" a="1"/>
  <c r="G168" i="15" a="1"/>
  <c r="P194" i="15" a="1"/>
  <c r="BD207" i="15" a="1"/>
  <c r="BB178" i="15" a="1"/>
  <c r="AO169" i="15" a="1"/>
  <c r="CD221" i="15" a="1"/>
  <c r="BQ179" i="15" a="1"/>
  <c r="E181" i="15" a="1"/>
  <c r="T201" i="15" a="1"/>
  <c r="Y193" i="15" a="1"/>
  <c r="AD216" i="15" a="1"/>
  <c r="C183" i="15" a="1"/>
  <c r="X210" i="15" a="1"/>
  <c r="CH167" i="15" a="1"/>
  <c r="BE194" i="15" a="1"/>
  <c r="Q200" i="15" a="1"/>
  <c r="AB220" i="15" a="1"/>
  <c r="BT185" i="15" a="1"/>
  <c r="F165" i="15" a="1"/>
  <c r="BE221" i="15" a="1"/>
  <c r="BQ215" i="15" a="1"/>
  <c r="BT180" i="15" a="1"/>
  <c r="CC197" i="15" a="1"/>
  <c r="H202" i="15" a="1"/>
  <c r="BT174" i="15" a="1"/>
  <c r="CL169" i="15" a="1"/>
  <c r="BL219" i="15" a="1"/>
  <c r="AA206" i="15" a="1"/>
  <c r="AH215" i="15" a="1"/>
  <c r="CL178" i="15" a="1"/>
  <c r="BB172" i="15" a="1"/>
  <c r="AH222" i="15" a="1"/>
  <c r="BG202" i="15" a="1"/>
  <c r="AG217" i="15" a="1"/>
  <c r="BO179" i="15" a="1"/>
  <c r="AC225" i="15" a="1"/>
  <c r="BU187" i="15" a="1"/>
  <c r="V207" i="15" a="1"/>
  <c r="BI178" i="15" a="1"/>
  <c r="H217" i="15" a="1"/>
  <c r="BM176" i="15" a="1"/>
  <c r="C193" i="15" a="1"/>
  <c r="AB184" i="15" a="1"/>
  <c r="BP200" i="15" a="1"/>
  <c r="AV189" i="15" a="1"/>
  <c r="B92" i="8"/>
  <c r="CD206" i="15" a="1"/>
  <c r="AM183" i="15" a="1"/>
  <c r="BB187" i="15" a="1"/>
  <c r="AN225" i="15" a="1"/>
  <c r="AO185" i="15" a="1"/>
  <c r="AT179" i="15" a="1"/>
  <c r="CE213" i="15" a="1"/>
  <c r="Z207" i="15" a="1"/>
  <c r="U178" i="15" a="1"/>
  <c r="R198" i="15" a="1"/>
  <c r="AU165" i="15" a="1"/>
  <c r="AL197" i="15" a="1"/>
  <c r="M217" i="15" a="1"/>
  <c r="CJ199" i="15" a="1"/>
  <c r="AG219" i="15" a="1"/>
  <c r="BC215" i="15" a="1"/>
  <c r="AK200" i="15" a="1"/>
  <c r="BN195" i="15" a="1"/>
  <c r="CG221" i="15" a="1"/>
  <c r="BI189" i="15" a="1"/>
  <c r="BJ178" i="15" a="1"/>
  <c r="CG173" i="15" a="1"/>
  <c r="U174" i="15" a="1"/>
  <c r="CJ171" i="15" a="1"/>
  <c r="CF169" i="15" a="1"/>
  <c r="AW182" i="15" a="1"/>
  <c r="K178" i="15" a="1"/>
  <c r="T211" i="15" a="1"/>
  <c r="D55" i="15" a="1"/>
  <c r="CN176" i="15" a="1"/>
  <c r="CN169" i="15" a="1"/>
  <c r="CN215" i="15" a="1"/>
  <c r="AA198" i="15" a="1"/>
  <c r="AF204" i="15" a="1"/>
  <c r="R176" i="15" a="1"/>
  <c r="CN172" i="15" a="1"/>
  <c r="CN165" i="15" a="1"/>
  <c r="N183" i="15" a="1"/>
  <c r="W199" i="15" a="1"/>
  <c r="CF218" i="15" a="1"/>
  <c r="O217" i="15" a="1"/>
  <c r="BH190" i="15" a="1"/>
  <c r="AF214" i="15" a="1"/>
  <c r="AS189" i="15" a="1"/>
  <c r="BJ224" i="15" a="1"/>
  <c r="BI180" i="15" a="1"/>
  <c r="T203" i="15" a="1"/>
  <c r="BN171" i="15" a="1"/>
  <c r="BK224" i="15" a="1"/>
  <c r="K207" i="15" a="1"/>
  <c r="T172" i="15" a="1"/>
  <c r="BC178" i="15" a="1"/>
  <c r="BU210" i="15" a="1"/>
  <c r="CL183" i="15" a="1"/>
  <c r="AA170" i="15" a="1"/>
  <c r="AE191" i="15" a="1"/>
  <c r="BK167" i="15" a="1"/>
  <c r="BP197" i="15" a="1"/>
  <c r="AH217" i="15" a="1"/>
  <c r="BP177" i="15" a="1"/>
  <c r="G171" i="15" a="1"/>
  <c r="V180" i="15" a="1"/>
  <c r="BA205" i="15" a="1"/>
  <c r="BO195" i="15" a="1"/>
  <c r="AK187" i="15" a="1"/>
  <c r="D51" i="15" a="1"/>
  <c r="U199" i="15" a="1"/>
  <c r="BP196" i="15" a="1"/>
  <c r="AG224" i="15" a="1"/>
  <c r="BP194" i="15" a="1"/>
  <c r="BO201" i="15" a="1"/>
  <c r="X225" i="15" a="1"/>
  <c r="U223" i="15" a="1"/>
  <c r="BT187" i="15" a="1"/>
  <c r="AK192" i="15" a="1"/>
  <c r="CJ194" i="15" a="1"/>
  <c r="AU179" i="15" a="1"/>
  <c r="BN220" i="15" a="1"/>
  <c r="R187" i="15" a="1"/>
  <c r="AX199" i="15" a="1"/>
  <c r="AL202" i="15" a="1"/>
  <c r="AX174" i="15" a="1"/>
  <c r="CD173" i="15" a="1"/>
  <c r="AH169" i="15" a="1"/>
  <c r="AH175" i="15" a="1"/>
  <c r="AP198" i="15" a="1"/>
  <c r="AP184" i="15" a="1"/>
  <c r="BG197" i="15" a="1"/>
  <c r="BD204" i="15" a="1"/>
  <c r="BA198" i="15" a="1"/>
  <c r="C175" i="15" a="1"/>
  <c r="CC182" i="15" a="1"/>
  <c r="H203" i="15" a="1"/>
  <c r="CK218" i="15" a="1"/>
  <c r="G185" i="15" a="1"/>
  <c r="BE204" i="15" a="1"/>
  <c r="R188" i="15" a="1"/>
  <c r="I174" i="15" a="1"/>
  <c r="CI222" i="15" a="1"/>
  <c r="AX165" i="15" a="1"/>
  <c r="AB190" i="15" a="1"/>
  <c r="L185" i="15" a="1"/>
  <c r="AR209" i="15" a="1"/>
  <c r="H206" i="15" a="1"/>
  <c r="CJ196" i="15" a="1"/>
  <c r="BT166" i="15" a="1"/>
  <c r="AF201" i="15" a="1"/>
  <c r="AU189" i="15" a="1"/>
  <c r="Y204" i="15" a="1"/>
  <c r="AY206" i="15" a="1"/>
  <c r="AO190" i="15" a="1"/>
  <c r="J222" i="15" a="1"/>
  <c r="AM189" i="15" a="1"/>
  <c r="U224" i="15" a="1"/>
  <c r="Y201" i="15" a="1"/>
  <c r="BJ205" i="15" a="1"/>
  <c r="AH168" i="15" a="1"/>
  <c r="U205" i="15" a="1"/>
  <c r="L175" i="15" a="1"/>
  <c r="CK222" i="15" a="1"/>
  <c r="CG168" i="15" a="1"/>
  <c r="CM208" i="15" a="1"/>
  <c r="Q193" i="15" a="1"/>
  <c r="K208" i="15" a="1"/>
  <c r="BL201" i="15" a="1"/>
  <c r="BC166" i="15" a="1"/>
  <c r="BN196" i="15" a="1"/>
  <c r="Z202" i="15" a="1"/>
  <c r="W224" i="15" a="1"/>
  <c r="X208" i="15" a="1"/>
  <c r="CC217" i="15" a="1"/>
  <c r="BM212" i="15" a="1"/>
  <c r="P192" i="15" a="1"/>
  <c r="CM176" i="15" a="1"/>
  <c r="BQ178" i="15" a="1"/>
  <c r="BH200" i="15" a="1"/>
  <c r="CE218" i="15" a="1"/>
  <c r="BD178" i="15" a="1"/>
  <c r="BN199" i="15" a="1"/>
  <c r="AG199" i="15" a="1"/>
  <c r="BG205" i="15" a="1"/>
  <c r="BV169" i="15" a="1"/>
  <c r="J176" i="15" a="1"/>
  <c r="BB189" i="15" a="1"/>
  <c r="C213" i="15" a="1"/>
  <c r="AV172" i="15" a="1"/>
  <c r="O206" i="15" a="1"/>
  <c r="Q170" i="15" a="1"/>
  <c r="BK209" i="15" a="1"/>
  <c r="BG170" i="15" a="1"/>
  <c r="W215" i="15" a="1"/>
  <c r="T215" i="15" a="1"/>
  <c r="Q221" i="15" a="1"/>
  <c r="CM178" i="15" a="1"/>
  <c r="BC165" i="15" a="1"/>
  <c r="BC174" i="15" a="1"/>
  <c r="BK216" i="15" a="1"/>
  <c r="BN218" i="15" a="1"/>
  <c r="CL166" i="15" a="1"/>
  <c r="BQ172" i="15" a="1"/>
  <c r="BT210" i="15" a="1"/>
  <c r="K223" i="15" a="1"/>
  <c r="AI174" i="15" a="1"/>
  <c r="AO179" i="15" a="1"/>
  <c r="X183" i="15" a="1"/>
  <c r="AV177" i="15" a="1"/>
  <c r="AJ193" i="15" a="1"/>
  <c r="BL217" i="15" a="1"/>
  <c r="BI224" i="15" a="1"/>
  <c r="AE166" i="15" a="1"/>
  <c r="C208" i="15" a="1"/>
  <c r="AW213" i="15" a="1"/>
  <c r="AZ220" i="15" a="1"/>
  <c r="AQ177" i="15" a="1"/>
  <c r="R208" i="15" a="1"/>
  <c r="AF180" i="15" a="1"/>
  <c r="B52" i="8"/>
  <c r="BB180" i="15" a="1"/>
  <c r="F188" i="15" a="1"/>
  <c r="AZ183" i="15" a="1"/>
  <c r="BB220" i="15" a="1"/>
  <c r="AN191" i="15" a="1"/>
  <c r="CG174" i="15" a="1"/>
  <c r="BP219" i="15" a="1"/>
  <c r="AR171" i="15" a="1"/>
  <c r="BE203" i="15" a="1"/>
  <c r="J196" i="15" a="1"/>
  <c r="BR222" i="15" a="1"/>
  <c r="M165" i="15" a="1"/>
  <c r="J173" i="15" a="1"/>
  <c r="F182" i="15" a="1"/>
  <c r="CJ175" i="15" a="1"/>
  <c r="AE192" i="15" a="1"/>
  <c r="BT211" i="15" a="1"/>
  <c r="BP211" i="15" a="1"/>
  <c r="AB225" i="15" a="1"/>
  <c r="AG206" i="15" a="1"/>
  <c r="AA212" i="15" a="1"/>
  <c r="AZ219" i="15" a="1"/>
  <c r="K182" i="15" a="1"/>
  <c r="CM188" i="15" a="1"/>
  <c r="BF204" i="15" a="1"/>
  <c r="AQ168" i="15" a="1"/>
  <c r="AK189" i="15" a="1"/>
  <c r="X167" i="15" a="1"/>
  <c r="AF196" i="15" a="1"/>
  <c r="BQ208" i="15" a="1"/>
  <c r="AO184" i="15" a="1"/>
  <c r="AQ181" i="15" a="1"/>
  <c r="K189" i="15" a="1"/>
  <c r="M200" i="15" a="1"/>
  <c r="AC199" i="15" a="1"/>
  <c r="N182" i="15" a="1"/>
  <c r="Z177" i="15" a="1"/>
  <c r="AE179" i="15" a="1"/>
  <c r="AT169" i="15" a="1"/>
  <c r="M208" i="15" a="1"/>
  <c r="Y207" i="15" a="1"/>
  <c r="BG165" i="15" a="1"/>
  <c r="CC196" i="15" a="1"/>
  <c r="K205" i="15" a="1"/>
  <c r="CE215" i="15" a="1"/>
  <c r="BD188" i="15" a="1"/>
  <c r="X223" i="15" a="1"/>
  <c r="BL173" i="15" a="1"/>
  <c r="AI211" i="15" a="1"/>
  <c r="AN189" i="15" a="1"/>
  <c r="BM211" i="15" a="1"/>
  <c r="BE225" i="15" a="1"/>
  <c r="BC173" i="15" a="1"/>
  <c r="BP202" i="15" a="1"/>
  <c r="AZ212" i="15" a="1"/>
  <c r="AP169" i="15" a="1"/>
  <c r="S202" i="15" a="1"/>
  <c r="BM221" i="15" a="1"/>
  <c r="AX197" i="15" a="1"/>
  <c r="BO168" i="15" a="1"/>
  <c r="AO189" i="15" a="1"/>
  <c r="BI223" i="15" a="1"/>
  <c r="AH173" i="15" a="1"/>
  <c r="BQ189" i="15" a="1"/>
  <c r="CK221" i="15" a="1"/>
  <c r="BR187" i="15" a="1"/>
  <c r="AZ217" i="15" a="1"/>
  <c r="BA169" i="15" a="1"/>
  <c r="AS194" i="15" a="1"/>
  <c r="BP193" i="15" a="1"/>
  <c r="I214" i="15" a="1"/>
  <c r="X178" i="15" a="1"/>
  <c r="AQ212" i="15" a="1"/>
  <c r="AR199" i="15" a="1"/>
  <c r="AA197" i="15" a="1"/>
  <c r="BG215" i="15" a="1"/>
  <c r="AM166" i="15" a="1"/>
  <c r="CI172" i="15" a="1"/>
  <c r="BP168" i="15" a="1"/>
  <c r="AF175" i="15" a="1"/>
  <c r="BT220" i="15" a="1"/>
  <c r="AM179" i="15" a="1"/>
  <c r="CE207" i="15" a="1"/>
  <c r="AX224" i="15" a="1"/>
  <c r="BD220" i="15" a="1"/>
  <c r="U169" i="15" a="1"/>
  <c r="BQ186" i="15" a="1"/>
  <c r="B122" i="8"/>
  <c r="BA166" i="15" a="1"/>
  <c r="N210" i="15" a="1"/>
  <c r="AB168" i="15" a="1"/>
  <c r="AN224" i="15" a="1"/>
  <c r="Y200" i="15" a="1"/>
  <c r="CK208" i="15" a="1"/>
  <c r="AS207" i="15" a="1"/>
  <c r="BM166" i="15" a="1"/>
  <c r="CF180" i="15" a="1"/>
  <c r="BO169" i="15" a="1"/>
  <c r="BV185" i="15" a="1"/>
  <c r="BV172" i="15" a="1"/>
  <c r="AE168" i="15" a="1"/>
  <c r="S182" i="15" a="1"/>
  <c r="BE219" i="15" a="1"/>
  <c r="BI181" i="15" a="1"/>
  <c r="F185" i="15" a="1"/>
  <c r="AV223" i="15" a="1"/>
  <c r="AR195" i="15" a="1"/>
  <c r="AL172" i="15" a="1"/>
  <c r="BH192" i="15" a="1"/>
  <c r="AG215" i="15" a="1"/>
  <c r="CI166" i="15" a="1"/>
  <c r="BE218" i="15" a="1"/>
  <c r="AM182" i="15" a="1"/>
  <c r="CG176" i="15" a="1"/>
  <c r="S224" i="15" a="1"/>
  <c r="S177" i="15" a="1"/>
  <c r="BF192" i="15" a="1"/>
  <c r="N212" i="15" a="1"/>
  <c r="AM180" i="15" a="1"/>
  <c r="AP200" i="15" a="1"/>
  <c r="AS173" i="15" a="1"/>
  <c r="V216" i="15" a="1"/>
  <c r="AA211" i="15" a="1"/>
  <c r="AX181" i="15" a="1"/>
  <c r="G181" i="15" a="1"/>
  <c r="AR218" i="15" a="1"/>
  <c r="BT168" i="15" a="1"/>
  <c r="BO225" i="15" a="1"/>
  <c r="CJ204" i="15" a="1"/>
  <c r="Q174" i="15" a="1"/>
  <c r="AZ216" i="15" a="1"/>
  <c r="AZ221" i="15" a="1"/>
  <c r="CE221" i="15" a="1"/>
  <c r="K191" i="15" a="1"/>
  <c r="O212" i="15" a="1"/>
  <c r="BK168" i="15" a="1"/>
  <c r="BJ214" i="15" a="1"/>
  <c r="K188" i="15" a="1"/>
  <c r="BE213" i="15" a="1"/>
  <c r="U214" i="15" a="1"/>
  <c r="BP210" i="15" a="1"/>
  <c r="AH197" i="15" a="1"/>
  <c r="BQ169" i="15" a="1"/>
  <c r="I225" i="15" a="1"/>
  <c r="AF167" i="15" a="1"/>
  <c r="Q196" i="15" a="1"/>
  <c r="BT169" i="15" a="1"/>
  <c r="F201" i="15" a="1"/>
  <c r="BF194" i="15" a="1"/>
  <c r="AD203" i="15" a="1"/>
  <c r="BC204" i="15" a="1"/>
  <c r="AJ198" i="15" a="1"/>
  <c r="BC224" i="15" a="1"/>
  <c r="AQ182" i="15" a="1"/>
  <c r="Z195" i="15" a="1"/>
  <c r="AW194" i="15" a="1"/>
  <c r="AY196" i="15" a="1"/>
  <c r="CG207" i="15" a="1"/>
  <c r="I212" i="15" a="1"/>
  <c r="AM194" i="15" a="1"/>
  <c r="AV193" i="15" a="1"/>
  <c r="AT177" i="15" a="1"/>
  <c r="N175" i="15" a="1"/>
  <c r="CC174" i="15" a="1"/>
  <c r="G170" i="15" a="1"/>
  <c r="AU181" i="15" a="1"/>
  <c r="CD201" i="15" a="1"/>
  <c r="CL175" i="15" a="1"/>
  <c r="M180" i="15" a="1"/>
  <c r="AH198" i="15" a="1"/>
  <c r="AM215" i="15" a="1"/>
  <c r="N202" i="15" a="1"/>
  <c r="H175" i="15" a="1"/>
  <c r="AH183" i="15" a="1"/>
  <c r="CN206" i="15" a="1"/>
  <c r="CN186" i="15" a="1"/>
  <c r="BQ207" i="15" a="1"/>
  <c r="BH188" i="15" a="1"/>
  <c r="BB207" i="15" a="1"/>
  <c r="S216" i="15" a="1"/>
  <c r="O211" i="15" a="1"/>
  <c r="AR192" i="15" a="1"/>
  <c r="AT197" i="15" a="1"/>
  <c r="AL204" i="15" a="1"/>
  <c r="AD208" i="15" a="1"/>
  <c r="BO167" i="15" a="1"/>
  <c r="AE185" i="15" a="1"/>
  <c r="V208" i="15" a="1"/>
  <c r="U208" i="15" a="1"/>
  <c r="BP182" i="15" a="1"/>
  <c r="AT192" i="15" a="1"/>
  <c r="AE224" i="15" a="1"/>
  <c r="AH192" i="15" a="1"/>
  <c r="CK179" i="15" a="1"/>
  <c r="AM219" i="15" a="1"/>
  <c r="AO214" i="15" a="1"/>
  <c r="Y223" i="15" a="1"/>
  <c r="CH225" i="15" a="1"/>
  <c r="N193" i="15" a="1"/>
  <c r="BR176" i="15" a="1"/>
  <c r="W222" i="15" a="1"/>
  <c r="B63" i="8"/>
  <c r="Z219" i="15" a="1"/>
  <c r="Z190" i="15" a="1"/>
  <c r="BP171" i="15" a="1"/>
  <c r="AG178" i="15" a="1"/>
  <c r="BC205" i="15" a="1"/>
  <c r="U175" i="15" a="1"/>
  <c r="Q206" i="15" a="1"/>
  <c r="AX215" i="15" a="1"/>
  <c r="X194" i="15" a="1"/>
  <c r="V202" i="15" a="1"/>
  <c r="Z212" i="15" a="1"/>
  <c r="AE196" i="15" a="1"/>
  <c r="AL168" i="15" a="1"/>
  <c r="BI200" i="15" a="1"/>
  <c r="W186" i="15" a="1"/>
  <c r="AT196" i="15" a="1"/>
  <c r="M212" i="15" a="1"/>
  <c r="CL179" i="15" a="1"/>
  <c r="CI223" i="15" a="1"/>
  <c r="CI206" i="15" a="1"/>
  <c r="CI180" i="15" a="1"/>
  <c r="BP174" i="15" a="1"/>
  <c r="U215" i="15" a="1"/>
  <c r="BE193" i="15" a="1"/>
  <c r="AQ199" i="15" a="1"/>
  <c r="E222" i="15" a="1"/>
  <c r="AL182" i="15" a="1"/>
  <c r="T185" i="15" a="1"/>
  <c r="BC220" i="15" a="1"/>
  <c r="J209" i="15" a="1"/>
  <c r="CG170" i="15" a="1"/>
  <c r="AN210" i="15" a="1"/>
  <c r="C166" i="15" a="1"/>
  <c r="BJ183" i="15" a="1"/>
  <c r="BT193" i="15" a="1"/>
  <c r="N195" i="15" a="1"/>
  <c r="BK165" i="15" a="1"/>
  <c r="BI175" i="15" a="1"/>
  <c r="AU224" i="15" a="1"/>
  <c r="AM209" i="15" a="1"/>
  <c r="CJ215" i="15" a="1"/>
  <c r="CE210" i="15" a="1"/>
  <c r="CE180" i="15" a="1"/>
  <c r="BI168" i="15" a="1"/>
  <c r="CI193" i="15" a="1"/>
  <c r="AT220" i="15" a="1"/>
  <c r="CD200" i="15" a="1"/>
  <c r="AH171" i="15" a="1"/>
  <c r="Q219" i="15" a="1"/>
  <c r="CG196" i="15" a="1"/>
  <c r="Q225" i="15" a="1"/>
  <c r="BN201" i="15" a="1"/>
  <c r="BH195" i="15" a="1"/>
  <c r="CC175" i="15" a="1"/>
  <c r="Z174" i="15" a="1"/>
  <c r="F169" i="15" a="1"/>
  <c r="CD225" i="15" a="1"/>
  <c r="BL194" i="15" a="1"/>
  <c r="BR205" i="15" a="1"/>
  <c r="AW205" i="15" a="1"/>
  <c r="CE187" i="15" a="1"/>
  <c r="BT217" i="15" a="1"/>
  <c r="P204" i="15" a="1"/>
  <c r="AV198" i="15" a="1"/>
  <c r="CI195" i="15" a="1"/>
  <c r="AO218" i="15" a="1"/>
  <c r="O223" i="15" a="1"/>
  <c r="CL181" i="15" a="1"/>
  <c r="U221" i="15" a="1"/>
  <c r="CL170" i="15" a="1"/>
  <c r="BR207" i="15" a="1"/>
  <c r="BV186" i="15" a="1"/>
  <c r="CL187" i="15" a="1"/>
  <c r="O195" i="15" a="1"/>
  <c r="AO195" i="15" a="1"/>
  <c r="BH215" i="15" a="1"/>
  <c r="AW216" i="15" a="1"/>
  <c r="AY192" i="15" a="1"/>
  <c r="CC206" i="15" a="1"/>
  <c r="BP173" i="15" a="1"/>
  <c r="AK215" i="15" a="1"/>
  <c r="BI183" i="15" a="1"/>
  <c r="AI186" i="15" a="1"/>
  <c r="AN208" i="15" a="1"/>
  <c r="AP180" i="15" a="1"/>
  <c r="BO221" i="15" a="1"/>
  <c r="Y199" i="15" a="1"/>
  <c r="AZ174" i="15" a="1"/>
  <c r="AI192" i="15" a="1"/>
  <c r="BE208" i="15" a="1"/>
  <c r="CC224" i="15" a="1"/>
  <c r="C179" i="15" a="1"/>
  <c r="BG189" i="15" a="1"/>
  <c r="AO194" i="15" a="1"/>
  <c r="BC181" i="15" a="1"/>
  <c r="BA188" i="15" a="1"/>
  <c r="V223" i="15" a="1"/>
  <c r="C182" i="15" a="1"/>
  <c r="AF189" i="15" a="1"/>
  <c r="BU209" i="15" a="1"/>
  <c r="CG180" i="15" a="1"/>
  <c r="BS204" i="15" a="1"/>
  <c r="CM215" i="15" a="1"/>
  <c r="AN183" i="15" a="1"/>
  <c r="AO200" i="15" a="1"/>
  <c r="BC192" i="15" a="1"/>
  <c r="G213" i="15" a="1"/>
  <c r="AO171" i="15" a="1"/>
  <c r="BU191" i="15" a="1"/>
  <c r="BH194" i="15" a="1"/>
  <c r="AE198" i="15" a="1"/>
  <c r="Z197" i="15" a="1"/>
  <c r="CC225" i="15" a="1"/>
  <c r="H225" i="15" a="1"/>
  <c r="G208" i="15" a="1"/>
  <c r="BA168" i="15" a="1"/>
  <c r="BK200" i="15" a="1"/>
  <c r="V195" i="15" a="1"/>
  <c r="AI201" i="15" a="1"/>
  <c r="AY172" i="15" a="1"/>
  <c r="AG172" i="15" a="1"/>
  <c r="E208" i="15" a="1"/>
  <c r="BM197" i="15" a="1"/>
  <c r="BN178" i="15" a="1"/>
  <c r="T222" i="15" a="1"/>
  <c r="S170" i="15" a="1"/>
  <c r="F217" i="15" a="1"/>
  <c r="K211" i="15" a="1"/>
  <c r="AW172" i="15" a="1"/>
  <c r="M210" i="15" a="1"/>
  <c r="AU187" i="15" a="1"/>
  <c r="AM169" i="15" a="1"/>
  <c r="AR205" i="15" a="1"/>
  <c r="O174" i="15" a="1"/>
  <c r="BO217" i="15" a="1"/>
  <c r="BH205" i="15" a="1"/>
  <c r="BR213" i="15" a="1"/>
  <c r="E174" i="15" a="1"/>
  <c r="F190" i="15" a="1"/>
  <c r="AR219" i="15" a="1"/>
  <c r="CG171" i="15" a="1"/>
  <c r="J194" i="15" a="1"/>
  <c r="V196" i="15" a="1"/>
  <c r="AR170" i="15" a="1"/>
  <c r="V200" i="15" a="1"/>
  <c r="BM199" i="15" a="1"/>
  <c r="E183" i="15" a="1"/>
  <c r="BJ216" i="15" a="1"/>
  <c r="Z173" i="15" a="1"/>
  <c r="V165" i="15" a="1"/>
  <c r="AW208" i="15" a="1"/>
  <c r="AO191" i="15" a="1"/>
  <c r="F223" i="15" a="1"/>
  <c r="U210" i="15" a="1"/>
  <c r="X177" i="15" a="1"/>
  <c r="CL168" i="15" a="1"/>
  <c r="Z165" i="15" a="1"/>
  <c r="CM177" i="15" a="1"/>
  <c r="AB193" i="15" a="1"/>
  <c r="D49" i="15" a="1"/>
  <c r="W209" i="15" a="1"/>
  <c r="G210" i="15" a="1"/>
  <c r="AT213" i="15" a="1"/>
  <c r="BV207" i="15" a="1"/>
  <c r="L188" i="15" a="1"/>
  <c r="BE183" i="15" a="1"/>
  <c r="AQ195" i="15" a="1"/>
  <c r="AH203" i="15" a="1"/>
  <c r="U177" i="15" a="1"/>
  <c r="P175" i="15" a="1"/>
  <c r="BG216" i="15" a="1"/>
  <c r="CI165" i="15" a="1"/>
  <c r="R192" i="15" a="1"/>
  <c r="AX177" i="15" a="1"/>
  <c r="T171" i="15" a="1"/>
  <c r="H204" i="15" a="1"/>
  <c r="BH176" i="15" a="1"/>
  <c r="AS165" i="15" a="1"/>
  <c r="BT202" i="15" a="1"/>
  <c r="BA177" i="15" a="1"/>
  <c r="AX180" i="15" a="1"/>
  <c r="F191" i="15" a="1"/>
  <c r="CG195" i="15" a="1"/>
  <c r="BM182" i="15" a="1"/>
  <c r="CJ176" i="15" a="1"/>
  <c r="AQ215" i="15" a="1"/>
  <c r="AZ188" i="15" a="1"/>
  <c r="AM220" i="15" a="1"/>
  <c r="H208" i="15" a="1"/>
  <c r="X222" i="15" a="1"/>
  <c r="AL190" i="15" a="1"/>
  <c r="BF225" i="15" a="1"/>
  <c r="AW193" i="15" a="1"/>
  <c r="M206" i="15" a="1"/>
  <c r="AY183" i="15" a="1"/>
  <c r="AJ210" i="15" a="1"/>
  <c r="C200" i="15" a="1"/>
  <c r="Q207" i="15" a="1"/>
  <c r="AQ174" i="15" a="1"/>
  <c r="U186" i="15" a="1"/>
  <c r="BJ181" i="15" a="1"/>
  <c r="BH178" i="15" a="1"/>
  <c r="BK194" i="15" a="1"/>
  <c r="AL183" i="15" a="1"/>
  <c r="BJ184" i="15" a="1"/>
  <c r="AM193" i="15" a="1"/>
  <c r="I191" i="15" a="1"/>
  <c r="CI169" i="15" a="1"/>
  <c r="E195" i="15" a="1"/>
  <c r="BH203" i="15" a="1"/>
  <c r="CD172" i="15" a="1"/>
  <c r="AK175" i="15" a="1"/>
  <c r="CI213" i="15" a="1"/>
  <c r="CD181" i="15" a="1"/>
  <c r="CF179" i="15" a="1"/>
  <c r="AX202" i="15" a="1"/>
  <c r="W172" i="15" a="1"/>
  <c r="I175" i="15" a="1"/>
  <c r="AC210" i="15" a="1"/>
  <c r="BI218" i="15" a="1"/>
  <c r="BN184" i="15" a="1"/>
  <c r="T219" i="15" a="1"/>
  <c r="CC199" i="15" a="1"/>
  <c r="AE207" i="15" a="1"/>
  <c r="AQ170" i="15" a="1"/>
  <c r="I221" i="15" a="1"/>
  <c r="BJ196" i="15" a="1"/>
  <c r="Z210" i="15" a="1"/>
  <c r="AS174" i="15" a="1"/>
  <c r="AW222" i="15" a="1"/>
  <c r="CJ225" i="15" a="1"/>
  <c r="L221" i="15" a="1"/>
  <c r="AV199" i="15" a="1"/>
  <c r="M209" i="15" a="1"/>
  <c r="CH180" i="15" a="1"/>
  <c r="BN172" i="15" a="1"/>
  <c r="W182" i="15" a="1"/>
  <c r="AC176" i="15" a="1"/>
  <c r="BV194" i="15" a="1"/>
  <c r="AC172" i="15" a="1"/>
  <c r="BJ190" i="15" a="1"/>
  <c r="R183" i="15" a="1"/>
  <c r="CE168" i="15" a="1"/>
  <c r="CF170" i="15" a="1"/>
  <c r="I192" i="15" a="1"/>
  <c r="AL167" i="15" a="1"/>
  <c r="R205" i="15" a="1"/>
  <c r="AK177" i="15" a="1"/>
  <c r="AM170" i="15" a="1"/>
  <c r="T223" i="15" a="1"/>
  <c r="E192" i="15" a="1"/>
  <c r="Y198" i="15" a="1"/>
  <c r="BR165" i="15" a="1"/>
  <c r="AW221" i="15" a="1"/>
  <c r="CF177" i="15" a="1"/>
  <c r="R189" i="15" a="1"/>
  <c r="CK225" i="15" a="1"/>
  <c r="BE216" i="15" a="1"/>
  <c r="AL179" i="15" a="1"/>
  <c r="BU183" i="15" a="1"/>
  <c r="G178" i="15" a="1"/>
  <c r="CL172" i="15" a="1"/>
  <c r="BM205" i="15" a="1"/>
  <c r="T225" i="15" a="1"/>
  <c r="AM211" i="15" a="1"/>
  <c r="BH193" i="15" a="1"/>
  <c r="BB210" i="15" a="1"/>
  <c r="P212" i="15" a="1"/>
  <c r="AR221" i="15" a="1"/>
  <c r="CH204" i="15" a="1"/>
  <c r="M220" i="15" a="1"/>
  <c r="BF191" i="15" a="1"/>
  <c r="CI182" i="15" a="1"/>
  <c r="X224" i="15" a="1"/>
  <c r="V186" i="15" a="1"/>
  <c r="X173" i="15" a="1"/>
  <c r="AK198" i="15" a="1"/>
  <c r="BE170" i="15" a="1"/>
  <c r="AH204" i="15" a="1"/>
  <c r="BC190" i="15" a="1"/>
  <c r="BD210" i="15" a="1"/>
  <c r="BV196" i="15" a="1"/>
  <c r="AA185" i="15" a="1"/>
  <c r="Y202" i="15" a="1"/>
  <c r="E176" i="15" a="1"/>
  <c r="E207" i="15" a="1"/>
  <c r="AW197" i="15" a="1"/>
  <c r="AM173" i="15" a="1"/>
  <c r="CM174" i="15" a="1"/>
  <c r="N177" i="15" a="1"/>
  <c r="CN197" i="15" a="1"/>
  <c r="CN220" i="15" a="1"/>
  <c r="CN218" i="15" a="1"/>
  <c r="CN177" i="15" a="1"/>
  <c r="C186" i="15" a="1"/>
  <c r="AD177" i="15" a="1"/>
  <c r="BU198" i="15" a="1"/>
  <c r="CN201" i="15" a="1"/>
  <c r="CN168" i="15" a="1"/>
  <c r="AG187" i="15" a="1"/>
  <c r="AN200" i="15" a="1"/>
  <c r="Z169" i="15" a="1"/>
  <c r="CF176" i="15" a="1"/>
  <c r="CH196" i="15" a="1"/>
  <c r="BG204" i="15" a="1"/>
  <c r="AQ217" i="15" a="1"/>
  <c r="BF223" i="15" a="1"/>
  <c r="AX210" i="15" a="1"/>
  <c r="CH224" i="15" a="1"/>
  <c r="BO224" i="15" a="1"/>
  <c r="BQ190" i="15" a="1"/>
  <c r="X187" i="15" a="1"/>
  <c r="H169" i="15" a="1"/>
  <c r="AP220" i="15" a="1"/>
  <c r="CG205" i="15" a="1"/>
  <c r="AA190" i="15" a="1"/>
  <c r="AT224" i="15" a="1"/>
  <c r="BU186" i="15" a="1"/>
  <c r="AO199" i="15" a="1"/>
  <c r="AK193" i="15" a="1"/>
  <c r="M182" i="15" a="1"/>
  <c r="B56" i="8"/>
  <c r="AC200" i="15" a="1"/>
  <c r="BO218" i="15" a="1"/>
  <c r="BC194" i="15" a="1"/>
  <c r="S201" i="15" a="1"/>
  <c r="BD165" i="15" a="1"/>
  <c r="Q213" i="15" a="1"/>
  <c r="BT182" i="15" a="1"/>
  <c r="AY188" i="15" a="1"/>
  <c r="L208" i="15" a="1"/>
  <c r="CH208" i="15" a="1"/>
  <c r="CI220" i="15" a="1"/>
  <c r="AH170" i="15" a="1"/>
  <c r="C170" i="15" a="1"/>
  <c r="H166" i="15" a="1"/>
  <c r="S219" i="15" a="1"/>
  <c r="BI206" i="15" a="1"/>
  <c r="N214" i="15" a="1"/>
  <c r="CD177" i="15" a="1"/>
  <c r="O105" i="8" a="1"/>
  <c r="O46" i="8" a="1"/>
  <c r="O110" i="8" a="1"/>
  <c r="O99" i="8" a="1"/>
  <c r="O68" i="8" a="1"/>
  <c r="O59" i="8" a="1"/>
  <c r="O78" i="8" a="1"/>
  <c r="O97" i="8" a="1"/>
  <c r="O60" i="8" a="1"/>
  <c r="M35" i="359" a="1"/>
  <c r="P35" i="359" a="1"/>
  <c r="S35" i="359" a="1"/>
  <c r="V35" i="359" a="1"/>
  <c r="AC35" i="359" a="1"/>
  <c r="B35" i="359" a="1"/>
  <c r="F35" i="359" a="1"/>
  <c r="G215" i="15" a="1"/>
  <c r="CJ200" i="15" a="1"/>
  <c r="Y219" i="15" a="1"/>
  <c r="BT208" i="15" a="1"/>
  <c r="AW186" i="15" a="1"/>
  <c r="L169" i="15" a="1"/>
  <c r="BQ181" i="15" a="1"/>
  <c r="U192" i="15" a="1"/>
  <c r="Z170" i="15" a="1"/>
  <c r="BN225" i="15" a="1"/>
  <c r="F218" i="15" a="1"/>
  <c r="CF193" i="15" a="1"/>
  <c r="BV203" i="15" a="1"/>
  <c r="AV224" i="15" a="1"/>
  <c r="F213" i="15" a="1"/>
  <c r="K204" i="15" a="1"/>
  <c r="U167" i="15" a="1"/>
  <c r="AQ169" i="15" a="1"/>
  <c r="CJ169" i="15" a="1"/>
  <c r="BA207" i="15" a="1"/>
  <c r="S180" i="15" a="1"/>
  <c r="AE167" i="15" a="1"/>
  <c r="O172" i="15" a="1"/>
  <c r="CK183" i="15" a="1"/>
  <c r="AM197" i="15" a="1"/>
  <c r="CE172" i="15" a="1"/>
  <c r="BE191" i="15" a="1"/>
  <c r="AF224" i="15" a="1"/>
  <c r="T196" i="15" a="1"/>
  <c r="BL170" i="15" a="1"/>
  <c r="B95" i="8"/>
  <c r="AZ201" i="15" a="1"/>
  <c r="B93" i="8"/>
  <c r="T173" i="15" a="1"/>
  <c r="BR223" i="15" a="1"/>
  <c r="BK217" i="15" a="1"/>
  <c r="CC188" i="15" a="1"/>
  <c r="Q224" i="15" a="1"/>
  <c r="CF186" i="15" a="1"/>
  <c r="BL193" i="15" a="1"/>
  <c r="BJ171" i="15" a="1"/>
  <c r="BL171" i="15" a="1"/>
  <c r="AB186" i="15" a="1"/>
  <c r="AM212" i="15" a="1"/>
  <c r="BT192" i="15" a="1"/>
  <c r="BG199" i="15" a="1"/>
  <c r="J190" i="15" a="1"/>
  <c r="AY185" i="15" a="1"/>
  <c r="AL223" i="15" a="1"/>
  <c r="AR202" i="15" a="1"/>
  <c r="BK171" i="15" a="1"/>
  <c r="W203" i="15" a="1"/>
  <c r="BH207" i="15" a="1"/>
  <c r="AZ176" i="15" a="1"/>
  <c r="BK195" i="15" a="1"/>
  <c r="Y221" i="15" a="1"/>
  <c r="W211" i="15" a="1"/>
  <c r="AG200" i="15" a="1"/>
  <c r="CE178" i="15" a="1"/>
  <c r="AL200" i="15" a="1"/>
  <c r="Z172" i="15" a="1"/>
  <c r="I197" i="15" a="1"/>
  <c r="AI165" i="15" a="1"/>
  <c r="AW209" i="15" a="1"/>
  <c r="AK195" i="15" a="1"/>
  <c r="CM182" i="15" a="1"/>
  <c r="AS222" i="15" a="1"/>
  <c r="N204" i="15" a="1"/>
  <c r="AE223" i="15" a="1"/>
  <c r="BB168" i="15" a="1"/>
  <c r="X199" i="15" a="1"/>
  <c r="BH181" i="15" a="1"/>
  <c r="BI204" i="15" a="1"/>
  <c r="CJ211" i="15" a="1"/>
  <c r="H170" i="15" a="1"/>
  <c r="AF197" i="15" a="1"/>
  <c r="AV220" i="15" a="1"/>
  <c r="AW176" i="15" a="1"/>
  <c r="C217" i="15" a="1"/>
  <c r="BR172" i="15" a="1"/>
  <c r="V182" i="15" a="1"/>
  <c r="AS201" i="15" a="1"/>
  <c r="R178" i="15" a="1"/>
  <c r="AK166" i="15" a="1"/>
  <c r="BU202" i="15" a="1"/>
  <c r="Z205" i="15" a="1"/>
  <c r="BK173" i="15" a="1"/>
  <c r="AC168" i="15" a="1"/>
  <c r="AN178" i="15" a="1"/>
  <c r="E190" i="15" a="1"/>
  <c r="CH169" i="15" a="1"/>
  <c r="P197" i="15" a="1"/>
  <c r="X218" i="15" a="1"/>
  <c r="AY203" i="15" a="1"/>
  <c r="AT221" i="15" a="1"/>
  <c r="AK199" i="15" a="1"/>
  <c r="T191" i="15" a="1"/>
  <c r="CM201" i="15" a="1"/>
  <c r="R165" i="15" a="1"/>
  <c r="CF174" i="15" a="1"/>
  <c r="X190" i="15" a="1"/>
  <c r="AR168" i="15" a="1"/>
  <c r="AG177" i="15" a="1"/>
  <c r="BB212" i="15" a="1"/>
  <c r="CC178" i="15" a="1"/>
  <c r="AA219" i="15" a="1"/>
  <c r="AV221" i="15" a="1"/>
  <c r="BN188" i="15" a="1"/>
  <c r="BB183" i="15" a="1"/>
  <c r="BP218" i="15" a="1"/>
  <c r="BR169" i="15" a="1"/>
  <c r="N198" i="15" a="1"/>
  <c r="AK179" i="15" a="1"/>
  <c r="F178" i="15" a="1"/>
  <c r="AG201" i="15" a="1"/>
  <c r="O215" i="15" a="1"/>
  <c r="AL173" i="15" a="1"/>
  <c r="K176" i="15" a="1"/>
  <c r="BC182" i="15" a="1"/>
  <c r="AT195" i="15" a="1"/>
  <c r="AT193" i="15" a="1"/>
  <c r="L218" i="15" a="1"/>
  <c r="CE186" i="15" a="1"/>
  <c r="AP178" i="15" a="1"/>
  <c r="AP212" i="15" a="1"/>
  <c r="AU191" i="15" a="1"/>
  <c r="E178" i="15" a="1"/>
  <c r="CG203" i="15" a="1"/>
  <c r="BL186" i="15" a="1"/>
  <c r="S209" i="15" a="1"/>
  <c r="AY165" i="15" a="1"/>
  <c r="CI177" i="15" a="1"/>
  <c r="AC174" i="15" a="1"/>
  <c r="AX176" i="15" a="1"/>
  <c r="AM174" i="15" a="1"/>
  <c r="BU168" i="15" a="1"/>
  <c r="BV170" i="15" a="1"/>
  <c r="Y214" i="15" a="1"/>
  <c r="BA181" i="15" a="1"/>
  <c r="BG201" i="15" a="1"/>
  <c r="D48" i="15" a="1"/>
  <c r="BT219" i="15" a="1"/>
  <c r="AS224" i="15" a="1"/>
  <c r="AM210" i="15" a="1"/>
  <c r="CF221" i="15" a="1"/>
  <c r="AK184" i="15" a="1"/>
  <c r="BK188" i="15" a="1"/>
  <c r="Y174" i="15" a="1"/>
  <c r="AL176" i="15" a="1"/>
  <c r="AA175" i="15" a="1"/>
  <c r="BH199" i="15" a="1"/>
  <c r="AG208" i="15" a="1"/>
  <c r="AQ179" i="15" a="1"/>
  <c r="BJ210" i="15" a="1"/>
  <c r="BT212" i="15" a="1"/>
  <c r="L203" i="15" a="1"/>
  <c r="C168" i="15" a="1"/>
  <c r="Q191" i="15" a="1"/>
  <c r="U194" i="15" a="1"/>
  <c r="AK214" i="15" a="1"/>
  <c r="AC178" i="15" a="1"/>
  <c r="CH219" i="15" a="1"/>
  <c r="CE166" i="15" a="1"/>
  <c r="CF189" i="15" a="1"/>
  <c r="AR188" i="15" a="1"/>
  <c r="I204" i="15" a="1"/>
  <c r="CC184" i="15" a="1"/>
  <c r="W191" i="15" a="1"/>
  <c r="K175" i="15" a="1"/>
  <c r="E201" i="15" a="1"/>
  <c r="AB206" i="15" a="1"/>
  <c r="BM194" i="15" a="1"/>
  <c r="BV188" i="15" a="1"/>
  <c r="BV175" i="15" a="1"/>
  <c r="AC179" i="15" a="1"/>
  <c r="BB186" i="15" a="1"/>
  <c r="AI223" i="15" a="1"/>
  <c r="AK218" i="15" a="1"/>
  <c r="BG191" i="15" a="1"/>
  <c r="CJ209" i="15" a="1"/>
  <c r="AH182" i="15" a="1"/>
  <c r="BM214" i="15" a="1"/>
  <c r="BQ203" i="15" a="1"/>
  <c r="BH210" i="15" a="1"/>
  <c r="AR191" i="15" a="1"/>
  <c r="V215" i="15" a="1"/>
  <c r="N203" i="15" a="1"/>
  <c r="S167" i="15" a="1"/>
  <c r="BE172" i="15" a="1"/>
  <c r="BH221" i="15" a="1"/>
  <c r="S190" i="15" a="1"/>
  <c r="C172" i="15" a="1"/>
  <c r="J169" i="15" a="1"/>
  <c r="BD175" i="15" a="1"/>
  <c r="BP222" i="15" a="1"/>
  <c r="BR219" i="15" a="1"/>
  <c r="BR193" i="15" a="1"/>
  <c r="BQ193" i="15" a="1"/>
  <c r="T205" i="15" a="1"/>
  <c r="Y168" i="15" a="1"/>
  <c r="BS201" i="15" a="1"/>
  <c r="B94" i="8"/>
  <c r="L165" i="15" a="1"/>
  <c r="AW183" i="15" a="1"/>
  <c r="BD190" i="15" a="1"/>
  <c r="CM217" i="15" a="1"/>
  <c r="AG194" i="15" a="1"/>
  <c r="C202" i="15" a="1"/>
  <c r="CL186" i="15" a="1"/>
  <c r="AB200" i="15" a="1"/>
  <c r="T174" i="15" a="1"/>
  <c r="AF195" i="15" a="1"/>
  <c r="CL221" i="15" a="1"/>
  <c r="AD165" i="15" a="1"/>
  <c r="AA180" i="15" a="1"/>
  <c r="B65" i="8"/>
  <c r="AV191" i="15" a="1"/>
  <c r="AJ195" i="15" a="1"/>
  <c r="Z185" i="15" a="1"/>
  <c r="BJ185" i="15" a="1"/>
  <c r="G182" i="15" a="1"/>
  <c r="K198" i="15" a="1"/>
  <c r="BH179" i="15" a="1"/>
  <c r="Y222" i="15" a="1"/>
  <c r="AA173" i="15" a="1"/>
  <c r="S166" i="15" a="1"/>
  <c r="BN179" i="15" a="1"/>
  <c r="AD193" i="15" a="1"/>
  <c r="BI213" i="15" a="1"/>
  <c r="AZ179" i="15" a="1"/>
  <c r="BN166" i="15" a="1"/>
  <c r="F205" i="15" a="1"/>
  <c r="CD211" i="15" a="1"/>
  <c r="BC185" i="15" a="1"/>
  <c r="CM204" i="15" a="1"/>
  <c r="BR173" i="15" a="1"/>
  <c r="BD222" i="15" a="1"/>
  <c r="F198" i="15" a="1"/>
  <c r="BT170" i="15" a="1"/>
  <c r="U217" i="15" a="1"/>
  <c r="P207" i="15" a="1"/>
  <c r="BN203" i="15" a="1"/>
  <c r="E179" i="15" a="1"/>
  <c r="Y210" i="15" a="1"/>
  <c r="AE200" i="15" a="1"/>
  <c r="F214" i="15" a="1"/>
  <c r="AQ173" i="15" a="1"/>
  <c r="BD200" i="15" a="1"/>
  <c r="BM184" i="15" a="1"/>
  <c r="BU182" i="15" a="1"/>
  <c r="BI166" i="15" a="1"/>
  <c r="CI189" i="15" a="1"/>
  <c r="R166" i="15" a="1"/>
  <c r="BL204" i="15" a="1"/>
  <c r="AQ194" i="15" a="1"/>
  <c r="Q214" i="15" a="1"/>
  <c r="E194" i="15" a="1"/>
  <c r="K225" i="15" a="1"/>
  <c r="AI177" i="15" a="1"/>
  <c r="AD212" i="15" a="1"/>
  <c r="BP166" i="15" a="1"/>
  <c r="BK178" i="15" a="1"/>
  <c r="AJ181" i="15" a="1"/>
  <c r="B83" i="8"/>
  <c r="H168" i="15" a="1"/>
  <c r="AZ209" i="15" a="1"/>
  <c r="CM183" i="15" a="1"/>
  <c r="K185" i="15" a="1"/>
  <c r="BP189" i="15" a="1"/>
  <c r="BA178" i="15" a="1"/>
  <c r="BV183" i="15" a="1"/>
  <c r="BH214" i="15" a="1"/>
  <c r="BV165" i="15" a="1"/>
  <c r="AN202" i="15" a="1"/>
  <c r="S213" i="15" a="1"/>
  <c r="AB172" i="15" a="1"/>
  <c r="AV206" i="15" a="1"/>
  <c r="AW199" i="15" a="1"/>
  <c r="AQ187" i="15" a="1"/>
  <c r="CD170" i="15" a="1"/>
  <c r="AN211" i="15" a="1"/>
  <c r="BN177" i="15" a="1"/>
  <c r="CE220" i="15" a="1"/>
  <c r="AJ201" i="15" a="1"/>
  <c r="E189" i="15" a="1"/>
  <c r="BA189" i="15" a="1"/>
  <c r="N199" i="15" a="1"/>
  <c r="BF185" i="15" a="1"/>
  <c r="I190" i="15" a="1"/>
  <c r="AT219" i="15" a="1"/>
  <c r="CK176" i="15" a="1"/>
  <c r="S212" i="15" a="1"/>
  <c r="K199" i="15" a="1"/>
  <c r="I215" i="15" a="1"/>
  <c r="CD207" i="15" a="1"/>
  <c r="CM214" i="15" a="1"/>
  <c r="AE222" i="15" a="1"/>
  <c r="AL224" i="15" a="1"/>
  <c r="B45" i="8"/>
  <c r="BC223" i="15" a="1"/>
  <c r="AZ218" i="15" a="1"/>
  <c r="P180" i="15" a="1"/>
  <c r="U165" i="15" a="1"/>
  <c r="CK203" i="15" a="1"/>
  <c r="F210" i="15" a="1"/>
  <c r="BM213" i="15" a="1"/>
  <c r="BS171" i="15" a="1"/>
  <c r="AJ219" i="15" a="1"/>
  <c r="BE181" i="15" a="1"/>
  <c r="AA194" i="15" a="1"/>
  <c r="AN170" i="15" a="1"/>
  <c r="CC204" i="15" a="1"/>
  <c r="BP198" i="15" a="1"/>
  <c r="AR211" i="15" a="1"/>
  <c r="BB167" i="15" a="1"/>
  <c r="AH184" i="15" a="1"/>
  <c r="R191" i="15" a="1"/>
  <c r="CN195" i="15" a="1"/>
  <c r="C55" i="15" a="1"/>
  <c r="CN210" i="15" a="1"/>
  <c r="CN188" i="15" a="1"/>
  <c r="C167" i="15" a="1"/>
  <c r="CM194" i="15" a="1"/>
  <c r="CN225" i="15" a="1"/>
  <c r="CN224" i="15" a="1"/>
  <c r="AL171" i="15" a="1"/>
  <c r="BM181" i="15" a="1"/>
  <c r="AC213" i="15" a="1"/>
  <c r="AH186" i="15" a="1"/>
  <c r="BO186" i="15" a="1"/>
  <c r="CH205" i="15" a="1"/>
  <c r="BN197" i="15" a="1"/>
  <c r="BE165" i="15" a="1"/>
  <c r="AP213" i="15" a="1"/>
  <c r="CF187" i="15" a="1"/>
  <c r="BL180" i="15" a="1"/>
  <c r="W178" i="15" a="1"/>
  <c r="K219" i="15" a="1"/>
  <c r="P178" i="15" a="1"/>
  <c r="CC211" i="15" a="1"/>
  <c r="U200" i="15" a="1"/>
  <c r="W177" i="15" a="1"/>
  <c r="H179" i="15" a="1"/>
  <c r="BT165" i="15" a="1"/>
  <c r="CG199" i="15" a="1"/>
  <c r="CG218" i="15" a="1"/>
  <c r="W219" i="15" a="1"/>
  <c r="L198" i="15" a="1"/>
  <c r="BL205" i="15" a="1"/>
  <c r="AA193" i="15" a="1"/>
  <c r="BS203" i="15" a="1"/>
  <c r="AO209" i="15" a="1"/>
  <c r="AX171" i="15" a="1"/>
  <c r="BJ187" i="15" a="1"/>
  <c r="BU167" i="15" a="1"/>
  <c r="J177" i="15" a="1"/>
  <c r="AH209" i="15" a="1"/>
  <c r="AJ174" i="15" a="1"/>
  <c r="BG185" i="15" a="1"/>
  <c r="CC192" i="15" a="1"/>
  <c r="AS204" i="15" a="1"/>
  <c r="L195" i="15" a="1"/>
  <c r="AE190" i="15" a="1"/>
  <c r="AX205" i="15" a="1"/>
  <c r="BN168" i="15" a="1"/>
  <c r="BN212" i="15" a="1"/>
  <c r="H219" i="15" a="1"/>
  <c r="C187" i="15" a="1"/>
  <c r="L205" i="15" a="1"/>
  <c r="J172" i="15" a="1"/>
  <c r="X169" i="15" a="1"/>
  <c r="BR215" i="15" a="1"/>
  <c r="AN179" i="15" a="1"/>
  <c r="BL191" i="15" a="1"/>
  <c r="BQ171" i="15" a="1"/>
  <c r="AI172" i="15" a="1"/>
  <c r="C173" i="15" a="1"/>
  <c r="CC166" i="15" a="1"/>
  <c r="BV167" i="15" a="1"/>
  <c r="Y186" i="15" a="1"/>
  <c r="BG184" i="15" a="1"/>
  <c r="AD195" i="15" a="1"/>
  <c r="AW177" i="15" a="1"/>
  <c r="Z200" i="15" a="1"/>
  <c r="AY216" i="15" a="1"/>
  <c r="AV209" i="15" a="1"/>
  <c r="CC216" i="15" a="1"/>
  <c r="CC193" i="15" a="1"/>
  <c r="BH170" i="15" a="1"/>
  <c r="G199" i="15" a="1"/>
  <c r="CM189" i="15" a="1"/>
  <c r="BF207" i="15" a="1"/>
  <c r="AV183" i="15" a="1"/>
  <c r="AQ224" i="15" a="1"/>
  <c r="CF190" i="15" a="1"/>
  <c r="BH196" i="15" a="1"/>
  <c r="AI171" i="15" a="1"/>
  <c r="AW174" i="15" a="1"/>
  <c r="P221" i="15" a="1"/>
  <c r="B125" i="8"/>
  <c r="I198" i="15" a="1"/>
  <c r="BD186" i="15" a="1"/>
  <c r="U176" i="15" a="1"/>
  <c r="BP220" i="15" a="1"/>
  <c r="CL218" i="15" a="1"/>
  <c r="BV209" i="15" a="1"/>
  <c r="AG185" i="15" a="1"/>
  <c r="AQ200" i="15" a="1"/>
  <c r="L200" i="15" a="1"/>
  <c r="AS209" i="15" a="1"/>
  <c r="P179" i="15" a="1"/>
  <c r="I171" i="15" a="1"/>
  <c r="AJ189" i="15" a="1"/>
  <c r="V166" i="15" a="1"/>
  <c r="AA172" i="15" a="1"/>
  <c r="AJ175" i="15" a="1"/>
  <c r="AX216" i="15" a="1"/>
  <c r="AX211" i="15" a="1"/>
  <c r="Y197" i="15" a="1"/>
  <c r="BA214" i="15" a="1"/>
  <c r="O171" i="15" a="1"/>
  <c r="AE183" i="15" a="1"/>
  <c r="BI190" i="15" a="1"/>
  <c r="AE193" i="15" a="1"/>
  <c r="AD209" i="15" a="1"/>
  <c r="AD187" i="15" a="1"/>
  <c r="CL215" i="15" a="1"/>
  <c r="BO177" i="15" a="1"/>
  <c r="AN195" i="15" a="1"/>
  <c r="BG173" i="15" a="1"/>
  <c r="AP167" i="15" a="1"/>
  <c r="T178" i="15" a="1"/>
  <c r="CG169" i="15" a="1"/>
  <c r="BN193" i="15" a="1"/>
  <c r="BD223" i="15" a="1"/>
  <c r="AB179" i="15" a="1"/>
  <c r="AX207" i="15" a="1"/>
  <c r="AU175" i="15" a="1"/>
  <c r="BK201" i="15" a="1"/>
  <c r="AQ167" i="15" a="1"/>
  <c r="L196" i="15" a="1"/>
  <c r="N216" i="15" a="1"/>
  <c r="CG179" i="15" a="1"/>
  <c r="CL219" i="15" a="1"/>
  <c r="O219" i="15" a="1"/>
  <c r="AQ206" i="15" a="1"/>
  <c r="CF204" i="15" a="1"/>
  <c r="BF193" i="15" a="1"/>
  <c r="BM189" i="15" a="1"/>
  <c r="BB174" i="15" a="1"/>
  <c r="BI221" i="15" a="1"/>
  <c r="AO213" i="15" a="1"/>
  <c r="I218" i="15" a="1"/>
  <c r="F176" i="15" a="1"/>
  <c r="CM170" i="15" a="1"/>
  <c r="BR199" i="15" a="1"/>
  <c r="AL214" i="15" a="1"/>
  <c r="AN220" i="15" a="1"/>
  <c r="AG193" i="15" a="1"/>
  <c r="U185" i="15" a="1"/>
  <c r="BU225" i="15" a="1"/>
  <c r="BM222" i="15" a="1"/>
  <c r="BU176" i="15" a="1"/>
  <c r="AM186" i="15" a="1"/>
  <c r="BR181" i="15" a="1"/>
  <c r="C47" i="15" a="1"/>
  <c r="BC191" i="15" a="1"/>
  <c r="BC211" i="15" a="1"/>
  <c r="CH176" i="15" a="1"/>
  <c r="K212" i="15" a="1"/>
  <c r="BN204" i="15" a="1"/>
  <c r="BB173" i="15" a="1"/>
  <c r="BT197" i="15" a="1"/>
  <c r="CF199" i="15" a="1"/>
  <c r="R221" i="15" a="1"/>
  <c r="BR209" i="15" a="1"/>
  <c r="BO191" i="15" a="1"/>
  <c r="CE196" i="15" a="1"/>
  <c r="BG218" i="15" a="1"/>
  <c r="BA174" i="15" a="1"/>
  <c r="AN216" i="15" a="1"/>
  <c r="BM190" i="15" a="1"/>
  <c r="AM188" i="15" a="1"/>
  <c r="BO166" i="15" a="1"/>
  <c r="L214" i="15" a="1"/>
  <c r="BS175" i="15" a="1"/>
  <c r="V191" i="15" a="1"/>
  <c r="BF196" i="15" a="1"/>
  <c r="AR197" i="15" a="1"/>
  <c r="J171" i="15" a="1"/>
  <c r="AP165" i="15" a="1"/>
  <c r="G192" i="15" a="1"/>
  <c r="BQ183" i="15" a="1"/>
  <c r="AJ172" i="15" a="1"/>
  <c r="AB214" i="15" a="1"/>
  <c r="K173" i="15" a="1"/>
  <c r="BI187" i="15" a="1"/>
  <c r="BJ204" i="15" a="1"/>
  <c r="M193" i="15" a="1"/>
  <c r="AP199" i="15" a="1"/>
  <c r="AJ211" i="15" a="1"/>
  <c r="N180" i="15" a="1"/>
  <c r="CE217" i="15" a="1"/>
  <c r="BA175" i="15" a="1"/>
  <c r="CL198" i="15" a="1"/>
  <c r="AK211" i="15" a="1"/>
  <c r="CC221" i="15" a="1"/>
  <c r="T204" i="15" a="1"/>
  <c r="BF187" i="15" a="1"/>
  <c r="BP217" i="15" a="1"/>
  <c r="P170" i="15" a="1"/>
  <c r="AI204" i="15" a="1"/>
  <c r="AU210" i="15" a="1"/>
  <c r="AU192" i="15" a="1"/>
  <c r="O190" i="15" a="1"/>
  <c r="AU190" i="15" a="1"/>
  <c r="AW188" i="15" a="1"/>
  <c r="AC203" i="15" a="1"/>
  <c r="AW196" i="15" a="1"/>
  <c r="C189" i="15" a="1"/>
  <c r="AV169" i="15" a="1"/>
  <c r="BJ195" i="15" a="1"/>
  <c r="AL199" i="15" a="1"/>
  <c r="AT184" i="15" a="1"/>
  <c r="BK192" i="15" a="1"/>
  <c r="BH191" i="15" a="1"/>
  <c r="BC199" i="15" a="1"/>
  <c r="BF198" i="15" a="1"/>
  <c r="AA178" i="15" a="1"/>
  <c r="AO225" i="15" a="1"/>
  <c r="CM185" i="15" a="1"/>
  <c r="W216" i="15" a="1"/>
  <c r="BF224" i="15" a="1"/>
  <c r="AI217" i="15" a="1"/>
  <c r="CI197" i="15" a="1"/>
  <c r="CI184" i="15" a="1"/>
  <c r="AF210" i="15" a="1"/>
  <c r="R211" i="15" a="1"/>
  <c r="CK184" i="15" a="1"/>
  <c r="R169" i="15" a="1"/>
  <c r="AP209" i="15" a="1"/>
  <c r="BR200" i="15" a="1"/>
  <c r="K193" i="15" a="1"/>
  <c r="U181" i="15" a="1"/>
  <c r="W187" i="15" a="1"/>
  <c r="B64" i="8"/>
  <c r="AY204" i="15" a="1"/>
  <c r="AR198" i="15" a="1"/>
  <c r="B55" i="8"/>
  <c r="CL210" i="15" a="1"/>
  <c r="M198" i="15" a="1"/>
  <c r="BV193" i="15" a="1"/>
  <c r="AC170" i="15" a="1"/>
  <c r="BO200" i="15" a="1"/>
  <c r="AP182" i="15" a="1"/>
  <c r="AE174" i="15" a="1"/>
  <c r="CC185" i="15" a="1"/>
  <c r="AI220" i="15" a="1"/>
  <c r="BN208" i="15" a="1"/>
  <c r="CM222" i="15" a="1"/>
  <c r="U203" i="15" a="1"/>
  <c r="AV173" i="15" a="1"/>
  <c r="BD219" i="15" a="1"/>
  <c r="Y171" i="15" a="1"/>
  <c r="BH174" i="15" a="1"/>
  <c r="BP203" i="15" a="1"/>
  <c r="CE223" i="15" a="1"/>
  <c r="AV213" i="15" a="1"/>
  <c r="M170" i="15" a="1"/>
  <c r="AA210" i="15" a="1"/>
  <c r="BJ175" i="15" a="1"/>
  <c r="E175" i="15" a="1"/>
  <c r="AF188" i="15" a="1"/>
  <c r="CK198" i="15" a="1"/>
  <c r="CH188" i="15" a="1"/>
  <c r="P214" i="15" a="1"/>
  <c r="BG211" i="15" a="1"/>
  <c r="BK180" i="15" a="1"/>
  <c r="M168" i="15" a="1"/>
  <c r="AG205" i="15" a="1"/>
  <c r="BI165" i="15" a="1"/>
  <c r="I177" i="15" a="1"/>
  <c r="BK170" i="15" a="1"/>
  <c r="BB170" i="15" a="1"/>
  <c r="BN194" i="15" a="1"/>
  <c r="BP201" i="15" a="1"/>
  <c r="AM196" i="15" a="1"/>
  <c r="CD224" i="15" a="1"/>
  <c r="B74" i="8"/>
  <c r="T198" i="15" a="1"/>
  <c r="L168" i="15" a="1"/>
  <c r="CM180" i="15" a="1"/>
  <c r="E221" i="15" a="1"/>
  <c r="BH219" i="15" a="1"/>
  <c r="X168" i="15" a="1"/>
  <c r="CI224" i="15" a="1"/>
  <c r="BE214" i="15" a="1"/>
  <c r="BG193" i="15" a="1"/>
  <c r="C219" i="15" a="1"/>
  <c r="P225" i="15" a="1"/>
  <c r="BU208" i="15" a="1"/>
  <c r="BA222" i="15" a="1"/>
  <c r="K218" i="15" a="1"/>
  <c r="AY225" i="15" a="1"/>
  <c r="BF199" i="15" a="1"/>
  <c r="CK199" i="15" a="1"/>
  <c r="BQ213" i="15" a="1"/>
  <c r="BT178" i="15" a="1"/>
  <c r="CI167" i="15" a="1"/>
  <c r="BH218" i="15" a="1"/>
  <c r="N201" i="15" a="1"/>
  <c r="AM184" i="15" a="1"/>
  <c r="CC208" i="15" a="1"/>
  <c r="L212" i="15" a="1"/>
  <c r="X217" i="15" a="1"/>
  <c r="CL220" i="15" a="1"/>
  <c r="AR185" i="15" a="1"/>
  <c r="AT214" i="15" a="1"/>
  <c r="BE202" i="15" a="1"/>
  <c r="BS183" i="15" a="1"/>
  <c r="CM173" i="15" a="1"/>
  <c r="AV171" i="15" a="1"/>
  <c r="CC191" i="15" a="1"/>
  <c r="O169" i="15" a="1"/>
  <c r="BL176" i="15" a="1"/>
  <c r="Z191" i="15" a="1"/>
  <c r="K171" i="15" a="1"/>
  <c r="AW211" i="15" a="1"/>
  <c r="S184" i="15" a="1"/>
  <c r="BE209" i="15" a="1"/>
  <c r="AB191" i="15" a="1"/>
  <c r="AS166" i="15" a="1"/>
  <c r="BK185" i="15" a="1"/>
  <c r="P220" i="15" a="1"/>
  <c r="J218" i="15" a="1"/>
  <c r="CI181" i="15" a="1"/>
  <c r="AB213" i="15" a="1"/>
  <c r="R174" i="15" a="1"/>
  <c r="AB171" i="15" a="1"/>
  <c r="CN171" i="15" a="1"/>
  <c r="CN189" i="15" a="1"/>
  <c r="AY190" i="15" a="1"/>
  <c r="O194" i="15" a="1"/>
  <c r="AJ213" i="15" a="1"/>
  <c r="BR167" i="15" a="1"/>
  <c r="B84" i="8"/>
  <c r="AH193" i="15" a="1"/>
  <c r="BG192" i="15" a="1"/>
  <c r="AV215" i="15" a="1"/>
  <c r="AG197" i="15" a="1"/>
  <c r="O202" i="15" a="1"/>
  <c r="AK219" i="15" a="1"/>
  <c r="AE188" i="15" a="1"/>
  <c r="AC177" i="15" a="1"/>
  <c r="AA202" i="15" a="1"/>
  <c r="L167" i="15" a="1"/>
  <c r="P186" i="15" a="1"/>
  <c r="AJ199" i="15" a="1"/>
  <c r="AX214" i="15" a="1"/>
  <c r="BT225" i="15" a="1"/>
  <c r="BC222" i="15" a="1"/>
  <c r="AC211" i="15" a="1"/>
  <c r="U187" i="15" a="1"/>
  <c r="AL196" i="15" a="1"/>
  <c r="BK197" i="15" a="1"/>
  <c r="AU184" i="15" a="1"/>
  <c r="E212" i="15" a="1"/>
  <c r="AQ188" i="15" a="1"/>
  <c r="E187" i="15" a="1"/>
  <c r="BR170" i="15" a="1"/>
  <c r="CJ177" i="15" a="1"/>
  <c r="BL182" i="15" a="1"/>
  <c r="AN219" i="15" a="1"/>
  <c r="BV222" i="15" a="1"/>
  <c r="G174" i="15" a="1"/>
  <c r="BK205" i="15" a="1"/>
  <c r="AC183" i="15" a="1"/>
  <c r="E209" i="15" a="1"/>
  <c r="BP205" i="15" a="1"/>
  <c r="E214" i="15" a="1"/>
  <c r="Y194" i="15" a="1"/>
  <c r="CD218" i="15" a="1"/>
  <c r="AJ187" i="15" a="1"/>
  <c r="BJ202" i="15" a="1"/>
  <c r="C188" i="15" a="1"/>
  <c r="CD219" i="15" a="1"/>
  <c r="AG186" i="15" a="1"/>
  <c r="AK191" i="15" a="1"/>
  <c r="C196" i="15" a="1"/>
  <c r="L191" i="15" a="1"/>
  <c r="BE211" i="15" a="1"/>
  <c r="BU195" i="15" a="1"/>
  <c r="CG206" i="15" a="1"/>
  <c r="BN205" i="15" a="1"/>
  <c r="AC215" i="15" a="1"/>
  <c r="BL189" i="15" a="1"/>
  <c r="E217" i="15" a="1"/>
  <c r="S205" i="15" a="1"/>
  <c r="AE217" i="15" a="1"/>
  <c r="CJ205" i="15" a="1"/>
  <c r="CE216" i="15" a="1"/>
  <c r="BK202" i="15" a="1"/>
  <c r="AN173" i="15" a="1"/>
  <c r="Z213" i="15" a="1"/>
  <c r="BQ165" i="15" a="1"/>
  <c r="AJ192" i="15" a="1"/>
  <c r="CM202" i="15" a="1"/>
  <c r="BM173" i="15" a="1"/>
  <c r="CF182" i="15" a="1"/>
  <c r="BV192" i="15" a="1"/>
  <c r="CD183" i="15" a="1"/>
  <c r="AN165" i="15" a="1"/>
  <c r="BB218" i="15" a="1"/>
  <c r="G224" i="15" a="1"/>
  <c r="AB181" i="15" a="1"/>
  <c r="M183" i="15" a="1"/>
  <c r="AK178" i="15" a="1"/>
  <c r="CD213" i="15" a="1"/>
  <c r="T165" i="15" a="1"/>
  <c r="BE201" i="15" a="1"/>
  <c r="AO212" i="15" a="1"/>
  <c r="W206" i="15" a="1"/>
  <c r="AM165" i="15" a="1"/>
  <c r="C53" i="15" a="1"/>
  <c r="AN218" i="15" a="1"/>
  <c r="CL189" i="15" a="1"/>
  <c r="CM196" i="15" a="1"/>
  <c r="F206" i="15" a="1"/>
  <c r="AP204" i="15" a="1"/>
  <c r="BS184" i="15" a="1"/>
  <c r="J210" i="15" a="1"/>
  <c r="AQ191" i="15" a="1"/>
  <c r="BS179" i="15" a="1"/>
  <c r="AB224" i="15" a="1"/>
  <c r="BG225" i="15" a="1"/>
  <c r="AR225" i="15" a="1"/>
  <c r="AP208" i="15" a="1"/>
  <c r="U197" i="15" a="1"/>
  <c r="CM207" i="15" a="1"/>
  <c r="BQ209" i="15" a="1"/>
  <c r="BG221" i="15" a="1"/>
  <c r="F215" i="15" a="1"/>
  <c r="AY171" i="15" a="1"/>
  <c r="AS177" i="15" a="1"/>
  <c r="BF209" i="15" a="1"/>
  <c r="M191" i="15" a="1"/>
  <c r="N174" i="15" a="1"/>
  <c r="V193" i="15" a="1"/>
  <c r="O175" i="15" a="1"/>
  <c r="AD225" i="15" a="1"/>
  <c r="CC165" i="15" a="1"/>
  <c r="K206" i="15" a="1"/>
  <c r="CJ207" i="15" a="1"/>
  <c r="AB217" i="15" a="1"/>
  <c r="BE176" i="15" a="1"/>
  <c r="AH202" i="15" a="1"/>
  <c r="AT202" i="15" a="1"/>
  <c r="F181" i="15" a="1"/>
  <c r="BL224" i="15" a="1"/>
  <c r="AS203" i="15" a="1"/>
  <c r="AI187" i="15" a="1"/>
  <c r="BP208" i="15" a="1"/>
  <c r="AO216" i="15" a="1"/>
  <c r="AB187" i="15" a="1"/>
  <c r="AL211" i="15" a="1"/>
  <c r="L199" i="15" a="1"/>
  <c r="AZ175" i="15" a="1"/>
  <c r="O183" i="15" a="1"/>
  <c r="AM208" i="15" a="1"/>
  <c r="BF222" i="15" a="1"/>
  <c r="AO187" i="15" a="1"/>
  <c r="BK169" i="15" a="1"/>
  <c r="J168" i="15" a="1"/>
  <c r="BT196" i="15" a="1"/>
  <c r="BA192" i="15" a="1"/>
  <c r="BJ217" i="15" a="1"/>
  <c r="AY170" i="15" a="1"/>
  <c r="BR210" i="15" a="1"/>
  <c r="Z189" i="15" a="1"/>
  <c r="I210" i="15" a="1"/>
  <c r="O208" i="15" a="1"/>
  <c r="AN205" i="15" a="1"/>
  <c r="AV188" i="15" a="1"/>
  <c r="BD179" i="15" a="1"/>
  <c r="AC186" i="15" a="1"/>
  <c r="CL167" i="15" a="1"/>
  <c r="AG192" i="15" a="1"/>
  <c r="BA213" i="15" a="1"/>
  <c r="I176" i="15" a="1"/>
  <c r="Q173" i="15" a="1"/>
  <c r="BP180" i="15" a="1"/>
  <c r="M196" i="15" a="1"/>
  <c r="AR208" i="15" a="1"/>
  <c r="O207" i="15" a="1"/>
  <c r="CG215" i="15" a="1"/>
  <c r="AS212" i="15" a="1"/>
  <c r="BL185" i="15" a="1"/>
  <c r="AD167" i="15" a="1"/>
  <c r="BJ218" i="15" a="1"/>
  <c r="BR212" i="15" a="1"/>
  <c r="AD191" i="15" a="1"/>
  <c r="I216" i="15" a="1"/>
  <c r="AW223" i="15" a="1"/>
  <c r="AZ186" i="15" a="1"/>
  <c r="O189" i="15" a="1"/>
  <c r="CM169" i="15" a="1"/>
  <c r="AN194" i="15" a="1"/>
  <c r="M197" i="15" a="1"/>
  <c r="K187" i="15" a="1"/>
  <c r="J195" i="15" a="1"/>
  <c r="AW181" i="15" a="1"/>
  <c r="CF211" i="15" a="1"/>
  <c r="CG222" i="15" a="1"/>
  <c r="P190" i="15" a="1"/>
  <c r="AJ200" i="15" a="1"/>
  <c r="AQ219" i="15" a="1"/>
  <c r="BL169" i="15" a="1"/>
  <c r="AN172" i="15" a="1"/>
  <c r="AT206" i="15" a="1"/>
  <c r="AU198" i="15" a="1"/>
  <c r="S215" i="15" a="1"/>
  <c r="BB214" i="15" a="1"/>
  <c r="AX186" i="15" a="1"/>
  <c r="P174" i="15" a="1"/>
  <c r="BR177" i="15" a="1"/>
  <c r="BP199" i="15" a="1"/>
  <c r="BL175" i="15" a="1"/>
  <c r="CI178" i="15" a="1"/>
  <c r="AS211" i="15" a="1"/>
  <c r="BV180" i="15" a="1"/>
  <c r="W183" i="15" a="1"/>
  <c r="M173" i="15" a="1"/>
  <c r="O188" i="15" a="1"/>
  <c r="AD196" i="15" a="1"/>
  <c r="CH195" i="15" a="1"/>
  <c r="E202" i="15" a="1"/>
  <c r="CC180" i="15" a="1"/>
  <c r="BD224" i="15" a="1"/>
  <c r="J211" i="15" a="1"/>
  <c r="AE175" i="15" a="1"/>
  <c r="E184" i="15" a="1"/>
  <c r="E177" i="15" a="1"/>
  <c r="AP179" i="15" a="1"/>
  <c r="BP179" i="15" a="1"/>
  <c r="BD205" i="15" a="1"/>
  <c r="C44" i="15" a="1"/>
  <c r="R196" i="15" a="1"/>
  <c r="M195" i="15" a="1"/>
  <c r="AK201" i="15" a="1"/>
  <c r="AZ202" i="15" a="1"/>
  <c r="CE185" i="15" a="1"/>
  <c r="J220" i="15" a="1"/>
  <c r="AK197" i="15" a="1"/>
  <c r="CH168" i="15" a="1"/>
  <c r="AT207" i="15" a="1"/>
  <c r="BR166" i="15" a="1"/>
  <c r="AK224" i="15" a="1"/>
  <c r="AK210" i="15" a="1"/>
  <c r="BI169" i="15" a="1"/>
  <c r="AE225" i="15" a="1"/>
  <c r="BQ222" i="15" a="1"/>
  <c r="BI170" i="15" a="1"/>
  <c r="U180" i="15" a="1"/>
  <c r="R175" i="15" a="1"/>
  <c r="AT174" i="15" a="1"/>
  <c r="BP184" i="15" a="1"/>
  <c r="U202" i="15" a="1"/>
  <c r="AT170" i="15" a="1"/>
  <c r="BF216" i="15" a="1"/>
  <c r="AS223" i="15" a="1"/>
  <c r="BA170" i="15" a="1"/>
  <c r="M223" i="15" a="1"/>
  <c r="BV220" i="15" a="1"/>
  <c r="CE199" i="15" a="1"/>
  <c r="BB199" i="15" a="1"/>
  <c r="CM212" i="15" a="1"/>
  <c r="AG222" i="15" a="1"/>
  <c r="BM202" i="15" a="1"/>
  <c r="CH214" i="15" a="1"/>
  <c r="BM187" i="15" a="1"/>
  <c r="AY184" i="15" a="1"/>
  <c r="AK220" i="15" a="1"/>
  <c r="AX172" i="15" a="1"/>
  <c r="N224" i="15" a="1"/>
  <c r="AQ165" i="15" a="1"/>
  <c r="AB198" i="15" a="1"/>
  <c r="BM172" i="15" a="1"/>
  <c r="AU212" i="15" a="1"/>
  <c r="N223" i="15" a="1"/>
  <c r="AY186" i="15" a="1"/>
  <c r="BH225" i="15" a="1"/>
  <c r="J165" i="15" a="1"/>
  <c r="CK200" i="15" a="1"/>
  <c r="AT212" i="15" a="1"/>
  <c r="CK166" i="15" a="1"/>
  <c r="CM186" i="15" a="1"/>
  <c r="CJ186" i="15" a="1"/>
  <c r="W217" i="15" a="1"/>
  <c r="AD206" i="15" a="1"/>
  <c r="BV211" i="15" a="1"/>
  <c r="BR217" i="15" a="1"/>
  <c r="CJ214" i="15" a="1"/>
  <c r="M188" i="15" a="1"/>
  <c r="BL220" i="15" a="1"/>
  <c r="AB223" i="15" a="1"/>
  <c r="AX208" i="15" a="1"/>
  <c r="AO186" i="15" a="1"/>
  <c r="CI204" i="15" a="1"/>
  <c r="BU216" i="15" a="1"/>
  <c r="U182" i="15" a="1"/>
  <c r="BN211" i="15" a="1"/>
  <c r="AV201" i="15" a="1"/>
  <c r="AC198" i="15" a="1"/>
  <c r="BD199" i="15" a="1"/>
  <c r="CI176" i="15" a="1"/>
  <c r="AN190" i="15" a="1"/>
  <c r="BP192" i="15" a="1"/>
  <c r="AI194" i="15" a="1"/>
  <c r="BR216" i="15" a="1"/>
  <c r="CG166" i="15" a="1"/>
  <c r="C212" i="15" a="1"/>
  <c r="W176" i="15" a="1"/>
  <c r="BQ197" i="15" a="1"/>
  <c r="BJ191" i="15" a="1"/>
  <c r="J185" i="15" a="1"/>
  <c r="AG191" i="15" a="1"/>
  <c r="BS202" i="15" a="1"/>
  <c r="AV204" i="15" a="1"/>
  <c r="AV181" i="15" a="1"/>
  <c r="AE182" i="15" a="1"/>
  <c r="AT166" i="15" a="1"/>
  <c r="AA179" i="15" a="1"/>
  <c r="R177" i="15" a="1"/>
  <c r="L224" i="15" a="1"/>
  <c r="BC196" i="15" a="1"/>
  <c r="BB213" i="15" a="1"/>
  <c r="CM209" i="15" a="1"/>
  <c r="Y187" i="15" a="1"/>
  <c r="G200" i="15" a="1"/>
  <c r="AW210" i="15" a="1"/>
  <c r="CI218" i="15" a="1"/>
  <c r="AI185" i="15" a="1"/>
  <c r="CH197" i="15" a="1"/>
  <c r="CJ212" i="15" a="1"/>
  <c r="D43" i="15" a="1"/>
  <c r="C206" i="15" a="1"/>
  <c r="BV219" i="15" a="1"/>
  <c r="AZ189" i="15" a="1"/>
  <c r="AO222" i="15" a="1"/>
  <c r="AZ211" i="15" a="1"/>
  <c r="AI209" i="15" a="1"/>
  <c r="BV214" i="15" a="1"/>
  <c r="AA200" i="15" a="1"/>
  <c r="CH173" i="15" a="1"/>
  <c r="AH181" i="15" a="1"/>
  <c r="BH168" i="15" a="1"/>
  <c r="AR215" i="15" a="1"/>
  <c r="BO202" i="15" a="1"/>
  <c r="CN204" i="15" a="1"/>
  <c r="CN191" i="15" a="1"/>
  <c r="CN223" i="15" a="1"/>
  <c r="CN212" i="15" a="1"/>
  <c r="BL202" i="15" a="1"/>
  <c r="CE188" i="15" a="1"/>
  <c r="CN211" i="15" a="1"/>
  <c r="CN208" i="15" a="1"/>
  <c r="CN213" i="15" a="1"/>
  <c r="S189" i="15" a="1"/>
  <c r="V198" i="15" a="1"/>
  <c r="BG186" i="15" a="1"/>
  <c r="AP215" i="15" a="1"/>
  <c r="AT210" i="15" a="1"/>
  <c r="BO207" i="15" a="1"/>
  <c r="AD214" i="15" a="1"/>
  <c r="BI188" i="15" a="1"/>
  <c r="BU203" i="15" a="1"/>
  <c r="L192" i="15" a="1"/>
  <c r="AS202" i="15" a="1"/>
  <c r="C220" i="15" a="1"/>
  <c r="BP215" i="15" a="1"/>
  <c r="M171" i="15" a="1"/>
  <c r="G219" i="15" a="1"/>
  <c r="BE187" i="15" a="1"/>
  <c r="AF209" i="15" a="1"/>
  <c r="K222" i="15" a="1"/>
  <c r="I169" i="15" a="1"/>
  <c r="AC209" i="15" a="1"/>
  <c r="BO213" i="15" a="1"/>
  <c r="BS200" i="15" a="1"/>
  <c r="CG211" i="15" a="1"/>
  <c r="AG220" i="15" a="1"/>
  <c r="AP216" i="15" a="1"/>
  <c r="AE170" i="15" a="1"/>
  <c r="BM179" i="15" a="1"/>
  <c r="N221" i="15" a="1"/>
  <c r="AW217" i="15" a="1"/>
  <c r="CI185" i="15" a="1"/>
  <c r="AJ221" i="15" a="1"/>
  <c r="BJ186" i="15" a="1"/>
  <c r="AZ200" i="15" a="1"/>
  <c r="BQ205" i="15" a="1"/>
  <c r="F197" i="15" a="1"/>
  <c r="BB219" i="15" a="1"/>
  <c r="J186" i="15" a="1"/>
  <c r="AJ167" i="15" a="1"/>
  <c r="AP210" i="15" a="1"/>
  <c r="BG217" i="15" a="1"/>
  <c r="AD186" i="15" a="1"/>
  <c r="AF218" i="15" a="1"/>
  <c r="CI186" i="15" a="1"/>
  <c r="S220" i="15" a="1"/>
  <c r="S208" i="15" a="1"/>
  <c r="AV214" i="15" a="1"/>
  <c r="BD181" i="15" a="1"/>
  <c r="AY198" i="15" a="1"/>
  <c r="X206" i="15" a="1"/>
  <c r="Y176" i="15" a="1"/>
  <c r="V212" i="15" a="1"/>
  <c r="BU200" i="15" a="1"/>
  <c r="AD192" i="15" a="1"/>
  <c r="BB201" i="15" a="1"/>
  <c r="AA201" i="15" a="1"/>
  <c r="AZ206" i="15" a="1"/>
  <c r="AO198" i="15" a="1"/>
  <c r="CM181" i="15" a="1"/>
  <c r="V203" i="15" a="1"/>
  <c r="CG184" i="15" a="1"/>
  <c r="M221" i="15" a="1"/>
  <c r="CG172" i="15" a="1"/>
  <c r="BT198" i="15" a="1"/>
  <c r="AZ207" i="15" a="1"/>
  <c r="AH221" i="15" a="1"/>
  <c r="BK172" i="15" a="1"/>
  <c r="L215" i="15" a="1"/>
  <c r="BE197" i="15" a="1"/>
  <c r="CF222" i="15" a="1"/>
  <c r="W204" i="15" a="1"/>
  <c r="K190" i="15" a="1"/>
  <c r="AN199" i="15" a="1"/>
  <c r="AW179" i="15" a="1"/>
  <c r="AT181" i="15" a="1"/>
  <c r="G193" i="15" a="1"/>
  <c r="AP193" i="15" a="1"/>
  <c r="BD214" i="15" a="1"/>
  <c r="BD215" i="15" a="1"/>
  <c r="BI176" i="15" a="1"/>
  <c r="AW215" i="15" a="1"/>
  <c r="N179" i="15" a="1"/>
  <c r="AV200" i="15" a="1"/>
  <c r="CH191" i="15" a="1"/>
  <c r="Y225" i="15" a="1"/>
  <c r="K195" i="15" a="1"/>
  <c r="M177" i="15" a="1"/>
  <c r="E206" i="15" a="1"/>
  <c r="CJ224" i="15" a="1"/>
  <c r="AY191" i="15" a="1"/>
  <c r="C54" i="15" a="1"/>
  <c r="AG171" i="15" a="1"/>
  <c r="AD170" i="15" a="1"/>
  <c r="X171" i="15" a="1"/>
  <c r="AS195" i="15" a="1"/>
  <c r="R202" i="15" a="1"/>
  <c r="AT217" i="15" a="1"/>
  <c r="AQ208" i="15" a="1"/>
  <c r="S174" i="15" a="1"/>
  <c r="N181" i="15" a="1"/>
  <c r="BI191" i="15" a="1"/>
  <c r="N190" i="15" a="1"/>
  <c r="K166" i="15" a="1"/>
  <c r="AB215" i="15" a="1"/>
  <c r="CJ223" i="15" a="1"/>
  <c r="BE169" i="15" a="1"/>
  <c r="AT175" i="15" a="1"/>
  <c r="AA215" i="15" a="1"/>
  <c r="BS198" i="15" a="1"/>
  <c r="U216" i="15" a="1"/>
  <c r="BS177" i="15" a="1"/>
  <c r="U206" i="15" a="1"/>
  <c r="AZ187" i="15" a="1"/>
  <c r="CG175" i="15" a="1"/>
  <c r="U198" i="15" a="1"/>
  <c r="AT215" i="15" a="1"/>
  <c r="BA197" i="15" a="1"/>
  <c r="CD205" i="15" a="1"/>
  <c r="BK174" i="15" a="1"/>
  <c r="AK225" i="15" a="1"/>
  <c r="AD190" i="15" a="1"/>
  <c r="AT211" i="15" a="1"/>
  <c r="CM223" i="15" a="1"/>
  <c r="BR192" i="15" a="1"/>
  <c r="BR188" i="15" a="1"/>
  <c r="BO170" i="15" a="1"/>
  <c r="BU196" i="15" a="1"/>
  <c r="I222" i="15" a="1"/>
  <c r="CE183" i="15" a="1"/>
  <c r="BE195" i="15" a="1"/>
  <c r="AH189" i="15" a="1"/>
  <c r="AR190" i="15" a="1"/>
  <c r="V174" i="15" a="1"/>
  <c r="CI188" i="15" a="1"/>
  <c r="AG203" i="15" a="1"/>
  <c r="AK217" i="15" a="1"/>
  <c r="H181" i="15" a="1"/>
  <c r="CC179" i="15" a="1"/>
  <c r="H180" i="15" a="1"/>
  <c r="AL175" i="15" a="1"/>
  <c r="AN188" i="15" a="1"/>
  <c r="BK208" i="15" a="1"/>
  <c r="AE172" i="15" a="1"/>
  <c r="CH175" i="15" a="1"/>
  <c r="P165" i="15" a="1"/>
  <c r="CL223" i="15" a="1"/>
  <c r="CC181" i="15" a="1"/>
  <c r="AB194" i="15" a="1"/>
  <c r="BB208" i="15" a="1"/>
  <c r="AV218" i="15" a="1"/>
  <c r="AR169" i="15" a="1"/>
  <c r="AO180" i="15" a="1"/>
  <c r="T181" i="15" a="1"/>
  <c r="BA195" i="15" a="1"/>
  <c r="AW184" i="15" a="1"/>
  <c r="CG183" i="15" a="1"/>
  <c r="AC180" i="15" a="1"/>
  <c r="CM219" i="15" a="1"/>
  <c r="CD165" i="15" a="1"/>
  <c r="Q195" i="15" a="1"/>
  <c r="BU213" i="15" a="1"/>
  <c r="T193" i="15" a="1"/>
  <c r="CE214" i="15" a="1"/>
  <c r="AU169" i="15" a="1"/>
  <c r="BS214" i="15" a="1"/>
  <c r="BD191" i="15" a="1"/>
  <c r="D47" i="15" a="1"/>
  <c r="AJ188" i="15" a="1"/>
  <c r="BR198" i="15" a="1"/>
  <c r="AW195" i="15" a="1"/>
  <c r="X165" i="15" a="1"/>
  <c r="AN184" i="15" a="1"/>
  <c r="R190" i="15" a="1"/>
  <c r="W202" i="15" a="1"/>
  <c r="Y170" i="15" a="1"/>
  <c r="I166" i="15" a="1"/>
  <c r="CI208" i="15" a="1"/>
  <c r="CH171" i="15" a="1"/>
  <c r="Y220" i="15" a="1"/>
  <c r="AB216" i="15" a="1"/>
  <c r="CJ193" i="15" a="1"/>
  <c r="BS199" i="15" a="1"/>
  <c r="I165" i="15" a="1"/>
  <c r="W184" i="15" a="1"/>
  <c r="CJ189" i="15" a="1"/>
  <c r="AW220" i="15" a="1"/>
  <c r="C169" i="15" a="1"/>
  <c r="G188" i="15" a="1"/>
  <c r="L225" i="15" a="1"/>
  <c r="AP176" i="15" a="1"/>
  <c r="CG216" i="15" a="1"/>
  <c r="BC202" i="15" a="1"/>
  <c r="AI190" i="15" a="1"/>
  <c r="BN223" i="15" a="1"/>
  <c r="AE169" i="15" a="1"/>
  <c r="AC173" i="15" a="1"/>
  <c r="AX218" i="15" a="1"/>
  <c r="AR201" i="15" a="1"/>
  <c r="CM179" i="15" a="1"/>
  <c r="BU199" i="15" a="1"/>
  <c r="AZ208" i="15" a="1"/>
  <c r="AB175" i="15" a="1"/>
  <c r="AK167" i="15" a="1"/>
  <c r="AV176" i="15" a="1"/>
  <c r="AY202" i="15" a="1"/>
  <c r="E218" i="15" a="1"/>
  <c r="AL208" i="15" a="1"/>
  <c r="X193" i="15" a="1"/>
  <c r="AB209" i="15" a="1"/>
  <c r="BT213" i="15" a="1"/>
  <c r="AF176" i="15" a="1"/>
  <c r="F166" i="15" a="1"/>
  <c r="BQ206" i="15" a="1"/>
  <c r="O216" i="15" a="1"/>
  <c r="AP222" i="15" a="1"/>
  <c r="AR182" i="15" a="1"/>
  <c r="BT167" i="15" a="1"/>
  <c r="O192" i="15" a="1"/>
  <c r="AD215" i="15" a="1"/>
  <c r="BV210" i="15" a="1"/>
  <c r="BB195" i="15" a="1"/>
  <c r="V188" i="15" a="1"/>
  <c r="AY201" i="15" a="1"/>
  <c r="CL191" i="15" a="1"/>
  <c r="AU201" i="15" a="1"/>
  <c r="CL180" i="15" a="1"/>
  <c r="BV221" i="15" a="1"/>
  <c r="K196" i="15" a="1"/>
  <c r="CK177" i="15" a="1"/>
  <c r="AF219" i="15" a="1"/>
  <c r="AO220" i="15" a="1"/>
  <c r="BS210" i="15" a="1"/>
  <c r="CL194" i="15" a="1"/>
  <c r="AU215" i="15" a="1"/>
  <c r="BS190" i="15" a="1"/>
  <c r="AU185" i="15" a="1"/>
  <c r="AY200" i="15" a="1"/>
  <c r="BE175" i="15" a="1"/>
  <c r="BD176" i="15" a="1"/>
  <c r="CK193" i="15" a="1"/>
  <c r="AR216" i="15" a="1"/>
  <c r="M186" i="15" a="1"/>
  <c r="CC202" i="15" a="1"/>
  <c r="AS196" i="15" a="1"/>
  <c r="AC224" i="15" a="1"/>
  <c r="D46" i="15" a="1"/>
  <c r="AH176" i="15" a="1"/>
  <c r="R173" i="15" a="1"/>
  <c r="Q183" i="15" a="1"/>
  <c r="O185" i="15" a="1"/>
  <c r="AO173" i="15" a="1"/>
  <c r="CL188" i="15" a="1"/>
  <c r="AH165" i="15" a="1"/>
  <c r="AV190" i="15" a="1"/>
  <c r="BA215" i="15" a="1"/>
  <c r="CJ192" i="15" a="1"/>
  <c r="AY182" i="15" a="1"/>
  <c r="CD212" i="15" a="1"/>
  <c r="CD195" i="15" a="1"/>
  <c r="BO180" i="15" a="1"/>
  <c r="CK206" i="15" a="1"/>
  <c r="BQ177" i="15" a="1"/>
  <c r="K165" i="15" a="1"/>
  <c r="X172" i="15" a="1"/>
  <c r="AJ170" i="15" a="1"/>
  <c r="BS167" i="15" a="1"/>
  <c r="AJ212" i="15" a="1"/>
  <c r="AE171" i="15" a="1"/>
  <c r="M203" i="15" a="1"/>
  <c r="K213" i="15" a="1"/>
  <c r="BU221" i="15" a="1"/>
  <c r="CG185" i="15" a="1"/>
  <c r="BN215" i="15" a="1"/>
  <c r="V205" i="15" a="1"/>
  <c r="CK212" i="15" a="1"/>
  <c r="Q172" i="15" a="1"/>
  <c r="CG178" i="15" a="1"/>
  <c r="J206" i="15" a="1"/>
  <c r="BD189" i="15" a="1"/>
  <c r="BN189" i="15" a="1"/>
  <c r="BA211" i="15" a="1"/>
  <c r="CK209" i="15" a="1"/>
  <c r="AR193" i="15" a="1"/>
  <c r="AY211" i="15" a="1"/>
  <c r="Z216" i="15" a="1"/>
  <c r="BT190" i="15" a="1"/>
  <c r="AB207" i="15" a="1"/>
  <c r="CE211" i="15" a="1"/>
  <c r="AS191" i="15" a="1"/>
  <c r="Z222" i="15" a="1"/>
  <c r="AN198" i="15" a="1"/>
  <c r="AM190" i="15" a="1"/>
  <c r="AQ193" i="15" a="1"/>
  <c r="BQ192" i="15" a="1"/>
  <c r="AX184" i="15" a="1"/>
  <c r="AK213" i="15" a="1"/>
  <c r="E185" i="15" a="1"/>
  <c r="Q204" i="15" a="1"/>
  <c r="AZ182" i="15" a="1"/>
  <c r="AL195" i="15" a="1"/>
  <c r="U196" i="15" a="1"/>
  <c r="F177" i="15" a="1"/>
  <c r="AM167" i="15" a="1"/>
  <c r="T170" i="15" a="1"/>
  <c r="BC188" i="15" a="1"/>
  <c r="CN203" i="15" a="1"/>
  <c r="AK205" i="15" a="1"/>
  <c r="AF174" i="15" a="1"/>
  <c r="BQ224" i="15" a="1"/>
  <c r="AB192" i="15" a="1"/>
  <c r="K179" i="15" a="1"/>
  <c r="L206" i="15" a="1"/>
  <c r="CF220" i="15" a="1"/>
  <c r="J223" i="15" a="1"/>
  <c r="BT221" i="15" a="1"/>
  <c r="Q201" i="15" a="1"/>
  <c r="AI218" i="15" a="1"/>
  <c r="BP183" i="15" a="1"/>
  <c r="BQ166" i="15" a="1"/>
  <c r="BA210" i="15" a="1"/>
  <c r="CC209" i="15" a="1"/>
  <c r="AL217" i="15" a="1"/>
  <c r="AJ218" i="15" a="1"/>
  <c r="BM167" i="15" a="1"/>
  <c r="F183" i="15" a="1"/>
  <c r="O184" i="15" a="1"/>
  <c r="D52" i="15" a="1"/>
  <c r="CG200" i="15" a="1"/>
  <c r="J167" i="15" a="1"/>
  <c r="C195" i="15" a="1"/>
  <c r="BC168" i="15" a="1"/>
  <c r="AD197" i="15" a="1"/>
  <c r="AM200" i="15" a="1"/>
  <c r="AJ225" i="15" a="1"/>
  <c r="BM224" i="15" a="1"/>
  <c r="BB192" i="15" a="1"/>
  <c r="R195" i="15" a="1"/>
  <c r="AZ195" i="15" a="1"/>
  <c r="V167" i="15" a="1"/>
  <c r="Z167" i="15" a="1"/>
  <c r="AQ190" i="15" a="1"/>
  <c r="AW171" i="15" a="1"/>
  <c r="BQ216" i="15" a="1"/>
  <c r="AU202" i="15" a="1"/>
  <c r="BQ200" i="15" a="1"/>
  <c r="BV204" i="15" a="1"/>
  <c r="AE186" i="15" a="1"/>
  <c r="AC171" i="15" a="1"/>
  <c r="BQ201" i="15" a="1"/>
  <c r="BQ218" i="15" a="1"/>
  <c r="G175" i="15" a="1"/>
  <c r="BU207" i="15" a="1"/>
  <c r="R185" i="15" a="1"/>
  <c r="BH223" i="15" a="1"/>
  <c r="CE170" i="15" a="1"/>
  <c r="BN187" i="15" a="1"/>
  <c r="BS192" i="15" a="1"/>
  <c r="AB165" i="15" a="1"/>
  <c r="BL221" i="15" a="1"/>
  <c r="BE222" i="15" a="1"/>
  <c r="G166" i="15" a="1"/>
  <c r="U171" i="15" a="1"/>
  <c r="O224" i="15" a="1"/>
  <c r="V213" i="15" a="1"/>
  <c r="AY220" i="15" a="1"/>
  <c r="BM170" i="15" a="1"/>
  <c r="BS216" i="15" a="1"/>
  <c r="B75" i="8"/>
  <c r="F219" i="15" a="1"/>
  <c r="AQ196" i="15" a="1"/>
  <c r="CK182" i="15" a="1"/>
  <c r="AR217" i="15" a="1"/>
  <c r="BI220" i="15" a="1"/>
  <c r="AQ171" i="15" a="1"/>
  <c r="X182" i="15" a="1"/>
  <c r="AY208" i="15" a="1"/>
  <c r="P169" i="15" a="1"/>
  <c r="K197" i="15" a="1"/>
  <c r="C50" i="15" a="1"/>
  <c r="CL222" i="15" a="1"/>
  <c r="BV166" i="15" a="1"/>
  <c r="AD210" i="15" a="1"/>
  <c r="BL207" i="15" a="1"/>
  <c r="BP172" i="15" a="1"/>
  <c r="BC186" i="15" a="1"/>
  <c r="AP191" i="15" a="1"/>
  <c r="AX196" i="15" a="1"/>
  <c r="G225" i="15" a="1"/>
  <c r="I194" i="15" a="1"/>
  <c r="AU225" i="15" a="1"/>
  <c r="AW214" i="15" a="1"/>
  <c r="B73" i="8"/>
  <c r="BN175" i="15" a="1"/>
  <c r="AV180" i="15" a="1"/>
  <c r="AM223" i="15" a="1"/>
  <c r="AM199" i="15" a="1"/>
  <c r="AK183" i="15" a="1"/>
  <c r="AK168" i="15" a="1"/>
  <c r="BP223" i="15" a="1"/>
  <c r="R184" i="15" a="1"/>
  <c r="W185" i="15" a="1"/>
  <c r="BC207" i="15" a="1"/>
  <c r="BG196" i="15" a="1"/>
  <c r="AD199" i="15" a="1"/>
  <c r="T180" i="15" a="1"/>
  <c r="M194" i="15" a="1"/>
  <c r="AT176" i="15" a="1"/>
  <c r="CE195" i="15" a="1"/>
  <c r="V178" i="15" a="1"/>
  <c r="BI225" i="15" a="1"/>
  <c r="BO212" i="15" a="1"/>
  <c r="H224" i="15" a="1"/>
  <c r="J201" i="15" a="1"/>
  <c r="AI207" i="15" a="1"/>
  <c r="CL182" i="15" a="1"/>
  <c r="I182" i="15" a="1"/>
  <c r="AN209" i="15" a="1"/>
  <c r="BR203" i="15" a="1"/>
  <c r="CK167" i="15" a="1"/>
  <c r="AX195" i="15" a="1"/>
  <c r="AI219" i="15" a="1"/>
  <c r="CM221" i="15" a="1"/>
  <c r="BO203" i="15" a="1"/>
  <c r="U219" i="15" a="1"/>
  <c r="CH222" i="15" a="1"/>
  <c r="CF166" i="15" a="1"/>
  <c r="BS195" i="15" a="1"/>
  <c r="AR165" i="15" a="1"/>
  <c r="L186" i="15" a="1"/>
  <c r="BE171" i="15" a="1"/>
  <c r="AR167" i="15" a="1"/>
  <c r="CJ197" i="15" a="1"/>
  <c r="CJ174" i="15" a="1"/>
  <c r="X185" i="15" a="1"/>
  <c r="I208" i="15" a="1"/>
  <c r="AX178" i="15" a="1"/>
  <c r="AF166" i="15" a="1"/>
  <c r="CD203" i="15" a="1"/>
  <c r="H192" i="15" a="1"/>
  <c r="BB196" i="15" a="1"/>
  <c r="S187" i="15" a="1"/>
  <c r="AI178" i="15" a="1"/>
  <c r="V168" i="15" a="1"/>
  <c r="BG174" i="15" a="1"/>
  <c r="J187" i="15" a="1"/>
  <c r="AG181" i="15" a="1"/>
  <c r="Y167" i="15" a="1"/>
  <c r="AR174" i="15" a="1"/>
  <c r="BJ213" i="15" a="1"/>
  <c r="BE186" i="15" a="1"/>
  <c r="BQ182" i="15" a="1"/>
  <c r="M199" i="15" a="1"/>
  <c r="AZ165" i="15" a="1"/>
  <c r="CI174" i="15" a="1"/>
  <c r="AN176" i="15" a="1"/>
  <c r="AC206" i="15" a="1"/>
  <c r="CF208" i="15" a="1"/>
  <c r="BS166" i="15" a="1"/>
  <c r="AS215" i="15" a="1"/>
  <c r="AE218" i="15" a="1"/>
  <c r="BJ221" i="15" a="1"/>
  <c r="AS182" i="15" a="1"/>
  <c r="BJ208" i="15" a="1"/>
  <c r="O186" i="15" a="1"/>
  <c r="AA187" i="15" a="1"/>
  <c r="AA218" i="15" a="1"/>
  <c r="AM204" i="15" a="1"/>
  <c r="Z186" i="15" a="1"/>
  <c r="L170" i="15" a="1"/>
  <c r="Z224" i="15" a="1"/>
  <c r="AB166" i="15" a="1"/>
  <c r="BJ200" i="15" a="1"/>
  <c r="CI179" i="15" a="1"/>
  <c r="V204" i="15" a="1"/>
  <c r="BM198" i="15" a="1"/>
  <c r="CI216" i="15" a="1"/>
  <c r="AU170" i="15" a="1"/>
  <c r="CH184" i="15" a="1"/>
  <c r="AL189" i="15" a="1"/>
  <c r="J215" i="15" a="1"/>
  <c r="CG202" i="15" a="1"/>
  <c r="BS169" i="15" a="1"/>
  <c r="CD216" i="15" a="1"/>
  <c r="CE198" i="15" a="1"/>
  <c r="CH202" i="15" a="1"/>
  <c r="BD218" i="15" a="1"/>
  <c r="E216" i="15" a="1"/>
  <c r="T202" i="15" a="1"/>
  <c r="K216" i="15" a="1"/>
  <c r="AK221" i="15" a="1"/>
  <c r="BH208" i="15" a="1"/>
  <c r="BO181" i="15" a="1"/>
  <c r="BC225" i="15" a="1"/>
  <c r="BU214" i="15" a="1"/>
  <c r="BD173" i="15" a="1"/>
  <c r="AJ220" i="15" a="1"/>
  <c r="BL198" i="15" a="1"/>
  <c r="AF223" i="15" a="1"/>
  <c r="BT224" i="15" a="1"/>
  <c r="W189" i="15" a="1"/>
  <c r="CF217" i="15" a="1"/>
  <c r="CG209" i="15" a="1"/>
  <c r="H218" i="15" a="1"/>
  <c r="BC176" i="15" a="1"/>
  <c r="W173" i="15" a="1"/>
  <c r="I224" i="15" a="1"/>
  <c r="CM191" i="15" a="1"/>
  <c r="AN206" i="15" a="1"/>
  <c r="CG182" i="15" a="1"/>
  <c r="BS191" i="15" a="1"/>
  <c r="AP214" i="15" a="1"/>
  <c r="L220" i="15" a="1"/>
  <c r="AJ208" i="15" a="1"/>
  <c r="BL218" i="15" a="1"/>
  <c r="AH208" i="15" a="1"/>
  <c r="AV184" i="15" a="1"/>
  <c r="M201" i="15" a="1"/>
  <c r="AN168" i="15" a="1"/>
  <c r="G207" i="15" a="1"/>
  <c r="E168" i="15" a="1"/>
  <c r="C203" i="15" a="1"/>
  <c r="P205" i="15" a="1"/>
  <c r="M185" i="15" a="1"/>
  <c r="BF172" i="15" a="1"/>
  <c r="BS197" i="15" a="1"/>
  <c r="AR173" i="15" a="1"/>
  <c r="T210" i="15" a="1"/>
  <c r="AP219" i="15" a="1"/>
  <c r="BF183" i="15" a="1"/>
  <c r="AP225" i="15" a="1"/>
  <c r="Q202" i="15" a="1"/>
  <c r="X170" i="15" a="1"/>
  <c r="AQ225" i="15" a="1"/>
  <c r="T208" i="15" a="1"/>
  <c r="BH206" i="15" a="1"/>
  <c r="T177" i="15" a="1"/>
  <c r="E205" i="15" a="1"/>
  <c r="Y165" i="15" a="1"/>
  <c r="CM213" i="15" a="1"/>
  <c r="AU204" i="15" a="1"/>
  <c r="CG198" i="15" a="1"/>
  <c r="AT216" i="15" a="1"/>
  <c r="AE203" i="15" a="1"/>
  <c r="BR197" i="15" a="1"/>
  <c r="F179" i="15" a="1"/>
  <c r="AJ215" i="15" a="1"/>
  <c r="AB189" i="15" a="1"/>
  <c r="W195" i="15" a="1"/>
  <c r="AY193" i="15" a="1"/>
  <c r="Z188" i="15" a="1"/>
  <c r="AH207" i="15" a="1"/>
  <c r="S196" i="15" a="1"/>
  <c r="J180" i="15" a="1"/>
  <c r="AI182" i="15" a="1"/>
  <c r="Q188" i="15" a="1"/>
  <c r="AW170" i="15" a="1"/>
  <c r="AZ178" i="15" a="1"/>
  <c r="CF209" i="15" a="1"/>
  <c r="AU203" i="15" a="1"/>
  <c r="AO211" i="15" a="1"/>
  <c r="BA186" i="15" a="1"/>
  <c r="AK202" i="15" a="1"/>
  <c r="BD168" i="15" a="1"/>
  <c r="AD185" i="15" a="1"/>
  <c r="AX170" i="15" a="1"/>
  <c r="AL201" i="15" a="1"/>
  <c r="AE201" i="15" a="1"/>
  <c r="CM206" i="15" a="1"/>
  <c r="BO187" i="15" a="1"/>
  <c r="BT183" i="15" a="1"/>
  <c r="AF170" i="15" a="1"/>
  <c r="AN192" i="15" a="1"/>
  <c r="CH201" i="15" a="1"/>
  <c r="BR221" i="15" a="1"/>
  <c r="Z223" i="15" a="1"/>
  <c r="X186" i="15" a="1"/>
  <c r="BU192" i="15" a="1"/>
  <c r="BB171" i="15" a="1"/>
  <c r="X201" i="15" a="1"/>
  <c r="AZ180" i="15" a="1"/>
  <c r="CH221" i="15" a="1"/>
  <c r="CK223" i="15" a="1"/>
  <c r="CG223" i="15" a="1"/>
  <c r="N222" i="15" a="1"/>
  <c r="AH224" i="15" a="1"/>
  <c r="AS185" i="15" a="1"/>
  <c r="CL224" i="15" a="1"/>
  <c r="CN192" i="15" a="1"/>
  <c r="BB181" i="15" a="1"/>
  <c r="BF168" i="15" a="1"/>
  <c r="BK176" i="15" a="1"/>
  <c r="CN196" i="15" a="1"/>
  <c r="M178" i="15" a="1"/>
  <c r="AW225" i="15" a="1"/>
  <c r="CE222" i="15" a="1"/>
  <c r="B72" i="8"/>
  <c r="AX167" i="15" a="1"/>
  <c r="AT222" i="15" a="1"/>
  <c r="J197" i="15" a="1"/>
  <c r="BU180" i="15" a="1"/>
  <c r="AF199" i="15" a="1"/>
  <c r="AB174" i="15" a="1"/>
  <c r="I209" i="15" a="1"/>
  <c r="BI173" i="15" a="1"/>
  <c r="O221" i="15" a="1"/>
  <c r="BB191" i="15" a="1"/>
  <c r="N173" i="15" a="1"/>
  <c r="BA173" i="15" a="1"/>
  <c r="BD225" i="15" a="1"/>
  <c r="CD194" i="15" a="1"/>
  <c r="Y212" i="15" a="1"/>
  <c r="BO194" i="15" a="1"/>
  <c r="U173" i="15" a="1"/>
  <c r="AP192" i="15" a="1"/>
  <c r="CF224" i="15" a="1"/>
  <c r="BR179" i="15" a="1"/>
  <c r="AZ225" i="15" a="1"/>
  <c r="AO188" i="15" a="1"/>
  <c r="AB188" i="15" a="1"/>
  <c r="AE205" i="15" a="1"/>
  <c r="AJ178" i="15" a="1"/>
  <c r="Z171" i="15" a="1"/>
  <c r="S172" i="15" a="1"/>
  <c r="R193" i="15" a="1"/>
  <c r="AO168" i="15" a="1"/>
  <c r="D54" i="15" a="1"/>
  <c r="AG168" i="15" a="1"/>
  <c r="CI221" i="15" a="1"/>
  <c r="I193" i="15" a="1"/>
  <c r="AY212" i="15" a="1"/>
  <c r="AH206" i="15" a="1"/>
  <c r="AB222" i="15" a="1"/>
  <c r="BA209" i="15" a="1"/>
  <c r="CD198" i="15" a="1"/>
  <c r="AO217" i="15" a="1"/>
  <c r="AQ192" i="15" a="1"/>
  <c r="G190" i="15" a="1"/>
  <c r="BR204" i="15" a="1"/>
  <c r="L173" i="15" a="1"/>
  <c r="J191" i="15" a="1"/>
  <c r="AV168" i="15" a="1"/>
  <c r="S192" i="15" a="1"/>
  <c r="K201" i="15" a="1"/>
  <c r="V171" i="15" a="1"/>
  <c r="BV191" i="15" a="1"/>
  <c r="BU193" i="15" a="1"/>
  <c r="AX223" i="15" a="1"/>
  <c r="BL216" i="15" a="1"/>
  <c r="AQ183" i="15" a="1"/>
  <c r="BN207" i="15" a="1"/>
  <c r="AK207" i="15" a="1"/>
  <c r="P195" i="15" a="1"/>
  <c r="BO222" i="15" a="1"/>
  <c r="CJ178" i="15" a="1"/>
  <c r="Q198" i="15" a="1"/>
  <c r="T166" i="15" a="1"/>
  <c r="BS194" i="15" a="1"/>
  <c r="BR211" i="15" a="1"/>
  <c r="CJ173" i="15" a="1"/>
  <c r="BS220" i="15" a="1"/>
  <c r="AP203" i="15" a="1"/>
  <c r="CC219" i="15" a="1"/>
  <c r="BF166" i="15" a="1"/>
  <c r="Q218" i="15" a="1"/>
  <c r="CG186" i="15" a="1"/>
  <c r="BO208" i="15" a="1"/>
  <c r="H176" i="15" a="1"/>
  <c r="AV217" i="15" a="1"/>
  <c r="AD183" i="15" a="1"/>
  <c r="C178" i="15" a="1"/>
  <c r="O200" i="15" a="1"/>
  <c r="AP183" i="15" a="1"/>
  <c r="AP185" i="15" a="1"/>
  <c r="BA220" i="15" a="1"/>
  <c r="AA220" i="15" a="1"/>
  <c r="Z215" i="15" a="1"/>
  <c r="AO215" i="15" a="1"/>
  <c r="BL222" i="15" a="1"/>
  <c r="T182" i="15" a="1"/>
  <c r="BN222" i="15" a="1"/>
  <c r="CI200" i="15" a="1"/>
  <c r="T169" i="15" a="1"/>
  <c r="BR201" i="15" a="1"/>
  <c r="AM201" i="15" a="1"/>
  <c r="AC189" i="15" a="1"/>
  <c r="AQ197" i="15" a="1"/>
  <c r="BF184" i="15" a="1"/>
  <c r="Z168" i="15" a="1"/>
  <c r="AM176" i="15" a="1"/>
  <c r="BO198" i="15" a="1"/>
  <c r="AW204" i="15" a="1"/>
  <c r="AO176" i="15" a="1"/>
  <c r="AH225" i="15" a="1"/>
  <c r="BL188" i="15" a="1"/>
  <c r="Q212" i="15" a="1"/>
  <c r="AE219" i="15" a="1"/>
  <c r="BO216" i="15" a="1"/>
  <c r="P177" i="15" a="1"/>
  <c r="F175" i="15" a="1"/>
  <c r="AT191" i="15" a="1"/>
  <c r="CF192" i="15" a="1"/>
  <c r="U211" i="15" a="1"/>
  <c r="I220" i="15" a="1"/>
  <c r="CD208" i="15" a="1"/>
  <c r="BS223" i="15" a="1"/>
  <c r="AD188" i="15" a="1"/>
  <c r="AT190" i="15" a="1"/>
  <c r="B124" i="8"/>
  <c r="BP207" i="15" a="1"/>
  <c r="H173" i="15" a="1"/>
  <c r="BM193" i="15" a="1"/>
  <c r="BO175" i="15" a="1"/>
  <c r="V170" i="15" a="1"/>
  <c r="S195" i="15" a="1"/>
  <c r="V169" i="15" a="1"/>
  <c r="AK188" i="15" a="1"/>
  <c r="BG209" i="15" a="1"/>
  <c r="AO219" i="15" a="1"/>
  <c r="AI216" i="15" a="1"/>
  <c r="AW206" i="15" a="1"/>
  <c r="AI170" i="15" a="1"/>
  <c r="G191" i="15" a="1"/>
  <c r="BS196" i="15" a="1"/>
  <c r="CM184" i="15" a="1"/>
  <c r="Z184" i="15" a="1"/>
  <c r="X180" i="15" a="1"/>
  <c r="AM222" i="15" a="1"/>
  <c r="BM200" i="15" a="1"/>
  <c r="AQ198" i="15" a="1"/>
  <c r="S165" i="15" a="1"/>
  <c r="AD219" i="15" a="1"/>
  <c r="BA185" i="15" a="1"/>
  <c r="BH187" i="15" a="1"/>
  <c r="AE216" i="15" a="1"/>
  <c r="BF167" i="15" a="1"/>
  <c r="BH189" i="15" a="1"/>
  <c r="P168" i="15" a="1"/>
  <c r="BO214" i="15" a="1"/>
  <c r="BO204" i="15" a="1"/>
  <c r="AC191" i="15" a="1"/>
  <c r="AL169" i="15" a="1"/>
  <c r="F193" i="15" a="1"/>
  <c r="M224" i="15" a="1"/>
  <c r="CM200" i="15" a="1"/>
  <c r="BI209" i="15" a="1"/>
  <c r="AO175" i="15" a="1"/>
  <c r="AE209" i="15" a="1"/>
  <c r="AT225" i="15" a="1"/>
  <c r="BV200" i="15" a="1"/>
  <c r="BM204" i="15" a="1"/>
  <c r="AI173" i="15" a="1"/>
  <c r="R200" i="15" a="1"/>
  <c r="BD192" i="15" a="1"/>
  <c r="AG211" i="15" a="1"/>
  <c r="BJ176" i="15" a="1"/>
  <c r="G198" i="15" a="1"/>
  <c r="AG173" i="15" a="1"/>
  <c r="AL184" i="15" a="1"/>
  <c r="AL170" i="15" a="1"/>
  <c r="AM181" i="15" a="1"/>
  <c r="Q190" i="15" a="1"/>
  <c r="BU194" i="15" a="1"/>
  <c r="AG198" i="15" a="1"/>
  <c r="Q192" i="15" a="1"/>
  <c r="CM172" i="15" a="1"/>
  <c r="AY197" i="15" a="1"/>
  <c r="V199" i="15" a="1"/>
  <c r="BG175" i="15" a="1"/>
  <c r="CE200" i="15" a="1"/>
  <c r="AD174" i="15" a="1"/>
  <c r="BP191" i="15" a="1"/>
  <c r="AR204" i="15" a="1"/>
  <c r="BB223" i="15" a="1"/>
  <c r="I181" i="15" a="1"/>
  <c r="BJ194" i="15" a="1"/>
  <c r="AH190" i="15" a="1"/>
  <c r="BA218" i="15" a="1"/>
  <c r="K221" i="15" a="1"/>
  <c r="BL210" i="15" a="1"/>
  <c r="J183" i="15" a="1"/>
  <c r="AB177" i="15" a="1"/>
  <c r="AS198" i="15" a="1"/>
  <c r="I173" i="15" a="1"/>
  <c r="AH196" i="15" a="1"/>
  <c r="BK222" i="15" a="1"/>
  <c r="BO219" i="15" a="1"/>
  <c r="AG207" i="15" a="1"/>
  <c r="M174" i="15" a="1"/>
  <c r="AT180" i="15" a="1"/>
  <c r="C49" i="15" a="1"/>
  <c r="AS214" i="15" a="1"/>
  <c r="AQ184" i="15" a="1"/>
  <c r="B76" i="8"/>
  <c r="H182" i="15" a="1"/>
  <c r="AX190" i="15" a="1"/>
  <c r="CI201" i="15" a="1"/>
  <c r="CC201" i="15" a="1"/>
  <c r="AO208" i="15" a="1"/>
  <c r="AB195" i="15" a="1"/>
  <c r="AU211" i="15" a="1"/>
  <c r="AW224" i="15" a="1"/>
  <c r="W180" i="15" a="1"/>
  <c r="I195" i="15" a="1"/>
  <c r="BQ195" i="15" a="1"/>
  <c r="L189" i="15" a="1"/>
  <c r="AX166" i="15" a="1"/>
  <c r="CF194" i="15" a="1"/>
  <c r="B82" i="8"/>
  <c r="AV194" i="15" a="1"/>
  <c r="R186" i="15" a="1"/>
  <c r="AO165" i="15" a="1"/>
  <c r="G180" i="15" a="1"/>
  <c r="C198" i="15" a="1"/>
  <c r="P166" i="15" a="1"/>
  <c r="BB200" i="15" a="1"/>
  <c r="AX168" i="15" a="1"/>
  <c r="BE206" i="15" a="1"/>
  <c r="BG166" i="15" a="1"/>
  <c r="J174" i="15" a="1"/>
  <c r="BK220" i="15" a="1"/>
  <c r="BL214" i="15" a="1"/>
  <c r="BA190" i="15" a="1"/>
  <c r="M207" i="15" a="1"/>
  <c r="AI195" i="15" a="1"/>
  <c r="AJ206" i="15" a="1"/>
  <c r="I206" i="15" a="1"/>
  <c r="F174" i="15" a="1"/>
  <c r="BF203" i="15" a="1"/>
  <c r="AV210" i="15" a="1"/>
  <c r="CL190" i="15" a="1"/>
  <c r="CE175" i="15" a="1"/>
  <c r="CH220" i="15" a="1"/>
  <c r="T167" i="15" a="1"/>
  <c r="BV215" i="15" a="1"/>
  <c r="AW201" i="15" a="1"/>
  <c r="P213" i="15" a="1"/>
  <c r="AA213" i="15" a="1"/>
  <c r="AN217" i="15" a="1"/>
  <c r="AG190" i="15" a="1"/>
  <c r="Y206" i="15" a="1"/>
  <c r="BM201" i="15" a="1"/>
  <c r="CH216" i="15" a="1"/>
  <c r="CD191" i="15" a="1"/>
  <c r="BO211" i="15" a="1"/>
  <c r="S222" i="15" a="1"/>
  <c r="CC172" i="15" a="1"/>
  <c r="Y218" i="15" a="1"/>
  <c r="AF193" i="15" a="1"/>
  <c r="AX219" i="15" a="1"/>
  <c r="AJ169" i="15" a="1"/>
  <c r="BP212" i="15" a="1"/>
  <c r="J199" i="15" a="1"/>
  <c r="BU170" i="15" a="1"/>
  <c r="AE195" i="15" a="1"/>
  <c r="AM218" i="15" a="1"/>
  <c r="AQ185" i="15" a="1"/>
  <c r="BP204" i="15" a="1"/>
  <c r="BQ225" i="15" a="1"/>
  <c r="BJ182" i="15" a="1"/>
  <c r="AF225" i="15" a="1"/>
  <c r="U209" i="15" a="1"/>
  <c r="BG219" i="15" a="1"/>
  <c r="AG166" i="15" a="1"/>
  <c r="BB190" i="15" a="1"/>
  <c r="BK182" i="15" a="1"/>
  <c r="AN212" i="15" a="1"/>
  <c r="BD212" i="15" a="1"/>
  <c r="CE204" i="15" a="1"/>
  <c r="CH211" i="15" a="1"/>
  <c r="AQ203" i="15" a="1"/>
  <c r="T187" i="15" a="1"/>
  <c r="BF179" i="15" a="1"/>
  <c r="CH190" i="15" a="1"/>
  <c r="CN166" i="15" a="1"/>
  <c r="CN199" i="15" a="1"/>
  <c r="BH222" i="15" a="1"/>
  <c r="V184" i="15" a="1"/>
  <c r="AL203" i="15" a="1"/>
  <c r="CN198" i="15" a="1"/>
  <c r="CE192" i="15" a="1"/>
  <c r="AS216" i="15" a="1"/>
  <c r="M204" i="15" a="1"/>
  <c r="BF165" i="15" a="1"/>
  <c r="N194" i="15" a="1"/>
  <c r="CD210" i="15" a="1"/>
  <c r="AT186" i="15" a="1"/>
  <c r="C223" i="15" a="1"/>
  <c r="BU220" i="15" a="1"/>
  <c r="BN216" i="15" a="1"/>
  <c r="AU188" i="15" a="1"/>
  <c r="BH171" i="15" a="1"/>
  <c r="CF213" i="15" a="1"/>
  <c r="CL225" i="15" a="1"/>
  <c r="H172" i="15" a="1"/>
  <c r="CC169" i="15" a="1"/>
  <c r="CJ195" i="15" a="1"/>
  <c r="CL205" i="15" a="1"/>
  <c r="BN181" i="15" a="1"/>
  <c r="AQ178" i="15" a="1"/>
  <c r="BE212" i="15" a="1"/>
  <c r="AH177" i="15" a="1"/>
  <c r="BS218" i="15" a="1"/>
  <c r="BM223" i="15" a="1"/>
  <c r="T224" i="15" a="1"/>
  <c r="H177" i="15" a="1"/>
  <c r="AC212" i="15" a="1"/>
  <c r="AC187" i="15" a="1"/>
  <c r="CL211" i="15" a="1"/>
  <c r="N225" i="15" a="1"/>
  <c r="CL209" i="15" a="1"/>
  <c r="P208" i="15" a="1"/>
  <c r="BC170" i="15" a="1"/>
  <c r="BN183" i="15" a="1"/>
  <c r="CL171" i="15" a="1"/>
  <c r="CI187" i="15" a="1"/>
  <c r="U218" i="15" a="1"/>
  <c r="K177" i="15" a="1"/>
  <c r="CL204" i="15" a="1"/>
  <c r="AI203" i="15" a="1"/>
  <c r="AM168" i="15" a="1"/>
  <c r="AU193" i="15" a="1"/>
  <c r="AP201" i="15" a="1"/>
  <c r="AF182" i="15" a="1"/>
  <c r="N166" i="15" a="1"/>
  <c r="AK169" i="15" a="1"/>
  <c r="C199" i="15" a="1"/>
  <c r="AJ223" i="15" a="1"/>
  <c r="AD211" i="15" a="1"/>
  <c r="BC177" i="15" a="1"/>
  <c r="BF173" i="15" a="1"/>
  <c r="CD204" i="15" a="1"/>
  <c r="CK215" i="15" a="1"/>
  <c r="BG224" i="15" a="1"/>
  <c r="AJ214" i="15" a="1"/>
  <c r="Y217" i="15" a="1"/>
  <c r="BV181" i="15" a="1"/>
  <c r="BJ199" i="15" a="1"/>
  <c r="BU212" i="15" a="1"/>
  <c r="BI198" i="15" a="1"/>
  <c r="CG201" i="15" a="1"/>
  <c r="BM196" i="15" a="1"/>
  <c r="AH194" i="15" a="1"/>
  <c r="K217" i="15" a="1"/>
  <c r="CL184" i="15" a="1"/>
  <c r="I207" i="15" a="1"/>
  <c r="AQ205" i="15" a="1"/>
  <c r="CK207" i="15" a="1"/>
  <c r="AM185" i="15" a="1"/>
  <c r="BN219" i="15" a="1"/>
  <c r="BK193" i="15" a="1"/>
  <c r="AZ181" i="15" a="1"/>
  <c r="BP188" i="15" a="1"/>
  <c r="AT223" i="15" a="1"/>
  <c r="W170" i="15" a="1"/>
  <c r="O178" i="15" a="1"/>
  <c r="H171" i="15" a="1"/>
  <c r="AQ218" i="15" a="1"/>
  <c r="AF190" i="15" a="1"/>
  <c r="CH210" i="15" a="1"/>
  <c r="AY176" i="15" a="1"/>
  <c r="AO182" i="15" a="1"/>
  <c r="BF197" i="15" a="1"/>
  <c r="CK219" i="15" a="1"/>
  <c r="R168" i="15" a="1"/>
  <c r="AU200" i="15" a="1"/>
  <c r="AY214" i="15" a="1"/>
  <c r="CF167" i="15" a="1"/>
  <c r="AY224" i="15" a="1"/>
  <c r="L193" i="15" a="1"/>
  <c r="AN193" i="15" a="1"/>
  <c r="AQ180" i="15" a="1"/>
  <c r="C209" i="15" a="1"/>
  <c r="J205" i="15" a="1"/>
  <c r="C211" i="15" a="1"/>
  <c r="AZ222" i="15" a="1"/>
  <c r="BP214" i="15" a="1"/>
  <c r="Y175" i="15" a="1"/>
  <c r="BP216" i="15" a="1"/>
  <c r="E172" i="15" a="1"/>
  <c r="F171" i="15" a="1"/>
  <c r="R180" i="15" a="1"/>
  <c r="BJ201" i="15" a="1"/>
  <c r="N220" i="15" a="1"/>
  <c r="BC183" i="15" a="1"/>
  <c r="BT205" i="15" a="1"/>
  <c r="AN180" i="15" a="1"/>
  <c r="AD223" i="15" a="1"/>
  <c r="BV168" i="15" a="1"/>
  <c r="Q210" i="15" a="1"/>
  <c r="BJ225" i="15" a="1"/>
  <c r="O203" i="15" a="1"/>
  <c r="AT203" i="15" a="1"/>
  <c r="Y211" i="15" a="1"/>
  <c r="BL203" i="15" a="1"/>
  <c r="V217" i="15" a="1"/>
  <c r="X209" i="15" a="1"/>
  <c r="AN203" i="15" a="1"/>
  <c r="BF188" i="15" a="1"/>
  <c r="BB225" i="15" a="1"/>
  <c r="O220" i="15" a="1"/>
  <c r="BG200" i="15" a="1"/>
  <c r="Y196" i="15" a="1"/>
  <c r="S185" i="15" a="1"/>
  <c r="BM191" i="15" a="1"/>
  <c r="AT167" i="15" a="1"/>
  <c r="V185" i="15" a="1"/>
  <c r="BO182" i="15" a="1"/>
  <c r="BB175" i="15" a="1"/>
  <c r="AP190" i="15" a="1"/>
  <c r="AH178" i="15" a="1"/>
  <c r="CI212" i="15" a="1"/>
  <c r="AH191" i="15" a="1"/>
  <c r="BQ180" i="15" a="1"/>
  <c r="AN222" i="15" a="1"/>
  <c r="AY179" i="15" a="1"/>
  <c r="AN166" i="15" a="1"/>
  <c r="CH177" i="15" a="1"/>
  <c r="AV216" i="15" a="1"/>
  <c r="BI211" i="15" a="1"/>
  <c r="CC215" i="15" a="1"/>
  <c r="AU178" i="15" a="1"/>
  <c r="AW165" i="15" a="1"/>
  <c r="I184" i="15" a="1"/>
  <c r="Q223" i="15" a="1"/>
  <c r="AM191" i="15" a="1"/>
  <c r="S200" i="15" a="1"/>
  <c r="R167" i="15" a="1"/>
  <c r="AS193" i="15" a="1"/>
  <c r="AV175" i="15" a="1"/>
  <c r="AS183" i="15" a="1"/>
  <c r="Y208" i="15" a="1"/>
  <c r="Q216" i="15" a="1"/>
  <c r="BA225" i="15" a="1"/>
  <c r="AV225" i="15" a="1"/>
  <c r="F207" i="15" a="1"/>
  <c r="T220" i="15" a="1"/>
  <c r="AI214" i="15" a="1"/>
  <c r="BF200" i="15" a="1"/>
  <c r="AV203" i="15" a="1"/>
  <c r="AJ191" i="15" a="1"/>
  <c r="BH186" i="15" a="1"/>
  <c r="L219" i="15" a="1"/>
  <c r="BB202" i="15" a="1"/>
  <c r="CE190" i="15" a="1"/>
  <c r="BB166" i="15" a="1"/>
  <c r="AS175" i="15" a="1"/>
  <c r="CC210" i="15" a="1"/>
  <c r="BP221" i="15" a="1"/>
  <c r="AF216" i="15" a="1"/>
  <c r="P219" i="15" a="1"/>
  <c r="BS180" i="15" a="1"/>
  <c r="BH224" i="15" a="1"/>
  <c r="AL221" i="15" a="1"/>
  <c r="CE205" i="15" a="1"/>
  <c r="AM206" i="15" a="1"/>
  <c r="E193" i="15" a="1"/>
  <c r="AC181" i="15" a="1"/>
  <c r="AP224" i="15" a="1"/>
  <c r="H174" i="15" a="1"/>
  <c r="AF178" i="15" a="1"/>
  <c r="CK175" i="15" a="1"/>
  <c r="BJ173" i="15" a="1"/>
  <c r="AI213" i="15" a="1"/>
  <c r="CE165" i="15" a="1"/>
  <c r="S210" i="15" a="1"/>
  <c r="O225" i="15" a="1"/>
  <c r="AT218" i="15" a="1"/>
  <c r="AA195" i="15" a="1"/>
  <c r="CK189" i="15" a="1"/>
  <c r="BN192" i="15" a="1"/>
  <c r="CF202" i="15" a="1"/>
  <c r="AW200" i="15" a="1"/>
  <c r="G172" i="15" a="1"/>
  <c r="BU205" i="15" a="1"/>
  <c r="BO172" i="15" a="1"/>
  <c r="BD167" i="15" a="1"/>
  <c r="BS193" i="15" a="1"/>
  <c r="S178" i="15" a="1"/>
  <c r="BR180" i="15" a="1"/>
  <c r="BN214" i="15" a="1"/>
  <c r="CM187" i="15" a="1"/>
  <c r="BQ176" i="15" a="1"/>
  <c r="K194" i="15" a="1"/>
  <c r="V221" i="15" a="1"/>
  <c r="Z225" i="15" a="1"/>
  <c r="BQ220" i="15" a="1"/>
  <c r="CE197" i="15" a="1"/>
  <c r="CC170" i="15" a="1"/>
  <c r="BU190" i="15" a="1"/>
  <c r="AC201" i="15" a="1"/>
  <c r="CK197" i="15" a="1"/>
  <c r="CE189" i="15" a="1"/>
  <c r="AE220" i="15" a="1"/>
  <c r="AH174" i="15" a="1"/>
  <c r="AD178" i="15" a="1"/>
  <c r="AS206" i="15" a="1"/>
  <c r="CE173" i="15" a="1"/>
  <c r="BS188" i="15" a="1"/>
  <c r="AW169" i="15" a="1"/>
  <c r="L187" i="15" a="1"/>
  <c r="BC201" i="15" a="1"/>
  <c r="CM197" i="15" a="1"/>
  <c r="H222" i="15" a="1"/>
  <c r="AK173" i="15" a="1"/>
  <c r="BV208" i="15" a="1"/>
  <c r="O173" i="15" a="1"/>
  <c r="BT203" i="15" a="1"/>
  <c r="BJ223" i="15" a="1"/>
  <c r="G194" i="15" a="1"/>
  <c r="CD189" i="15" a="1"/>
  <c r="BG179" i="15" a="1"/>
  <c r="AI222" i="15" a="1"/>
  <c r="CM210" i="15" a="1"/>
  <c r="J193" i="15" a="1"/>
  <c r="Q180" i="15" a="1"/>
  <c r="G204" i="15" a="1"/>
  <c r="BL174" i="15" a="1"/>
  <c r="CG192" i="15" a="1"/>
  <c r="AZ199" i="15" a="1"/>
  <c r="P181" i="15" a="1"/>
  <c r="BS182" i="15" a="1"/>
  <c r="BJ170" i="15" a="1"/>
  <c r="CK196" i="15" a="1"/>
  <c r="CD193" i="15" a="1"/>
  <c r="BH165" i="15" a="1"/>
  <c r="K181" i="15" a="1"/>
  <c r="AS221" i="15" a="1"/>
  <c r="J219" i="15" a="1"/>
  <c r="CH165" i="15" a="1"/>
  <c r="BF221" i="15" a="1"/>
  <c r="N207" i="15" a="1"/>
  <c r="BB224" i="15" a="1"/>
  <c r="BR186" i="15" a="1"/>
  <c r="BL167" i="15" a="1"/>
  <c r="J224" i="15" a="1"/>
  <c r="BD216" i="15" a="1"/>
  <c r="CL213" i="15" a="1"/>
  <c r="E210" i="15" a="1"/>
  <c r="B123" i="8"/>
  <c r="N169" i="15" a="1"/>
  <c r="J192" i="15" a="1"/>
  <c r="CM166" i="15" a="1"/>
  <c r="R207" i="15" a="1"/>
  <c r="CD179" i="15" a="1"/>
  <c r="F168" i="15" a="1"/>
  <c r="CD196" i="15" a="1"/>
  <c r="BH211" i="15" a="1"/>
  <c r="T217" i="15" a="1"/>
  <c r="BI222" i="15" a="1"/>
  <c r="BM210" i="15" a="1"/>
  <c r="Y203" i="15" a="1"/>
  <c r="AD189" i="15" a="1"/>
  <c r="AM213" i="15" a="1"/>
  <c r="BC209" i="15" a="1"/>
  <c r="CN167" i="15" a="1"/>
  <c r="P106" i="8" a="1"/>
  <c r="P79" i="8" a="1"/>
  <c r="P69" i="8" a="1"/>
  <c r="P130" i="8" a="1"/>
  <c r="P68" i="8" a="1"/>
  <c r="P129" i="8" a="1"/>
  <c r="P48" i="8" a="1"/>
  <c r="P107" i="8" a="1"/>
  <c r="P49" i="8" a="1"/>
  <c r="K36" i="359" a="1"/>
  <c r="N36" i="359" a="1"/>
  <c r="Q36" i="359" a="1"/>
  <c r="U36" i="359" a="1"/>
  <c r="Y36" i="359" a="1"/>
  <c r="C36" i="359" a="1"/>
  <c r="G36" i="359" a="1"/>
  <c r="CO209" i="15" a="1"/>
  <c r="CO185" i="15" a="1"/>
  <c r="CO213" i="15" a="1"/>
  <c r="CO200" i="15" a="1"/>
  <c r="CO169" i="15" a="1"/>
  <c r="CO223" i="15" a="1"/>
  <c r="CO180" i="15" a="1"/>
  <c r="CO199" i="15" a="1"/>
  <c r="CO173" i="15" a="1"/>
  <c r="P103" i="8" a="1"/>
  <c r="P127" i="8" a="1"/>
  <c r="P58" i="8" a="1"/>
  <c r="P67" i="8" a="1"/>
  <c r="P110" i="8" a="1"/>
  <c r="P70" i="8" a="1"/>
  <c r="P59" i="8" a="1"/>
  <c r="P99" i="8" a="1"/>
  <c r="P60" i="8" a="1"/>
  <c r="J36" i="359" a="1"/>
  <c r="O36" i="359" a="1"/>
  <c r="S36" i="359" a="1"/>
  <c r="AC36" i="359" a="1"/>
  <c r="Z36" i="359" a="1"/>
  <c r="D36" i="359" a="1"/>
  <c r="H36" i="359" a="1"/>
  <c r="CO167" i="15" a="1"/>
  <c r="CO202" i="15" a="1"/>
  <c r="CO193" i="15" a="1"/>
  <c r="CO215" i="15" a="1"/>
  <c r="CO171" i="15" a="1"/>
  <c r="CO220" i="15" a="1"/>
  <c r="CO201" i="15" a="1"/>
  <c r="CO181" i="15" a="1"/>
  <c r="P104" i="8" a="1"/>
  <c r="P87" i="8" a="1"/>
  <c r="P108" i="8" a="1"/>
  <c r="P100" i="8" a="1"/>
  <c r="P47" i="8" a="1"/>
  <c r="P57" i="8" a="1"/>
  <c r="P80" i="8" a="1"/>
  <c r="P77" i="8" a="1"/>
  <c r="P109" i="8" a="1"/>
  <c r="M36" i="359" a="1"/>
  <c r="T36" i="359" a="1"/>
  <c r="W36" i="359" a="1"/>
  <c r="AB36" i="359" a="1"/>
  <c r="X36" i="359" a="1"/>
  <c r="E36" i="359" a="1"/>
  <c r="I36" i="359" a="1"/>
  <c r="CO179" i="15" a="1"/>
  <c r="CO168" i="15" a="1"/>
  <c r="CO176" i="15" a="1"/>
  <c r="CO206" i="15" a="1"/>
  <c r="CO189" i="15" a="1"/>
  <c r="CO188" i="15" a="1"/>
  <c r="CO187" i="15" a="1"/>
  <c r="CO225" i="15" a="1"/>
  <c r="CO219" i="15" a="1"/>
  <c r="P105" i="8" a="1"/>
  <c r="P46" i="8" a="1"/>
  <c r="P88" i="8" a="1"/>
  <c r="P90" i="8" a="1"/>
  <c r="P89" i="8" a="1"/>
  <c r="P78" i="8" a="1"/>
  <c r="P97" i="8" a="1"/>
  <c r="P128" i="8" a="1"/>
  <c r="P98" i="8" a="1"/>
  <c r="L36" i="359" a="1"/>
  <c r="P36" i="359" a="1"/>
  <c r="R36" i="359" a="1"/>
  <c r="V36" i="359" a="1"/>
  <c r="AA36" i="359" a="1"/>
  <c r="B36" i="359" a="1"/>
  <c r="F36" i="359" a="1"/>
  <c r="CO177" i="15" a="1"/>
  <c r="CO210" i="15" a="1"/>
  <c r="CO196" i="15" a="1"/>
  <c r="CO174" i="15" a="1"/>
  <c r="CO197" i="15" a="1"/>
  <c r="CO224" i="15" a="1"/>
  <c r="CO178" i="15" a="1"/>
  <c r="CO212" i="15" a="1"/>
  <c r="CO207" i="15" a="1"/>
  <c r="CO175" i="15" a="1"/>
  <c r="CO192" i="15" a="1"/>
  <c r="CO211" i="15" a="1"/>
  <c r="CO203" i="15" a="1"/>
  <c r="CP231" i="15" a="1"/>
  <c r="CO221" i="15" a="1"/>
  <c r="C56" i="15" a="1"/>
  <c r="CO170" i="15" a="1"/>
  <c r="CO195" i="15" a="1"/>
  <c r="CO217" i="15" a="1"/>
  <c r="CO166" i="15" a="1"/>
  <c r="CO204" i="15" a="1"/>
  <c r="D56" i="15" a="1"/>
  <c r="CO214" i="15" a="1"/>
  <c r="CO216" i="15" a="1"/>
  <c r="CO198" i="15" a="1"/>
  <c r="CO190" i="15" a="1"/>
  <c r="CO165" i="15" a="1"/>
  <c r="CO183" i="15" a="1"/>
  <c r="CO222" i="15" a="1"/>
  <c r="CO218" i="15" a="1"/>
  <c r="CO184" i="15" a="1"/>
  <c r="CO186" i="15" a="1"/>
  <c r="CO194" i="15" a="1"/>
  <c r="CO182" i="15" a="1"/>
  <c r="CO208" i="15" a="1"/>
  <c r="CO191" i="15" a="1"/>
  <c r="CO172" i="15" a="1"/>
  <c r="CO205" i="15" a="1"/>
  <c r="CN167" i="15" l="1"/>
  <c r="BC209" i="15"/>
  <c r="AM213" i="15"/>
  <c r="AD189" i="15"/>
  <c r="Y203" i="15"/>
  <c r="BM210" i="15"/>
  <c r="BI222" i="15"/>
  <c r="T217" i="15"/>
  <c r="BH211" i="15"/>
  <c r="CD196" i="15"/>
  <c r="F168" i="15"/>
  <c r="CD179" i="15"/>
  <c r="R207" i="15"/>
  <c r="CM166" i="15"/>
  <c r="J192" i="15"/>
  <c r="N169" i="15"/>
  <c r="E210" i="15"/>
  <c r="CL213" i="15"/>
  <c r="BD216" i="15"/>
  <c r="J224" i="15"/>
  <c r="BL167" i="15"/>
  <c r="BR186" i="15"/>
  <c r="BB224" i="15"/>
  <c r="N207" i="15"/>
  <c r="BF221" i="15"/>
  <c r="CH165" i="15"/>
  <c r="J219" i="15"/>
  <c r="AS221" i="15"/>
  <c r="K181" i="15"/>
  <c r="BH165" i="15"/>
  <c r="CD193" i="15"/>
  <c r="CK196" i="15"/>
  <c r="BJ170" i="15"/>
  <c r="BS182" i="15"/>
  <c r="P181" i="15"/>
  <c r="AZ199" i="15"/>
  <c r="CG192" i="15"/>
  <c r="BL174" i="15"/>
  <c r="G204" i="15"/>
  <c r="Q180" i="15"/>
  <c r="J193" i="15"/>
  <c r="CM210" i="15"/>
  <c r="AI222" i="15"/>
  <c r="BG179" i="15"/>
  <c r="CD189" i="15"/>
  <c r="G194" i="15"/>
  <c r="BJ223" i="15"/>
  <c r="BT203" i="15"/>
  <c r="O173" i="15"/>
  <c r="BV208" i="15"/>
  <c r="AK173" i="15"/>
  <c r="H222" i="15"/>
  <c r="CM197" i="15"/>
  <c r="BC201" i="15"/>
  <c r="L187" i="15"/>
  <c r="AW169" i="15"/>
  <c r="BS188" i="15"/>
  <c r="CE173" i="15"/>
  <c r="AS206" i="15"/>
  <c r="AD178" i="15"/>
  <c r="AH174" i="15"/>
  <c r="AE220" i="15"/>
  <c r="CE189" i="15"/>
  <c r="CK197" i="15"/>
  <c r="AC201" i="15"/>
  <c r="BU190" i="15"/>
  <c r="CC170" i="15"/>
  <c r="CE197" i="15"/>
  <c r="BQ220" i="15"/>
  <c r="Z225" i="15"/>
  <c r="V221" i="15"/>
  <c r="K194" i="15"/>
  <c r="BQ176" i="15"/>
  <c r="CM187" i="15"/>
  <c r="BN214" i="15"/>
  <c r="BR180" i="15"/>
  <c r="S178" i="15"/>
  <c r="BS193" i="15"/>
  <c r="BD167" i="15"/>
  <c r="BO172" i="15"/>
  <c r="BU205" i="15"/>
  <c r="G172" i="15"/>
  <c r="AW200" i="15"/>
  <c r="CF202" i="15"/>
  <c r="BN192" i="15"/>
  <c r="CK189" i="15"/>
  <c r="AA195" i="15"/>
  <c r="AT218" i="15"/>
  <c r="O225" i="15"/>
  <c r="S210" i="15"/>
  <c r="CE165" i="15"/>
  <c r="AI213" i="15"/>
  <c r="BJ173" i="15"/>
  <c r="CK175" i="15"/>
  <c r="AF178" i="15"/>
  <c r="H174" i="15"/>
  <c r="AP224" i="15"/>
  <c r="AC181" i="15"/>
  <c r="E193" i="15"/>
  <c r="AM206" i="15"/>
  <c r="CE205" i="15"/>
  <c r="AL221" i="15"/>
  <c r="BH224" i="15"/>
  <c r="BS180" i="15"/>
  <c r="P219" i="15"/>
  <c r="AF216" i="15"/>
  <c r="BP221" i="15"/>
  <c r="CC210" i="15"/>
  <c r="AS175" i="15"/>
  <c r="BB166" i="15"/>
  <c r="CE190" i="15"/>
  <c r="BB202" i="15"/>
  <c r="L219" i="15"/>
  <c r="BH186" i="15"/>
  <c r="AJ191" i="15"/>
  <c r="AV203" i="15"/>
  <c r="BF200" i="15"/>
  <c r="AI214" i="15"/>
  <c r="T220" i="15"/>
  <c r="F207" i="15"/>
  <c r="AV225" i="15"/>
  <c r="BA225" i="15"/>
  <c r="Q216" i="15"/>
  <c r="Y208" i="15"/>
  <c r="AS183" i="15"/>
  <c r="AV175" i="15"/>
  <c r="AS193" i="15"/>
  <c r="R167" i="15"/>
  <c r="S200" i="15"/>
  <c r="AM191" i="15"/>
  <c r="Q223" i="15"/>
  <c r="I184" i="15"/>
  <c r="AW165" i="15"/>
  <c r="AU178" i="15"/>
  <c r="CC215" i="15"/>
  <c r="BI211" i="15"/>
  <c r="AV216" i="15"/>
  <c r="CH177" i="15"/>
  <c r="AN166" i="15"/>
  <c r="AY179" i="15"/>
  <c r="AN222" i="15"/>
  <c r="BQ180" i="15"/>
  <c r="AH191" i="15"/>
  <c r="CI212" i="15"/>
  <c r="AH178" i="15"/>
  <c r="AP190" i="15"/>
  <c r="BB175" i="15"/>
  <c r="BO182" i="15"/>
  <c r="V185" i="15"/>
  <c r="AT167" i="15"/>
  <c r="BM191" i="15"/>
  <c r="S185" i="15"/>
  <c r="Y196" i="15"/>
  <c r="BG200" i="15"/>
  <c r="O220" i="15"/>
  <c r="BB225" i="15"/>
  <c r="BF188" i="15"/>
  <c r="AN203" i="15"/>
  <c r="X209" i="15"/>
  <c r="V217" i="15"/>
  <c r="BL203" i="15"/>
  <c r="Y211" i="15"/>
  <c r="AT203" i="15"/>
  <c r="O203" i="15"/>
  <c r="BJ225" i="15"/>
  <c r="Q210" i="15"/>
  <c r="BV168" i="15"/>
  <c r="AD223" i="15"/>
  <c r="AN180" i="15"/>
  <c r="BT205" i="15"/>
  <c r="BC183" i="15"/>
  <c r="N220" i="15"/>
  <c r="BJ201" i="15"/>
  <c r="R180" i="15"/>
  <c r="F171" i="15"/>
  <c r="E172" i="15"/>
  <c r="BP216" i="15"/>
  <c r="Y175" i="15"/>
  <c r="BP214" i="15"/>
  <c r="AZ222" i="15"/>
  <c r="C211" i="15"/>
  <c r="J205" i="15"/>
  <c r="C209" i="15"/>
  <c r="AQ180" i="15"/>
  <c r="AN193" i="15"/>
  <c r="L193" i="15"/>
  <c r="AY224" i="15"/>
  <c r="CF167" i="15"/>
  <c r="AY214" i="15"/>
  <c r="AU200" i="15"/>
  <c r="R168" i="15"/>
  <c r="CK219" i="15"/>
  <c r="BF197" i="15"/>
  <c r="AO182" i="15"/>
  <c r="AY176" i="15"/>
  <c r="CH210" i="15"/>
  <c r="AF190" i="15"/>
  <c r="AQ218" i="15"/>
  <c r="H171" i="15"/>
  <c r="O178" i="15"/>
  <c r="W170" i="15"/>
  <c r="AT223" i="15"/>
  <c r="BP188" i="15"/>
  <c r="AZ181" i="15"/>
  <c r="BK193" i="15"/>
  <c r="BN219" i="15"/>
  <c r="AM185" i="15"/>
  <c r="CK207" i="15"/>
  <c r="AQ205" i="15"/>
  <c r="I207" i="15"/>
  <c r="CL184" i="15"/>
  <c r="K217" i="15"/>
  <c r="AH194" i="15"/>
  <c r="BM196" i="15"/>
  <c r="CG201" i="15"/>
  <c r="BI198" i="15"/>
  <c r="BU212" i="15"/>
  <c r="BJ199" i="15"/>
  <c r="BV181" i="15"/>
  <c r="Y217" i="15"/>
  <c r="AJ214" i="15"/>
  <c r="BG224" i="15"/>
  <c r="CK215" i="15"/>
  <c r="CD204" i="15"/>
  <c r="BF173" i="15"/>
  <c r="BC177" i="15"/>
  <c r="AD211" i="15"/>
  <c r="AJ223" i="15"/>
  <c r="C199" i="15"/>
  <c r="AK169" i="15"/>
  <c r="N166" i="15"/>
  <c r="AF182" i="15"/>
  <c r="AP201" i="15"/>
  <c r="AU193" i="15"/>
  <c r="AM168" i="15"/>
  <c r="AI203" i="15"/>
  <c r="CL204" i="15"/>
  <c r="K177" i="15"/>
  <c r="U218" i="15"/>
  <c r="CI187" i="15"/>
  <c r="CL171" i="15"/>
  <c r="BN183" i="15"/>
  <c r="BC170" i="15"/>
  <c r="P208" i="15"/>
  <c r="CL209" i="15"/>
  <c r="N225" i="15"/>
  <c r="CL211" i="15"/>
  <c r="AC187" i="15"/>
  <c r="AC212" i="15"/>
  <c r="H177" i="15"/>
  <c r="T224" i="15"/>
  <c r="BM223" i="15"/>
  <c r="BS218" i="15"/>
  <c r="AH177" i="15"/>
  <c r="BE212" i="15"/>
  <c r="AQ178" i="15"/>
  <c r="BN181" i="15"/>
  <c r="CL205" i="15"/>
  <c r="CJ195" i="15"/>
  <c r="CC169" i="15"/>
  <c r="H172" i="15"/>
  <c r="CL225" i="15"/>
  <c r="CF213" i="15"/>
  <c r="BH171" i="15"/>
  <c r="AU188" i="15"/>
  <c r="BN216" i="15"/>
  <c r="BU220" i="15"/>
  <c r="C223" i="15"/>
  <c r="AT186" i="15"/>
  <c r="CD210" i="15"/>
  <c r="N194" i="15"/>
  <c r="BF165" i="15"/>
  <c r="M204" i="15"/>
  <c r="AS216" i="15"/>
  <c r="CE192" i="15"/>
  <c r="CN198" i="15"/>
  <c r="AL203" i="15"/>
  <c r="V184" i="15"/>
  <c r="BH222" i="15"/>
  <c r="CN199" i="15"/>
  <c r="CN166" i="15"/>
  <c r="CH190" i="15"/>
  <c r="BF179" i="15"/>
  <c r="T187" i="15"/>
  <c r="AQ203" i="15"/>
  <c r="CH211" i="15"/>
  <c r="CE204" i="15"/>
  <c r="BD212" i="15"/>
  <c r="AN212" i="15"/>
  <c r="BK182" i="15"/>
  <c r="BB190" i="15"/>
  <c r="AG166" i="15"/>
  <c r="BG219" i="15"/>
  <c r="U209" i="15"/>
  <c r="AF225" i="15"/>
  <c r="BJ182" i="15"/>
  <c r="BQ225" i="15"/>
  <c r="BP204" i="15"/>
  <c r="AQ185" i="15"/>
  <c r="AM218" i="15"/>
  <c r="AE195" i="15"/>
  <c r="BU170" i="15"/>
  <c r="J199" i="15"/>
  <c r="BP212" i="15"/>
  <c r="AJ169" i="15"/>
  <c r="AX219" i="15"/>
  <c r="AF193" i="15"/>
  <c r="Y218" i="15"/>
  <c r="CC172" i="15"/>
  <c r="S222" i="15"/>
  <c r="BO211" i="15"/>
  <c r="CD191" i="15"/>
  <c r="CH216" i="15"/>
  <c r="BM201" i="15"/>
  <c r="Y206" i="15"/>
  <c r="AG190" i="15"/>
  <c r="AN217" i="15"/>
  <c r="AA213" i="15"/>
  <c r="P213" i="15"/>
  <c r="AW201" i="15"/>
  <c r="BV215" i="15"/>
  <c r="T167" i="15"/>
  <c r="CH220" i="15"/>
  <c r="CE175" i="15"/>
  <c r="CL190" i="15"/>
  <c r="AV210" i="15"/>
  <c r="BF203" i="15"/>
  <c r="F174" i="15"/>
  <c r="I206" i="15"/>
  <c r="AJ206" i="15"/>
  <c r="AI195" i="15"/>
  <c r="M207" i="15"/>
  <c r="BA190" i="15"/>
  <c r="BL214" i="15"/>
  <c r="BK220" i="15"/>
  <c r="J174" i="15"/>
  <c r="BG166" i="15"/>
  <c r="BE206" i="15"/>
  <c r="AX168" i="15"/>
  <c r="BB200" i="15"/>
  <c r="P166" i="15"/>
  <c r="C198" i="15"/>
  <c r="G180" i="15"/>
  <c r="AO165" i="15"/>
  <c r="R186" i="15"/>
  <c r="AV194" i="15"/>
  <c r="CF194" i="15"/>
  <c r="AX166" i="15"/>
  <c r="L189" i="15"/>
  <c r="BQ195" i="15"/>
  <c r="I195" i="15"/>
  <c r="W180" i="15"/>
  <c r="AW224" i="15"/>
  <c r="AU211" i="15"/>
  <c r="AB195" i="15"/>
  <c r="AO208" i="15"/>
  <c r="CC201" i="15"/>
  <c r="CI201" i="15"/>
  <c r="AX190" i="15"/>
  <c r="H182" i="15"/>
  <c r="AQ184" i="15"/>
  <c r="AS214" i="15"/>
  <c r="C49" i="15"/>
  <c r="AT180" i="15"/>
  <c r="M174" i="15"/>
  <c r="AG207" i="15"/>
  <c r="BO219" i="15"/>
  <c r="BK222" i="15"/>
  <c r="AH196" i="15"/>
  <c r="I173" i="15"/>
  <c r="AS198" i="15"/>
  <c r="AB177" i="15"/>
  <c r="J183" i="15"/>
  <c r="BL210" i="15"/>
  <c r="K221" i="15"/>
  <c r="BA218" i="15"/>
  <c r="AH190" i="15"/>
  <c r="BJ194" i="15"/>
  <c r="I181" i="15"/>
  <c r="BB223" i="15"/>
  <c r="AR204" i="15"/>
  <c r="BP191" i="15"/>
  <c r="AD174" i="15"/>
  <c r="CE200" i="15"/>
  <c r="BG175" i="15"/>
  <c r="V199" i="15"/>
  <c r="AY197" i="15"/>
  <c r="CM172" i="15"/>
  <c r="Q192" i="15"/>
  <c r="AG198" i="15"/>
  <c r="BU194" i="15"/>
  <c r="Q190" i="15"/>
  <c r="AM181" i="15"/>
  <c r="AL170" i="15"/>
  <c r="AL184" i="15"/>
  <c r="AG173" i="15"/>
  <c r="G198" i="15"/>
  <c r="BJ176" i="15"/>
  <c r="AG211" i="15"/>
  <c r="BD192" i="15"/>
  <c r="R200" i="15"/>
  <c r="AI173" i="15"/>
  <c r="BM204" i="15"/>
  <c r="BV200" i="15"/>
  <c r="AT225" i="15"/>
  <c r="AE209" i="15"/>
  <c r="AO175" i="15"/>
  <c r="BI209" i="15"/>
  <c r="CM200" i="15"/>
  <c r="M224" i="15"/>
  <c r="F193" i="15"/>
  <c r="AL169" i="15"/>
  <c r="AC191" i="15"/>
  <c r="BO204" i="15"/>
  <c r="BO214" i="15"/>
  <c r="P168" i="15"/>
  <c r="BH189" i="15"/>
  <c r="BF167" i="15"/>
  <c r="AE216" i="15"/>
  <c r="BH187" i="15"/>
  <c r="BA185" i="15"/>
  <c r="AD219" i="15"/>
  <c r="S165" i="15"/>
  <c r="AQ198" i="15"/>
  <c r="BM200" i="15"/>
  <c r="AM222" i="15"/>
  <c r="X180" i="15"/>
  <c r="Z184" i="15"/>
  <c r="CM184" i="15"/>
  <c r="BS196" i="15"/>
  <c r="G191" i="15"/>
  <c r="AI170" i="15"/>
  <c r="AW206" i="15"/>
  <c r="AI216" i="15"/>
  <c r="AO219" i="15"/>
  <c r="BG209" i="15"/>
  <c r="AK188" i="15"/>
  <c r="V169" i="15"/>
  <c r="S195" i="15"/>
  <c r="V170" i="15"/>
  <c r="BO175" i="15"/>
  <c r="BM193" i="15"/>
  <c r="H173" i="15"/>
  <c r="BP207" i="15"/>
  <c r="AT190" i="15"/>
  <c r="AD188" i="15"/>
  <c r="BS223" i="15"/>
  <c r="CD208" i="15"/>
  <c r="I220" i="15"/>
  <c r="U211" i="15"/>
  <c r="CF192" i="15"/>
  <c r="AT191" i="15"/>
  <c r="F175" i="15"/>
  <c r="P177" i="15"/>
  <c r="BO216" i="15"/>
  <c r="AE219" i="15"/>
  <c r="Q212" i="15"/>
  <c r="BL188" i="15"/>
  <c r="AH225" i="15"/>
  <c r="AO176" i="15"/>
  <c r="AW204" i="15"/>
  <c r="BO198" i="15"/>
  <c r="AM176" i="15"/>
  <c r="Z168" i="15"/>
  <c r="BF184" i="15"/>
  <c r="AQ197" i="15"/>
  <c r="AC189" i="15"/>
  <c r="AM201" i="15"/>
  <c r="BR201" i="15"/>
  <c r="T169" i="15"/>
  <c r="CI200" i="15"/>
  <c r="BN222" i="15"/>
  <c r="T182" i="15"/>
  <c r="BL222" i="15"/>
  <c r="AO215" i="15"/>
  <c r="Z215" i="15"/>
  <c r="AA220" i="15"/>
  <c r="BA220" i="15"/>
  <c r="AP185" i="15"/>
  <c r="AP183" i="15"/>
  <c r="O200" i="15"/>
  <c r="C178" i="15"/>
  <c r="AD183" i="15"/>
  <c r="AV217" i="15"/>
  <c r="H176" i="15"/>
  <c r="BO208" i="15"/>
  <c r="CG186" i="15"/>
  <c r="Q218" i="15"/>
  <c r="BF166" i="15"/>
  <c r="CC219" i="15"/>
  <c r="AP203" i="15"/>
  <c r="BS220" i="15"/>
  <c r="CJ173" i="15"/>
  <c r="BR211" i="15"/>
  <c r="BS194" i="15"/>
  <c r="T166" i="15"/>
  <c r="Q198" i="15"/>
  <c r="CJ178" i="15"/>
  <c r="BO222" i="15"/>
  <c r="P195" i="15"/>
  <c r="AK207" i="15"/>
  <c r="BN207" i="15"/>
  <c r="AQ183" i="15"/>
  <c r="BL216" i="15"/>
  <c r="AX223" i="15"/>
  <c r="BU193" i="15"/>
  <c r="BV191" i="15"/>
  <c r="V171" i="15"/>
  <c r="K201" i="15"/>
  <c r="S192" i="15"/>
  <c r="AV168" i="15"/>
  <c r="J191" i="15"/>
  <c r="L173" i="15"/>
  <c r="BR204" i="15"/>
  <c r="G190" i="15"/>
  <c r="AQ192" i="15"/>
  <c r="AO217" i="15"/>
  <c r="CD198" i="15"/>
  <c r="BA209" i="15"/>
  <c r="AB222" i="15"/>
  <c r="AH206" i="15"/>
  <c r="AY212" i="15"/>
  <c r="I193" i="15"/>
  <c r="CI221" i="15"/>
  <c r="AG168" i="15"/>
  <c r="D54" i="15"/>
  <c r="D117" i="15" s="1"/>
  <c r="AO168" i="15"/>
  <c r="R193" i="15"/>
  <c r="S172" i="15"/>
  <c r="Z171" i="15"/>
  <c r="AJ178" i="15"/>
  <c r="AE205" i="15"/>
  <c r="AB188" i="15"/>
  <c r="AO188" i="15"/>
  <c r="AZ225" i="15"/>
  <c r="BR179" i="15"/>
  <c r="CF224" i="15"/>
  <c r="AP192" i="15"/>
  <c r="U173" i="15"/>
  <c r="BO194" i="15"/>
  <c r="Y212" i="15"/>
  <c r="CD194" i="15"/>
  <c r="BD225" i="15"/>
  <c r="BA173" i="15"/>
  <c r="N173" i="15"/>
  <c r="BB191" i="15"/>
  <c r="O221" i="15"/>
  <c r="BI173" i="15"/>
  <c r="I209" i="15"/>
  <c r="AB174" i="15"/>
  <c r="AF199" i="15"/>
  <c r="BU180" i="15"/>
  <c r="J197" i="15"/>
  <c r="AT222" i="15"/>
  <c r="AX167" i="15"/>
  <c r="CE222" i="15"/>
  <c r="AW225" i="15"/>
  <c r="M178" i="15"/>
  <c r="CN196" i="15"/>
  <c r="BK176" i="15"/>
  <c r="BF168" i="15"/>
  <c r="BB181" i="15"/>
  <c r="CN192" i="15"/>
  <c r="CL224" i="15"/>
  <c r="AS185" i="15"/>
  <c r="AH224" i="15"/>
  <c r="N222" i="15"/>
  <c r="CG223" i="15"/>
  <c r="CK223" i="15"/>
  <c r="CH221" i="15"/>
  <c r="AZ180" i="15"/>
  <c r="X201" i="15"/>
  <c r="BB171" i="15"/>
  <c r="BU192" i="15"/>
  <c r="X186" i="15"/>
  <c r="Z223" i="15"/>
  <c r="BR221" i="15"/>
  <c r="CH201" i="15"/>
  <c r="AN192" i="15"/>
  <c r="AF170" i="15"/>
  <c r="BT183" i="15"/>
  <c r="BO187" i="15"/>
  <c r="CM206" i="15"/>
  <c r="AE201" i="15"/>
  <c r="AL201" i="15"/>
  <c r="AX170" i="15"/>
  <c r="AD185" i="15"/>
  <c r="BD168" i="15"/>
  <c r="AK202" i="15"/>
  <c r="BA186" i="15"/>
  <c r="AO211" i="15"/>
  <c r="AU203" i="15"/>
  <c r="CF209" i="15"/>
  <c r="AZ178" i="15"/>
  <c r="AW170" i="15"/>
  <c r="Q188" i="15"/>
  <c r="AI182" i="15"/>
  <c r="J180" i="15"/>
  <c r="S196" i="15"/>
  <c r="AH207" i="15"/>
  <c r="Z188" i="15"/>
  <c r="AY193" i="15"/>
  <c r="W195" i="15"/>
  <c r="AB189" i="15"/>
  <c r="AJ215" i="15"/>
  <c r="F179" i="15"/>
  <c r="BR197" i="15"/>
  <c r="AE203" i="15"/>
  <c r="AT216" i="15"/>
  <c r="CG198" i="15"/>
  <c r="AU204" i="15"/>
  <c r="CM213" i="15"/>
  <c r="Y165" i="15"/>
  <c r="E205" i="15"/>
  <c r="T177" i="15"/>
  <c r="BH206" i="15"/>
  <c r="T208" i="15"/>
  <c r="AQ225" i="15"/>
  <c r="X170" i="15"/>
  <c r="Q202" i="15"/>
  <c r="AP225" i="15"/>
  <c r="BF183" i="15"/>
  <c r="AP219" i="15"/>
  <c r="T210" i="15"/>
  <c r="AR173" i="15"/>
  <c r="BS197" i="15"/>
  <c r="BF172" i="15"/>
  <c r="M185" i="15"/>
  <c r="P205" i="15"/>
  <c r="C203" i="15"/>
  <c r="E168" i="15"/>
  <c r="G207" i="15"/>
  <c r="AN168" i="15"/>
  <c r="M201" i="15"/>
  <c r="AV184" i="15"/>
  <c r="AH208" i="15"/>
  <c r="BL218" i="15"/>
  <c r="AJ208" i="15"/>
  <c r="L220" i="15"/>
  <c r="AP214" i="15"/>
  <c r="BS191" i="15"/>
  <c r="CG182" i="15"/>
  <c r="AN206" i="15"/>
  <c r="CM191" i="15"/>
  <c r="I224" i="15"/>
  <c r="W173" i="15"/>
  <c r="BC176" i="15"/>
  <c r="H218" i="15"/>
  <c r="CG209" i="15"/>
  <c r="CF217" i="15"/>
  <c r="W189" i="15"/>
  <c r="BT224" i="15"/>
  <c r="AF223" i="15"/>
  <c r="BL198" i="15"/>
  <c r="AJ220" i="15"/>
  <c r="BD173" i="15"/>
  <c r="BU214" i="15"/>
  <c r="BC225" i="15"/>
  <c r="BO181" i="15"/>
  <c r="BH208" i="15"/>
  <c r="AK221" i="15"/>
  <c r="K216" i="15"/>
  <c r="T202" i="15"/>
  <c r="E216" i="15"/>
  <c r="BD218" i="15"/>
  <c r="CH202" i="15"/>
  <c r="CE198" i="15"/>
  <c r="CD216" i="15"/>
  <c r="BS169" i="15"/>
  <c r="CG202" i="15"/>
  <c r="J215" i="15"/>
  <c r="AL189" i="15"/>
  <c r="CH184" i="15"/>
  <c r="AU170" i="15"/>
  <c r="CI216" i="15"/>
  <c r="BM198" i="15"/>
  <c r="V204" i="15"/>
  <c r="CI179" i="15"/>
  <c r="BJ200" i="15"/>
  <c r="AB166" i="15"/>
  <c r="Z224" i="15"/>
  <c r="L170" i="15"/>
  <c r="Z186" i="15"/>
  <c r="AM204" i="15"/>
  <c r="AA218" i="15"/>
  <c r="AA187" i="15"/>
  <c r="O186" i="15"/>
  <c r="BJ208" i="15"/>
  <c r="AS182" i="15"/>
  <c r="BJ221" i="15"/>
  <c r="AE218" i="15"/>
  <c r="AS215" i="15"/>
  <c r="BS166" i="15"/>
  <c r="CF208" i="15"/>
  <c r="AC206" i="15"/>
  <c r="AN176" i="15"/>
  <c r="CI174" i="15"/>
  <c r="AZ165" i="15"/>
  <c r="M199" i="15"/>
  <c r="BQ182" i="15"/>
  <c r="BE186" i="15"/>
  <c r="BJ213" i="15"/>
  <c r="AR174" i="15"/>
  <c r="Y167" i="15"/>
  <c r="AG181" i="15"/>
  <c r="J187" i="15"/>
  <c r="BG174" i="15"/>
  <c r="V168" i="15"/>
  <c r="AI178" i="15"/>
  <c r="S187" i="15"/>
  <c r="BB196" i="15"/>
  <c r="H192" i="15"/>
  <c r="CD203" i="15"/>
  <c r="AF166" i="15"/>
  <c r="AX178" i="15"/>
  <c r="I208" i="15"/>
  <c r="X185" i="15"/>
  <c r="CJ174" i="15"/>
  <c r="CJ197" i="15"/>
  <c r="AR167" i="15"/>
  <c r="BE171" i="15"/>
  <c r="L186" i="15"/>
  <c r="AR165" i="15"/>
  <c r="BS195" i="15"/>
  <c r="CF166" i="15"/>
  <c r="CH222" i="15"/>
  <c r="U219" i="15"/>
  <c r="BO203" i="15"/>
  <c r="CM221" i="15"/>
  <c r="AI219" i="15"/>
  <c r="AX195" i="15"/>
  <c r="CK167" i="15"/>
  <c r="BR203" i="15"/>
  <c r="AN209" i="15"/>
  <c r="I182" i="15"/>
  <c r="CL182" i="15"/>
  <c r="AI207" i="15"/>
  <c r="J201" i="15"/>
  <c r="H224" i="15"/>
  <c r="BO212" i="15"/>
  <c r="BI225" i="15"/>
  <c r="V178" i="15"/>
  <c r="CE195" i="15"/>
  <c r="AT176" i="15"/>
  <c r="M194" i="15"/>
  <c r="T180" i="15"/>
  <c r="AD199" i="15"/>
  <c r="BG196" i="15"/>
  <c r="BC207" i="15"/>
  <c r="W185" i="15"/>
  <c r="R184" i="15"/>
  <c r="BP223" i="15"/>
  <c r="AK168" i="15"/>
  <c r="AK183" i="15"/>
  <c r="AM199" i="15"/>
  <c r="AM223" i="15"/>
  <c r="AV180" i="15"/>
  <c r="BN175" i="15"/>
  <c r="AW214" i="15"/>
  <c r="AU225" i="15"/>
  <c r="I194" i="15"/>
  <c r="G225" i="15"/>
  <c r="AX196" i="15"/>
  <c r="AP191" i="15"/>
  <c r="BC186" i="15"/>
  <c r="BP172" i="15"/>
  <c r="BL207" i="15"/>
  <c r="AD210" i="15"/>
  <c r="BV166" i="15"/>
  <c r="CL222" i="15"/>
  <c r="C50" i="15"/>
  <c r="C113" i="15" s="1"/>
  <c r="K197" i="15"/>
  <c r="P169" i="15"/>
  <c r="AY208" i="15"/>
  <c r="X182" i="15"/>
  <c r="AQ171" i="15"/>
  <c r="BI220" i="15"/>
  <c r="AR217" i="15"/>
  <c r="CK182" i="15"/>
  <c r="AQ196" i="15"/>
  <c r="F219" i="15"/>
  <c r="BS216" i="15"/>
  <c r="BM170" i="15"/>
  <c r="AY220" i="15"/>
  <c r="V213" i="15"/>
  <c r="O224" i="15"/>
  <c r="U171" i="15"/>
  <c r="G166" i="15"/>
  <c r="BE222" i="15"/>
  <c r="BL221" i="15"/>
  <c r="AB165" i="15"/>
  <c r="BS192" i="15"/>
  <c r="BN187" i="15"/>
  <c r="CE170" i="15"/>
  <c r="BH223" i="15"/>
  <c r="R185" i="15"/>
  <c r="BU207" i="15"/>
  <c r="G175" i="15"/>
  <c r="BQ218" i="15"/>
  <c r="BQ201" i="15"/>
  <c r="AC171" i="15"/>
  <c r="AE186" i="15"/>
  <c r="BV204" i="15"/>
  <c r="BQ200" i="15"/>
  <c r="AU202" i="15"/>
  <c r="BQ216" i="15"/>
  <c r="AW171" i="15"/>
  <c r="AQ190" i="15"/>
  <c r="Z167" i="15"/>
  <c r="V167" i="15"/>
  <c r="AZ195" i="15"/>
  <c r="R195" i="15"/>
  <c r="BB192" i="15"/>
  <c r="BM224" i="15"/>
  <c r="AJ225" i="15"/>
  <c r="AM200" i="15"/>
  <c r="AD197" i="15"/>
  <c r="BC168" i="15"/>
  <c r="C195" i="15"/>
  <c r="J167" i="15"/>
  <c r="CG200" i="15"/>
  <c r="D52" i="15"/>
  <c r="D115" i="15" s="1"/>
  <c r="O184" i="15"/>
  <c r="F183" i="15"/>
  <c r="BM167" i="15"/>
  <c r="AJ218" i="15"/>
  <c r="AL217" i="15"/>
  <c r="CC209" i="15"/>
  <c r="BA210" i="15"/>
  <c r="BQ166" i="15"/>
  <c r="BP183" i="15"/>
  <c r="AI218" i="15"/>
  <c r="Q201" i="15"/>
  <c r="BT221" i="15"/>
  <c r="J223" i="15"/>
  <c r="CF220" i="15"/>
  <c r="L206" i="15"/>
  <c r="K179" i="15"/>
  <c r="AB192" i="15"/>
  <c r="BQ224" i="15"/>
  <c r="AF174" i="15"/>
  <c r="AK205" i="15"/>
  <c r="CN203" i="15"/>
  <c r="BC188" i="15"/>
  <c r="T170" i="15"/>
  <c r="AM167" i="15"/>
  <c r="F177" i="15"/>
  <c r="U196" i="15"/>
  <c r="AL195" i="15"/>
  <c r="AZ182" i="15"/>
  <c r="Q204" i="15"/>
  <c r="E185" i="15"/>
  <c r="AK213" i="15"/>
  <c r="AX184" i="15"/>
  <c r="BQ192" i="15"/>
  <c r="AQ193" i="15"/>
  <c r="AM190" i="15"/>
  <c r="AN198" i="15"/>
  <c r="Z222" i="15"/>
  <c r="AS191" i="15"/>
  <c r="CE211" i="15"/>
  <c r="AB207" i="15"/>
  <c r="BT190" i="15"/>
  <c r="Z216" i="15"/>
  <c r="AY211" i="15"/>
  <c r="AR193" i="15"/>
  <c r="CK209" i="15"/>
  <c r="BA211" i="15"/>
  <c r="BN189" i="15"/>
  <c r="BD189" i="15"/>
  <c r="J206" i="15"/>
  <c r="CG178" i="15"/>
  <c r="Q172" i="15"/>
  <c r="CK212" i="15"/>
  <c r="V205" i="15"/>
  <c r="BN215" i="15"/>
  <c r="CG185" i="15"/>
  <c r="BU221" i="15"/>
  <c r="K213" i="15"/>
  <c r="M203" i="15"/>
  <c r="AE171" i="15"/>
  <c r="AJ212" i="15"/>
  <c r="BS167" i="15"/>
  <c r="AJ170" i="15"/>
  <c r="X172" i="15"/>
  <c r="K165" i="15"/>
  <c r="BQ177" i="15"/>
  <c r="CK206" i="15"/>
  <c r="BO180" i="15"/>
  <c r="CD195" i="15"/>
  <c r="CD212" i="15"/>
  <c r="AY182" i="15"/>
  <c r="CJ192" i="15"/>
  <c r="BA215" i="15"/>
  <c r="AV190" i="15"/>
  <c r="AH165" i="15"/>
  <c r="CL188" i="15"/>
  <c r="AO173" i="15"/>
  <c r="O185" i="15"/>
  <c r="Q183" i="15"/>
  <c r="R173" i="15"/>
  <c r="AH176" i="15"/>
  <c r="D46" i="15"/>
  <c r="D109" i="15" s="1"/>
  <c r="AC224" i="15"/>
  <c r="AS196" i="15"/>
  <c r="CC202" i="15"/>
  <c r="M186" i="15"/>
  <c r="AR216" i="15"/>
  <c r="CK193" i="15"/>
  <c r="BD176" i="15"/>
  <c r="BE175" i="15"/>
  <c r="AY200" i="15"/>
  <c r="AU185" i="15"/>
  <c r="BS190" i="15"/>
  <c r="AU215" i="15"/>
  <c r="CL194" i="15"/>
  <c r="BS210" i="15"/>
  <c r="AO220" i="15"/>
  <c r="AF219" i="15"/>
  <c r="CK177" i="15"/>
  <c r="K196" i="15"/>
  <c r="BV221" i="15"/>
  <c r="CL180" i="15"/>
  <c r="AU201" i="15"/>
  <c r="CL191" i="15"/>
  <c r="AY201" i="15"/>
  <c r="V188" i="15"/>
  <c r="BB195" i="15"/>
  <c r="BV210" i="15"/>
  <c r="AD215" i="15"/>
  <c r="O192" i="15"/>
  <c r="BT167" i="15"/>
  <c r="AR182" i="15"/>
  <c r="AP222" i="15"/>
  <c r="O216" i="15"/>
  <c r="BQ206" i="15"/>
  <c r="F166" i="15"/>
  <c r="AF176" i="15"/>
  <c r="BT213" i="15"/>
  <c r="AB209" i="15"/>
  <c r="X193" i="15"/>
  <c r="AL208" i="15"/>
  <c r="E218" i="15"/>
  <c r="AY202" i="15"/>
  <c r="AV176" i="15"/>
  <c r="AK167" i="15"/>
  <c r="AB175" i="15"/>
  <c r="AZ208" i="15"/>
  <c r="BU199" i="15"/>
  <c r="CM179" i="15"/>
  <c r="AR201" i="15"/>
  <c r="AX218" i="15"/>
  <c r="AC173" i="15"/>
  <c r="AE169" i="15"/>
  <c r="BN223" i="15"/>
  <c r="AI190" i="15"/>
  <c r="BC202" i="15"/>
  <c r="CG216" i="15"/>
  <c r="AP176" i="15"/>
  <c r="L225" i="15"/>
  <c r="G188" i="15"/>
  <c r="C169" i="15"/>
  <c r="AW220" i="15"/>
  <c r="CJ189" i="15"/>
  <c r="W184" i="15"/>
  <c r="I165" i="15"/>
  <c r="BS199" i="15"/>
  <c r="CJ193" i="15"/>
  <c r="AB216" i="15"/>
  <c r="Y220" i="15"/>
  <c r="CH171" i="15"/>
  <c r="CI208" i="15"/>
  <c r="I166" i="15"/>
  <c r="Y170" i="15"/>
  <c r="W202" i="15"/>
  <c r="R190" i="15"/>
  <c r="AN184" i="15"/>
  <c r="X165" i="15"/>
  <c r="AW195" i="15"/>
  <c r="BR198" i="15"/>
  <c r="AJ188" i="15"/>
  <c r="D47" i="15"/>
  <c r="D110" i="15" s="1"/>
  <c r="BD191" i="15"/>
  <c r="BS214" i="15"/>
  <c r="AU169" i="15"/>
  <c r="CE214" i="15"/>
  <c r="T193" i="15"/>
  <c r="BU213" i="15"/>
  <c r="Q195" i="15"/>
  <c r="CD165" i="15"/>
  <c r="CM219" i="15"/>
  <c r="AC180" i="15"/>
  <c r="CG183" i="15"/>
  <c r="AW184" i="15"/>
  <c r="BA195" i="15"/>
  <c r="T181" i="15"/>
  <c r="AO180" i="15"/>
  <c r="AR169" i="15"/>
  <c r="AV218" i="15"/>
  <c r="BB208" i="15"/>
  <c r="AB194" i="15"/>
  <c r="CC181" i="15"/>
  <c r="CL223" i="15"/>
  <c r="P165" i="15"/>
  <c r="CH175" i="15"/>
  <c r="AE172" i="15"/>
  <c r="BK208" i="15"/>
  <c r="AN188" i="15"/>
  <c r="AL175" i="15"/>
  <c r="H180" i="15"/>
  <c r="CC179" i="15"/>
  <c r="H181" i="15"/>
  <c r="AK217" i="15"/>
  <c r="AG203" i="15"/>
  <c r="CI188" i="15"/>
  <c r="V174" i="15"/>
  <c r="AR190" i="15"/>
  <c r="AH189" i="15"/>
  <c r="BE195" i="15"/>
  <c r="CE183" i="15"/>
  <c r="I222" i="15"/>
  <c r="BU196" i="15"/>
  <c r="BO170" i="15"/>
  <c r="BR188" i="15"/>
  <c r="BR192" i="15"/>
  <c r="CM223" i="15"/>
  <c r="AT211" i="15"/>
  <c r="AD190" i="15"/>
  <c r="AK225" i="15"/>
  <c r="BK174" i="15"/>
  <c r="CD205" i="15"/>
  <c r="BA197" i="15"/>
  <c r="AT215" i="15"/>
  <c r="U198" i="15"/>
  <c r="CG175" i="15"/>
  <c r="AZ187" i="15"/>
  <c r="U206" i="15"/>
  <c r="BS177" i="15"/>
  <c r="U216" i="15"/>
  <c r="BS198" i="15"/>
  <c r="AA215" i="15"/>
  <c r="AT175" i="15"/>
  <c r="BE169" i="15"/>
  <c r="CJ223" i="15"/>
  <c r="AB215" i="15"/>
  <c r="K166" i="15"/>
  <c r="N190" i="15"/>
  <c r="BI191" i="15"/>
  <c r="N181" i="15"/>
  <c r="S174" i="15"/>
  <c r="AQ208" i="15"/>
  <c r="AT217" i="15"/>
  <c r="R202" i="15"/>
  <c r="AS195" i="15"/>
  <c r="X171" i="15"/>
  <c r="AD170" i="15"/>
  <c r="AG171" i="15"/>
  <c r="C54" i="15"/>
  <c r="C117" i="15" s="1"/>
  <c r="AY191" i="15"/>
  <c r="CJ224" i="15"/>
  <c r="E206" i="15"/>
  <c r="M177" i="15"/>
  <c r="K195" i="15"/>
  <c r="Y225" i="15"/>
  <c r="CH191" i="15"/>
  <c r="AV200" i="15"/>
  <c r="N179" i="15"/>
  <c r="AW215" i="15"/>
  <c r="BI176" i="15"/>
  <c r="BD215" i="15"/>
  <c r="BD214" i="15"/>
  <c r="AP193" i="15"/>
  <c r="G193" i="15"/>
  <c r="AT181" i="15"/>
  <c r="AW179" i="15"/>
  <c r="AN199" i="15"/>
  <c r="K190" i="15"/>
  <c r="W204" i="15"/>
  <c r="CF222" i="15"/>
  <c r="BE197" i="15"/>
  <c r="L215" i="15"/>
  <c r="BK172" i="15"/>
  <c r="AH221" i="15"/>
  <c r="AZ207" i="15"/>
  <c r="BT198" i="15"/>
  <c r="CG172" i="15"/>
  <c r="M221" i="15"/>
  <c r="CG184" i="15"/>
  <c r="V203" i="15"/>
  <c r="CM181" i="15"/>
  <c r="AO198" i="15"/>
  <c r="AZ206" i="15"/>
  <c r="AA201" i="15"/>
  <c r="BB201" i="15"/>
  <c r="AD192" i="15"/>
  <c r="BU200" i="15"/>
  <c r="V212" i="15"/>
  <c r="Y176" i="15"/>
  <c r="X206" i="15"/>
  <c r="AY198" i="15"/>
  <c r="BD181" i="15"/>
  <c r="AV214" i="15"/>
  <c r="S208" i="15"/>
  <c r="S220" i="15"/>
  <c r="CI186" i="15"/>
  <c r="AF218" i="15"/>
  <c r="AD186" i="15"/>
  <c r="BG217" i="15"/>
  <c r="AP210" i="15"/>
  <c r="AJ167" i="15"/>
  <c r="J186" i="15"/>
  <c r="BB219" i="15"/>
  <c r="F197" i="15"/>
  <c r="BQ205" i="15"/>
  <c r="AZ200" i="15"/>
  <c r="BJ186" i="15"/>
  <c r="AJ221" i="15"/>
  <c r="CI185" i="15"/>
  <c r="AW217" i="15"/>
  <c r="N221" i="15"/>
  <c r="BM179" i="15"/>
  <c r="AE170" i="15"/>
  <c r="AP216" i="15"/>
  <c r="AG220" i="15"/>
  <c r="CG211" i="15"/>
  <c r="BS200" i="15"/>
  <c r="BO213" i="15"/>
  <c r="AC209" i="15"/>
  <c r="I169" i="15"/>
  <c r="K222" i="15"/>
  <c r="AF209" i="15"/>
  <c r="BE187" i="15"/>
  <c r="G219" i="15"/>
  <c r="M171" i="15"/>
  <c r="BP215" i="15"/>
  <c r="C220" i="15"/>
  <c r="AS202" i="15"/>
  <c r="L192" i="15"/>
  <c r="BU203" i="15"/>
  <c r="BI188" i="15"/>
  <c r="AD214" i="15"/>
  <c r="BO207" i="15"/>
  <c r="AT210" i="15"/>
  <c r="AP215" i="15"/>
  <c r="BG186" i="15"/>
  <c r="V198" i="15"/>
  <c r="S189" i="15"/>
  <c r="CN213" i="15"/>
  <c r="CN208" i="15"/>
  <c r="CN211" i="15"/>
  <c r="CE188" i="15"/>
  <c r="BL202" i="15"/>
  <c r="CN212" i="15"/>
  <c r="CN223" i="15"/>
  <c r="CN191" i="15"/>
  <c r="CN204" i="15"/>
  <c r="BO202" i="15"/>
  <c r="AR215" i="15"/>
  <c r="BH168" i="15"/>
  <c r="AH181" i="15"/>
  <c r="CH173" i="15"/>
  <c r="AA200" i="15"/>
  <c r="BV214" i="15"/>
  <c r="AI209" i="15"/>
  <c r="AZ211" i="15"/>
  <c r="AO222" i="15"/>
  <c r="AZ189" i="15"/>
  <c r="BV219" i="15"/>
  <c r="C206" i="15"/>
  <c r="D43" i="15"/>
  <c r="D106" i="15" s="1"/>
  <c r="CJ212" i="15"/>
  <c r="CH197" i="15"/>
  <c r="AI185" i="15"/>
  <c r="CI218" i="15"/>
  <c r="AW210" i="15"/>
  <c r="G200" i="15"/>
  <c r="Y187" i="15"/>
  <c r="CM209" i="15"/>
  <c r="BB213" i="15"/>
  <c r="BC196" i="15"/>
  <c r="L224" i="15"/>
  <c r="R177" i="15"/>
  <c r="AA179" i="15"/>
  <c r="AT166" i="15"/>
  <c r="AE182" i="15"/>
  <c r="AV181" i="15"/>
  <c r="AV204" i="15"/>
  <c r="BS202" i="15"/>
  <c r="AG191" i="15"/>
  <c r="J185" i="15"/>
  <c r="BJ191" i="15"/>
  <c r="BQ197" i="15"/>
  <c r="W176" i="15"/>
  <c r="C212" i="15"/>
  <c r="CG166" i="15"/>
  <c r="BR216" i="15"/>
  <c r="AI194" i="15"/>
  <c r="BP192" i="15"/>
  <c r="AN190" i="15"/>
  <c r="CI176" i="15"/>
  <c r="BD199" i="15"/>
  <c r="AC198" i="15"/>
  <c r="AV201" i="15"/>
  <c r="BN211" i="15"/>
  <c r="U182" i="15"/>
  <c r="BU216" i="15"/>
  <c r="CI204" i="15"/>
  <c r="AO186" i="15"/>
  <c r="AX208" i="15"/>
  <c r="AB223" i="15"/>
  <c r="BL220" i="15"/>
  <c r="M188" i="15"/>
  <c r="CJ214" i="15"/>
  <c r="BR217" i="15"/>
  <c r="BV211" i="15"/>
  <c r="AD206" i="15"/>
  <c r="W217" i="15"/>
  <c r="CJ186" i="15"/>
  <c r="CM186" i="15"/>
  <c r="CK166" i="15"/>
  <c r="AT212" i="15"/>
  <c r="CK200" i="15"/>
  <c r="J165" i="15"/>
  <c r="BH225" i="15"/>
  <c r="AY186" i="15"/>
  <c r="N223" i="15"/>
  <c r="AU212" i="15"/>
  <c r="BM172" i="15"/>
  <c r="AB198" i="15"/>
  <c r="AQ165" i="15"/>
  <c r="N224" i="15"/>
  <c r="AX172" i="15"/>
  <c r="AK220" i="15"/>
  <c r="AY184" i="15"/>
  <c r="BM187" i="15"/>
  <c r="CH214" i="15"/>
  <c r="BM202" i="15"/>
  <c r="AG222" i="15"/>
  <c r="CM212" i="15"/>
  <c r="BB199" i="15"/>
  <c r="CE199" i="15"/>
  <c r="BV220" i="15"/>
  <c r="M223" i="15"/>
  <c r="BA170" i="15"/>
  <c r="AS223" i="15"/>
  <c r="BF216" i="15"/>
  <c r="AT170" i="15"/>
  <c r="U202" i="15"/>
  <c r="BP184" i="15"/>
  <c r="AT174" i="15"/>
  <c r="R175" i="15"/>
  <c r="U180" i="15"/>
  <c r="BI170" i="15"/>
  <c r="BQ222" i="15"/>
  <c r="AE225" i="15"/>
  <c r="BI169" i="15"/>
  <c r="AK210" i="15"/>
  <c r="AK224" i="15"/>
  <c r="BR166" i="15"/>
  <c r="AT207" i="15"/>
  <c r="CH168" i="15"/>
  <c r="AK197" i="15"/>
  <c r="J220" i="15"/>
  <c r="CE185" i="15"/>
  <c r="AZ202" i="15"/>
  <c r="AK201" i="15"/>
  <c r="M195" i="15"/>
  <c r="R196" i="15"/>
  <c r="C44" i="15"/>
  <c r="C107" i="15" s="1"/>
  <c r="BD205" i="15"/>
  <c r="BP179" i="15"/>
  <c r="AP179" i="15"/>
  <c r="E177" i="15"/>
  <c r="E184" i="15"/>
  <c r="AE175" i="15"/>
  <c r="J211" i="15"/>
  <c r="BD224" i="15"/>
  <c r="CC180" i="15"/>
  <c r="E202" i="15"/>
  <c r="CH195" i="15"/>
  <c r="AD196" i="15"/>
  <c r="O188" i="15"/>
  <c r="M173" i="15"/>
  <c r="W183" i="15"/>
  <c r="BV180" i="15"/>
  <c r="AS211" i="15"/>
  <c r="CI178" i="15"/>
  <c r="BL175" i="15"/>
  <c r="BP199" i="15"/>
  <c r="BR177" i="15"/>
  <c r="P174" i="15"/>
  <c r="AX186" i="15"/>
  <c r="BB214" i="15"/>
  <c r="S215" i="15"/>
  <c r="AU198" i="15"/>
  <c r="AT206" i="15"/>
  <c r="AN172" i="15"/>
  <c r="BL169" i="15"/>
  <c r="AQ219" i="15"/>
  <c r="AJ200" i="15"/>
  <c r="P190" i="15"/>
  <c r="CG222" i="15"/>
  <c r="CF211" i="15"/>
  <c r="AW181" i="15"/>
  <c r="J195" i="15"/>
  <c r="K187" i="15"/>
  <c r="M197" i="15"/>
  <c r="AN194" i="15"/>
  <c r="CM169" i="15"/>
  <c r="O189" i="15"/>
  <c r="AZ186" i="15"/>
  <c r="AW223" i="15"/>
  <c r="I216" i="15"/>
  <c r="AD191" i="15"/>
  <c r="BR212" i="15"/>
  <c r="BJ218" i="15"/>
  <c r="AD167" i="15"/>
  <c r="BL185" i="15"/>
  <c r="AS212" i="15"/>
  <c r="CG215" i="15"/>
  <c r="O207" i="15"/>
  <c r="AR208" i="15"/>
  <c r="M196" i="15"/>
  <c r="BP180" i="15"/>
  <c r="Q173" i="15"/>
  <c r="I176" i="15"/>
  <c r="BA213" i="15"/>
  <c r="AG192" i="15"/>
  <c r="CL167" i="15"/>
  <c r="AC186" i="15"/>
  <c r="BD179" i="15"/>
  <c r="AV188" i="15"/>
  <c r="AN205" i="15"/>
  <c r="O208" i="15"/>
  <c r="I210" i="15"/>
  <c r="Z189" i="15"/>
  <c r="BR210" i="15"/>
  <c r="AY170" i="15"/>
  <c r="BJ217" i="15"/>
  <c r="BA192" i="15"/>
  <c r="BT196" i="15"/>
  <c r="J168" i="15"/>
  <c r="BK169" i="15"/>
  <c r="AO187" i="15"/>
  <c r="BF222" i="15"/>
  <c r="AM208" i="15"/>
  <c r="O183" i="15"/>
  <c r="AZ175" i="15"/>
  <c r="L199" i="15"/>
  <c r="AL211" i="15"/>
  <c r="AB187" i="15"/>
  <c r="AO216" i="15"/>
  <c r="BP208" i="15"/>
  <c r="AI187" i="15"/>
  <c r="AS203" i="15"/>
  <c r="BL224" i="15"/>
  <c r="F181" i="15"/>
  <c r="AT202" i="15"/>
  <c r="AH202" i="15"/>
  <c r="BE176" i="15"/>
  <c r="AB217" i="15"/>
  <c r="CJ207" i="15"/>
  <c r="K206" i="15"/>
  <c r="CC165" i="15"/>
  <c r="AD225" i="15"/>
  <c r="O175" i="15"/>
  <c r="V193" i="15"/>
  <c r="N174" i="15"/>
  <c r="M191" i="15"/>
  <c r="BF209" i="15"/>
  <c r="AS177" i="15"/>
  <c r="AY171" i="15"/>
  <c r="F215" i="15"/>
  <c r="BG221" i="15"/>
  <c r="BQ209" i="15"/>
  <c r="CM207" i="15"/>
  <c r="U197" i="15"/>
  <c r="AP208" i="15"/>
  <c r="AR225" i="15"/>
  <c r="BG225" i="15"/>
  <c r="AB224" i="15"/>
  <c r="BS179" i="15"/>
  <c r="AQ191" i="15"/>
  <c r="J210" i="15"/>
  <c r="BS184" i="15"/>
  <c r="AP204" i="15"/>
  <c r="F206" i="15"/>
  <c r="CM196" i="15"/>
  <c r="CL189" i="15"/>
  <c r="AN218" i="15"/>
  <c r="C53" i="15"/>
  <c r="C116" i="15" s="1"/>
  <c r="AM165" i="15"/>
  <c r="W206" i="15"/>
  <c r="AO212" i="15"/>
  <c r="BE201" i="15"/>
  <c r="T165" i="15"/>
  <c r="CD213" i="15"/>
  <c r="AK178" i="15"/>
  <c r="M183" i="15"/>
  <c r="AB181" i="15"/>
  <c r="G224" i="15"/>
  <c r="BB218" i="15"/>
  <c r="AN165" i="15"/>
  <c r="CD183" i="15"/>
  <c r="BV192" i="15"/>
  <c r="CF182" i="15"/>
  <c r="BM173" i="15"/>
  <c r="CM202" i="15"/>
  <c r="AJ192" i="15"/>
  <c r="BQ165" i="15"/>
  <c r="Z213" i="15"/>
  <c r="AN173" i="15"/>
  <c r="BK202" i="15"/>
  <c r="CE216" i="15"/>
  <c r="CJ205" i="15"/>
  <c r="AE217" i="15"/>
  <c r="S205" i="15"/>
  <c r="E217" i="15"/>
  <c r="BL189" i="15"/>
  <c r="AC215" i="15"/>
  <c r="BN205" i="15"/>
  <c r="CG206" i="15"/>
  <c r="BU195" i="15"/>
  <c r="BE211" i="15"/>
  <c r="L191" i="15"/>
  <c r="C196" i="15"/>
  <c r="AK191" i="15"/>
  <c r="AG186" i="15"/>
  <c r="CD219" i="15"/>
  <c r="C188" i="15"/>
  <c r="BJ202" i="15"/>
  <c r="AJ187" i="15"/>
  <c r="CD218" i="15"/>
  <c r="Y194" i="15"/>
  <c r="E214" i="15"/>
  <c r="BP205" i="15"/>
  <c r="E209" i="15"/>
  <c r="AC183" i="15"/>
  <c r="BK205" i="15"/>
  <c r="G174" i="15"/>
  <c r="BV222" i="15"/>
  <c r="AN219" i="15"/>
  <c r="BL182" i="15"/>
  <c r="CJ177" i="15"/>
  <c r="BR170" i="15"/>
  <c r="E187" i="15"/>
  <c r="AQ188" i="15"/>
  <c r="E212" i="15"/>
  <c r="AU184" i="15"/>
  <c r="BK197" i="15"/>
  <c r="AL196" i="15"/>
  <c r="U187" i="15"/>
  <c r="AC211" i="15"/>
  <c r="BC222" i="15"/>
  <c r="BT225" i="15"/>
  <c r="AX214" i="15"/>
  <c r="AJ199" i="15"/>
  <c r="P186" i="15"/>
  <c r="L167" i="15"/>
  <c r="AA202" i="15"/>
  <c r="AC177" i="15"/>
  <c r="AE188" i="15"/>
  <c r="AK219" i="15"/>
  <c r="O202" i="15"/>
  <c r="AG197" i="15"/>
  <c r="AV215" i="15"/>
  <c r="BG192" i="15"/>
  <c r="AH193" i="15"/>
  <c r="BR167" i="15"/>
  <c r="AJ213" i="15"/>
  <c r="O194" i="15"/>
  <c r="AY190" i="15"/>
  <c r="CN189" i="15"/>
  <c r="CN171" i="15"/>
  <c r="AB171" i="15"/>
  <c r="R174" i="15"/>
  <c r="AB213" i="15"/>
  <c r="CI181" i="15"/>
  <c r="J218" i="15"/>
  <c r="P220" i="15"/>
  <c r="BK185" i="15"/>
  <c r="AS166" i="15"/>
  <c r="AB191" i="15"/>
  <c r="BE209" i="15"/>
  <c r="S184" i="15"/>
  <c r="AW211" i="15"/>
  <c r="K171" i="15"/>
  <c r="Z191" i="15"/>
  <c r="BL176" i="15"/>
  <c r="O169" i="15"/>
  <c r="CC191" i="15"/>
  <c r="AV171" i="15"/>
  <c r="CM173" i="15"/>
  <c r="BS183" i="15"/>
  <c r="BE202" i="15"/>
  <c r="AT214" i="15"/>
  <c r="AR185" i="15"/>
  <c r="CL220" i="15"/>
  <c r="X217" i="15"/>
  <c r="L212" i="15"/>
  <c r="CC208" i="15"/>
  <c r="AM184" i="15"/>
  <c r="N201" i="15"/>
  <c r="BH218" i="15"/>
  <c r="CI167" i="15"/>
  <c r="BT178" i="15"/>
  <c r="BQ213" i="15"/>
  <c r="CK199" i="15"/>
  <c r="BF199" i="15"/>
  <c r="AY225" i="15"/>
  <c r="K218" i="15"/>
  <c r="BA222" i="15"/>
  <c r="BU208" i="15"/>
  <c r="P225" i="15"/>
  <c r="C219" i="15"/>
  <c r="BG193" i="15"/>
  <c r="BE214" i="15"/>
  <c r="CI224" i="15"/>
  <c r="X168" i="15"/>
  <c r="BH219" i="15"/>
  <c r="E221" i="15"/>
  <c r="CM180" i="15"/>
  <c r="L168" i="15"/>
  <c r="T198" i="15"/>
  <c r="CD224" i="15"/>
  <c r="AM196" i="15"/>
  <c r="BP201" i="15"/>
  <c r="BN194" i="15"/>
  <c r="BB170" i="15"/>
  <c r="BK170" i="15"/>
  <c r="I177" i="15"/>
  <c r="BI165" i="15"/>
  <c r="AG205" i="15"/>
  <c r="M168" i="15"/>
  <c r="BK180" i="15"/>
  <c r="BG211" i="15"/>
  <c r="P214" i="15"/>
  <c r="CH188" i="15"/>
  <c r="CK198" i="15"/>
  <c r="AF188" i="15"/>
  <c r="E175" i="15"/>
  <c r="BJ175" i="15"/>
  <c r="AA210" i="15"/>
  <c r="M170" i="15"/>
  <c r="AV213" i="15"/>
  <c r="CE223" i="15"/>
  <c r="BP203" i="15"/>
  <c r="BH174" i="15"/>
  <c r="Y171" i="15"/>
  <c r="BD219" i="15"/>
  <c r="AV173" i="15"/>
  <c r="U203" i="15"/>
  <c r="CM222" i="15"/>
  <c r="BN208" i="15"/>
  <c r="AI220" i="15"/>
  <c r="CC185" i="15"/>
  <c r="AE174" i="15"/>
  <c r="AP182" i="15"/>
  <c r="BO200" i="15"/>
  <c r="AC170" i="15"/>
  <c r="BV193" i="15"/>
  <c r="M198" i="15"/>
  <c r="CL210" i="15"/>
  <c r="AR198" i="15"/>
  <c r="AY204" i="15"/>
  <c r="W187" i="15"/>
  <c r="U181" i="15"/>
  <c r="K193" i="15"/>
  <c r="BR200" i="15"/>
  <c r="AP209" i="15"/>
  <c r="R169" i="15"/>
  <c r="CK184" i="15"/>
  <c r="R211" i="15"/>
  <c r="AF210" i="15"/>
  <c r="CI184" i="15"/>
  <c r="CI197" i="15"/>
  <c r="AI217" i="15"/>
  <c r="BF224" i="15"/>
  <c r="W216" i="15"/>
  <c r="CM185" i="15"/>
  <c r="AO225" i="15"/>
  <c r="AA178" i="15"/>
  <c r="BF198" i="15"/>
  <c r="BC199" i="15"/>
  <c r="BH191" i="15"/>
  <c r="BK192" i="15"/>
  <c r="AT184" i="15"/>
  <c r="AL199" i="15"/>
  <c r="BJ195" i="15"/>
  <c r="AV169" i="15"/>
  <c r="C189" i="15"/>
  <c r="AW196" i="15"/>
  <c r="AC203" i="15"/>
  <c r="AW188" i="15"/>
  <c r="AU190" i="15"/>
  <c r="O190" i="15"/>
  <c r="AU192" i="15"/>
  <c r="AU210" i="15"/>
  <c r="AI204" i="15"/>
  <c r="P170" i="15"/>
  <c r="BP217" i="15"/>
  <c r="BF187" i="15"/>
  <c r="T204" i="15"/>
  <c r="CC221" i="15"/>
  <c r="AK211" i="15"/>
  <c r="CL198" i="15"/>
  <c r="BA175" i="15"/>
  <c r="CE217" i="15"/>
  <c r="N180" i="15"/>
  <c r="AJ211" i="15"/>
  <c r="AP199" i="15"/>
  <c r="M193" i="15"/>
  <c r="BJ204" i="15"/>
  <c r="BI187" i="15"/>
  <c r="K173" i="15"/>
  <c r="AB214" i="15"/>
  <c r="AJ172" i="15"/>
  <c r="BQ183" i="15"/>
  <c r="G192" i="15"/>
  <c r="AP165" i="15"/>
  <c r="J171" i="15"/>
  <c r="AR197" i="15"/>
  <c r="BF196" i="15"/>
  <c r="V191" i="15"/>
  <c r="BS175" i="15"/>
  <c r="L214" i="15"/>
  <c r="BO166" i="15"/>
  <c r="AM188" i="15"/>
  <c r="BM190" i="15"/>
  <c r="AN216" i="15"/>
  <c r="BA174" i="15"/>
  <c r="BG218" i="15"/>
  <c r="CE196" i="15"/>
  <c r="BO191" i="15"/>
  <c r="BR209" i="15"/>
  <c r="R221" i="15"/>
  <c r="CF199" i="15"/>
  <c r="BT197" i="15"/>
  <c r="BB173" i="15"/>
  <c r="BN204" i="15"/>
  <c r="K212" i="15"/>
  <c r="CH176" i="15"/>
  <c r="BC211" i="15"/>
  <c r="BC191" i="15"/>
  <c r="C47" i="15"/>
  <c r="C110" i="15" s="1"/>
  <c r="BR181" i="15"/>
  <c r="AM186" i="15"/>
  <c r="BU176" i="15"/>
  <c r="BM222" i="15"/>
  <c r="BU225" i="15"/>
  <c r="U185" i="15"/>
  <c r="AG193" i="15"/>
  <c r="AN220" i="15"/>
  <c r="AL214" i="15"/>
  <c r="BR199" i="15"/>
  <c r="CM170" i="15"/>
  <c r="F176" i="15"/>
  <c r="I218" i="15"/>
  <c r="AO213" i="15"/>
  <c r="BI221" i="15"/>
  <c r="BB174" i="15"/>
  <c r="BM189" i="15"/>
  <c r="BF193" i="15"/>
  <c r="CF204" i="15"/>
  <c r="AQ206" i="15"/>
  <c r="O219" i="15"/>
  <c r="CL219" i="15"/>
  <c r="CG179" i="15"/>
  <c r="N216" i="15"/>
  <c r="L196" i="15"/>
  <c r="AQ167" i="15"/>
  <c r="BK201" i="15"/>
  <c r="AU175" i="15"/>
  <c r="AX207" i="15"/>
  <c r="AB179" i="15"/>
  <c r="BD223" i="15"/>
  <c r="BN193" i="15"/>
  <c r="CG169" i="15"/>
  <c r="T178" i="15"/>
  <c r="AP167" i="15"/>
  <c r="BG173" i="15"/>
  <c r="AN195" i="15"/>
  <c r="BO177" i="15"/>
  <c r="CL215" i="15"/>
  <c r="AD187" i="15"/>
  <c r="AD209" i="15"/>
  <c r="AE193" i="15"/>
  <c r="BI190" i="15"/>
  <c r="AE183" i="15"/>
  <c r="O171" i="15"/>
  <c r="BA214" i="15"/>
  <c r="Y197" i="15"/>
  <c r="AX211" i="15"/>
  <c r="AX216" i="15"/>
  <c r="AJ175" i="15"/>
  <c r="AA172" i="15"/>
  <c r="V166" i="15"/>
  <c r="AJ189" i="15"/>
  <c r="I171" i="15"/>
  <c r="P179" i="15"/>
  <c r="AS209" i="15"/>
  <c r="L200" i="15"/>
  <c r="AQ200" i="15"/>
  <c r="AG185" i="15"/>
  <c r="BV209" i="15"/>
  <c r="CL218" i="15"/>
  <c r="BP220" i="15"/>
  <c r="U176" i="15"/>
  <c r="BD186" i="15"/>
  <c r="I198" i="15"/>
  <c r="P221" i="15"/>
  <c r="AW174" i="15"/>
  <c r="AI171" i="15"/>
  <c r="BH196" i="15"/>
  <c r="CF190" i="15"/>
  <c r="AQ224" i="15"/>
  <c r="AV183" i="15"/>
  <c r="BF207" i="15"/>
  <c r="CM189" i="15"/>
  <c r="G199" i="15"/>
  <c r="BH170" i="15"/>
  <c r="CC193" i="15"/>
  <c r="CC216" i="15"/>
  <c r="AV209" i="15"/>
  <c r="AY216" i="15"/>
  <c r="Z200" i="15"/>
  <c r="AW177" i="15"/>
  <c r="AD195" i="15"/>
  <c r="BG184" i="15"/>
  <c r="Y186" i="15"/>
  <c r="BV167" i="15"/>
  <c r="CC166" i="15"/>
  <c r="C173" i="15"/>
  <c r="AI172" i="15"/>
  <c r="BQ171" i="15"/>
  <c r="BL191" i="15"/>
  <c r="AN179" i="15"/>
  <c r="BR215" i="15"/>
  <c r="X169" i="15"/>
  <c r="J172" i="15"/>
  <c r="L205" i="15"/>
  <c r="C187" i="15"/>
  <c r="H219" i="15"/>
  <c r="BN212" i="15"/>
  <c r="BN168" i="15"/>
  <c r="AX205" i="15"/>
  <c r="AE190" i="15"/>
  <c r="L195" i="15"/>
  <c r="AS204" i="15"/>
  <c r="CC192" i="15"/>
  <c r="BG185" i="15"/>
  <c r="AJ174" i="15"/>
  <c r="AH209" i="15"/>
  <c r="J177" i="15"/>
  <c r="BU167" i="15"/>
  <c r="BJ187" i="15"/>
  <c r="AX171" i="15"/>
  <c r="AO209" i="15"/>
  <c r="BS203" i="15"/>
  <c r="AA193" i="15"/>
  <c r="BL205" i="15"/>
  <c r="L198" i="15"/>
  <c r="W219" i="15"/>
  <c r="CG218" i="15"/>
  <c r="CG199" i="15"/>
  <c r="BT165" i="15"/>
  <c r="H179" i="15"/>
  <c r="W177" i="15"/>
  <c r="U200" i="15"/>
  <c r="CC211" i="15"/>
  <c r="P178" i="15"/>
  <c r="K219" i="15"/>
  <c r="W178" i="15"/>
  <c r="BL180" i="15"/>
  <c r="CF187" i="15"/>
  <c r="AP213" i="15"/>
  <c r="BE165" i="15"/>
  <c r="BN197" i="15"/>
  <c r="CH205" i="15"/>
  <c r="BO186" i="15"/>
  <c r="AH186" i="15"/>
  <c r="AC213" i="15"/>
  <c r="BM181" i="15"/>
  <c r="AL171" i="15"/>
  <c r="CN224" i="15"/>
  <c r="CN225" i="15"/>
  <c r="CM194" i="15"/>
  <c r="C167" i="15"/>
  <c r="CN188" i="15"/>
  <c r="CN210" i="15"/>
  <c r="C55" i="15"/>
  <c r="CN195" i="15"/>
  <c r="R191" i="15"/>
  <c r="AH184" i="15"/>
  <c r="BB167" i="15"/>
  <c r="AR211" i="15"/>
  <c r="BP198" i="15"/>
  <c r="CC204" i="15"/>
  <c r="AN170" i="15"/>
  <c r="AA194" i="15"/>
  <c r="BE181" i="15"/>
  <c r="AJ219" i="15"/>
  <c r="BS171" i="15"/>
  <c r="BM213" i="15"/>
  <c r="F210" i="15"/>
  <c r="CK203" i="15"/>
  <c r="U165" i="15"/>
  <c r="P180" i="15"/>
  <c r="AZ218" i="15"/>
  <c r="BC223" i="15"/>
  <c r="AL224" i="15"/>
  <c r="AE222" i="15"/>
  <c r="CM214" i="15"/>
  <c r="CD207" i="15"/>
  <c r="I215" i="15"/>
  <c r="K199" i="15"/>
  <c r="S212" i="15"/>
  <c r="CK176" i="15"/>
  <c r="AT219" i="15"/>
  <c r="I190" i="15"/>
  <c r="BF185" i="15"/>
  <c r="N199" i="15"/>
  <c r="BA189" i="15"/>
  <c r="E189" i="15"/>
  <c r="AJ201" i="15"/>
  <c r="CE220" i="15"/>
  <c r="BN177" i="15"/>
  <c r="AN211" i="15"/>
  <c r="CD170" i="15"/>
  <c r="AQ187" i="15"/>
  <c r="AW199" i="15"/>
  <c r="AV206" i="15"/>
  <c r="AB172" i="15"/>
  <c r="S213" i="15"/>
  <c r="AN202" i="15"/>
  <c r="BV165" i="15"/>
  <c r="BH214" i="15"/>
  <c r="BV183" i="15"/>
  <c r="BA178" i="15"/>
  <c r="BP189" i="15"/>
  <c r="K185" i="15"/>
  <c r="CM183" i="15"/>
  <c r="AZ209" i="15"/>
  <c r="H168" i="15"/>
  <c r="AJ181" i="15"/>
  <c r="BK178" i="15"/>
  <c r="BP166" i="15"/>
  <c r="AD212" i="15"/>
  <c r="AI177" i="15"/>
  <c r="K225" i="15"/>
  <c r="E194" i="15"/>
  <c r="Q214" i="15"/>
  <c r="AQ194" i="15"/>
  <c r="BL204" i="15"/>
  <c r="R166" i="15"/>
  <c r="CI189" i="15"/>
  <c r="BI166" i="15"/>
  <c r="BU182" i="15"/>
  <c r="BM184" i="15"/>
  <c r="BD200" i="15"/>
  <c r="AQ173" i="15"/>
  <c r="F214" i="15"/>
  <c r="AE200" i="15"/>
  <c r="Y210" i="15"/>
  <c r="E179" i="15"/>
  <c r="BN203" i="15"/>
  <c r="P207" i="15"/>
  <c r="U217" i="15"/>
  <c r="BT170" i="15"/>
  <c r="F198" i="15"/>
  <c r="BD222" i="15"/>
  <c r="BR173" i="15"/>
  <c r="CM204" i="15"/>
  <c r="BC185" i="15"/>
  <c r="CD211" i="15"/>
  <c r="F205" i="15"/>
  <c r="BN166" i="15"/>
  <c r="AZ179" i="15"/>
  <c r="BI213" i="15"/>
  <c r="AD193" i="15"/>
  <c r="BN179" i="15"/>
  <c r="S166" i="15"/>
  <c r="AA173" i="15"/>
  <c r="Y222" i="15"/>
  <c r="BH179" i="15"/>
  <c r="K198" i="15"/>
  <c r="G182" i="15"/>
  <c r="BJ185" i="15"/>
  <c r="Z185" i="15"/>
  <c r="AJ195" i="15"/>
  <c r="AV191" i="15"/>
  <c r="AA180" i="15"/>
  <c r="AD165" i="15"/>
  <c r="CL221" i="15"/>
  <c r="AF195" i="15"/>
  <c r="T174" i="15"/>
  <c r="AB200" i="15"/>
  <c r="CL186" i="15"/>
  <c r="C202" i="15"/>
  <c r="AG194" i="15"/>
  <c r="CM217" i="15"/>
  <c r="BD190" i="15"/>
  <c r="AW183" i="15"/>
  <c r="L165" i="15"/>
  <c r="BS201" i="15"/>
  <c r="Y168" i="15"/>
  <c r="T205" i="15"/>
  <c r="BQ193" i="15"/>
  <c r="BR193" i="15"/>
  <c r="BR219" i="15"/>
  <c r="BP222" i="15"/>
  <c r="BD175" i="15"/>
  <c r="J169" i="15"/>
  <c r="C172" i="15"/>
  <c r="S190" i="15"/>
  <c r="BH221" i="15"/>
  <c r="BE172" i="15"/>
  <c r="S167" i="15"/>
  <c r="N203" i="15"/>
  <c r="V215" i="15"/>
  <c r="AR191" i="15"/>
  <c r="BH210" i="15"/>
  <c r="BQ203" i="15"/>
  <c r="BM214" i="15"/>
  <c r="AH182" i="15"/>
  <c r="CJ209" i="15"/>
  <c r="BG191" i="15"/>
  <c r="AK218" i="15"/>
  <c r="AI223" i="15"/>
  <c r="BB186" i="15"/>
  <c r="AC179" i="15"/>
  <c r="BV175" i="15"/>
  <c r="BV188" i="15"/>
  <c r="BM194" i="15"/>
  <c r="AB206" i="15"/>
  <c r="E201" i="15"/>
  <c r="K175" i="15"/>
  <c r="W191" i="15"/>
  <c r="CC184" i="15"/>
  <c r="I204" i="15"/>
  <c r="AR188" i="15"/>
  <c r="CF189" i="15"/>
  <c r="CE166" i="15"/>
  <c r="CH219" i="15"/>
  <c r="AC178" i="15"/>
  <c r="AK214" i="15"/>
  <c r="U194" i="15"/>
  <c r="Q191" i="15"/>
  <c r="C168" i="15"/>
  <c r="L203" i="15"/>
  <c r="BT212" i="15"/>
  <c r="BJ210" i="15"/>
  <c r="AQ179" i="15"/>
  <c r="AG208" i="15"/>
  <c r="BH199" i="15"/>
  <c r="AA175" i="15"/>
  <c r="AL176" i="15"/>
  <c r="Y174" i="15"/>
  <c r="BK188" i="15"/>
  <c r="AK184" i="15"/>
  <c r="CF221" i="15"/>
  <c r="AM210" i="15"/>
  <c r="AS224" i="15"/>
  <c r="BT219" i="15"/>
  <c r="D48" i="15"/>
  <c r="D111" i="15" s="1"/>
  <c r="BG201" i="15"/>
  <c r="BA181" i="15"/>
  <c r="Y214" i="15"/>
  <c r="BV170" i="15"/>
  <c r="BU168" i="15"/>
  <c r="AM174" i="15"/>
  <c r="AX176" i="15"/>
  <c r="AC174" i="15"/>
  <c r="CI177" i="15"/>
  <c r="AY165" i="15"/>
  <c r="S209" i="15"/>
  <c r="BL186" i="15"/>
  <c r="CG203" i="15"/>
  <c r="E178" i="15"/>
  <c r="AU191" i="15"/>
  <c r="AP212" i="15"/>
  <c r="AP178" i="15"/>
  <c r="CE186" i="15"/>
  <c r="L218" i="15"/>
  <c r="AT193" i="15"/>
  <c r="AT195" i="15"/>
  <c r="BC182" i="15"/>
  <c r="K176" i="15"/>
  <c r="AL173" i="15"/>
  <c r="O215" i="15"/>
  <c r="AG201" i="15"/>
  <c r="F178" i="15"/>
  <c r="AK179" i="15"/>
  <c r="N198" i="15"/>
  <c r="BR169" i="15"/>
  <c r="BP218" i="15"/>
  <c r="BB183" i="15"/>
  <c r="BN188" i="15"/>
  <c r="AV221" i="15"/>
  <c r="AA219" i="15"/>
  <c r="CC178" i="15"/>
  <c r="BB212" i="15"/>
  <c r="AG177" i="15"/>
  <c r="AR168" i="15"/>
  <c r="X190" i="15"/>
  <c r="CF174" i="15"/>
  <c r="R165" i="15"/>
  <c r="CM201" i="15"/>
  <c r="T191" i="15"/>
  <c r="AK199" i="15"/>
  <c r="AT221" i="15"/>
  <c r="AY203" i="15"/>
  <c r="X218" i="15"/>
  <c r="P197" i="15"/>
  <c r="CH169" i="15"/>
  <c r="E190" i="15"/>
  <c r="AN178" i="15"/>
  <c r="AC168" i="15"/>
  <c r="BK173" i="15"/>
  <c r="Z205" i="15"/>
  <c r="BU202" i="15"/>
  <c r="AK166" i="15"/>
  <c r="R178" i="15"/>
  <c r="AS201" i="15"/>
  <c r="V182" i="15"/>
  <c r="BR172" i="15"/>
  <c r="C217" i="15"/>
  <c r="AW176" i="15"/>
  <c r="AV220" i="15"/>
  <c r="AF197" i="15"/>
  <c r="H170" i="15"/>
  <c r="CJ211" i="15"/>
  <c r="BI204" i="15"/>
  <c r="BH181" i="15"/>
  <c r="X199" i="15"/>
  <c r="BB168" i="15"/>
  <c r="AE223" i="15"/>
  <c r="N204" i="15"/>
  <c r="AS222" i="15"/>
  <c r="CM182" i="15"/>
  <c r="AK195" i="15"/>
  <c r="AW209" i="15"/>
  <c r="AI165" i="15"/>
  <c r="I197" i="15"/>
  <c r="Z172" i="15"/>
  <c r="AL200" i="15"/>
  <c r="CE178" i="15"/>
  <c r="AG200" i="15"/>
  <c r="W211" i="15"/>
  <c r="Y221" i="15"/>
  <c r="BK195" i="15"/>
  <c r="AZ176" i="15"/>
  <c r="BH207" i="15"/>
  <c r="W203" i="15"/>
  <c r="BK171" i="15"/>
  <c r="AR202" i="15"/>
  <c r="AL223" i="15"/>
  <c r="AY185" i="15"/>
  <c r="J190" i="15"/>
  <c r="BG199" i="15"/>
  <c r="BT192" i="15"/>
  <c r="AM212" i="15"/>
  <c r="AB186" i="15"/>
  <c r="BL171" i="15"/>
  <c r="BJ171" i="15"/>
  <c r="BL193" i="15"/>
  <c r="CF186" i="15"/>
  <c r="Q224" i="15"/>
  <c r="CC188" i="15"/>
  <c r="BK217" i="15"/>
  <c r="BR223" i="15"/>
  <c r="T173" i="15"/>
  <c r="AZ201" i="15"/>
  <c r="BL170" i="15"/>
  <c r="T196" i="15"/>
  <c r="AF224" i="15"/>
  <c r="BE191" i="15"/>
  <c r="CE172" i="15"/>
  <c r="AM197" i="15"/>
  <c r="CK183" i="15"/>
  <c r="O172" i="15"/>
  <c r="AE167" i="15"/>
  <c r="S180" i="15"/>
  <c r="BA207" i="15"/>
  <c r="CJ169" i="15"/>
  <c r="AQ169" i="15"/>
  <c r="U167" i="15"/>
  <c r="K204" i="15"/>
  <c r="F213" i="15"/>
  <c r="AV224" i="15"/>
  <c r="BV203" i="15"/>
  <c r="CF193" i="15"/>
  <c r="F218" i="15"/>
  <c r="BN225" i="15"/>
  <c r="Z170" i="15"/>
  <c r="U192" i="15"/>
  <c r="BQ181" i="15"/>
  <c r="L169" i="15"/>
  <c r="AW186" i="15"/>
  <c r="BT208" i="15"/>
  <c r="Y219" i="15"/>
  <c r="CJ200" i="15"/>
  <c r="G215" i="15"/>
  <c r="F35" i="359"/>
  <c r="B35" i="359"/>
  <c r="AC35" i="359"/>
  <c r="V35" i="359"/>
  <c r="S35" i="359"/>
  <c r="P35" i="359"/>
  <c r="M35" i="359"/>
  <c r="O60" i="8"/>
  <c r="O97" i="8"/>
  <c r="O78" i="8"/>
  <c r="O59" i="8"/>
  <c r="O68" i="8"/>
  <c r="O99" i="8"/>
  <c r="O110" i="8"/>
  <c r="O46" i="8"/>
  <c r="O105" i="8"/>
  <c r="CD177" i="15"/>
  <c r="N214" i="15"/>
  <c r="BI206" i="15"/>
  <c r="S219" i="15"/>
  <c r="H166" i="15"/>
  <c r="C170" i="15"/>
  <c r="AH170" i="15"/>
  <c r="CI220" i="15"/>
  <c r="CH208" i="15"/>
  <c r="L208" i="15"/>
  <c r="AY188" i="15"/>
  <c r="BT182" i="15"/>
  <c r="Q213" i="15"/>
  <c r="BD165" i="15"/>
  <c r="S201" i="15"/>
  <c r="BC194" i="15"/>
  <c r="BO218" i="15"/>
  <c r="AC200" i="15"/>
  <c r="M182" i="15"/>
  <c r="AK193" i="15"/>
  <c r="AO199" i="15"/>
  <c r="BU186" i="15"/>
  <c r="AT224" i="15"/>
  <c r="AA190" i="15"/>
  <c r="CG205" i="15"/>
  <c r="AP220" i="15"/>
  <c r="H169" i="15"/>
  <c r="X187" i="15"/>
  <c r="BQ190" i="15"/>
  <c r="BO224" i="15"/>
  <c r="CH224" i="15"/>
  <c r="AX210" i="15"/>
  <c r="BF223" i="15"/>
  <c r="AQ217" i="15"/>
  <c r="BG204" i="15"/>
  <c r="CH196" i="15"/>
  <c r="CF176" i="15"/>
  <c r="Z169" i="15"/>
  <c r="AN200" i="15"/>
  <c r="AG187" i="15"/>
  <c r="CN168" i="15"/>
  <c r="CN201" i="15"/>
  <c r="BU198" i="15"/>
  <c r="AD177" i="15"/>
  <c r="C186" i="15"/>
  <c r="CN177" i="15"/>
  <c r="CN218" i="15"/>
  <c r="CN220" i="15"/>
  <c r="CN197" i="15"/>
  <c r="N177" i="15"/>
  <c r="CM174" i="15"/>
  <c r="AM173" i="15"/>
  <c r="AW197" i="15"/>
  <c r="E207" i="15"/>
  <c r="E176" i="15"/>
  <c r="Y202" i="15"/>
  <c r="AA185" i="15"/>
  <c r="BV196" i="15"/>
  <c r="BD210" i="15"/>
  <c r="BC190" i="15"/>
  <c r="AH204" i="15"/>
  <c r="BE170" i="15"/>
  <c r="AK198" i="15"/>
  <c r="X173" i="15"/>
  <c r="V186" i="15"/>
  <c r="X224" i="15"/>
  <c r="CI182" i="15"/>
  <c r="BF191" i="15"/>
  <c r="M220" i="15"/>
  <c r="CH204" i="15"/>
  <c r="AR221" i="15"/>
  <c r="P212" i="15"/>
  <c r="BB210" i="15"/>
  <c r="BH193" i="15"/>
  <c r="AM211" i="15"/>
  <c r="T225" i="15"/>
  <c r="BM205" i="15"/>
  <c r="CL172" i="15"/>
  <c r="G178" i="15"/>
  <c r="BU183" i="15"/>
  <c r="AL179" i="15"/>
  <c r="BE216" i="15"/>
  <c r="CK225" i="15"/>
  <c r="R189" i="15"/>
  <c r="CF177" i="15"/>
  <c r="AW221" i="15"/>
  <c r="BR165" i="15"/>
  <c r="Y198" i="15"/>
  <c r="E192" i="15"/>
  <c r="T223" i="15"/>
  <c r="AM170" i="15"/>
  <c r="AK177" i="15"/>
  <c r="R205" i="15"/>
  <c r="AL167" i="15"/>
  <c r="I192" i="15"/>
  <c r="CF170" i="15"/>
  <c r="CE168" i="15"/>
  <c r="R183" i="15"/>
  <c r="BJ190" i="15"/>
  <c r="AC172" i="15"/>
  <c r="BV194" i="15"/>
  <c r="AC176" i="15"/>
  <c r="W182" i="15"/>
  <c r="BN172" i="15"/>
  <c r="CH180" i="15"/>
  <c r="M209" i="15"/>
  <c r="AV199" i="15"/>
  <c r="L221" i="15"/>
  <c r="CJ225" i="15"/>
  <c r="AW222" i="15"/>
  <c r="AS174" i="15"/>
  <c r="Z210" i="15"/>
  <c r="BJ196" i="15"/>
  <c r="I221" i="15"/>
  <c r="AQ170" i="15"/>
  <c r="AE207" i="15"/>
  <c r="CC199" i="15"/>
  <c r="T219" i="15"/>
  <c r="BN184" i="15"/>
  <c r="BI218" i="15"/>
  <c r="AC210" i="15"/>
  <c r="I175" i="15"/>
  <c r="W172" i="15"/>
  <c r="AX202" i="15"/>
  <c r="CF179" i="15"/>
  <c r="CD181" i="15"/>
  <c r="CI213" i="15"/>
  <c r="AK175" i="15"/>
  <c r="CD172" i="15"/>
  <c r="BH203" i="15"/>
  <c r="E195" i="15"/>
  <c r="CI169" i="15"/>
  <c r="I191" i="15"/>
  <c r="AM193" i="15"/>
  <c r="BJ184" i="15"/>
  <c r="AL183" i="15"/>
  <c r="BK194" i="15"/>
  <c r="BH178" i="15"/>
  <c r="BJ181" i="15"/>
  <c r="U186" i="15"/>
  <c r="AQ174" i="15"/>
  <c r="Q207" i="15"/>
  <c r="C200" i="15"/>
  <c r="AJ210" i="15"/>
  <c r="AY183" i="15"/>
  <c r="M206" i="15"/>
  <c r="AW193" i="15"/>
  <c r="BF225" i="15"/>
  <c r="AL190" i="15"/>
  <c r="X222" i="15"/>
  <c r="H208" i="15"/>
  <c r="AM220" i="15"/>
  <c r="AZ188" i="15"/>
  <c r="AQ215" i="15"/>
  <c r="CJ176" i="15"/>
  <c r="BM182" i="15"/>
  <c r="CG195" i="15"/>
  <c r="F191" i="15"/>
  <c r="AX180" i="15"/>
  <c r="BA177" i="15"/>
  <c r="BT202" i="15"/>
  <c r="AS165" i="15"/>
  <c r="BH176" i="15"/>
  <c r="H204" i="15"/>
  <c r="T171" i="15"/>
  <c r="AX177" i="15"/>
  <c r="R192" i="15"/>
  <c r="CI165" i="15"/>
  <c r="BG216" i="15"/>
  <c r="P175" i="15"/>
  <c r="U177" i="15"/>
  <c r="AH203" i="15"/>
  <c r="AQ195" i="15"/>
  <c r="BE183" i="15"/>
  <c r="L188" i="15"/>
  <c r="BV207" i="15"/>
  <c r="AT213" i="15"/>
  <c r="G210" i="15"/>
  <c r="W209" i="15"/>
  <c r="D49" i="15"/>
  <c r="D112" i="15" s="1"/>
  <c r="AB193" i="15"/>
  <c r="CM177" i="15"/>
  <c r="Z165" i="15"/>
  <c r="CL168" i="15"/>
  <c r="X177" i="15"/>
  <c r="U210" i="15"/>
  <c r="F223" i="15"/>
  <c r="AO191" i="15"/>
  <c r="AW208" i="15"/>
  <c r="V165" i="15"/>
  <c r="Z173" i="15"/>
  <c r="BJ216" i="15"/>
  <c r="E183" i="15"/>
  <c r="BM199" i="15"/>
  <c r="V200" i="15"/>
  <c r="AR170" i="15"/>
  <c r="V196" i="15"/>
  <c r="J194" i="15"/>
  <c r="CG171" i="15"/>
  <c r="AR219" i="15"/>
  <c r="F190" i="15"/>
  <c r="E174" i="15"/>
  <c r="BR213" i="15"/>
  <c r="BH205" i="15"/>
  <c r="BO217" i="15"/>
  <c r="O174" i="15"/>
  <c r="AR205" i="15"/>
  <c r="AM169" i="15"/>
  <c r="AU187" i="15"/>
  <c r="M210" i="15"/>
  <c r="AW172" i="15"/>
  <c r="K211" i="15"/>
  <c r="F217" i="15"/>
  <c r="S170" i="15"/>
  <c r="T222" i="15"/>
  <c r="BN178" i="15"/>
  <c r="BM197" i="15"/>
  <c r="E208" i="15"/>
  <c r="AG172" i="15"/>
  <c r="AY172" i="15"/>
  <c r="AI201" i="15"/>
  <c r="V195" i="15"/>
  <c r="BK200" i="15"/>
  <c r="BA168" i="15"/>
  <c r="G208" i="15"/>
  <c r="H225" i="15"/>
  <c r="CC225" i="15"/>
  <c r="Z197" i="15"/>
  <c r="AE198" i="15"/>
  <c r="BH194" i="15"/>
  <c r="BU191" i="15"/>
  <c r="AO171" i="15"/>
  <c r="G213" i="15"/>
  <c r="BC192" i="15"/>
  <c r="AO200" i="15"/>
  <c r="AN183" i="15"/>
  <c r="CM215" i="15"/>
  <c r="BS204" i="15"/>
  <c r="CG180" i="15"/>
  <c r="BU209" i="15"/>
  <c r="AF189" i="15"/>
  <c r="C182" i="15"/>
  <c r="V223" i="15"/>
  <c r="BA188" i="15"/>
  <c r="BC181" i="15"/>
  <c r="AO194" i="15"/>
  <c r="BG189" i="15"/>
  <c r="C179" i="15"/>
  <c r="CC224" i="15"/>
  <c r="BE208" i="15"/>
  <c r="AI192" i="15"/>
  <c r="AZ174" i="15"/>
  <c r="Y199" i="15"/>
  <c r="BO221" i="15"/>
  <c r="AP180" i="15"/>
  <c r="AN208" i="15"/>
  <c r="AI186" i="15"/>
  <c r="BI183" i="15"/>
  <c r="AK215" i="15"/>
  <c r="BP173" i="15"/>
  <c r="CC206" i="15"/>
  <c r="AY192" i="15"/>
  <c r="AW216" i="15"/>
  <c r="BH215" i="15"/>
  <c r="AO195" i="15"/>
  <c r="O195" i="15"/>
  <c r="CL187" i="15"/>
  <c r="BV186" i="15"/>
  <c r="BR207" i="15"/>
  <c r="CL170" i="15"/>
  <c r="U221" i="15"/>
  <c r="CL181" i="15"/>
  <c r="O223" i="15"/>
  <c r="AO218" i="15"/>
  <c r="CI195" i="15"/>
  <c r="AV198" i="15"/>
  <c r="P204" i="15"/>
  <c r="BT217" i="15"/>
  <c r="CE187" i="15"/>
  <c r="AW205" i="15"/>
  <c r="BR205" i="15"/>
  <c r="BL194" i="15"/>
  <c r="CD225" i="15"/>
  <c r="F169" i="15"/>
  <c r="Z174" i="15"/>
  <c r="CC175" i="15"/>
  <c r="BH195" i="15"/>
  <c r="BN201" i="15"/>
  <c r="Q225" i="15"/>
  <c r="CG196" i="15"/>
  <c r="Q219" i="15"/>
  <c r="AH171" i="15"/>
  <c r="CD200" i="15"/>
  <c r="AT220" i="15"/>
  <c r="CI193" i="15"/>
  <c r="BI168" i="15"/>
  <c r="CE180" i="15"/>
  <c r="CE210" i="15"/>
  <c r="CJ215" i="15"/>
  <c r="AM209" i="15"/>
  <c r="AU224" i="15"/>
  <c r="BI175" i="15"/>
  <c r="BK165" i="15"/>
  <c r="N195" i="15"/>
  <c r="BT193" i="15"/>
  <c r="BJ183" i="15"/>
  <c r="C166" i="15"/>
  <c r="AN210" i="15"/>
  <c r="CG170" i="15"/>
  <c r="J209" i="15"/>
  <c r="BC220" i="15"/>
  <c r="T185" i="15"/>
  <c r="AL182" i="15"/>
  <c r="E222" i="15"/>
  <c r="AQ199" i="15"/>
  <c r="BE193" i="15"/>
  <c r="U215" i="15"/>
  <c r="BP174" i="15"/>
  <c r="CI180" i="15"/>
  <c r="CI206" i="15"/>
  <c r="CI223" i="15"/>
  <c r="CL179" i="15"/>
  <c r="M212" i="15"/>
  <c r="AT196" i="15"/>
  <c r="W186" i="15"/>
  <c r="BI200" i="15"/>
  <c r="AL168" i="15"/>
  <c r="AE196" i="15"/>
  <c r="Z212" i="15"/>
  <c r="V202" i="15"/>
  <c r="X194" i="15"/>
  <c r="AX215" i="15"/>
  <c r="Q206" i="15"/>
  <c r="U175" i="15"/>
  <c r="BC205" i="15"/>
  <c r="AG178" i="15"/>
  <c r="BP171" i="15"/>
  <c r="Z190" i="15"/>
  <c r="Z219" i="15"/>
  <c r="W222" i="15"/>
  <c r="BR176" i="15"/>
  <c r="N193" i="15"/>
  <c r="CH225" i="15"/>
  <c r="Y223" i="15"/>
  <c r="AO214" i="15"/>
  <c r="AM219" i="15"/>
  <c r="CK179" i="15"/>
  <c r="AH192" i="15"/>
  <c r="AE224" i="15"/>
  <c r="AT192" i="15"/>
  <c r="BP182" i="15"/>
  <c r="U208" i="15"/>
  <c r="V208" i="15"/>
  <c r="AE185" i="15"/>
  <c r="BO167" i="15"/>
  <c r="AD208" i="15"/>
  <c r="AL204" i="15"/>
  <c r="AT197" i="15"/>
  <c r="AR192" i="15"/>
  <c r="O211" i="15"/>
  <c r="S216" i="15"/>
  <c r="BB207" i="15"/>
  <c r="BH188" i="15"/>
  <c r="BQ207" i="15"/>
  <c r="CN186" i="15"/>
  <c r="CN206" i="15"/>
  <c r="AH183" i="15"/>
  <c r="H175" i="15"/>
  <c r="N202" i="15"/>
  <c r="AM215" i="15"/>
  <c r="AH198" i="15"/>
  <c r="M180" i="15"/>
  <c r="CL175" i="15"/>
  <c r="CD201" i="15"/>
  <c r="AU181" i="15"/>
  <c r="G170" i="15"/>
  <c r="CC174" i="15"/>
  <c r="N175" i="15"/>
  <c r="AT177" i="15"/>
  <c r="AV193" i="15"/>
  <c r="AM194" i="15"/>
  <c r="I212" i="15"/>
  <c r="CG207" i="15"/>
  <c r="AY196" i="15"/>
  <c r="AW194" i="15"/>
  <c r="Z195" i="15"/>
  <c r="AQ182" i="15"/>
  <c r="BC224" i="15"/>
  <c r="AJ198" i="15"/>
  <c r="BC204" i="15"/>
  <c r="AD203" i="15"/>
  <c r="BF194" i="15"/>
  <c r="F201" i="15"/>
  <c r="BT169" i="15"/>
  <c r="Q196" i="15"/>
  <c r="AF167" i="15"/>
  <c r="I225" i="15"/>
  <c r="BQ169" i="15"/>
  <c r="AH197" i="15"/>
  <c r="BP210" i="15"/>
  <c r="U214" i="15"/>
  <c r="BE213" i="15"/>
  <c r="K188" i="15"/>
  <c r="BJ214" i="15"/>
  <c r="BK168" i="15"/>
  <c r="O212" i="15"/>
  <c r="K191" i="15"/>
  <c r="CE221" i="15"/>
  <c r="AZ221" i="15"/>
  <c r="AZ216" i="15"/>
  <c r="Q174" i="15"/>
  <c r="CJ204" i="15"/>
  <c r="BO225" i="15"/>
  <c r="BT168" i="15"/>
  <c r="AR218" i="15"/>
  <c r="G181" i="15"/>
  <c r="AX181" i="15"/>
  <c r="AA211" i="15"/>
  <c r="V216" i="15"/>
  <c r="AS173" i="15"/>
  <c r="AP200" i="15"/>
  <c r="AM180" i="15"/>
  <c r="N212" i="15"/>
  <c r="BF192" i="15"/>
  <c r="S177" i="15"/>
  <c r="S224" i="15"/>
  <c r="CG176" i="15"/>
  <c r="AM182" i="15"/>
  <c r="BE218" i="15"/>
  <c r="CI166" i="15"/>
  <c r="AG215" i="15"/>
  <c r="BH192" i="15"/>
  <c r="AL172" i="15"/>
  <c r="AR195" i="15"/>
  <c r="AV223" i="15"/>
  <c r="F185" i="15"/>
  <c r="BI181" i="15"/>
  <c r="BE219" i="15"/>
  <c r="S182" i="15"/>
  <c r="AE168" i="15"/>
  <c r="BV172" i="15"/>
  <c r="BV185" i="15"/>
  <c r="BO169" i="15"/>
  <c r="CF180" i="15"/>
  <c r="BM166" i="15"/>
  <c r="AS207" i="15"/>
  <c r="CK208" i="15"/>
  <c r="Y200" i="15"/>
  <c r="AN224" i="15"/>
  <c r="AB168" i="15"/>
  <c r="N210" i="15"/>
  <c r="BA166" i="15"/>
  <c r="BQ186" i="15"/>
  <c r="U169" i="15"/>
  <c r="BD220" i="15"/>
  <c r="AX224" i="15"/>
  <c r="CE207" i="15"/>
  <c r="AM179" i="15"/>
  <c r="BT220" i="15"/>
  <c r="AF175" i="15"/>
  <c r="BP168" i="15"/>
  <c r="CI172" i="15"/>
  <c r="AM166" i="15"/>
  <c r="BG215" i="15"/>
  <c r="AA197" i="15"/>
  <c r="AR199" i="15"/>
  <c r="AQ212" i="15"/>
  <c r="X178" i="15"/>
  <c r="I214" i="15"/>
  <c r="BP193" i="15"/>
  <c r="AS194" i="15"/>
  <c r="BA169" i="15"/>
  <c r="AZ217" i="15"/>
  <c r="BR187" i="15"/>
  <c r="CK221" i="15"/>
  <c r="BQ189" i="15"/>
  <c r="AH173" i="15"/>
  <c r="BI223" i="15"/>
  <c r="AO189" i="15"/>
  <c r="BO168" i="15"/>
  <c r="AX197" i="15"/>
  <c r="BM221" i="15"/>
  <c r="S202" i="15"/>
  <c r="AP169" i="15"/>
  <c r="AZ212" i="15"/>
  <c r="BP202" i="15"/>
  <c r="BC173" i="15"/>
  <c r="BE225" i="15"/>
  <c r="BM211" i="15"/>
  <c r="AN189" i="15"/>
  <c r="AI211" i="15"/>
  <c r="BL173" i="15"/>
  <c r="X223" i="15"/>
  <c r="BD188" i="15"/>
  <c r="CE215" i="15"/>
  <c r="K205" i="15"/>
  <c r="CC196" i="15"/>
  <c r="BG165" i="15"/>
  <c r="Y207" i="15"/>
  <c r="M208" i="15"/>
  <c r="AT169" i="15"/>
  <c r="AE179" i="15"/>
  <c r="Z177" i="15"/>
  <c r="N182" i="15"/>
  <c r="AC199" i="15"/>
  <c r="M200" i="15"/>
  <c r="K189" i="15"/>
  <c r="AQ181" i="15"/>
  <c r="AO184" i="15"/>
  <c r="BQ208" i="15"/>
  <c r="AF196" i="15"/>
  <c r="X167" i="15"/>
  <c r="AK189" i="15"/>
  <c r="AQ168" i="15"/>
  <c r="BF204" i="15"/>
  <c r="CM188" i="15"/>
  <c r="K182" i="15"/>
  <c r="AZ219" i="15"/>
  <c r="AA212" i="15"/>
  <c r="AG206" i="15"/>
  <c r="AB225" i="15"/>
  <c r="BP211" i="15"/>
  <c r="BT211" i="15"/>
  <c r="AE192" i="15"/>
  <c r="CJ175" i="15"/>
  <c r="F182" i="15"/>
  <c r="J173" i="15"/>
  <c r="M165" i="15"/>
  <c r="BR222" i="15"/>
  <c r="J196" i="15"/>
  <c r="BE203" i="15"/>
  <c r="AR171" i="15"/>
  <c r="BP219" i="15"/>
  <c r="CG174" i="15"/>
  <c r="AN191" i="15"/>
  <c r="BB220" i="15"/>
  <c r="AZ183" i="15"/>
  <c r="F188" i="15"/>
  <c r="BB180" i="15"/>
  <c r="AF180" i="15"/>
  <c r="R208" i="15"/>
  <c r="AQ177" i="15"/>
  <c r="AZ220" i="15"/>
  <c r="AW213" i="15"/>
  <c r="C208" i="15"/>
  <c r="AE166" i="15"/>
  <c r="BI224" i="15"/>
  <c r="BL217" i="15"/>
  <c r="AJ193" i="15"/>
  <c r="AV177" i="15"/>
  <c r="X183" i="15"/>
  <c r="AO179" i="15"/>
  <c r="AI174" i="15"/>
  <c r="K223" i="15"/>
  <c r="BT210" i="15"/>
  <c r="BQ172" i="15"/>
  <c r="CL166" i="15"/>
  <c r="BN218" i="15"/>
  <c r="BK216" i="15"/>
  <c r="BC174" i="15"/>
  <c r="BC165" i="15"/>
  <c r="CM178" i="15"/>
  <c r="Q221" i="15"/>
  <c r="T215" i="15"/>
  <c r="W215" i="15"/>
  <c r="BG170" i="15"/>
  <c r="BK209" i="15"/>
  <c r="Q170" i="15"/>
  <c r="O206" i="15"/>
  <c r="AV172" i="15"/>
  <c r="C213" i="15"/>
  <c r="BB189" i="15"/>
  <c r="J176" i="15"/>
  <c r="BV169" i="15"/>
  <c r="BG205" i="15"/>
  <c r="AG199" i="15"/>
  <c r="BN199" i="15"/>
  <c r="BD178" i="15"/>
  <c r="CE218" i="15"/>
  <c r="BH200" i="15"/>
  <c r="BQ178" i="15"/>
  <c r="CM176" i="15"/>
  <c r="P192" i="15"/>
  <c r="BM212" i="15"/>
  <c r="CC217" i="15"/>
  <c r="X208" i="15"/>
  <c r="W224" i="15"/>
  <c r="Z202" i="15"/>
  <c r="BN196" i="15"/>
  <c r="BC166" i="15"/>
  <c r="BL201" i="15"/>
  <c r="K208" i="15"/>
  <c r="Q193" i="15"/>
  <c r="CM208" i="15"/>
  <c r="CG168" i="15"/>
  <c r="CK222" i="15"/>
  <c r="L175" i="15"/>
  <c r="U205" i="15"/>
  <c r="AH168" i="15"/>
  <c r="BJ205" i="15"/>
  <c r="Y201" i="15"/>
  <c r="U224" i="15"/>
  <c r="AM189" i="15"/>
  <c r="J222" i="15"/>
  <c r="AO190" i="15"/>
  <c r="AY206" i="15"/>
  <c r="Y204" i="15"/>
  <c r="AU189" i="15"/>
  <c r="AF201" i="15"/>
  <c r="BT166" i="15"/>
  <c r="CJ196" i="15"/>
  <c r="H206" i="15"/>
  <c r="AR209" i="15"/>
  <c r="L185" i="15"/>
  <c r="AB190" i="15"/>
  <c r="AX165" i="15"/>
  <c r="CI222" i="15"/>
  <c r="I174" i="15"/>
  <c r="R188" i="15"/>
  <c r="BE204" i="15"/>
  <c r="G185" i="15"/>
  <c r="CK218" i="15"/>
  <c r="H203" i="15"/>
  <c r="CC182" i="15"/>
  <c r="C175" i="15"/>
  <c r="BA198" i="15"/>
  <c r="BD204" i="15"/>
  <c r="BG197" i="15"/>
  <c r="AP184" i="15"/>
  <c r="AP198" i="15"/>
  <c r="AH175" i="15"/>
  <c r="AH169" i="15"/>
  <c r="CD173" i="15"/>
  <c r="AX174" i="15"/>
  <c r="AL202" i="15"/>
  <c r="AX199" i="15"/>
  <c r="R187" i="15"/>
  <c r="BN220" i="15"/>
  <c r="AU179" i="15"/>
  <c r="CJ194" i="15"/>
  <c r="AK192" i="15"/>
  <c r="BT187" i="15"/>
  <c r="U223" i="15"/>
  <c r="X225" i="15"/>
  <c r="BO201" i="15"/>
  <c r="BP194" i="15"/>
  <c r="AG224" i="15"/>
  <c r="BP196" i="15"/>
  <c r="U199" i="15"/>
  <c r="D51" i="15"/>
  <c r="D114" i="15" s="1"/>
  <c r="AK187" i="15"/>
  <c r="BO195" i="15"/>
  <c r="BA205" i="15"/>
  <c r="V180" i="15"/>
  <c r="G171" i="15"/>
  <c r="BP177" i="15"/>
  <c r="AH217" i="15"/>
  <c r="BP197" i="15"/>
  <c r="BK167" i="15"/>
  <c r="AE191" i="15"/>
  <c r="AA170" i="15"/>
  <c r="CL183" i="15"/>
  <c r="BU210" i="15"/>
  <c r="BC178" i="15"/>
  <c r="T172" i="15"/>
  <c r="K207" i="15"/>
  <c r="BK224" i="15"/>
  <c r="BN171" i="15"/>
  <c r="T203" i="15"/>
  <c r="BI180" i="15"/>
  <c r="BJ224" i="15"/>
  <c r="AS189" i="15"/>
  <c r="AF214" i="15"/>
  <c r="BH190" i="15"/>
  <c r="O217" i="15"/>
  <c r="CF218" i="15"/>
  <c r="W199" i="15"/>
  <c r="N183" i="15"/>
  <c r="CN165" i="15"/>
  <c r="CN172" i="15"/>
  <c r="R176" i="15"/>
  <c r="AF204" i="15"/>
  <c r="AA198" i="15"/>
  <c r="CN215" i="15"/>
  <c r="CN169" i="15"/>
  <c r="CN176" i="15"/>
  <c r="D55" i="15"/>
  <c r="D118" i="15" s="1"/>
  <c r="T211" i="15"/>
  <c r="K178" i="15"/>
  <c r="AW182" i="15"/>
  <c r="CF169" i="15"/>
  <c r="CJ171" i="15"/>
  <c r="U174" i="15"/>
  <c r="CG173" i="15"/>
  <c r="BJ178" i="15"/>
  <c r="BI189" i="15"/>
  <c r="CG221" i="15"/>
  <c r="BN195" i="15"/>
  <c r="AK200" i="15"/>
  <c r="BC215" i="15"/>
  <c r="AG219" i="15"/>
  <c r="CJ199" i="15"/>
  <c r="M217" i="15"/>
  <c r="AL197" i="15"/>
  <c r="AU165" i="15"/>
  <c r="R198" i="15"/>
  <c r="U178" i="15"/>
  <c r="Z207" i="15"/>
  <c r="CE213" i="15"/>
  <c r="AT179" i="15"/>
  <c r="AO185" i="15"/>
  <c r="AN225" i="15"/>
  <c r="BB187" i="15"/>
  <c r="AM183" i="15"/>
  <c r="CD206" i="15"/>
  <c r="AV189" i="15"/>
  <c r="BP200" i="15"/>
  <c r="AB184" i="15"/>
  <c r="C193" i="15"/>
  <c r="BM176" i="15"/>
  <c r="H217" i="15"/>
  <c r="BI178" i="15"/>
  <c r="V207" i="15"/>
  <c r="BU187" i="15"/>
  <c r="AC225" i="15"/>
  <c r="BO179" i="15"/>
  <c r="AG217" i="15"/>
  <c r="BG202" i="15"/>
  <c r="AH222" i="15"/>
  <c r="BB172" i="15"/>
  <c r="CL178" i="15"/>
  <c r="AH215" i="15"/>
  <c r="AA206" i="15"/>
  <c r="BL219" i="15"/>
  <c r="CL169" i="15"/>
  <c r="BT174" i="15"/>
  <c r="H202" i="15"/>
  <c r="CC197" i="15"/>
  <c r="BT180" i="15"/>
  <c r="BQ215" i="15"/>
  <c r="BE221" i="15"/>
  <c r="F165" i="15"/>
  <c r="BT185" i="15"/>
  <c r="AB220" i="15"/>
  <c r="Q200" i="15"/>
  <c r="BE194" i="15"/>
  <c r="CH167" i="15"/>
  <c r="X210" i="15"/>
  <c r="C183" i="15"/>
  <c r="AD216" i="15"/>
  <c r="Y193" i="15"/>
  <c r="T201" i="15"/>
  <c r="E181" i="15"/>
  <c r="BQ179" i="15"/>
  <c r="CD221" i="15"/>
  <c r="AO169" i="15"/>
  <c r="BB178" i="15"/>
  <c r="BD207" i="15"/>
  <c r="P194" i="15"/>
  <c r="G168" i="15"/>
  <c r="BJ211" i="15"/>
  <c r="AC208" i="15"/>
  <c r="BB222" i="15"/>
  <c r="V211" i="15"/>
  <c r="BF175" i="15"/>
  <c r="Z183" i="15"/>
  <c r="G214" i="15"/>
  <c r="BU215" i="15"/>
  <c r="AV205" i="15"/>
  <c r="CF215" i="15"/>
  <c r="AS187" i="15"/>
  <c r="AR176" i="15"/>
  <c r="Y177" i="15"/>
  <c r="BJ189" i="15"/>
  <c r="CD178" i="15"/>
  <c r="L174" i="15"/>
  <c r="I189" i="15"/>
  <c r="R181" i="15"/>
  <c r="AK222" i="15"/>
  <c r="BE173" i="15"/>
  <c r="C222" i="15"/>
  <c r="CL199" i="15"/>
  <c r="BR190" i="15"/>
  <c r="AR177" i="15"/>
  <c r="AI225" i="15"/>
  <c r="J170" i="15"/>
  <c r="F173" i="15"/>
  <c r="AY166" i="15"/>
  <c r="AT198" i="15"/>
  <c r="BO196" i="15"/>
  <c r="G186" i="15"/>
  <c r="AJ194" i="15"/>
  <c r="CI203" i="15"/>
  <c r="U188" i="15"/>
  <c r="AB173" i="15"/>
  <c r="BV178" i="15"/>
  <c r="BP167" i="15"/>
  <c r="AC221" i="15"/>
  <c r="CL192" i="15"/>
  <c r="CI171" i="15"/>
  <c r="J225" i="15"/>
  <c r="I223" i="15"/>
  <c r="AK165" i="15"/>
  <c r="BS170" i="15"/>
  <c r="CE179" i="15"/>
  <c r="CL193" i="15"/>
  <c r="Z178" i="15"/>
  <c r="BN206" i="15"/>
  <c r="CC212" i="15"/>
  <c r="AP206" i="15"/>
  <c r="C197" i="15"/>
  <c r="BK179" i="15"/>
  <c r="BR174" i="15"/>
  <c r="AG202" i="15"/>
  <c r="E191" i="15"/>
  <c r="BK187" i="15"/>
  <c r="CK216" i="15"/>
  <c r="G205" i="15"/>
  <c r="AZ172" i="15"/>
  <c r="U225" i="15"/>
  <c r="AX204" i="15"/>
  <c r="U183" i="15"/>
  <c r="CI194" i="15"/>
  <c r="CC214" i="15"/>
  <c r="BN170" i="15"/>
  <c r="CE201" i="15"/>
  <c r="BL177" i="15"/>
  <c r="C214" i="15"/>
  <c r="BQ196" i="15"/>
  <c r="CJ190" i="15"/>
  <c r="AS225" i="15"/>
  <c r="AW175" i="15"/>
  <c r="M219" i="15"/>
  <c r="CD166" i="15"/>
  <c r="AP202" i="15"/>
  <c r="AQ223" i="15"/>
  <c r="BN165" i="15"/>
  <c r="CM205" i="15"/>
  <c r="M202" i="15"/>
  <c r="CG177" i="15"/>
  <c r="BT191" i="15"/>
  <c r="BT177" i="15"/>
  <c r="BG198" i="15"/>
  <c r="AX194" i="15"/>
  <c r="BL213" i="15"/>
  <c r="U191" i="15"/>
  <c r="AO166" i="15"/>
  <c r="BI167" i="15"/>
  <c r="AF213" i="15"/>
  <c r="AF181" i="15"/>
  <c r="AP172" i="15"/>
  <c r="CM175" i="15"/>
  <c r="G183" i="15"/>
  <c r="AZ204" i="15"/>
  <c r="P218" i="15"/>
  <c r="CE193" i="15"/>
  <c r="AV167" i="15"/>
  <c r="BU171" i="15"/>
  <c r="BB206" i="15"/>
  <c r="AQ216" i="15"/>
  <c r="CH189" i="15"/>
  <c r="BD169" i="15"/>
  <c r="BM219" i="15"/>
  <c r="AE208" i="15"/>
  <c r="CK210" i="15"/>
  <c r="AI205" i="15"/>
  <c r="AK176" i="15"/>
  <c r="CJ181" i="15"/>
  <c r="BH202" i="15"/>
  <c r="BI212" i="15"/>
  <c r="O182" i="15"/>
  <c r="CM211" i="15"/>
  <c r="AQ204" i="15"/>
  <c r="BU166" i="15"/>
  <c r="BK191" i="15"/>
  <c r="BM177" i="15"/>
  <c r="G209" i="15"/>
  <c r="J184" i="15"/>
  <c r="CG193" i="15"/>
  <c r="CF201" i="15"/>
  <c r="BU218" i="15"/>
  <c r="K192" i="15"/>
  <c r="AN181" i="15"/>
  <c r="CM224" i="15"/>
  <c r="CL203" i="15"/>
  <c r="AU182" i="15"/>
  <c r="CL176" i="15"/>
  <c r="AF207" i="15"/>
  <c r="R223" i="15"/>
  <c r="CH192" i="15"/>
  <c r="CK170" i="15"/>
  <c r="AV170" i="15"/>
  <c r="BJ172" i="15"/>
  <c r="O222" i="15"/>
  <c r="X175" i="15"/>
  <c r="BO197" i="15"/>
  <c r="W223" i="15"/>
  <c r="BQ202" i="15"/>
  <c r="C204" i="15"/>
  <c r="BS208" i="15"/>
  <c r="X207" i="15"/>
  <c r="H194" i="15"/>
  <c r="Q203" i="15"/>
  <c r="CJ183" i="15"/>
  <c r="CH182" i="15"/>
  <c r="AP221" i="15"/>
  <c r="CD215" i="15"/>
  <c r="BE184" i="15"/>
  <c r="H197" i="15"/>
  <c r="T213" i="15"/>
  <c r="BG194" i="15"/>
  <c r="AB183" i="15"/>
  <c r="M225" i="15"/>
  <c r="BS221" i="15"/>
  <c r="AN207" i="15"/>
  <c r="N189" i="15"/>
  <c r="Q166" i="15"/>
  <c r="K170" i="15"/>
  <c r="G220" i="15"/>
  <c r="AS172" i="15"/>
  <c r="AD224" i="15"/>
  <c r="G167" i="15"/>
  <c r="AY167" i="15"/>
  <c r="U222" i="15"/>
  <c r="BI201" i="15"/>
  <c r="BI192" i="15"/>
  <c r="CE182" i="15"/>
  <c r="BR218" i="15"/>
  <c r="AA171" i="15"/>
  <c r="AC222" i="15"/>
  <c r="BA193" i="15"/>
  <c r="BK215" i="15"/>
  <c r="CC189" i="15"/>
  <c r="AZ214" i="15"/>
  <c r="E198" i="15"/>
  <c r="AN186" i="15"/>
  <c r="BB185" i="15"/>
  <c r="Z196" i="15"/>
  <c r="BL195" i="15"/>
  <c r="BA196" i="15"/>
  <c r="Y185" i="15"/>
  <c r="BV202" i="15"/>
  <c r="AF202" i="15"/>
  <c r="AK208" i="15"/>
  <c r="BQ212" i="15"/>
  <c r="P224" i="15"/>
  <c r="AT185" i="15"/>
  <c r="AC167" i="15"/>
  <c r="C52" i="15"/>
  <c r="AX183" i="15"/>
  <c r="AF183" i="15"/>
  <c r="BT209" i="15"/>
  <c r="T194" i="15"/>
  <c r="BO176" i="15"/>
  <c r="BB203" i="15"/>
  <c r="BQ188" i="15"/>
  <c r="AM205" i="15"/>
  <c r="N176" i="15"/>
  <c r="AT189" i="15"/>
  <c r="BO171" i="15"/>
  <c r="AU183" i="15"/>
  <c r="AY222" i="15"/>
  <c r="Z180" i="15"/>
  <c r="BC203" i="15"/>
  <c r="CF203" i="15"/>
  <c r="AJ222" i="15"/>
  <c r="BT194" i="15"/>
  <c r="CD209" i="15"/>
  <c r="X181" i="15"/>
  <c r="AK172" i="15"/>
  <c r="BM185" i="15"/>
  <c r="AU172" i="15"/>
  <c r="BE177" i="15"/>
  <c r="AB218" i="15"/>
  <c r="AU223" i="15"/>
  <c r="BL168" i="15"/>
  <c r="AG216" i="15"/>
  <c r="N208" i="15"/>
  <c r="C51" i="15"/>
  <c r="C114" i="15" s="1"/>
  <c r="CD175" i="15"/>
  <c r="E203" i="15"/>
  <c r="AM202" i="15"/>
  <c r="CJ165" i="15"/>
  <c r="BF182" i="15"/>
  <c r="P171" i="15"/>
  <c r="S206" i="15"/>
  <c r="N197" i="15"/>
  <c r="BD201" i="15"/>
  <c r="T200" i="15"/>
  <c r="BS189" i="15"/>
  <c r="AV207" i="15"/>
  <c r="E223" i="15"/>
  <c r="BD197" i="15"/>
  <c r="S183" i="15"/>
  <c r="BO189" i="15"/>
  <c r="BV218" i="15"/>
  <c r="BE168" i="15"/>
  <c r="AU197" i="15"/>
  <c r="AD205" i="15"/>
  <c r="I35" i="359"/>
  <c r="E35" i="359"/>
  <c r="X35" i="359"/>
  <c r="AA35" i="359"/>
  <c r="W35" i="359"/>
  <c r="T35" i="359"/>
  <c r="J35" i="359"/>
  <c r="O57" i="8"/>
  <c r="O80" i="8"/>
  <c r="O128" i="8"/>
  <c r="O77" i="8"/>
  <c r="O130" i="8"/>
  <c r="O90" i="8"/>
  <c r="O100" i="8"/>
  <c r="O89" i="8"/>
  <c r="O104" i="8"/>
  <c r="CI173" i="15"/>
  <c r="BL178" i="15"/>
  <c r="I167" i="15"/>
  <c r="BN209" i="15"/>
  <c r="BD193" i="15"/>
  <c r="CE181" i="15"/>
  <c r="CH207" i="15"/>
  <c r="J200" i="15"/>
  <c r="BL190" i="15"/>
  <c r="BG187" i="15"/>
  <c r="X200" i="15"/>
  <c r="CL177" i="15"/>
  <c r="AR203" i="15"/>
  <c r="S186" i="15"/>
  <c r="AS217" i="15"/>
  <c r="AM175" i="15"/>
  <c r="CJ179" i="15"/>
  <c r="L217" i="15"/>
  <c r="BQ214" i="15"/>
  <c r="W175" i="15"/>
  <c r="S211" i="15"/>
  <c r="BC221" i="15"/>
  <c r="AW198" i="15"/>
  <c r="V183" i="15"/>
  <c r="N184" i="15"/>
  <c r="AG223" i="15"/>
  <c r="Y180" i="15"/>
  <c r="AB182" i="15"/>
  <c r="BI197" i="15"/>
  <c r="AV185" i="15"/>
  <c r="BG195" i="15"/>
  <c r="AD172" i="15"/>
  <c r="E186" i="15"/>
  <c r="R215" i="15"/>
  <c r="AI208" i="15"/>
  <c r="BL197" i="15"/>
  <c r="AY181" i="15"/>
  <c r="BM175" i="15"/>
  <c r="AI168" i="15"/>
  <c r="H221" i="15"/>
  <c r="AO205" i="15"/>
  <c r="CN219" i="15"/>
  <c r="CN221" i="15"/>
  <c r="AI198" i="15"/>
  <c r="CE206" i="15"/>
  <c r="BK186" i="15"/>
  <c r="CN173" i="15"/>
  <c r="CN202" i="15"/>
  <c r="CN222" i="15"/>
  <c r="CN207" i="15"/>
  <c r="Q171" i="15"/>
  <c r="CH199" i="15"/>
  <c r="BB221" i="15"/>
  <c r="CF206" i="15"/>
  <c r="AN213" i="15"/>
  <c r="V220" i="15"/>
  <c r="E196" i="15"/>
  <c r="V179" i="15"/>
  <c r="AK196" i="15"/>
  <c r="X213" i="15"/>
  <c r="W171" i="15"/>
  <c r="BH220" i="15"/>
  <c r="F195" i="15"/>
  <c r="AJ202" i="15"/>
  <c r="CH187" i="15"/>
  <c r="BG171" i="15"/>
  <c r="Z198" i="15"/>
  <c r="AZ171" i="15"/>
  <c r="AC217" i="15"/>
  <c r="CC186" i="15"/>
  <c r="CM225" i="15"/>
  <c r="L210" i="15"/>
  <c r="S194" i="15"/>
  <c r="BB193" i="15"/>
  <c r="BS176" i="15"/>
  <c r="Y172" i="15"/>
  <c r="BF202" i="15"/>
  <c r="Y184" i="15"/>
  <c r="CH179" i="15"/>
  <c r="CK190" i="15"/>
  <c r="I186" i="15"/>
  <c r="CM190" i="15"/>
  <c r="X189" i="15"/>
  <c r="I200" i="15"/>
  <c r="CC218" i="15"/>
  <c r="BU219" i="15"/>
  <c r="BI172" i="15"/>
  <c r="BL187" i="15"/>
  <c r="AA214" i="15"/>
  <c r="AK223" i="15"/>
  <c r="AR180" i="15"/>
  <c r="BJ198" i="15"/>
  <c r="BU217" i="15"/>
  <c r="CF185" i="15"/>
  <c r="AO177" i="15"/>
  <c r="CH185" i="15"/>
  <c r="BH177" i="15"/>
  <c r="AI188" i="15"/>
  <c r="BM220" i="15"/>
  <c r="AS186" i="15"/>
  <c r="BT189" i="15"/>
  <c r="AV211" i="15"/>
  <c r="J212" i="15"/>
  <c r="L176" i="15"/>
  <c r="AZ169" i="15"/>
  <c r="AR206" i="15"/>
  <c r="BG190" i="15"/>
  <c r="BQ170" i="15"/>
  <c r="X203" i="15"/>
  <c r="CJ201" i="15"/>
  <c r="V176" i="15"/>
  <c r="CH194" i="15"/>
  <c r="CF175" i="15"/>
  <c r="S198" i="15"/>
  <c r="F220" i="15"/>
  <c r="AS208" i="15"/>
  <c r="BK219" i="15"/>
  <c r="H210" i="15"/>
  <c r="AI200" i="15"/>
  <c r="AT168" i="15"/>
  <c r="CD174" i="15"/>
  <c r="AH200" i="15"/>
  <c r="Z176" i="15"/>
  <c r="K210" i="15"/>
  <c r="T168" i="15"/>
  <c r="Q178" i="15"/>
  <c r="P210" i="15"/>
  <c r="CI196" i="15"/>
  <c r="N185" i="15"/>
  <c r="AT183" i="15"/>
  <c r="CM220" i="15"/>
  <c r="AL186" i="15"/>
  <c r="AB180" i="15"/>
  <c r="AO201" i="15"/>
  <c r="M181" i="15"/>
  <c r="BH169" i="15"/>
  <c r="BK177" i="15"/>
  <c r="AZ194" i="15"/>
  <c r="BU188" i="15"/>
  <c r="H167" i="15"/>
  <c r="BI203" i="15"/>
  <c r="CM218" i="15"/>
  <c r="AQ207" i="15"/>
  <c r="CC205" i="15"/>
  <c r="CK165" i="15"/>
  <c r="CG188" i="15"/>
  <c r="E171" i="15"/>
  <c r="U195" i="15"/>
  <c r="AO204" i="15"/>
  <c r="V194" i="15"/>
  <c r="AL225" i="15"/>
  <c r="BJ212" i="15"/>
  <c r="AE178" i="15"/>
  <c r="X197" i="15"/>
  <c r="R210" i="15"/>
  <c r="K169" i="15"/>
  <c r="Y189" i="15"/>
  <c r="AX187" i="15"/>
  <c r="L178" i="15"/>
  <c r="AD180" i="15"/>
  <c r="G196" i="15"/>
  <c r="H212" i="15"/>
  <c r="F225" i="15"/>
  <c r="BB211" i="15"/>
  <c r="S179" i="15"/>
  <c r="BG208" i="15"/>
  <c r="R225" i="15"/>
  <c r="AI206" i="15"/>
  <c r="G184" i="15"/>
  <c r="K202" i="15"/>
  <c r="BS187" i="15"/>
  <c r="P173" i="15"/>
  <c r="CJ172" i="15"/>
  <c r="F222" i="15"/>
  <c r="BU169" i="15"/>
  <c r="BQ174" i="15"/>
  <c r="BK183" i="15"/>
  <c r="AX222" i="15"/>
  <c r="AG169" i="15"/>
  <c r="AZ191" i="15"/>
  <c r="S207" i="15"/>
  <c r="CE184" i="15"/>
  <c r="CI215" i="15"/>
  <c r="F192" i="15"/>
  <c r="H214" i="15"/>
  <c r="Y169" i="15"/>
  <c r="X205" i="15"/>
  <c r="Y191" i="15"/>
  <c r="AS213" i="15"/>
  <c r="CJ203" i="15"/>
  <c r="AR179" i="15"/>
  <c r="K184" i="15"/>
  <c r="BO165" i="15"/>
  <c r="BO205" i="15"/>
  <c r="U190" i="15"/>
  <c r="BT223" i="15"/>
  <c r="V219" i="15"/>
  <c r="AG184" i="15"/>
  <c r="BM180" i="15"/>
  <c r="CG190" i="15"/>
  <c r="AY221" i="15"/>
  <c r="CK180" i="15"/>
  <c r="AE212" i="15"/>
  <c r="BQ167" i="15"/>
  <c r="CK201" i="15"/>
  <c r="I170" i="15"/>
  <c r="CK224" i="15"/>
  <c r="Z220" i="15"/>
  <c r="S214" i="15"/>
  <c r="G187" i="15"/>
  <c r="AO223" i="15"/>
  <c r="AE181" i="15"/>
  <c r="BT175" i="15"/>
  <c r="CG181" i="15"/>
  <c r="BP225" i="15"/>
  <c r="AL222" i="15"/>
  <c r="AK171" i="15"/>
  <c r="CJ182" i="15"/>
  <c r="BR202" i="15"/>
  <c r="Y182" i="15"/>
  <c r="BP213" i="15"/>
  <c r="AJ209" i="15"/>
  <c r="Z201" i="15"/>
  <c r="AP171" i="15"/>
  <c r="W165" i="15"/>
  <c r="V210" i="15"/>
  <c r="AR196" i="15"/>
  <c r="BE166" i="15"/>
  <c r="Y181" i="15"/>
  <c r="W208" i="15"/>
  <c r="AL219" i="15"/>
  <c r="Q181" i="15"/>
  <c r="J175" i="15"/>
  <c r="BM216" i="15"/>
  <c r="BG188" i="15"/>
  <c r="BS225" i="15"/>
  <c r="CK168" i="15"/>
  <c r="AS200" i="15"/>
  <c r="K168" i="15"/>
  <c r="BF220" i="15"/>
  <c r="BI193" i="15"/>
  <c r="BE205" i="15"/>
  <c r="BD196" i="15"/>
  <c r="AZ215" i="15"/>
  <c r="AD207" i="15"/>
  <c r="BO215" i="15"/>
  <c r="Q222" i="15"/>
  <c r="R216" i="15"/>
  <c r="CK174" i="15"/>
  <c r="AU208" i="15"/>
  <c r="AA203" i="15"/>
  <c r="I172" i="15"/>
  <c r="CD184" i="15"/>
  <c r="C177" i="15"/>
  <c r="I201" i="15"/>
  <c r="AX169" i="15"/>
  <c r="AS181" i="15"/>
  <c r="AA168" i="15"/>
  <c r="AC184" i="15"/>
  <c r="Y166" i="15"/>
  <c r="CC198" i="15"/>
  <c r="AB204" i="15"/>
  <c r="AX188" i="15"/>
  <c r="AK186" i="15"/>
  <c r="BF210" i="15"/>
  <c r="BF189" i="15"/>
  <c r="S173" i="15"/>
  <c r="CM203" i="15"/>
  <c r="BC187" i="15"/>
  <c r="AP223" i="15"/>
  <c r="R218" i="15"/>
  <c r="CK178" i="15"/>
  <c r="CF168" i="15"/>
  <c r="AL178" i="15"/>
  <c r="BG180" i="15"/>
  <c r="CC213" i="15"/>
  <c r="BI185" i="15"/>
  <c r="G223" i="15"/>
  <c r="X216" i="15"/>
  <c r="C185" i="15"/>
  <c r="CF183" i="15"/>
  <c r="O209" i="15"/>
  <c r="CD222" i="15"/>
  <c r="BF211" i="15"/>
  <c r="CF172" i="15"/>
  <c r="AM171" i="15"/>
  <c r="I219" i="15"/>
  <c r="U213" i="15"/>
  <c r="W169" i="15"/>
  <c r="BB198" i="15"/>
  <c r="AU171" i="15"/>
  <c r="R222" i="15"/>
  <c r="BH201" i="15"/>
  <c r="BI194" i="15"/>
  <c r="BS186" i="15"/>
  <c r="BS172" i="15"/>
  <c r="AC166" i="15"/>
  <c r="AV195" i="15"/>
  <c r="AR220" i="15"/>
  <c r="CM168" i="15"/>
  <c r="AK212" i="15"/>
  <c r="AF215" i="15"/>
  <c r="AQ221" i="15"/>
  <c r="CD168" i="15"/>
  <c r="CD185" i="15"/>
  <c r="R170" i="15"/>
  <c r="BN190" i="15"/>
  <c r="BC217" i="15"/>
  <c r="AL210" i="15"/>
  <c r="AK204" i="15"/>
  <c r="BE188" i="15"/>
  <c r="AB197" i="15"/>
  <c r="J198" i="15"/>
  <c r="BE198" i="15"/>
  <c r="AQ202" i="15"/>
  <c r="BR171" i="15"/>
  <c r="BM207" i="15"/>
  <c r="BT186" i="15"/>
  <c r="CH215" i="15"/>
  <c r="J213" i="15"/>
  <c r="CH174" i="15"/>
  <c r="BU179" i="15"/>
  <c r="P184" i="15"/>
  <c r="AU207" i="15"/>
  <c r="AJ176" i="15"/>
  <c r="P206" i="15"/>
  <c r="W212" i="15"/>
  <c r="AD175" i="15"/>
  <c r="CK186" i="15"/>
  <c r="AP170" i="15"/>
  <c r="AW218" i="15"/>
  <c r="BJ188" i="15"/>
  <c r="AV222" i="15"/>
  <c r="I188" i="15"/>
  <c r="BO220" i="15"/>
  <c r="AA208" i="15"/>
  <c r="AW190" i="15"/>
  <c r="AB210" i="15"/>
  <c r="CK211" i="15"/>
  <c r="AY199" i="15"/>
  <c r="BJ168" i="15"/>
  <c r="H185" i="15"/>
  <c r="AO181" i="15"/>
  <c r="AJ204" i="15"/>
  <c r="Q168" i="15"/>
  <c r="N213" i="15"/>
  <c r="BK189" i="15"/>
  <c r="AE214" i="15"/>
  <c r="AN177" i="15"/>
  <c r="BF219" i="15"/>
  <c r="AX189" i="15"/>
  <c r="AO192" i="15"/>
  <c r="AJ224" i="15"/>
  <c r="AS218" i="15"/>
  <c r="X196" i="15"/>
  <c r="BG167" i="15"/>
  <c r="CK202" i="15"/>
  <c r="AX209" i="15"/>
  <c r="AZ196" i="15"/>
  <c r="BH166" i="15"/>
  <c r="C225" i="15"/>
  <c r="E215" i="15"/>
  <c r="CI190" i="15"/>
  <c r="AR224" i="15"/>
  <c r="AO224" i="15"/>
  <c r="CN184" i="15"/>
  <c r="CN193" i="15"/>
  <c r="L180" i="15"/>
  <c r="BC198" i="15"/>
  <c r="F180" i="15"/>
  <c r="X184" i="15"/>
  <c r="AB211" i="15"/>
  <c r="T179" i="15"/>
  <c r="V173" i="15"/>
  <c r="AW187" i="15"/>
  <c r="O166" i="15"/>
  <c r="AZ210" i="15"/>
  <c r="BJ220" i="15"/>
  <c r="Q208" i="15"/>
  <c r="N211" i="15"/>
  <c r="CH183" i="15"/>
  <c r="R212" i="15"/>
  <c r="BJ207" i="15"/>
  <c r="S176" i="15"/>
  <c r="BT173" i="15"/>
  <c r="AJ165" i="15"/>
  <c r="AQ175" i="15"/>
  <c r="AV212" i="15"/>
  <c r="CI170" i="15"/>
  <c r="AF169" i="15"/>
  <c r="BH180" i="15"/>
  <c r="R219" i="15"/>
  <c r="BS173" i="15"/>
  <c r="CJ208" i="15"/>
  <c r="C192" i="15"/>
  <c r="T192" i="15"/>
  <c r="AD198" i="15"/>
  <c r="AG204" i="15"/>
  <c r="CC173" i="15"/>
  <c r="BQ185" i="15"/>
  <c r="AR166" i="15"/>
  <c r="BB176" i="15"/>
  <c r="CD188" i="15"/>
  <c r="CJ217" i="15"/>
  <c r="BI182" i="15"/>
  <c r="AQ209" i="15"/>
  <c r="AH187" i="15"/>
  <c r="Q199" i="15"/>
  <c r="BM174" i="15"/>
  <c r="AB203" i="15"/>
  <c r="BM225" i="15"/>
  <c r="N205" i="15"/>
  <c r="X179" i="15"/>
  <c r="AY210" i="15"/>
  <c r="AA192" i="15"/>
  <c r="AO221" i="15"/>
  <c r="AS171" i="15"/>
  <c r="BV216" i="15"/>
  <c r="BN173" i="15"/>
  <c r="AF187" i="15"/>
  <c r="AL194" i="15"/>
  <c r="Y179" i="15"/>
  <c r="BQ194" i="15"/>
  <c r="AA222" i="15"/>
  <c r="BN191" i="15"/>
  <c r="L183" i="15"/>
  <c r="CE202" i="15"/>
  <c r="E197" i="15"/>
  <c r="AG196" i="15"/>
  <c r="AA169" i="15"/>
  <c r="AZ184" i="15"/>
  <c r="S225" i="15"/>
  <c r="AW219" i="15"/>
  <c r="BC184" i="15"/>
  <c r="AL205" i="15"/>
  <c r="BG168" i="15"/>
  <c r="AE213" i="15"/>
  <c r="AO193" i="15"/>
  <c r="BA219" i="15"/>
  <c r="BF217" i="15"/>
  <c r="AW203" i="15"/>
  <c r="CH217" i="15"/>
  <c r="K200" i="15"/>
  <c r="BM209" i="15"/>
  <c r="C43" i="15"/>
  <c r="C106" i="15" s="1"/>
  <c r="CH212" i="15"/>
  <c r="AA221" i="15"/>
  <c r="AG179" i="15"/>
  <c r="C205" i="15"/>
  <c r="BA180" i="15"/>
  <c r="S171" i="15"/>
  <c r="I213" i="15"/>
  <c r="AC195" i="15"/>
  <c r="AX182" i="15"/>
  <c r="BO184" i="15"/>
  <c r="G217" i="15"/>
  <c r="BD187" i="15"/>
  <c r="CI207" i="15"/>
  <c r="BA203" i="15"/>
  <c r="AZ170" i="15"/>
  <c r="CD186" i="15"/>
  <c r="V189" i="15"/>
  <c r="W220" i="15"/>
  <c r="I168" i="15"/>
  <c r="CK204" i="15"/>
  <c r="BS168" i="15"/>
  <c r="O180" i="15"/>
  <c r="BA216" i="15"/>
  <c r="M211" i="15"/>
  <c r="N167" i="15"/>
  <c r="BF218" i="15"/>
  <c r="AC197" i="15"/>
  <c r="BS217" i="15"/>
  <c r="AL215" i="15"/>
  <c r="V175" i="15"/>
  <c r="L209" i="15"/>
  <c r="CF205" i="15"/>
  <c r="AK181" i="15"/>
  <c r="CI202" i="15"/>
  <c r="R220" i="15"/>
  <c r="CD220" i="15"/>
  <c r="BS222" i="15"/>
  <c r="CD187" i="15"/>
  <c r="BB217" i="15"/>
  <c r="AL165" i="15"/>
  <c r="BD172" i="15"/>
  <c r="AL198" i="15"/>
  <c r="BP224" i="15"/>
  <c r="AC216" i="15"/>
  <c r="U204" i="15"/>
  <c r="BU165" i="15"/>
  <c r="AL213" i="15"/>
  <c r="BP165" i="15"/>
  <c r="AW192" i="15"/>
  <c r="BF212" i="15"/>
  <c r="F170" i="15"/>
  <c r="AD222" i="15"/>
  <c r="H186" i="15"/>
  <c r="AH218" i="15"/>
  <c r="CL185" i="15"/>
  <c r="AG176" i="15"/>
  <c r="AW168" i="15"/>
  <c r="AB205" i="15"/>
  <c r="F38" i="15"/>
  <c r="X191" i="15"/>
  <c r="AG188" i="15"/>
  <c r="N209" i="15"/>
  <c r="BG177" i="15"/>
  <c r="L190" i="15"/>
  <c r="W225" i="15"/>
  <c r="AY219" i="15"/>
  <c r="AT165" i="15"/>
  <c r="AJ171" i="15"/>
  <c r="AJ190" i="15"/>
  <c r="BP176" i="15"/>
  <c r="C215" i="15"/>
  <c r="BD185" i="15"/>
  <c r="BM165" i="15"/>
  <c r="T190" i="15"/>
  <c r="AJ166" i="15"/>
  <c r="BN167" i="15"/>
  <c r="AZ205" i="15"/>
  <c r="AM172" i="15"/>
  <c r="AH213" i="15"/>
  <c r="AD217" i="15"/>
  <c r="AR223" i="15"/>
  <c r="BP170" i="15"/>
  <c r="AM217" i="15"/>
  <c r="AL191" i="15"/>
  <c r="BD177" i="15"/>
  <c r="M166" i="15"/>
  <c r="AK209" i="15"/>
  <c r="M169" i="15"/>
  <c r="H199" i="15"/>
  <c r="CI214" i="15"/>
  <c r="AN201" i="15"/>
  <c r="Q215" i="15"/>
  <c r="W168" i="15"/>
  <c r="CE224" i="15"/>
  <c r="I185" i="15"/>
  <c r="CH186" i="15"/>
  <c r="BT207" i="15"/>
  <c r="AF173" i="15"/>
  <c r="AX203" i="15"/>
  <c r="BK210" i="15"/>
  <c r="F224" i="15"/>
  <c r="CH209" i="15"/>
  <c r="AV174" i="15"/>
  <c r="N192" i="15"/>
  <c r="P201" i="15"/>
  <c r="U193" i="15"/>
  <c r="CM171" i="15"/>
  <c r="CE167" i="15"/>
  <c r="BR191" i="15"/>
  <c r="BM192" i="15"/>
  <c r="BL212" i="15"/>
  <c r="J208" i="15"/>
  <c r="Q175" i="15"/>
  <c r="AV202" i="15"/>
  <c r="C224" i="15"/>
  <c r="AN204" i="15"/>
  <c r="Y190" i="15"/>
  <c r="BJ193" i="15"/>
  <c r="BQ173" i="15"/>
  <c r="BN221" i="15"/>
  <c r="AL187" i="15"/>
  <c r="AX191" i="15"/>
  <c r="M190" i="15"/>
  <c r="AX212" i="15"/>
  <c r="E188" i="15"/>
  <c r="CJ191" i="15"/>
  <c r="C194" i="15"/>
  <c r="F196" i="15"/>
  <c r="AO202" i="15"/>
  <c r="BC212" i="15"/>
  <c r="BJ180" i="15"/>
  <c r="BR178" i="15"/>
  <c r="BN198" i="15"/>
  <c r="T195" i="15"/>
  <c r="X220" i="15"/>
  <c r="BS185" i="15"/>
  <c r="CI168" i="15"/>
  <c r="AD221" i="15"/>
  <c r="AK174" i="15"/>
  <c r="CC176" i="15"/>
  <c r="BL209" i="15"/>
  <c r="BK175" i="15"/>
  <c r="AH199" i="15"/>
  <c r="AL166" i="15"/>
  <c r="V209" i="15"/>
  <c r="BQ184" i="15"/>
  <c r="CF196" i="15"/>
  <c r="C201" i="15"/>
  <c r="G179" i="15"/>
  <c r="AC193" i="15"/>
  <c r="BD194" i="15"/>
  <c r="BJ169" i="15"/>
  <c r="AU177" i="15"/>
  <c r="AK203" i="15"/>
  <c r="Q197" i="15"/>
  <c r="AC214" i="15"/>
  <c r="AP181" i="15"/>
  <c r="AD166" i="15"/>
  <c r="X166" i="15"/>
  <c r="S168" i="15"/>
  <c r="CC195" i="15"/>
  <c r="BB209" i="15"/>
  <c r="V190" i="15"/>
  <c r="AE177" i="15"/>
  <c r="O204" i="15"/>
  <c r="AI175" i="15"/>
  <c r="O181" i="15"/>
  <c r="AB219" i="15"/>
  <c r="AF208" i="15"/>
  <c r="BC213" i="15"/>
  <c r="BC175" i="15"/>
  <c r="T184" i="15"/>
  <c r="AA177" i="15"/>
  <c r="CH200" i="15"/>
  <c r="AH212" i="15"/>
  <c r="AV208" i="15"/>
  <c r="BO174" i="15"/>
  <c r="O170" i="15"/>
  <c r="AO197" i="15"/>
  <c r="BU211" i="15"/>
  <c r="AN169" i="15"/>
  <c r="M218" i="15"/>
  <c r="AO174" i="15"/>
  <c r="C221" i="15"/>
  <c r="Q176" i="15"/>
  <c r="S193" i="15"/>
  <c r="BA206" i="15"/>
  <c r="AN175" i="15"/>
  <c r="AC182" i="15"/>
  <c r="AJ185" i="15"/>
  <c r="AC165" i="15"/>
  <c r="AX213" i="15"/>
  <c r="AJ173" i="15"/>
  <c r="AF200" i="15"/>
  <c r="X221" i="15"/>
  <c r="Z203" i="15"/>
  <c r="BK212" i="15"/>
  <c r="AA166" i="15"/>
  <c r="AU199" i="15"/>
  <c r="BM183" i="15"/>
  <c r="BQ198" i="15"/>
  <c r="BU201" i="15"/>
  <c r="BQ211" i="15"/>
  <c r="BP206" i="15"/>
  <c r="BU181" i="15"/>
  <c r="BI210" i="15"/>
  <c r="AI181" i="15"/>
  <c r="BE178" i="15"/>
  <c r="AN196" i="15"/>
  <c r="AG213" i="15"/>
  <c r="BA212" i="15"/>
  <c r="BQ175" i="15"/>
  <c r="BA187" i="15"/>
  <c r="U207" i="15"/>
  <c r="CJ168" i="15"/>
  <c r="BV174" i="15"/>
  <c r="AO178" i="15"/>
  <c r="AU196" i="15"/>
  <c r="F187" i="15"/>
  <c r="BD183" i="15"/>
  <c r="CC168" i="15"/>
  <c r="N165" i="15"/>
  <c r="AU218" i="15"/>
  <c r="O167" i="15"/>
  <c r="BC180" i="15"/>
  <c r="L202" i="15"/>
  <c r="BH217" i="15"/>
  <c r="H193" i="15"/>
  <c r="CG189" i="15"/>
  <c r="AA189" i="15"/>
  <c r="K174" i="15"/>
  <c r="CD202" i="15"/>
  <c r="S218" i="15"/>
  <c r="AT173" i="15"/>
  <c r="CN174" i="15"/>
  <c r="CN187" i="15"/>
  <c r="L213" i="15"/>
  <c r="M192" i="15"/>
  <c r="AE173" i="15"/>
  <c r="CN214" i="15"/>
  <c r="CN178" i="15"/>
  <c r="CN200" i="15"/>
  <c r="CN190" i="15"/>
  <c r="AC218" i="15"/>
  <c r="BU223" i="15"/>
  <c r="AL188" i="15"/>
  <c r="BV223" i="15"/>
  <c r="V224" i="15"/>
  <c r="CG212" i="15"/>
  <c r="W188" i="15"/>
  <c r="AY178" i="15"/>
  <c r="AL212" i="15"/>
  <c r="CD190" i="15"/>
  <c r="AC204" i="15"/>
  <c r="BA201" i="15"/>
  <c r="AR184" i="15"/>
  <c r="AI166" i="15"/>
  <c r="AE189" i="15"/>
  <c r="X174" i="15"/>
  <c r="S221" i="15"/>
  <c r="G201" i="15"/>
  <c r="BF208" i="15"/>
  <c r="H201" i="15"/>
  <c r="Q187" i="15"/>
  <c r="BP195" i="15"/>
  <c r="AW166" i="15"/>
  <c r="AI215" i="15"/>
  <c r="CL202" i="15"/>
  <c r="O177" i="15"/>
  <c r="P172" i="15"/>
  <c r="BS206" i="15"/>
  <c r="CJ221" i="15"/>
  <c r="AX175" i="15"/>
  <c r="AJ196" i="15"/>
  <c r="BV206" i="15"/>
  <c r="AO203" i="15"/>
  <c r="E204" i="15"/>
  <c r="BV189" i="15"/>
  <c r="AP187" i="15"/>
  <c r="H184" i="15"/>
  <c r="BK204" i="15"/>
  <c r="BV225" i="15"/>
  <c r="I187" i="15"/>
  <c r="BU185" i="15"/>
  <c r="AW180" i="15"/>
  <c r="P222" i="15"/>
  <c r="AW202" i="15"/>
  <c r="X188" i="15"/>
  <c r="BR183" i="15"/>
  <c r="BA191" i="15"/>
  <c r="AS176" i="15"/>
  <c r="BO190" i="15"/>
  <c r="CM193" i="15"/>
  <c r="CF195" i="15"/>
  <c r="CE191" i="15"/>
  <c r="C180" i="15"/>
  <c r="CJ210" i="15"/>
  <c r="AY174" i="15"/>
  <c r="AW185" i="15"/>
  <c r="AA199" i="15"/>
  <c r="S223" i="15"/>
  <c r="F221" i="15"/>
  <c r="BV205" i="15"/>
  <c r="BU189" i="15"/>
  <c r="BK184" i="15"/>
  <c r="BS215" i="15"/>
  <c r="BJ174" i="15"/>
  <c r="AM216" i="15"/>
  <c r="CG204" i="15"/>
  <c r="BA223" i="15"/>
  <c r="C48" i="15"/>
  <c r="C111" i="15" s="1"/>
  <c r="G165" i="15"/>
  <c r="AE206" i="15"/>
  <c r="AU221" i="15"/>
  <c r="S169" i="15"/>
  <c r="BS178" i="15"/>
  <c r="AC223" i="15"/>
  <c r="K180" i="15"/>
  <c r="BQ223" i="15"/>
  <c r="BT218" i="15"/>
  <c r="G218" i="15"/>
  <c r="Z217" i="15"/>
  <c r="BG172" i="15"/>
  <c r="W190" i="15"/>
  <c r="E219" i="15"/>
  <c r="BV198" i="15"/>
  <c r="CJ188" i="15"/>
  <c r="AK185" i="15"/>
  <c r="AF212" i="15"/>
  <c r="AH219" i="15"/>
  <c r="AQ189" i="15"/>
  <c r="Y183" i="15"/>
  <c r="CH213" i="15"/>
  <c r="Y188" i="15"/>
  <c r="J203" i="15"/>
  <c r="BQ187" i="15"/>
  <c r="BC189" i="15"/>
  <c r="BI179" i="15"/>
  <c r="L182" i="15"/>
  <c r="BS219" i="15"/>
  <c r="S191" i="15"/>
  <c r="T218" i="15"/>
  <c r="AV192" i="15"/>
  <c r="T186" i="15"/>
  <c r="CD199" i="15"/>
  <c r="AI210" i="15"/>
  <c r="AD181" i="15"/>
  <c r="BC206" i="15"/>
  <c r="K172" i="15"/>
  <c r="AS219" i="15"/>
  <c r="AU186" i="15"/>
  <c r="D50" i="15"/>
  <c r="D113" i="15" s="1"/>
  <c r="R179" i="15"/>
  <c r="CM199" i="15"/>
  <c r="AZ190" i="15"/>
  <c r="BE182" i="15"/>
  <c r="CG213" i="15"/>
  <c r="CJ166" i="15"/>
  <c r="AZ168" i="15"/>
  <c r="Q220" i="15"/>
  <c r="R214" i="15"/>
  <c r="X195" i="15"/>
  <c r="AD184" i="15"/>
  <c r="AH172" i="15"/>
  <c r="CJ180" i="15"/>
  <c r="Z179" i="15"/>
  <c r="G176" i="15"/>
  <c r="Q205" i="15"/>
  <c r="Q179" i="15"/>
  <c r="BN174" i="15"/>
  <c r="J189" i="15"/>
  <c r="BB215" i="15"/>
  <c r="BV171" i="15"/>
  <c r="BC219" i="15"/>
  <c r="AX206" i="15"/>
  <c r="AI184" i="15"/>
  <c r="BB179" i="15"/>
  <c r="BO210" i="15"/>
  <c r="AA167" i="15"/>
  <c r="BU222" i="15"/>
  <c r="CH181" i="15"/>
  <c r="BD202" i="15"/>
  <c r="K183" i="15"/>
  <c r="AD194" i="15"/>
  <c r="CE176" i="15"/>
  <c r="AT205" i="15"/>
  <c r="CG194" i="15"/>
  <c r="R201" i="15"/>
  <c r="CF223" i="15"/>
  <c r="G216" i="15"/>
  <c r="AV219" i="15"/>
  <c r="BD195" i="15"/>
  <c r="AX221" i="15"/>
  <c r="AI212" i="15"/>
  <c r="AA191" i="15"/>
  <c r="T207" i="15"/>
  <c r="AE180" i="15"/>
  <c r="BL225" i="15"/>
  <c r="BQ217" i="15"/>
  <c r="F199" i="15"/>
  <c r="BT172" i="15"/>
  <c r="BO173" i="15"/>
  <c r="AZ193" i="15"/>
  <c r="BL208" i="15"/>
  <c r="AN215" i="15"/>
  <c r="AF221" i="15"/>
  <c r="BJ167" i="15"/>
  <c r="M222" i="15"/>
  <c r="AK170" i="15"/>
  <c r="BQ168" i="15"/>
  <c r="BU173" i="15"/>
  <c r="BF195" i="15"/>
  <c r="AY205" i="15"/>
  <c r="AM214" i="15"/>
  <c r="AR175" i="15"/>
  <c r="BI171" i="15"/>
  <c r="X176" i="15"/>
  <c r="CJ206" i="15"/>
  <c r="W218" i="15"/>
  <c r="R204" i="15"/>
  <c r="AO167" i="15"/>
  <c r="AS205" i="15"/>
  <c r="T175" i="15"/>
  <c r="W181" i="15"/>
  <c r="BR184" i="15"/>
  <c r="F172" i="15"/>
  <c r="CI217" i="15"/>
  <c r="AX192" i="15"/>
  <c r="AH166" i="15"/>
  <c r="BR196" i="15"/>
  <c r="BE167" i="15"/>
  <c r="BE174" i="15"/>
  <c r="CH166" i="15"/>
  <c r="CJ198" i="15"/>
  <c r="D39" i="15"/>
  <c r="D165" i="15" s="1"/>
  <c r="W196" i="15"/>
  <c r="AU214" i="15"/>
  <c r="AS169" i="15"/>
  <c r="CL195" i="15"/>
  <c r="BA165" i="15"/>
  <c r="AC220" i="15"/>
  <c r="BQ204" i="15"/>
  <c r="AM177" i="15"/>
  <c r="BR175" i="15"/>
  <c r="C184" i="15"/>
  <c r="S199" i="15"/>
  <c r="AG189" i="15"/>
  <c r="G212" i="15"/>
  <c r="BL166" i="15"/>
  <c r="N219" i="15"/>
  <c r="CJ185" i="15"/>
  <c r="Q177" i="15"/>
  <c r="AA209" i="15"/>
  <c r="BB182" i="15"/>
  <c r="AE197" i="15"/>
  <c r="AF172" i="15"/>
  <c r="CK192" i="15"/>
  <c r="F209" i="15"/>
  <c r="BH209" i="15"/>
  <c r="BG182" i="15"/>
  <c r="CG197" i="15"/>
  <c r="W201" i="15"/>
  <c r="J166" i="15"/>
  <c r="V201" i="15"/>
  <c r="CJ218" i="15"/>
  <c r="AP207" i="15"/>
  <c r="BE185" i="15"/>
  <c r="BN176" i="15"/>
  <c r="BH175" i="15"/>
  <c r="BN210" i="15"/>
  <c r="AF192" i="15"/>
  <c r="AJ168" i="15"/>
  <c r="T197" i="15"/>
  <c r="L223" i="15"/>
  <c r="H196" i="15"/>
  <c r="BS212" i="15"/>
  <c r="AS220" i="15"/>
  <c r="T206" i="15"/>
  <c r="E169" i="15"/>
  <c r="BE190" i="15"/>
  <c r="AP195" i="15"/>
  <c r="BL192" i="15"/>
  <c r="CE203" i="15"/>
  <c r="O196" i="15"/>
  <c r="AE176" i="15"/>
  <c r="AH214" i="15"/>
  <c r="C210" i="15"/>
  <c r="AX225" i="15"/>
  <c r="P196" i="15"/>
  <c r="AY218" i="15"/>
  <c r="AD200" i="15"/>
  <c r="BC179" i="15"/>
  <c r="BV201" i="15"/>
  <c r="G177" i="15"/>
  <c r="H220" i="15"/>
  <c r="AA184" i="15"/>
  <c r="CF214" i="15"/>
  <c r="CK217" i="15"/>
  <c r="BE189" i="15"/>
  <c r="BA204" i="15"/>
  <c r="CF178" i="15"/>
  <c r="H216" i="15"/>
  <c r="AM203" i="15"/>
  <c r="AR189" i="15"/>
  <c r="F208" i="15"/>
  <c r="BA217" i="15"/>
  <c r="N172" i="15"/>
  <c r="R203" i="15"/>
  <c r="BG220" i="15"/>
  <c r="CE209" i="15"/>
  <c r="CC203" i="15"/>
  <c r="R199" i="15"/>
  <c r="CC177" i="15"/>
  <c r="BN224" i="15"/>
  <c r="BC167" i="15"/>
  <c r="Z204" i="15"/>
  <c r="AJ179" i="15"/>
  <c r="AI179" i="15"/>
  <c r="L216" i="15"/>
  <c r="CD217" i="15"/>
  <c r="P167" i="15"/>
  <c r="AE210" i="15"/>
  <c r="W210" i="15"/>
  <c r="CL165" i="15"/>
  <c r="CF181" i="15"/>
  <c r="BR185" i="15"/>
  <c r="CE177" i="15"/>
  <c r="CL216" i="15"/>
  <c r="CE174" i="15"/>
  <c r="AE215" i="15"/>
  <c r="O197" i="15"/>
  <c r="AT188" i="15"/>
  <c r="H195" i="15"/>
  <c r="CJ167" i="15"/>
  <c r="BH172" i="15"/>
  <c r="C181" i="15"/>
  <c r="P202" i="15"/>
  <c r="BK190" i="15"/>
  <c r="BU184" i="15"/>
  <c r="AF191" i="15"/>
  <c r="E167" i="15"/>
  <c r="BQ191" i="15"/>
  <c r="AY187" i="15"/>
  <c r="CG165" i="15"/>
  <c r="Z187" i="15"/>
  <c r="BN202" i="15"/>
  <c r="AP197" i="15"/>
  <c r="BF205" i="15"/>
  <c r="CC171" i="15"/>
  <c r="W192" i="15"/>
  <c r="AJ184" i="15"/>
  <c r="V197" i="15"/>
  <c r="Q186" i="15"/>
  <c r="AB185" i="15"/>
  <c r="BV177" i="15"/>
  <c r="CK213" i="15"/>
  <c r="O187" i="15"/>
  <c r="BT176" i="15"/>
  <c r="BP178" i="15"/>
  <c r="H35" i="359"/>
  <c r="D35" i="359"/>
  <c r="Y35" i="359"/>
  <c r="AB35" i="359"/>
  <c r="Q35" i="359"/>
  <c r="N35" i="359"/>
  <c r="K35" i="359"/>
  <c r="O109" i="8"/>
  <c r="O107" i="8"/>
  <c r="O98" i="8"/>
  <c r="O48" i="8"/>
  <c r="O58" i="8"/>
  <c r="O87" i="8"/>
  <c r="O108" i="8"/>
  <c r="O67" i="8"/>
  <c r="O103" i="8"/>
  <c r="AL180" i="15"/>
  <c r="W213" i="15"/>
  <c r="AF194" i="15"/>
  <c r="Y216" i="15"/>
  <c r="AS178" i="15"/>
  <c r="F167" i="15"/>
  <c r="BG212" i="15"/>
  <c r="AG209" i="15"/>
  <c r="AY195" i="15"/>
  <c r="AY215" i="15"/>
  <c r="AZ167" i="15"/>
  <c r="AF171" i="15"/>
  <c r="BF174" i="15"/>
  <c r="P203" i="15"/>
  <c r="CD197" i="15"/>
  <c r="AE187" i="15"/>
  <c r="BE200" i="15"/>
  <c r="AP188" i="15"/>
  <c r="X214" i="15"/>
  <c r="BA184" i="15"/>
  <c r="AO183" i="15"/>
  <c r="AA204" i="15"/>
  <c r="AD220" i="15"/>
  <c r="BC218" i="15"/>
  <c r="CI183" i="15"/>
  <c r="CN231" i="15"/>
  <c r="CN185" i="15"/>
  <c r="CN217" i="15"/>
  <c r="AL207" i="15"/>
  <c r="CD223" i="15"/>
  <c r="CN175" i="15"/>
  <c r="CN170" i="15"/>
  <c r="CN181" i="15"/>
  <c r="CN205" i="15"/>
  <c r="BV179" i="15"/>
  <c r="CK188" i="15"/>
  <c r="I179" i="15"/>
  <c r="U201" i="15"/>
  <c r="AR194" i="15"/>
  <c r="AP173" i="15"/>
  <c r="AK182" i="15"/>
  <c r="AU220" i="15"/>
  <c r="F194" i="15"/>
  <c r="AC207" i="15"/>
  <c r="AB176" i="15"/>
  <c r="BC193" i="15"/>
  <c r="AI191" i="15"/>
  <c r="AF179" i="15"/>
  <c r="BF181" i="15"/>
  <c r="BB177" i="15"/>
  <c r="BE217" i="15"/>
  <c r="CL206" i="15"/>
  <c r="BH167" i="15"/>
  <c r="CE169" i="15"/>
  <c r="AD182" i="15"/>
  <c r="E166" i="15"/>
  <c r="X219" i="15"/>
  <c r="O214" i="15"/>
  <c r="BA221" i="15"/>
  <c r="R224" i="15"/>
  <c r="P209" i="15"/>
  <c r="BR225" i="15"/>
  <c r="AT199" i="15"/>
  <c r="AH185" i="15"/>
  <c r="AX179" i="15"/>
  <c r="CG191" i="15"/>
  <c r="BP169" i="15"/>
  <c r="T214" i="15"/>
  <c r="G197" i="15"/>
  <c r="CF184" i="15"/>
  <c r="BT201" i="15"/>
  <c r="W200" i="15"/>
  <c r="CF200" i="15"/>
  <c r="AH188" i="15"/>
  <c r="CC187" i="15"/>
  <c r="CJ213" i="15"/>
  <c r="AS184" i="15"/>
  <c r="AM192" i="15"/>
  <c r="S175" i="15"/>
  <c r="CJ184" i="15"/>
  <c r="Y205" i="15"/>
  <c r="AR212" i="15"/>
  <c r="AA216" i="15"/>
  <c r="CM167" i="15"/>
  <c r="AP211" i="15"/>
  <c r="BP181" i="15"/>
  <c r="AY213" i="15"/>
  <c r="AX201" i="15"/>
  <c r="CK194" i="15"/>
  <c r="AJ186" i="15"/>
  <c r="V192" i="15"/>
  <c r="P182" i="15"/>
  <c r="M189" i="15"/>
  <c r="V214" i="15"/>
  <c r="G211" i="15"/>
  <c r="AW212" i="15"/>
  <c r="AR183" i="15"/>
  <c r="O176" i="15"/>
  <c r="AG174" i="15"/>
  <c r="AC202" i="15"/>
  <c r="R171" i="15"/>
  <c r="AP177" i="15"/>
  <c r="J221" i="15"/>
  <c r="AP189" i="15"/>
  <c r="U212" i="15"/>
  <c r="BS209" i="15"/>
  <c r="BI195" i="15"/>
  <c r="N168" i="15"/>
  <c r="BM215" i="15"/>
  <c r="C45" i="15"/>
  <c r="C108" i="15" s="1"/>
  <c r="AZ198" i="15"/>
  <c r="CI191" i="15"/>
  <c r="V177" i="15"/>
  <c r="N188" i="15"/>
  <c r="AI183" i="15"/>
  <c r="M179" i="15"/>
  <c r="Y195" i="15"/>
  <c r="X192" i="15"/>
  <c r="P198" i="15"/>
  <c r="P215" i="15"/>
  <c r="H213" i="15"/>
  <c r="BH213" i="15"/>
  <c r="O198" i="15"/>
  <c r="BH198" i="15"/>
  <c r="CC223" i="15"/>
  <c r="BT184" i="15"/>
  <c r="AQ176" i="15"/>
  <c r="BH184" i="15"/>
  <c r="CC222" i="15"/>
  <c r="CE171" i="15"/>
  <c r="BC169" i="15"/>
  <c r="Z166" i="15"/>
  <c r="AN223" i="15"/>
  <c r="BF190" i="15"/>
  <c r="AT204" i="15"/>
  <c r="W205" i="15"/>
  <c r="AG170" i="15"/>
  <c r="S217" i="15"/>
  <c r="AC196" i="15"/>
  <c r="AJ180" i="15"/>
  <c r="AG175" i="15"/>
  <c r="BB194" i="15"/>
  <c r="AP217" i="15"/>
  <c r="BD211" i="15"/>
  <c r="CM192" i="15"/>
  <c r="BU206" i="15"/>
  <c r="AQ214" i="15"/>
  <c r="G195" i="15"/>
  <c r="BD198" i="15"/>
  <c r="BG203" i="15"/>
  <c r="AL177" i="15"/>
  <c r="Y192" i="15"/>
  <c r="AZ203" i="15"/>
  <c r="P188" i="15"/>
  <c r="CI192" i="15"/>
  <c r="AW178" i="15"/>
  <c r="BK206" i="15"/>
  <c r="AP205" i="15"/>
  <c r="AD169" i="15"/>
  <c r="D53" i="15"/>
  <c r="D116" i="15" s="1"/>
  <c r="AJ216" i="15"/>
  <c r="AB202" i="15"/>
  <c r="BP190" i="15"/>
  <c r="CK169" i="15"/>
  <c r="BV213" i="15"/>
  <c r="BG181" i="15"/>
  <c r="BH212" i="15"/>
  <c r="CI210" i="15"/>
  <c r="AA186" i="15"/>
  <c r="J214" i="15"/>
  <c r="T183" i="15"/>
  <c r="AG212" i="15"/>
  <c r="AS192" i="15"/>
  <c r="BP185" i="15"/>
  <c r="CG225" i="15"/>
  <c r="AA183" i="15"/>
  <c r="P216" i="15"/>
  <c r="H200" i="15"/>
  <c r="C216" i="15"/>
  <c r="AC188" i="15"/>
  <c r="BF171" i="15"/>
  <c r="H215" i="15"/>
  <c r="C191" i="15"/>
  <c r="S203" i="15"/>
  <c r="AS197" i="15"/>
  <c r="CM165" i="15"/>
  <c r="AH210" i="15"/>
  <c r="AR210" i="15"/>
  <c r="BK211" i="15"/>
  <c r="CG220" i="15"/>
  <c r="BA199" i="15"/>
  <c r="E165" i="15"/>
  <c r="AX193" i="15"/>
  <c r="AU216" i="15"/>
  <c r="AZ173" i="15"/>
  <c r="AP218" i="15"/>
  <c r="AP168" i="15"/>
  <c r="AJ203" i="15"/>
  <c r="CD167" i="15"/>
  <c r="AA182" i="15"/>
  <c r="AM198" i="15"/>
  <c r="AY189" i="15"/>
  <c r="AG165" i="15"/>
  <c r="BK203" i="15"/>
  <c r="CJ219" i="15"/>
  <c r="BD184" i="15"/>
  <c r="BC216" i="15"/>
  <c r="T199" i="15"/>
  <c r="H187" i="15"/>
  <c r="AU194" i="15"/>
  <c r="Z181" i="15"/>
  <c r="BM171" i="15"/>
  <c r="BP186" i="15"/>
  <c r="AK206" i="15"/>
  <c r="T209" i="15"/>
  <c r="CK187" i="15"/>
  <c r="BI184" i="15"/>
  <c r="H189" i="15"/>
  <c r="AI202" i="15"/>
  <c r="AF186" i="15"/>
  <c r="AF185" i="15"/>
  <c r="K209" i="15"/>
  <c r="U168" i="15"/>
  <c r="CG210" i="15"/>
  <c r="AA224" i="15"/>
  <c r="BE179" i="15"/>
  <c r="BK198" i="15"/>
  <c r="AE211" i="15"/>
  <c r="V222" i="15"/>
  <c r="BD213" i="15"/>
  <c r="G173" i="15"/>
  <c r="BS211" i="15"/>
  <c r="AT209" i="15"/>
  <c r="AN187" i="15"/>
  <c r="BC171" i="15"/>
  <c r="BC195" i="15"/>
  <c r="P187" i="15"/>
  <c r="CJ216" i="15"/>
  <c r="G206" i="15"/>
  <c r="BA179" i="15"/>
  <c r="AF217" i="15"/>
  <c r="AF220" i="15"/>
  <c r="BI216" i="15"/>
  <c r="BE223" i="15"/>
  <c r="BV190" i="15"/>
  <c r="AQ222" i="15"/>
  <c r="L222" i="15"/>
  <c r="AI224" i="15"/>
  <c r="BG222" i="15"/>
  <c r="Y209" i="15"/>
  <c r="AU173" i="15"/>
  <c r="P199" i="15"/>
  <c r="AS170" i="15"/>
  <c r="C171" i="15"/>
  <c r="BM178" i="15"/>
  <c r="K215" i="15"/>
  <c r="AI197" i="15"/>
  <c r="AA217" i="15"/>
  <c r="AI169" i="15"/>
  <c r="CK205" i="15"/>
  <c r="AY217" i="15"/>
  <c r="AF203" i="15"/>
  <c r="AS190" i="15"/>
  <c r="U170" i="15"/>
  <c r="BI186" i="15"/>
  <c r="CD180" i="15"/>
  <c r="AP196" i="15"/>
  <c r="BL165" i="15"/>
  <c r="AZ192" i="15"/>
  <c r="CK214" i="15"/>
  <c r="BC210" i="15"/>
  <c r="BV217" i="15"/>
  <c r="CH193" i="15"/>
  <c r="T189" i="15"/>
  <c r="BK223" i="15"/>
  <c r="D45" i="15"/>
  <c r="D108" i="15" s="1"/>
  <c r="AH195" i="15"/>
  <c r="X215" i="15"/>
  <c r="AJ217" i="15"/>
  <c r="CD176" i="15"/>
  <c r="CK171" i="15"/>
  <c r="BD170" i="15"/>
  <c r="G169" i="15"/>
  <c r="BP187" i="15"/>
  <c r="BR189" i="15"/>
  <c r="AT182" i="15"/>
  <c r="AH223" i="15"/>
  <c r="U220" i="15"/>
  <c r="AI189" i="15"/>
  <c r="BJ192" i="15"/>
  <c r="R217" i="15"/>
  <c r="AV196" i="15"/>
  <c r="BO206" i="15"/>
  <c r="BR224" i="15"/>
  <c r="Z192" i="15"/>
  <c r="BD171" i="15"/>
  <c r="M172" i="15"/>
  <c r="AA205" i="15"/>
  <c r="BO193" i="15"/>
  <c r="CH223" i="15"/>
  <c r="BM203" i="15"/>
  <c r="CL173" i="15"/>
  <c r="BL215" i="15"/>
  <c r="AU217" i="15"/>
  <c r="N200" i="15"/>
  <c r="AV166" i="15"/>
  <c r="BI177" i="15"/>
  <c r="AU213" i="15"/>
  <c r="M214" i="15"/>
  <c r="BD182" i="15"/>
  <c r="AX220" i="15"/>
  <c r="AE204" i="15"/>
  <c r="W214" i="15"/>
  <c r="CH178" i="15"/>
  <c r="BI214" i="15"/>
  <c r="X212" i="15"/>
  <c r="BO178" i="15"/>
  <c r="N217" i="15"/>
  <c r="AL216" i="15"/>
  <c r="BT188" i="15"/>
  <c r="CD169" i="15"/>
  <c r="AH205" i="15"/>
  <c r="V218" i="15"/>
  <c r="F204" i="15"/>
  <c r="CK173" i="15"/>
  <c r="AQ166" i="15"/>
  <c r="I196" i="15"/>
  <c r="AT201" i="15"/>
  <c r="BM218" i="15"/>
  <c r="AD171" i="15"/>
  <c r="CC200" i="15"/>
  <c r="BR214" i="15"/>
  <c r="AI221" i="15"/>
  <c r="O218" i="15"/>
  <c r="E182" i="15"/>
  <c r="M213" i="15"/>
  <c r="BT195" i="15"/>
  <c r="AR186" i="15"/>
  <c r="E180" i="15"/>
  <c r="O199" i="15"/>
  <c r="AZ223" i="15"/>
  <c r="J181" i="15"/>
  <c r="BD217" i="15"/>
  <c r="Z214" i="15"/>
  <c r="O179" i="15"/>
  <c r="BM188" i="15"/>
  <c r="CF198" i="15"/>
  <c r="BJ179" i="15"/>
  <c r="BN169" i="15"/>
  <c r="CN194" i="15"/>
  <c r="CN180" i="15"/>
  <c r="F216" i="15"/>
  <c r="BG210" i="15"/>
  <c r="Z194" i="15"/>
  <c r="BI202" i="15"/>
  <c r="AT208" i="15"/>
  <c r="M184" i="15"/>
  <c r="AC190" i="15"/>
  <c r="AU209" i="15"/>
  <c r="CK220" i="15"/>
  <c r="BK199" i="15"/>
  <c r="Z182" i="15"/>
  <c r="AG221" i="15"/>
  <c r="AR178" i="15"/>
  <c r="AL174" i="15"/>
  <c r="AY177" i="15"/>
  <c r="BD206" i="15"/>
  <c r="H205" i="15"/>
  <c r="AC219" i="15"/>
  <c r="CM216" i="15"/>
  <c r="BU197" i="15"/>
  <c r="BJ206" i="15"/>
  <c r="W221" i="15"/>
  <c r="CJ187" i="15"/>
  <c r="AS210" i="15"/>
  <c r="M175" i="15"/>
  <c r="P191" i="15"/>
  <c r="AH179" i="15"/>
  <c r="BA172" i="15"/>
  <c r="AN214" i="15"/>
  <c r="CL217" i="15"/>
  <c r="Q194" i="15"/>
  <c r="BM169" i="15"/>
  <c r="CI209" i="15"/>
  <c r="CE212" i="15"/>
  <c r="F186" i="15"/>
  <c r="AS180" i="15"/>
  <c r="CC183" i="15"/>
  <c r="BT171" i="15"/>
  <c r="CL208" i="15"/>
  <c r="AM195" i="15"/>
  <c r="CF212" i="15"/>
  <c r="G222" i="15"/>
  <c r="AQ201" i="15"/>
  <c r="BA182" i="15"/>
  <c r="AT194" i="15"/>
  <c r="BG206" i="15"/>
  <c r="AA223" i="15"/>
  <c r="BD221" i="15"/>
  <c r="L201" i="15"/>
  <c r="BA194" i="15"/>
  <c r="CG214" i="15"/>
  <c r="AD179" i="15"/>
  <c r="O191" i="15"/>
  <c r="AG225" i="15"/>
  <c r="AD218" i="15"/>
  <c r="AS167" i="15"/>
  <c r="BO199" i="15"/>
  <c r="Q184" i="15"/>
  <c r="O201" i="15"/>
  <c r="N171" i="15"/>
  <c r="BO209" i="15"/>
  <c r="AZ197" i="15"/>
  <c r="AF165" i="15"/>
  <c r="AV165" i="15"/>
  <c r="AJ205" i="15"/>
  <c r="AN174" i="15"/>
  <c r="C176" i="15"/>
  <c r="BL206" i="15"/>
  <c r="M167" i="15"/>
  <c r="AW189" i="15"/>
  <c r="C190" i="15"/>
  <c r="I205" i="15"/>
  <c r="Z209" i="15"/>
  <c r="K214" i="15"/>
  <c r="BR206" i="15"/>
  <c r="L172" i="15"/>
  <c r="AW207" i="15"/>
  <c r="BI219" i="15"/>
  <c r="AA165" i="15"/>
  <c r="V206" i="15"/>
  <c r="AF211" i="15"/>
  <c r="BK225" i="15"/>
  <c r="BF169" i="15"/>
  <c r="AL192" i="15"/>
  <c r="BR168" i="15"/>
  <c r="AY168" i="15"/>
  <c r="K220" i="15"/>
  <c r="AE184" i="15"/>
  <c r="CE208" i="15"/>
  <c r="AA174" i="15"/>
  <c r="BP175" i="15"/>
  <c r="AN182" i="15"/>
  <c r="BH204" i="15"/>
  <c r="AH201" i="15"/>
  <c r="AE221" i="15"/>
  <c r="S188" i="15"/>
  <c r="I183" i="15"/>
  <c r="AT200" i="15"/>
  <c r="AQ186" i="15"/>
  <c r="BT222" i="15"/>
  <c r="H211" i="15"/>
  <c r="AM225" i="15"/>
  <c r="CF225" i="15"/>
  <c r="BF180" i="15"/>
  <c r="L207" i="15"/>
  <c r="BT215" i="15"/>
  <c r="CH170" i="15"/>
  <c r="J217" i="15"/>
  <c r="AF168" i="15"/>
  <c r="BA171" i="15"/>
  <c r="Q169" i="15"/>
  <c r="W197" i="15"/>
  <c r="BR195" i="15"/>
  <c r="W207" i="15"/>
  <c r="BK213" i="15"/>
  <c r="AE202" i="15"/>
  <c r="BS174" i="15"/>
  <c r="S181" i="15"/>
  <c r="BU224" i="15"/>
  <c r="I180" i="15"/>
  <c r="AL218" i="15"/>
  <c r="S197" i="15"/>
  <c r="BG213" i="15"/>
  <c r="BO188" i="15"/>
  <c r="BN217" i="15"/>
  <c r="AB169" i="15"/>
  <c r="AK180" i="15"/>
  <c r="P185" i="15"/>
  <c r="AJ177" i="15"/>
  <c r="AR187" i="15"/>
  <c r="BO223" i="15"/>
  <c r="CI198" i="15"/>
  <c r="Z193" i="15"/>
  <c r="Z199" i="15"/>
  <c r="AN221" i="15"/>
  <c r="BA224" i="15"/>
  <c r="CK185" i="15"/>
  <c r="F184" i="15"/>
  <c r="BA200" i="15"/>
  <c r="P189" i="15"/>
  <c r="BH216" i="15"/>
  <c r="AV187" i="15"/>
  <c r="I199" i="15"/>
  <c r="BL199" i="15"/>
  <c r="AF177" i="15"/>
  <c r="AY173" i="15"/>
  <c r="R213" i="15"/>
  <c r="BI215" i="15"/>
  <c r="BR194" i="15"/>
  <c r="R197" i="15"/>
  <c r="BV184" i="15"/>
  <c r="CK191" i="15"/>
  <c r="BN186" i="15"/>
  <c r="BU172" i="15"/>
  <c r="CL196" i="15"/>
  <c r="J216" i="15"/>
  <c r="BV173" i="15"/>
  <c r="BF213" i="15"/>
  <c r="AA181" i="15"/>
  <c r="E170" i="15"/>
  <c r="AZ166" i="15"/>
  <c r="AQ172" i="15"/>
  <c r="AE194" i="15"/>
  <c r="BI205" i="15"/>
  <c r="AC169" i="15"/>
  <c r="AP194" i="15"/>
  <c r="CL200" i="15"/>
  <c r="BG178" i="15"/>
  <c r="BJ203" i="15"/>
  <c r="AF205" i="15"/>
  <c r="BK196" i="15"/>
  <c r="BV224" i="15"/>
  <c r="AM187" i="15"/>
  <c r="AS179" i="15"/>
  <c r="AK216" i="15"/>
  <c r="AX173" i="15"/>
  <c r="BU177" i="15"/>
  <c r="S204" i="15"/>
  <c r="J202" i="15"/>
  <c r="AN171" i="15"/>
  <c r="M187" i="15"/>
  <c r="BR220" i="15"/>
  <c r="W166" i="15"/>
  <c r="BB216" i="15"/>
  <c r="I203" i="15"/>
  <c r="E220" i="15"/>
  <c r="BQ219" i="15"/>
  <c r="AR207" i="15"/>
  <c r="J178" i="15"/>
  <c r="R209" i="15"/>
  <c r="O205" i="15"/>
  <c r="BE207" i="15"/>
  <c r="BA176" i="15"/>
  <c r="AG218" i="15"/>
  <c r="AY169" i="15"/>
  <c r="AB212" i="15"/>
  <c r="Q217" i="15"/>
  <c r="CI199" i="15"/>
  <c r="AN197" i="15"/>
  <c r="BF178" i="15"/>
  <c r="AB201" i="15"/>
  <c r="BN213" i="15"/>
  <c r="BR208" i="15"/>
  <c r="BV212" i="15"/>
  <c r="CJ222" i="15"/>
  <c r="BS181" i="15"/>
  <c r="Q189" i="15"/>
  <c r="BD208" i="15"/>
  <c r="CE219" i="15"/>
  <c r="AA207" i="15"/>
  <c r="AB199" i="15"/>
  <c r="CI219" i="15"/>
  <c r="BH182" i="15"/>
  <c r="L171" i="15"/>
  <c r="CM195" i="15"/>
  <c r="BT181" i="15"/>
  <c r="F200" i="15"/>
  <c r="M216" i="15"/>
  <c r="U166" i="15"/>
  <c r="AL193" i="15"/>
  <c r="BO185" i="15"/>
  <c r="BM186" i="15"/>
  <c r="CD171" i="15"/>
  <c r="BV197" i="15"/>
  <c r="CK195" i="15"/>
  <c r="AR200" i="15"/>
  <c r="Q211" i="15"/>
  <c r="AG210" i="15"/>
  <c r="AM221" i="15"/>
  <c r="BK207" i="15"/>
  <c r="Z208" i="15"/>
  <c r="AC205" i="15"/>
  <c r="BN180" i="15"/>
  <c r="BC208" i="15"/>
  <c r="AX200" i="15"/>
  <c r="O165" i="15"/>
  <c r="AP186" i="15"/>
  <c r="Y213" i="15"/>
  <c r="AY209" i="15"/>
  <c r="BT204" i="15"/>
  <c r="AA176" i="15"/>
  <c r="C174" i="15"/>
  <c r="CF207" i="15"/>
  <c r="CF173" i="15"/>
  <c r="BG223" i="15"/>
  <c r="U184" i="15"/>
  <c r="BD203" i="15"/>
  <c r="BE220" i="15"/>
  <c r="BF201" i="15"/>
  <c r="F212" i="15"/>
  <c r="BT206" i="15"/>
  <c r="BG183" i="15"/>
  <c r="I217" i="15"/>
  <c r="BQ199" i="15"/>
  <c r="CH206" i="15"/>
  <c r="Y178" i="15"/>
  <c r="AI193" i="15"/>
  <c r="M176" i="15"/>
  <c r="AV179" i="15"/>
  <c r="AA225" i="15"/>
  <c r="D44" i="15"/>
  <c r="D107" i="15" s="1"/>
  <c r="T176" i="15"/>
  <c r="AW173" i="15"/>
  <c r="AX198" i="15"/>
  <c r="AV178" i="15"/>
  <c r="J207" i="15"/>
  <c r="AH211" i="15"/>
  <c r="AE165" i="15"/>
  <c r="AY175" i="15"/>
  <c r="AR213" i="15"/>
  <c r="AI180" i="15"/>
  <c r="AD201" i="15"/>
  <c r="CG217" i="15"/>
  <c r="AA188" i="15"/>
  <c r="AA196" i="15"/>
  <c r="N186" i="15"/>
  <c r="K224" i="15"/>
  <c r="C207" i="15"/>
  <c r="W193" i="15"/>
  <c r="BT179" i="15"/>
  <c r="BJ215" i="15"/>
  <c r="BM217" i="15"/>
  <c r="CL214" i="15"/>
  <c r="BC214" i="15"/>
  <c r="AJ182" i="15"/>
  <c r="CI175" i="15"/>
  <c r="L211" i="15"/>
  <c r="AH180" i="15"/>
  <c r="AU166" i="15"/>
  <c r="AZ213" i="15"/>
  <c r="BQ221" i="15"/>
  <c r="CG167" i="15"/>
  <c r="BO192" i="15"/>
  <c r="BJ209" i="15"/>
  <c r="AS168" i="15"/>
  <c r="CG224" i="15"/>
  <c r="F203" i="15"/>
  <c r="BM208" i="15"/>
  <c r="AU180" i="15"/>
  <c r="CL207" i="15"/>
  <c r="AJ197" i="15"/>
  <c r="AO196" i="15"/>
  <c r="CC220" i="15"/>
  <c r="BE192" i="15"/>
  <c r="Z206" i="15"/>
  <c r="AS188" i="15"/>
  <c r="AB221" i="15"/>
  <c r="V225" i="15"/>
  <c r="AD204" i="15"/>
  <c r="BE180" i="15"/>
  <c r="CN183" i="15"/>
  <c r="CO231" i="15"/>
  <c r="BU178" i="15"/>
  <c r="BT216" i="15"/>
  <c r="CN179" i="15"/>
  <c r="CN182" i="15"/>
  <c r="CN216" i="15"/>
  <c r="CN209" i="15"/>
  <c r="BU175" i="15"/>
  <c r="T212" i="15"/>
  <c r="AY223" i="15"/>
  <c r="BH183" i="15"/>
  <c r="Q185" i="15"/>
  <c r="BB197" i="15"/>
  <c r="CL212" i="15"/>
  <c r="BT200" i="15"/>
  <c r="CH172" i="15"/>
  <c r="CG187" i="15"/>
  <c r="BK218" i="15"/>
  <c r="CE225" i="15"/>
  <c r="CL174" i="15"/>
  <c r="AU176" i="15"/>
  <c r="BC200" i="15"/>
  <c r="K167" i="15"/>
  <c r="BE215" i="15"/>
  <c r="BV199" i="15"/>
  <c r="AZ185" i="15"/>
  <c r="AL185" i="15"/>
  <c r="O193" i="15"/>
  <c r="BM195" i="15"/>
  <c r="Q209" i="15"/>
  <c r="AV197" i="15"/>
  <c r="U172" i="15"/>
  <c r="AX185" i="15"/>
  <c r="O213" i="15"/>
  <c r="BG207" i="15"/>
  <c r="AG180" i="15"/>
  <c r="AI167" i="15"/>
  <c r="W194" i="15"/>
  <c r="CD214" i="15"/>
  <c r="BM168" i="15"/>
  <c r="AF184" i="15"/>
  <c r="I202" i="15"/>
  <c r="AD168" i="15"/>
  <c r="AK194" i="15"/>
  <c r="CF197" i="15"/>
  <c r="AM207" i="15"/>
  <c r="CG208" i="15"/>
  <c r="Y173" i="15"/>
  <c r="BL181" i="15"/>
  <c r="AZ224" i="15"/>
  <c r="T216" i="15"/>
  <c r="AB196" i="15"/>
  <c r="BK166" i="15"/>
  <c r="Z175" i="15"/>
  <c r="CC194" i="15"/>
  <c r="G203" i="15"/>
  <c r="AB178" i="15"/>
  <c r="CJ220" i="15"/>
  <c r="L181" i="15"/>
  <c r="CF188" i="15"/>
  <c r="BG169" i="15"/>
  <c r="BI196" i="15"/>
  <c r="Q182" i="15"/>
  <c r="E173" i="15"/>
  <c r="M215" i="15"/>
  <c r="AQ220" i="15"/>
  <c r="AC185" i="15"/>
  <c r="AC175" i="15"/>
  <c r="AY194" i="15"/>
  <c r="W167" i="15"/>
  <c r="N191" i="15"/>
  <c r="CC167" i="15"/>
  <c r="AN185" i="15"/>
  <c r="AG182" i="15"/>
  <c r="AR172" i="15"/>
  <c r="X202" i="15"/>
  <c r="AU167" i="15"/>
  <c r="E213" i="15"/>
  <c r="W174" i="15"/>
  <c r="H190" i="15"/>
  <c r="CI205" i="15"/>
  <c r="CD182" i="15"/>
  <c r="N178" i="15"/>
  <c r="V181" i="15"/>
  <c r="T188" i="15"/>
  <c r="P200" i="15"/>
  <c r="Y215" i="15"/>
  <c r="BF214" i="15"/>
  <c r="BI199" i="15"/>
  <c r="CF210" i="15"/>
  <c r="AW191" i="15"/>
  <c r="CJ202" i="15"/>
  <c r="O168" i="15"/>
  <c r="AU206" i="15"/>
  <c r="AR214" i="15"/>
  <c r="BS205" i="15"/>
  <c r="G189" i="15"/>
  <c r="J188" i="15"/>
  <c r="J204" i="15"/>
  <c r="Z221" i="15"/>
  <c r="AI176" i="15"/>
  <c r="AB170" i="15"/>
  <c r="BB165" i="15"/>
  <c r="AU195" i="15"/>
  <c r="X204" i="15"/>
  <c r="H209" i="15"/>
  <c r="AH216" i="15"/>
  <c r="BH197" i="15"/>
  <c r="BE199" i="15"/>
  <c r="BN182" i="15"/>
  <c r="AU174" i="15"/>
  <c r="AQ210" i="15"/>
  <c r="AD213" i="15"/>
  <c r="BN185" i="15"/>
  <c r="H198" i="15"/>
  <c r="AJ183" i="15"/>
  <c r="AL181" i="15"/>
  <c r="BG214" i="15"/>
  <c r="BF186" i="15"/>
  <c r="BR182" i="15"/>
  <c r="E199" i="15"/>
  <c r="C218" i="15"/>
  <c r="BS165" i="15"/>
  <c r="BU174" i="15"/>
  <c r="F211" i="15"/>
  <c r="AY207" i="15"/>
  <c r="BE196" i="15"/>
  <c r="AM224" i="15"/>
  <c r="AL220" i="15"/>
  <c r="L166" i="15"/>
  <c r="H191" i="15"/>
  <c r="W198" i="15"/>
  <c r="BB169" i="15"/>
  <c r="AG167" i="15"/>
  <c r="BC197" i="15"/>
  <c r="AN167" i="15"/>
  <c r="CH198" i="15"/>
  <c r="AR181" i="15"/>
  <c r="Q165" i="15"/>
  <c r="BJ222" i="15"/>
  <c r="BH173" i="15"/>
  <c r="BS224" i="15"/>
  <c r="BK214" i="15"/>
  <c r="BC172" i="15"/>
  <c r="BJ197" i="15"/>
  <c r="R194" i="15"/>
  <c r="BV195" i="15"/>
  <c r="BJ165" i="15"/>
  <c r="BV182" i="15"/>
  <c r="CL197" i="15"/>
  <c r="BL200" i="15"/>
  <c r="CG219" i="15"/>
  <c r="H165" i="15"/>
  <c r="P193" i="15"/>
  <c r="AU219" i="15"/>
  <c r="P223" i="15"/>
  <c r="F202" i="15"/>
  <c r="AT171" i="15"/>
  <c r="BI174" i="15"/>
  <c r="L204" i="15"/>
  <c r="CC207" i="15"/>
  <c r="U189" i="15"/>
  <c r="V187" i="15"/>
  <c r="L197" i="15"/>
  <c r="X198" i="15"/>
  <c r="AT178" i="15"/>
  <c r="CI211" i="15"/>
  <c r="N215" i="15"/>
  <c r="BL211" i="15"/>
  <c r="AP175" i="15"/>
  <c r="AL206" i="15"/>
  <c r="Y224" i="15"/>
  <c r="BF215" i="15"/>
  <c r="AM178" i="15"/>
  <c r="G202" i="15"/>
  <c r="F189" i="15"/>
  <c r="CI225" i="15"/>
  <c r="BF206" i="15"/>
  <c r="N196" i="15"/>
  <c r="BD166" i="15"/>
  <c r="BF170" i="15"/>
  <c r="BH185" i="15"/>
  <c r="M205" i="15"/>
  <c r="AG195" i="15"/>
  <c r="AE199" i="15"/>
  <c r="BJ166" i="15"/>
  <c r="BL179" i="15"/>
  <c r="L194" i="15"/>
  <c r="AG183" i="15"/>
  <c r="G221" i="15"/>
  <c r="AO206" i="15"/>
  <c r="E211" i="15"/>
  <c r="I178" i="15"/>
  <c r="K203" i="15"/>
  <c r="CM198" i="15"/>
  <c r="V172" i="15"/>
  <c r="CD192" i="15"/>
  <c r="AY180" i="15"/>
  <c r="BB184" i="15"/>
  <c r="BT214" i="15"/>
  <c r="BD180" i="15"/>
  <c r="N170" i="15"/>
  <c r="I211" i="15"/>
  <c r="BL172" i="15"/>
  <c r="AH167" i="15"/>
  <c r="P211" i="15"/>
  <c r="BL183" i="15"/>
  <c r="Z218" i="15"/>
  <c r="BV176" i="15"/>
  <c r="AV186" i="15"/>
  <c r="BL196" i="15"/>
  <c r="BB205" i="15"/>
  <c r="J182" i="15"/>
  <c r="BF177" i="15"/>
  <c r="CF165" i="15"/>
  <c r="AW167" i="15"/>
  <c r="R206" i="15"/>
  <c r="AR222" i="15"/>
  <c r="BT199" i="15"/>
  <c r="O210" i="15"/>
  <c r="L179" i="15"/>
  <c r="BL184" i="15"/>
  <c r="AD173" i="15"/>
  <c r="AQ213" i="15"/>
  <c r="P217" i="15"/>
  <c r="AV182" i="15"/>
  <c r="CH203" i="15"/>
  <c r="BE210" i="15"/>
  <c r="BI217" i="15"/>
  <c r="H183" i="15"/>
  <c r="AH220" i="15"/>
  <c r="AL209" i="15"/>
  <c r="R182" i="15"/>
  <c r="AO170" i="15"/>
  <c r="Z211" i="15"/>
  <c r="BF176" i="15"/>
  <c r="H223" i="15"/>
  <c r="AU222" i="15"/>
  <c r="BJ219" i="15"/>
  <c r="AD202" i="15"/>
  <c r="AU205" i="15"/>
  <c r="AJ207" i="15"/>
  <c r="AP174" i="15"/>
  <c r="U179" i="15"/>
  <c r="AC192" i="15"/>
  <c r="BB204" i="15"/>
  <c r="BJ177" i="15"/>
  <c r="AF222" i="15"/>
  <c r="AQ211" i="15"/>
  <c r="CK181" i="15"/>
  <c r="P176" i="15"/>
  <c r="AG214" i="15"/>
  <c r="K186" i="15"/>
  <c r="BK221" i="15"/>
  <c r="AX217" i="15"/>
  <c r="BN200" i="15"/>
  <c r="BS213" i="15"/>
  <c r="BB188" i="15"/>
  <c r="CJ170" i="15"/>
  <c r="R172" i="15"/>
  <c r="AB208" i="15"/>
  <c r="AZ177" i="15"/>
  <c r="E225" i="15"/>
  <c r="CH218" i="15"/>
  <c r="AC194" i="15"/>
  <c r="BU204" i="15"/>
  <c r="CE194" i="15"/>
  <c r="N187" i="15"/>
  <c r="AF206" i="15"/>
  <c r="AT187" i="15"/>
  <c r="CL201" i="15"/>
  <c r="BV187" i="15"/>
  <c r="E200" i="15"/>
  <c r="L177" i="15"/>
  <c r="AD176" i="15"/>
  <c r="BA208" i="15"/>
  <c r="AK190" i="15"/>
  <c r="BI208" i="15"/>
  <c r="X211" i="15"/>
  <c r="AI199" i="15"/>
  <c r="BA167" i="15"/>
  <c r="Q167" i="15"/>
  <c r="BD174" i="15"/>
  <c r="AS199" i="15"/>
  <c r="AI196" i="15"/>
  <c r="C46" i="15"/>
  <c r="C109" i="15" s="1"/>
  <c r="N218" i="15"/>
  <c r="L184" i="15"/>
  <c r="BA183" i="15"/>
  <c r="E224" i="15"/>
  <c r="AF198" i="15"/>
  <c r="BM206" i="15"/>
  <c r="BP209" i="15"/>
  <c r="BI207" i="15"/>
  <c r="AO207" i="15"/>
  <c r="BQ210" i="15"/>
  <c r="N206" i="15"/>
  <c r="CF219" i="15"/>
  <c r="CF171" i="15"/>
  <c r="CF216" i="15"/>
  <c r="W179" i="15"/>
  <c r="AT172" i="15"/>
  <c r="P183" i="15"/>
  <c r="BK181" i="15"/>
  <c r="BS207" i="15"/>
  <c r="CF191" i="15"/>
  <c r="H178" i="15"/>
  <c r="BL223" i="15"/>
  <c r="BD209" i="15"/>
  <c r="J179" i="15"/>
  <c r="AO172" i="15"/>
  <c r="CK172" i="15"/>
  <c r="AU168" i="15"/>
  <c r="CC190" i="15"/>
  <c r="AO210" i="15"/>
  <c r="H207" i="15"/>
  <c r="BA202" i="15"/>
  <c r="BG176" i="15"/>
  <c r="AB167" i="15"/>
  <c r="H188" i="15"/>
  <c r="BO183" i="15"/>
  <c r="AP166" i="15"/>
  <c r="T221" i="15"/>
  <c r="BE224" i="15"/>
  <c r="G35" i="359"/>
  <c r="C35" i="359"/>
  <c r="Z35" i="359"/>
  <c r="U35" i="359"/>
  <c r="R35" i="359"/>
  <c r="O35" i="359"/>
  <c r="L35" i="359"/>
  <c r="O49" i="8"/>
  <c r="O70" i="8"/>
  <c r="O129" i="8"/>
  <c r="O47" i="8"/>
  <c r="O127" i="8"/>
  <c r="O79" i="8"/>
  <c r="O88" i="8"/>
  <c r="O69" i="8"/>
  <c r="O106" i="8"/>
  <c r="P109" i="8"/>
  <c r="P60" i="8"/>
  <c r="P49" i="8"/>
  <c r="P98" i="8"/>
  <c r="P77" i="8"/>
  <c r="P99" i="8"/>
  <c r="P107" i="8"/>
  <c r="P128" i="8"/>
  <c r="P80" i="8"/>
  <c r="P59" i="8"/>
  <c r="P48" i="8"/>
  <c r="P97" i="8"/>
  <c r="P57" i="8"/>
  <c r="P70" i="8"/>
  <c r="P129" i="8"/>
  <c r="P78" i="8"/>
  <c r="P47" i="8"/>
  <c r="P110" i="8"/>
  <c r="P68" i="8"/>
  <c r="P89" i="8"/>
  <c r="P100" i="8"/>
  <c r="P67" i="8"/>
  <c r="P130" i="8"/>
  <c r="P90" i="8"/>
  <c r="P108" i="8"/>
  <c r="P58" i="8"/>
  <c r="P69" i="8"/>
  <c r="P88" i="8"/>
  <c r="P87" i="8"/>
  <c r="P127" i="8"/>
  <c r="P79" i="8"/>
  <c r="P119" i="8" s="1"/>
  <c r="P46" i="8"/>
  <c r="P104" i="8"/>
  <c r="P103" i="8"/>
  <c r="P106" i="8"/>
  <c r="P105" i="8"/>
  <c r="X36" i="359"/>
  <c r="Z36" i="359"/>
  <c r="Y36" i="359"/>
  <c r="AA36" i="359"/>
  <c r="AB36" i="359"/>
  <c r="AC36" i="359"/>
  <c r="U36" i="359"/>
  <c r="V36" i="359"/>
  <c r="W36" i="359"/>
  <c r="S36" i="359"/>
  <c r="Q36" i="359"/>
  <c r="R36" i="359"/>
  <c r="T36" i="359"/>
  <c r="O36" i="359"/>
  <c r="N36" i="359"/>
  <c r="P36" i="359"/>
  <c r="M36" i="359"/>
  <c r="J36" i="359"/>
  <c r="K36" i="359"/>
  <c r="L36" i="359"/>
  <c r="I36" i="359"/>
  <c r="H36" i="359"/>
  <c r="G36" i="359"/>
  <c r="F36" i="359"/>
  <c r="E36" i="359"/>
  <c r="D36" i="359"/>
  <c r="C36" i="359"/>
  <c r="B36" i="359"/>
  <c r="A110" i="15"/>
  <c r="A37" i="359"/>
  <c r="C115" i="15"/>
  <c r="G38" i="15"/>
  <c r="CP231" i="15"/>
  <c r="C118" i="15"/>
  <c r="CO166" i="15"/>
  <c r="CO173" i="15"/>
  <c r="CO174" i="15"/>
  <c r="CO190" i="15"/>
  <c r="CO198" i="15"/>
  <c r="CO172" i="15"/>
  <c r="CO167" i="15"/>
  <c r="CO179" i="15"/>
  <c r="CO185" i="15"/>
  <c r="CO178" i="15"/>
  <c r="CO187" i="15"/>
  <c r="CO191" i="15"/>
  <c r="CO195" i="15"/>
  <c r="CO199" i="15"/>
  <c r="CO204" i="15"/>
  <c r="CO206" i="15"/>
  <c r="CO211" i="15"/>
  <c r="CO219" i="15"/>
  <c r="CO215" i="15"/>
  <c r="CO220" i="15"/>
  <c r="CO169" i="15"/>
  <c r="CO181" i="15"/>
  <c r="CO188" i="15"/>
  <c r="CO196" i="15"/>
  <c r="CO205" i="15"/>
  <c r="CO207" i="15"/>
  <c r="CO212" i="15"/>
  <c r="CO221" i="15"/>
  <c r="CO216" i="15"/>
  <c r="CO222" i="15"/>
  <c r="CO165" i="15"/>
  <c r="CO175" i="15"/>
  <c r="CO182" i="15"/>
  <c r="CO192" i="15"/>
  <c r="CO200" i="15"/>
  <c r="CO168" i="15"/>
  <c r="CO177" i="15"/>
  <c r="CO171" i="15"/>
  <c r="CO176" i="15"/>
  <c r="CO184" i="15"/>
  <c r="CO183" i="15"/>
  <c r="CO189" i="15"/>
  <c r="CO193" i="15"/>
  <c r="CO197" i="15"/>
  <c r="CO208" i="15"/>
  <c r="CO202" i="15"/>
  <c r="CO209" i="15"/>
  <c r="CO213" i="15"/>
  <c r="CO223" i="15"/>
  <c r="CO217" i="15"/>
  <c r="CO224" i="15"/>
  <c r="CO170" i="15"/>
  <c r="CO180" i="15"/>
  <c r="CO186" i="15"/>
  <c r="CO194" i="15"/>
  <c r="CO201" i="15"/>
  <c r="CO203" i="15"/>
  <c r="CO210" i="15"/>
  <c r="CO214" i="15"/>
  <c r="CO225" i="15"/>
  <c r="CO218" i="15"/>
  <c r="CQ164" i="15"/>
  <c r="D56" i="15"/>
  <c r="D119" i="15" s="1"/>
  <c r="C56" i="15"/>
  <c r="B57" i="15"/>
  <c r="Q39" i="8"/>
  <c r="L123" i="8" a="1"/>
  <c r="M123" i="8" a="1"/>
  <c r="G123" i="8" a="1"/>
  <c r="M82" i="8" a="1"/>
  <c r="H82" i="8" a="1"/>
  <c r="I82" i="8" a="1"/>
  <c r="G76" i="8" a="1"/>
  <c r="F76" i="8" a="1"/>
  <c r="O76" i="8" a="1"/>
  <c r="F124" i="8" a="1"/>
  <c r="M124" i="8" a="1"/>
  <c r="L124" i="8" a="1"/>
  <c r="N72" i="8" a="1"/>
  <c r="G72" i="8" a="1"/>
  <c r="H72" i="8" a="1"/>
  <c r="L73" i="8" a="1"/>
  <c r="N73" i="8" a="1"/>
  <c r="F73" i="8" a="1"/>
  <c r="H75" i="8" a="1"/>
  <c r="G75" i="8" a="1"/>
  <c r="M75" i="8" a="1"/>
  <c r="G84" i="8" a="1"/>
  <c r="I84" i="8" a="1"/>
  <c r="O84" i="8" a="1"/>
  <c r="G74" i="8" a="1"/>
  <c r="P74" i="8" a="1"/>
  <c r="H74" i="8" a="1"/>
  <c r="G55" i="8" a="1"/>
  <c r="K55" i="8" a="1"/>
  <c r="M55" i="8" a="1"/>
  <c r="E64" i="8" a="1"/>
  <c r="H64" i="8" a="1"/>
  <c r="L64" i="8" a="1"/>
  <c r="F125" i="8" a="1"/>
  <c r="H125" i="8" a="1"/>
  <c r="N125" i="8" a="1"/>
  <c r="G45" i="8" a="1"/>
  <c r="K45" i="8" a="1"/>
  <c r="H45" i="8" a="1"/>
  <c r="J83" i="8" a="1"/>
  <c r="F83" i="8" a="1"/>
  <c r="P83" i="8" a="1"/>
  <c r="J65" i="8" a="1"/>
  <c r="I65" i="8" a="1"/>
  <c r="L65" i="8" a="1"/>
  <c r="I94" i="8" a="1"/>
  <c r="E94" i="8" a="1"/>
  <c r="O94" i="8" a="1"/>
  <c r="E93" i="8" a="1"/>
  <c r="F93" i="8" a="1"/>
  <c r="K93" i="8" a="1"/>
  <c r="E95" i="8" a="1"/>
  <c r="H95" i="8" a="1"/>
  <c r="K95" i="8" a="1"/>
  <c r="O56" i="8" a="1"/>
  <c r="I56" i="8" a="1"/>
  <c r="N56" i="8" a="1"/>
  <c r="G63" i="8" a="1"/>
  <c r="P63" i="8" a="1"/>
  <c r="I63" i="8" a="1"/>
  <c r="J122" i="8" a="1"/>
  <c r="F122" i="8" a="1"/>
  <c r="H122" i="8" a="1"/>
  <c r="G52" i="8" a="1"/>
  <c r="N52" i="8" a="1"/>
  <c r="P52" i="8" a="1"/>
  <c r="L92" i="8" a="1"/>
  <c r="H92" i="8" a="1"/>
  <c r="F92" i="8" a="1"/>
  <c r="E44" i="8" a="1"/>
  <c r="N44" i="8" a="1"/>
  <c r="H44" i="8" a="1"/>
  <c r="L66" i="8" a="1"/>
  <c r="H66" i="8" a="1"/>
  <c r="I66" i="8" a="1"/>
  <c r="M86" i="8" a="1"/>
  <c r="P86" i="8" a="1"/>
  <c r="H86" i="8" a="1"/>
  <c r="N54" i="8" a="1"/>
  <c r="K54" i="8" a="1"/>
  <c r="H54" i="8" a="1"/>
  <c r="K42" i="8" a="1"/>
  <c r="L42" i="8" a="1"/>
  <c r="N42" i="8" a="1"/>
  <c r="E43" i="15" a="1"/>
  <c r="E56" i="15" a="1"/>
  <c r="E39" i="15" a="1"/>
  <c r="E55" i="15" a="1"/>
  <c r="P53" i="8" a="1"/>
  <c r="L53" i="8" a="1"/>
  <c r="G53" i="8" a="1"/>
  <c r="K126" i="8" a="1"/>
  <c r="H126" i="8" a="1"/>
  <c r="M126" i="8" a="1"/>
  <c r="L85" i="8" a="1"/>
  <c r="M85" i="8" a="1"/>
  <c r="E85" i="8" a="1"/>
  <c r="G62" i="8" a="1"/>
  <c r="O62" i="8" a="1"/>
  <c r="M62" i="8" a="1"/>
  <c r="H96" i="8" a="1"/>
  <c r="I96" i="8" a="1"/>
  <c r="K96" i="8" a="1"/>
  <c r="I41" i="8" a="1"/>
  <c r="K41" i="8" a="1"/>
  <c r="F41" i="8" a="1"/>
  <c r="J43" i="8" a="1"/>
  <c r="O43" i="8" a="1"/>
  <c r="P43" i="8" a="1"/>
  <c r="Q105" i="8" a="1"/>
  <c r="Q79" i="8" a="1"/>
  <c r="Q99" i="8" a="1"/>
  <c r="Q89" i="8" a="1"/>
  <c r="Q88" i="8" a="1"/>
  <c r="Q69" i="8" a="1"/>
  <c r="Q97" i="8" a="1"/>
  <c r="Q70" i="8" a="1"/>
  <c r="Q80" i="8" a="1"/>
  <c r="L37" i="359" a="1"/>
  <c r="O37" i="359" a="1"/>
  <c r="S37" i="359" a="1"/>
  <c r="W37" i="359" a="1"/>
  <c r="AB37" i="359" a="1"/>
  <c r="B37" i="359" a="1"/>
  <c r="F37" i="359" a="1"/>
  <c r="CQ231" i="15" a="1"/>
  <c r="CP176" i="15" a="1"/>
  <c r="CP178" i="15" a="1"/>
  <c r="CP168" i="15" a="1"/>
  <c r="CP208" i="15" a="1"/>
  <c r="Q93" i="8" a="1"/>
  <c r="C57" i="15" a="1"/>
  <c r="Q73" i="8" a="1"/>
  <c r="Q63" i="8" a="1"/>
  <c r="CP166" i="15" a="1"/>
  <c r="Q85" i="8" a="1"/>
  <c r="CP216" i="15" a="1"/>
  <c r="Q75" i="8" a="1"/>
  <c r="CP209" i="15" a="1"/>
  <c r="CP170" i="15" a="1"/>
  <c r="CP195" i="15" a="1"/>
  <c r="Q82" i="8" a="1"/>
  <c r="CP184" i="15" a="1"/>
  <c r="E57" i="15" a="1"/>
  <c r="CP182" i="15" a="1"/>
  <c r="CP204" i="15" a="1"/>
  <c r="CP177" i="15" a="1"/>
  <c r="CP206" i="15" a="1"/>
  <c r="CP169" i="15" a="1"/>
  <c r="F55" i="15" a="1"/>
  <c r="CP173" i="15" a="1"/>
  <c r="Q53" i="8" a="1"/>
  <c r="CP217" i="15" a="1"/>
  <c r="K123" i="8" a="1"/>
  <c r="P123" i="8" a="1"/>
  <c r="N123" i="8" a="1"/>
  <c r="P82" i="8" a="1"/>
  <c r="L82" i="8" a="1"/>
  <c r="O82" i="8" a="1"/>
  <c r="H76" i="8" a="1"/>
  <c r="P76" i="8" a="1"/>
  <c r="M76" i="8" a="1"/>
  <c r="K124" i="8" a="1"/>
  <c r="H124" i="8" a="1"/>
  <c r="I124" i="8" a="1"/>
  <c r="I72" i="8" a="1"/>
  <c r="E72" i="8" a="1"/>
  <c r="P72" i="8" a="1"/>
  <c r="I73" i="8" a="1"/>
  <c r="E73" i="8" a="1"/>
  <c r="G73" i="8" a="1"/>
  <c r="F75" i="8" a="1"/>
  <c r="I75" i="8" a="1"/>
  <c r="K75" i="8" a="1"/>
  <c r="H84" i="8" a="1"/>
  <c r="L84" i="8" a="1"/>
  <c r="J84" i="8" a="1"/>
  <c r="O74" i="8" a="1"/>
  <c r="J74" i="8" a="1"/>
  <c r="L74" i="8" a="1"/>
  <c r="F55" i="8" a="1"/>
  <c r="H55" i="8" a="1"/>
  <c r="I55" i="8" a="1"/>
  <c r="P64" i="8" a="1"/>
  <c r="F64" i="8" a="1"/>
  <c r="J64" i="8" a="1"/>
  <c r="L125" i="8" a="1"/>
  <c r="K125" i="8" a="1"/>
  <c r="E125" i="8" a="1"/>
  <c r="J45" i="8" a="1"/>
  <c r="F45" i="8" a="1"/>
  <c r="E45" i="8" a="1"/>
  <c r="H83" i="8" a="1"/>
  <c r="O83" i="8" a="1"/>
  <c r="K83" i="8" a="1"/>
  <c r="M65" i="8" a="1"/>
  <c r="H65" i="8" a="1"/>
  <c r="G65" i="8" a="1"/>
  <c r="M94" i="8" a="1"/>
  <c r="H94" i="8" a="1"/>
  <c r="P94" i="8" a="1"/>
  <c r="O93" i="8" a="1"/>
  <c r="I93" i="8" a="1"/>
  <c r="N93" i="8" a="1"/>
  <c r="G95" i="8" a="1"/>
  <c r="O95" i="8" a="1"/>
  <c r="M95" i="8" a="1"/>
  <c r="L56" i="8" a="1"/>
  <c r="J56" i="8" a="1"/>
  <c r="P56" i="8" a="1"/>
  <c r="N63" i="8" a="1"/>
  <c r="H63" i="8" a="1"/>
  <c r="J63" i="8" a="1"/>
  <c r="L122" i="8" a="1"/>
  <c r="O122" i="8" a="1"/>
  <c r="K122" i="8" a="1"/>
  <c r="E52" i="8" a="1"/>
  <c r="L52" i="8" a="1"/>
  <c r="F52" i="8" a="1"/>
  <c r="P92" i="8" a="1"/>
  <c r="N92" i="8" a="1"/>
  <c r="M92" i="8" a="1"/>
  <c r="J44" i="8" a="1"/>
  <c r="F44" i="8" a="1"/>
  <c r="L44" i="8" a="1"/>
  <c r="E66" i="8" a="1"/>
  <c r="F66" i="8" a="1"/>
  <c r="J66" i="8" a="1"/>
  <c r="O86" i="8" a="1"/>
  <c r="I86" i="8" a="1"/>
  <c r="N86" i="8" a="1"/>
  <c r="F54" i="8" a="1"/>
  <c r="O54" i="8" a="1"/>
  <c r="L54" i="8" a="1"/>
  <c r="M42" i="8" a="1"/>
  <c r="G42" i="8" a="1"/>
  <c r="P42" i="8" a="1"/>
  <c r="E53" i="15" a="1"/>
  <c r="E54" i="15" a="1"/>
  <c r="E44" i="15" a="1"/>
  <c r="E53" i="8" a="1"/>
  <c r="F53" i="8" a="1"/>
  <c r="M53" i="8" a="1"/>
  <c r="P126" i="8" a="1"/>
  <c r="F126" i="8" a="1"/>
  <c r="J126" i="8" a="1"/>
  <c r="G85" i="8" a="1"/>
  <c r="H85" i="8" a="1"/>
  <c r="K85" i="8" a="1"/>
  <c r="K62" i="8" a="1"/>
  <c r="N62" i="8" a="1"/>
  <c r="L62" i="8" a="1"/>
  <c r="G96" i="8" a="1"/>
  <c r="N96" i="8" a="1"/>
  <c r="P96" i="8" a="1"/>
  <c r="H41" i="8" a="1"/>
  <c r="G41" i="8" a="1"/>
  <c r="N41" i="8" a="1"/>
  <c r="G43" i="8" a="1"/>
  <c r="N43" i="8" a="1"/>
  <c r="E43" i="8" a="1"/>
  <c r="Q106" i="8" a="1"/>
  <c r="Q46" i="8" a="1"/>
  <c r="Q127" i="8" a="1"/>
  <c r="Q110" i="8" a="1"/>
  <c r="Q108" i="8" a="1"/>
  <c r="Q47" i="8" a="1"/>
  <c r="Q107" i="8" a="1"/>
  <c r="Q78" i="8" a="1"/>
  <c r="Q49" i="8" a="1"/>
  <c r="J37" i="359" a="1"/>
  <c r="P37" i="359" a="1"/>
  <c r="T37" i="359" a="1"/>
  <c r="U37" i="359" a="1"/>
  <c r="AA37" i="359" a="1"/>
  <c r="C37" i="359" a="1"/>
  <c r="G37" i="359" a="1"/>
  <c r="CP211" i="15" a="1"/>
  <c r="Q96" i="8" a="1"/>
  <c r="Q43" i="8" a="1"/>
  <c r="CP205" i="15" a="1"/>
  <c r="Q42" i="8" a="1"/>
  <c r="Q125" i="8" a="1"/>
  <c r="Q76" i="8" a="1"/>
  <c r="CP180" i="15" a="1"/>
  <c r="CP225" i="15" a="1"/>
  <c r="CP197" i="15" a="1"/>
  <c r="CP212" i="15" a="1"/>
  <c r="Q94" i="8" a="1"/>
  <c r="CP179" i="15" a="1"/>
  <c r="CP202" i="15" a="1"/>
  <c r="G57" i="15" a="1"/>
  <c r="CP193" i="15" a="1"/>
  <c r="Q56" i="8" a="1"/>
  <c r="CP188" i="15" a="1"/>
  <c r="CP210" i="15" a="1"/>
  <c r="Q83" i="8" a="1"/>
  <c r="Q92" i="8" a="1"/>
  <c r="Q45" i="8" a="1"/>
  <c r="CP192" i="15" a="1"/>
  <c r="Q95" i="8" a="1"/>
  <c r="F57" i="15" a="1"/>
  <c r="CP190" i="15" a="1"/>
  <c r="CP174" i="15" a="1"/>
  <c r="O123" i="8" a="1"/>
  <c r="J123" i="8" a="1"/>
  <c r="E123" i="8" a="1"/>
  <c r="G82" i="8" a="1"/>
  <c r="N82" i="8" a="1"/>
  <c r="K82" i="8" a="1"/>
  <c r="N76" i="8" a="1"/>
  <c r="I76" i="8" a="1"/>
  <c r="K76" i="8" a="1"/>
  <c r="G124" i="8" a="1"/>
  <c r="E124" i="8" a="1"/>
  <c r="N124" i="8" a="1"/>
  <c r="K72" i="8" a="1"/>
  <c r="M72" i="8" a="1"/>
  <c r="J72" i="8" a="1"/>
  <c r="K73" i="8" a="1"/>
  <c r="J73" i="8" a="1"/>
  <c r="M73" i="8" a="1"/>
  <c r="L75" i="8" a="1"/>
  <c r="P75" i="8" a="1"/>
  <c r="O75" i="8" a="1"/>
  <c r="E84" i="8" a="1"/>
  <c r="K84" i="8" a="1"/>
  <c r="M84" i="8" a="1"/>
  <c r="I74" i="8" a="1"/>
  <c r="K74" i="8" a="1"/>
  <c r="M74" i="8" a="1"/>
  <c r="J55" i="8" a="1"/>
  <c r="L55" i="8" a="1"/>
  <c r="N55" i="8" a="1"/>
  <c r="K64" i="8" a="1"/>
  <c r="M64" i="8" a="1"/>
  <c r="N64" i="8" a="1"/>
  <c r="P125" i="8" a="1"/>
  <c r="I125" i="8" a="1"/>
  <c r="M125" i="8" a="1"/>
  <c r="L45" i="8" a="1"/>
  <c r="I45" i="8" a="1"/>
  <c r="P45" i="8" a="1"/>
  <c r="M83" i="8" a="1"/>
  <c r="E83" i="8" a="1"/>
  <c r="G83" i="8" a="1"/>
  <c r="F65" i="8" a="1"/>
  <c r="P65" i="8" a="1"/>
  <c r="E65" i="8" a="1"/>
  <c r="G94" i="8" a="1"/>
  <c r="K94" i="8" a="1"/>
  <c r="F94" i="8" a="1"/>
  <c r="M93" i="8" a="1"/>
  <c r="L93" i="8" a="1"/>
  <c r="H93" i="8" a="1"/>
  <c r="L95" i="8" a="1"/>
  <c r="F95" i="8" a="1"/>
  <c r="I95" i="8" a="1"/>
  <c r="G56" i="8" a="1"/>
  <c r="K56" i="8" a="1"/>
  <c r="E56" i="8" a="1"/>
  <c r="L63" i="8" a="1"/>
  <c r="F63" i="8" a="1"/>
  <c r="M63" i="8" a="1"/>
  <c r="I122" i="8" a="1"/>
  <c r="G122" i="8" a="1"/>
  <c r="E122" i="8" a="1"/>
  <c r="K52" i="8" a="1"/>
  <c r="I52" i="8" a="1"/>
  <c r="H52" i="8" a="1"/>
  <c r="O92" i="8" a="1"/>
  <c r="G92" i="8" a="1"/>
  <c r="J92" i="8" a="1"/>
  <c r="P44" i="8" a="1"/>
  <c r="G44" i="8" a="1"/>
  <c r="O44" i="8" a="1"/>
  <c r="G66" i="8" a="1"/>
  <c r="O66" i="8" a="1"/>
  <c r="N66" i="8" a="1"/>
  <c r="F86" i="8" a="1"/>
  <c r="L86" i="8" a="1"/>
  <c r="E86" i="8" a="1"/>
  <c r="M54" i="8" a="1"/>
  <c r="G54" i="8" a="1"/>
  <c r="P54" i="8" a="1"/>
  <c r="H42" i="8" a="1"/>
  <c r="I42" i="8" a="1"/>
  <c r="E42" i="8" a="1"/>
  <c r="E52" i="15" a="1"/>
  <c r="E50" i="15" a="1"/>
  <c r="E48" i="15" a="1"/>
  <c r="E45" i="15" a="1"/>
  <c r="N53" i="8" a="1"/>
  <c r="J53" i="8" a="1"/>
  <c r="O53" i="8" a="1"/>
  <c r="G126" i="8" a="1"/>
  <c r="N126" i="8" a="1"/>
  <c r="I126" i="8" a="1"/>
  <c r="F85" i="8" a="1"/>
  <c r="P85" i="8" a="1"/>
  <c r="I85" i="8" a="1"/>
  <c r="H62" i="8" a="1"/>
  <c r="F62" i="8" a="1"/>
  <c r="I62" i="8" a="1"/>
  <c r="L96" i="8" a="1"/>
  <c r="E96" i="8" a="1"/>
  <c r="O96" i="8" a="1"/>
  <c r="P41" i="8" a="1"/>
  <c r="E41" i="8" a="1"/>
  <c r="L41" i="8" a="1"/>
  <c r="M43" i="8" a="1"/>
  <c r="H43" i="8" a="1"/>
  <c r="I43" i="8" a="1"/>
  <c r="Q103" i="8" a="1"/>
  <c r="Q90" i="8" a="1"/>
  <c r="Q67" i="8" a="1"/>
  <c r="Q87" i="8" a="1"/>
  <c r="Q68" i="8" a="1"/>
  <c r="Q98" i="8" a="1"/>
  <c r="Q48" i="8" a="1"/>
  <c r="Q129" i="8" a="1"/>
  <c r="Q60" i="8" a="1"/>
  <c r="K37" i="359" a="1"/>
  <c r="N37" i="359" a="1"/>
  <c r="R37" i="359" a="1"/>
  <c r="AC37" i="359" a="1"/>
  <c r="Z37" i="359" a="1"/>
  <c r="E37" i="359" a="1"/>
  <c r="H37" i="359" a="1"/>
  <c r="Q124" i="8" a="1"/>
  <c r="Q122" i="8" a="1"/>
  <c r="CP221" i="15" a="1"/>
  <c r="F51" i="15" a="1"/>
  <c r="CP220" i="15" a="1"/>
  <c r="CP214" i="15" a="1"/>
  <c r="CP200" i="15" a="1"/>
  <c r="Q64" i="8" a="1"/>
  <c r="Q66" i="8" a="1"/>
  <c r="CP201" i="15" a="1"/>
  <c r="CP203" i="15" a="1"/>
  <c r="F53" i="15" a="1"/>
  <c r="CP218" i="15" a="1"/>
  <c r="F45" i="15" a="1"/>
  <c r="F43" i="15" a="1"/>
  <c r="Q55" i="8" a="1"/>
  <c r="CP198" i="15" a="1"/>
  <c r="CP215" i="15" a="1"/>
  <c r="Q123" i="8" a="1"/>
  <c r="CP183" i="15" a="1"/>
  <c r="CP196" i="15" a="1"/>
  <c r="CP172" i="15" a="1"/>
  <c r="CP222" i="15" a="1"/>
  <c r="CP181" i="15" a="1"/>
  <c r="Q41" i="8" a="1"/>
  <c r="CP213" i="15" a="1"/>
  <c r="Q62" i="8" a="1"/>
  <c r="Q72" i="8" a="1"/>
  <c r="F123" i="8" a="1"/>
  <c r="I123" i="8" a="1"/>
  <c r="H123" i="8" a="1"/>
  <c r="F82" i="8" a="1"/>
  <c r="E82" i="8" a="1"/>
  <c r="J82" i="8" a="1"/>
  <c r="J76" i="8" a="1"/>
  <c r="L76" i="8" a="1"/>
  <c r="E76" i="8" a="1"/>
  <c r="P124" i="8" a="1"/>
  <c r="O124" i="8" a="1"/>
  <c r="J124" i="8" a="1"/>
  <c r="L72" i="8" a="1"/>
  <c r="O72" i="8" a="1"/>
  <c r="F72" i="8" a="1"/>
  <c r="P73" i="8" a="1"/>
  <c r="O73" i="8" a="1"/>
  <c r="H73" i="8" a="1"/>
  <c r="J75" i="8" a="1"/>
  <c r="N75" i="8" a="1"/>
  <c r="E75" i="8" a="1"/>
  <c r="F84" i="8" a="1"/>
  <c r="N84" i="8" a="1"/>
  <c r="P84" i="8" a="1"/>
  <c r="N74" i="8" a="1"/>
  <c r="E74" i="8" a="1"/>
  <c r="F74" i="8" a="1"/>
  <c r="P55" i="8" a="1"/>
  <c r="E55" i="8" a="1"/>
  <c r="O55" i="8" a="1"/>
  <c r="G64" i="8" a="1"/>
  <c r="O64" i="8" a="1"/>
  <c r="I64" i="8" a="1"/>
  <c r="O125" i="8" a="1"/>
  <c r="J125" i="8" a="1"/>
  <c r="G125" i="8" a="1"/>
  <c r="N45" i="8" a="1"/>
  <c r="O45" i="8" a="1"/>
  <c r="M45" i="8" a="1"/>
  <c r="N83" i="8" a="1"/>
  <c r="L83" i="8" a="1"/>
  <c r="I83" i="8" a="1"/>
  <c r="N65" i="8" a="1"/>
  <c r="K65" i="8" a="1"/>
  <c r="O65" i="8" a="1"/>
  <c r="J94" i="8" a="1"/>
  <c r="L94" i="8" a="1"/>
  <c r="N94" i="8" a="1"/>
  <c r="G93" i="8" a="1"/>
  <c r="J93" i="8" a="1"/>
  <c r="P93" i="8" a="1"/>
  <c r="P95" i="8" a="1"/>
  <c r="J95" i="8" a="1"/>
  <c r="N95" i="8" a="1"/>
  <c r="F56" i="8" a="1"/>
  <c r="H56" i="8" a="1"/>
  <c r="M56" i="8" a="1"/>
  <c r="K63" i="8" a="1"/>
  <c r="E63" i="8" a="1"/>
  <c r="O63" i="8" a="1"/>
  <c r="N122" i="8" a="1"/>
  <c r="M122" i="8" a="1"/>
  <c r="P122" i="8" a="1"/>
  <c r="O52" i="8" a="1"/>
  <c r="M52" i="8" a="1"/>
  <c r="J52" i="8" a="1"/>
  <c r="I92" i="8" a="1"/>
  <c r="K92" i="8" a="1"/>
  <c r="E92" i="8" a="1"/>
  <c r="M44" i="8" a="1"/>
  <c r="I44" i="8" a="1"/>
  <c r="K44" i="8" a="1"/>
  <c r="M66" i="8" a="1"/>
  <c r="K66" i="8" a="1"/>
  <c r="P66" i="8" a="1"/>
  <c r="G86" i="8" a="1"/>
  <c r="K86" i="8" a="1"/>
  <c r="J86" i="8" a="1"/>
  <c r="I54" i="8" a="1"/>
  <c r="E54" i="8" a="1"/>
  <c r="J54" i="8" a="1"/>
  <c r="J42" i="8" a="1"/>
  <c r="O42" i="8" a="1"/>
  <c r="F42" i="8" a="1"/>
  <c r="E46" i="15" a="1"/>
  <c r="E47" i="15" a="1"/>
  <c r="E51" i="15" a="1"/>
  <c r="E49" i="15" a="1"/>
  <c r="H53" i="8" a="1"/>
  <c r="I53" i="8" a="1"/>
  <c r="K53" i="8" a="1"/>
  <c r="O126" i="8" a="1"/>
  <c r="L126" i="8" a="1"/>
  <c r="E126" i="8" a="1"/>
  <c r="J85" i="8" a="1"/>
  <c r="O85" i="8" a="1"/>
  <c r="N85" i="8" a="1"/>
  <c r="J62" i="8" a="1"/>
  <c r="P62" i="8" a="1"/>
  <c r="E62" i="8" a="1"/>
  <c r="M96" i="8" a="1"/>
  <c r="F96" i="8" a="1"/>
  <c r="J96" i="8" a="1"/>
  <c r="O41" i="8" a="1"/>
  <c r="M41" i="8" a="1"/>
  <c r="J41" i="8" a="1"/>
  <c r="L43" i="8" a="1"/>
  <c r="K43" i="8" a="1"/>
  <c r="F43" i="8" a="1"/>
  <c r="Q104" i="8" a="1"/>
  <c r="Q100" i="8" a="1"/>
  <c r="Q130" i="8" a="1"/>
  <c r="Q58" i="8" a="1"/>
  <c r="Q77" i="8" a="1"/>
  <c r="Q128" i="8" a="1"/>
  <c r="Q59" i="8" a="1"/>
  <c r="Q57" i="8" a="1"/>
  <c r="Q109" i="8" a="1"/>
  <c r="M37" i="359" a="1"/>
  <c r="Q37" i="359" a="1"/>
  <c r="V37" i="359" a="1"/>
  <c r="Y37" i="359" a="1"/>
  <c r="X37" i="359" a="1"/>
  <c r="D37" i="359" a="1"/>
  <c r="I37" i="359" a="1"/>
  <c r="CP194" i="15" a="1"/>
  <c r="CP224" i="15" a="1"/>
  <c r="Q126" i="8" a="1"/>
  <c r="Q44" i="8" a="1"/>
  <c r="CP165" i="15" a="1"/>
  <c r="Q52" i="8" a="1"/>
  <c r="F54" i="15" a="1"/>
  <c r="F49" i="15" a="1"/>
  <c r="CP189" i="15" a="1"/>
  <c r="CP223" i="15" a="1"/>
  <c r="CP207" i="15" a="1"/>
  <c r="Q84" i="8" a="1"/>
  <c r="CP219" i="15" a="1"/>
  <c r="Q54" i="8" a="1"/>
  <c r="CP191" i="15" a="1"/>
  <c r="CP187" i="15" a="1"/>
  <c r="Q86" i="8" a="1"/>
  <c r="CP167" i="15" a="1"/>
  <c r="CP186" i="15" a="1"/>
  <c r="D57" i="15" a="1"/>
  <c r="CP199" i="15" a="1"/>
  <c r="CP175" i="15" a="1"/>
  <c r="CP171" i="15" a="1"/>
  <c r="CP185" i="15" a="1"/>
  <c r="Q74" i="8" a="1"/>
  <c r="Q65" i="8" a="1"/>
  <c r="O118" i="8" l="1"/>
  <c r="O120" i="8"/>
  <c r="A51" i="15"/>
  <c r="A48" i="15"/>
  <c r="A45" i="15"/>
  <c r="A44" i="15"/>
  <c r="A50" i="15"/>
  <c r="A56" i="15"/>
  <c r="A118" i="15"/>
  <c r="A46" i="15"/>
  <c r="A55" i="15"/>
  <c r="A108" i="15"/>
  <c r="D105" i="15"/>
  <c r="D231" i="15" s="1"/>
  <c r="O119" i="8"/>
  <c r="O117" i="8"/>
  <c r="A53" i="15"/>
  <c r="A47" i="15"/>
  <c r="A107" i="15"/>
  <c r="A117" i="15"/>
  <c r="A116" i="15"/>
  <c r="A115" i="15"/>
  <c r="A111" i="15"/>
  <c r="A113" i="15"/>
  <c r="A109" i="15"/>
  <c r="A54" i="15"/>
  <c r="F43" i="8"/>
  <c r="K43" i="8"/>
  <c r="L43" i="8"/>
  <c r="J41" i="8"/>
  <c r="M41" i="8"/>
  <c r="O41" i="8"/>
  <c r="J96" i="8"/>
  <c r="F96" i="8"/>
  <c r="M96" i="8"/>
  <c r="E62" i="8"/>
  <c r="P62" i="8"/>
  <c r="J62" i="8"/>
  <c r="N85" i="8"/>
  <c r="O85" i="8"/>
  <c r="J85" i="8"/>
  <c r="E126" i="8"/>
  <c r="L126" i="8"/>
  <c r="O126" i="8"/>
  <c r="K53" i="8"/>
  <c r="I53" i="8"/>
  <c r="H53" i="8"/>
  <c r="E49" i="15"/>
  <c r="E112" i="15" s="1"/>
  <c r="E51" i="15"/>
  <c r="E114" i="15" s="1"/>
  <c r="E47" i="15"/>
  <c r="E110" i="15" s="1"/>
  <c r="E46" i="15"/>
  <c r="E109" i="15" s="1"/>
  <c r="F42" i="8"/>
  <c r="O42" i="8"/>
  <c r="J42" i="8"/>
  <c r="J54" i="8"/>
  <c r="E54" i="8"/>
  <c r="I54" i="8"/>
  <c r="J86" i="8"/>
  <c r="K86" i="8"/>
  <c r="G86" i="8"/>
  <c r="P66" i="8"/>
  <c r="K66" i="8"/>
  <c r="M66" i="8"/>
  <c r="K44" i="8"/>
  <c r="I44" i="8"/>
  <c r="M44" i="8"/>
  <c r="E92" i="8"/>
  <c r="K92" i="8"/>
  <c r="I92" i="8"/>
  <c r="J52" i="8"/>
  <c r="J102" i="8" s="1"/>
  <c r="M52" i="8"/>
  <c r="M112" i="8" s="1"/>
  <c r="O52" i="8"/>
  <c r="O102" i="8" s="1"/>
  <c r="P122" i="8"/>
  <c r="M122" i="8"/>
  <c r="N122" i="8"/>
  <c r="O63" i="8"/>
  <c r="E63" i="8"/>
  <c r="K63" i="8"/>
  <c r="M56" i="8"/>
  <c r="H56" i="8"/>
  <c r="F56" i="8"/>
  <c r="N95" i="8"/>
  <c r="J95" i="8"/>
  <c r="P95" i="8"/>
  <c r="P93" i="8"/>
  <c r="J93" i="8"/>
  <c r="G93" i="8"/>
  <c r="N94" i="8"/>
  <c r="L94" i="8"/>
  <c r="J94" i="8"/>
  <c r="O65" i="8"/>
  <c r="K65" i="8"/>
  <c r="N65" i="8"/>
  <c r="I83" i="8"/>
  <c r="L83" i="8"/>
  <c r="N83" i="8"/>
  <c r="M45" i="8"/>
  <c r="O45" i="8"/>
  <c r="N45" i="8"/>
  <c r="G125" i="8"/>
  <c r="J125" i="8"/>
  <c r="O125" i="8"/>
  <c r="I64" i="8"/>
  <c r="O64" i="8"/>
  <c r="G64" i="8"/>
  <c r="O55" i="8"/>
  <c r="E55" i="8"/>
  <c r="P55" i="8"/>
  <c r="F74" i="8"/>
  <c r="E74" i="8"/>
  <c r="N74" i="8"/>
  <c r="P84" i="8"/>
  <c r="N84" i="8"/>
  <c r="F84" i="8"/>
  <c r="E75" i="8"/>
  <c r="N75" i="8"/>
  <c r="J75" i="8"/>
  <c r="H73" i="8"/>
  <c r="O73" i="8"/>
  <c r="P73" i="8"/>
  <c r="F72" i="8"/>
  <c r="O72" i="8"/>
  <c r="L72" i="8"/>
  <c r="J124" i="8"/>
  <c r="O124" i="8"/>
  <c r="P124" i="8"/>
  <c r="E76" i="8"/>
  <c r="L76" i="8"/>
  <c r="J76" i="8"/>
  <c r="J82" i="8"/>
  <c r="E82" i="8"/>
  <c r="F82" i="8"/>
  <c r="H123" i="8"/>
  <c r="I123" i="8"/>
  <c r="F123" i="8"/>
  <c r="I43" i="8"/>
  <c r="H43" i="8"/>
  <c r="M43" i="8"/>
  <c r="L41" i="8"/>
  <c r="E41" i="8"/>
  <c r="P41" i="8"/>
  <c r="O96" i="8"/>
  <c r="E96" i="8"/>
  <c r="L96" i="8"/>
  <c r="I62" i="8"/>
  <c r="F62" i="8"/>
  <c r="H62" i="8"/>
  <c r="I85" i="8"/>
  <c r="P85" i="8"/>
  <c r="F85" i="8"/>
  <c r="I126" i="8"/>
  <c r="N126" i="8"/>
  <c r="G126" i="8"/>
  <c r="O53" i="8"/>
  <c r="J53" i="8"/>
  <c r="N53" i="8"/>
  <c r="E45" i="15"/>
  <c r="E108" i="15" s="1"/>
  <c r="E48" i="15"/>
  <c r="E111" i="15" s="1"/>
  <c r="E50" i="15"/>
  <c r="E113" i="15" s="1"/>
  <c r="E52" i="15"/>
  <c r="E115" i="15" s="1"/>
  <c r="E42" i="8"/>
  <c r="I42" i="8"/>
  <c r="H42" i="8"/>
  <c r="P54" i="8"/>
  <c r="G54" i="8"/>
  <c r="M54" i="8"/>
  <c r="E86" i="8"/>
  <c r="L86" i="8"/>
  <c r="F86" i="8"/>
  <c r="N66" i="8"/>
  <c r="O66" i="8"/>
  <c r="G66" i="8"/>
  <c r="O44" i="8"/>
  <c r="G44" i="8"/>
  <c r="P44" i="8"/>
  <c r="J92" i="8"/>
  <c r="G92" i="8"/>
  <c r="O92" i="8"/>
  <c r="H52" i="8"/>
  <c r="H102" i="8" s="1"/>
  <c r="I52" i="8"/>
  <c r="I112" i="8" s="1"/>
  <c r="K52" i="8"/>
  <c r="K112" i="8" s="1"/>
  <c r="E122" i="8"/>
  <c r="G122" i="8"/>
  <c r="I122" i="8"/>
  <c r="M63" i="8"/>
  <c r="F63" i="8"/>
  <c r="L63" i="8"/>
  <c r="E56" i="8"/>
  <c r="K56" i="8"/>
  <c r="G56" i="8"/>
  <c r="I95" i="8"/>
  <c r="F95" i="8"/>
  <c r="L95" i="8"/>
  <c r="H93" i="8"/>
  <c r="L93" i="8"/>
  <c r="M93" i="8"/>
  <c r="F94" i="8"/>
  <c r="K94" i="8"/>
  <c r="G94" i="8"/>
  <c r="E65" i="8"/>
  <c r="P65" i="8"/>
  <c r="F65" i="8"/>
  <c r="G83" i="8"/>
  <c r="E83" i="8"/>
  <c r="M83" i="8"/>
  <c r="P45" i="8"/>
  <c r="I45" i="8"/>
  <c r="L45" i="8"/>
  <c r="M125" i="8"/>
  <c r="I125" i="8"/>
  <c r="P125" i="8"/>
  <c r="N64" i="8"/>
  <c r="M64" i="8"/>
  <c r="K64" i="8"/>
  <c r="N55" i="8"/>
  <c r="L55" i="8"/>
  <c r="J55" i="8"/>
  <c r="M74" i="8"/>
  <c r="K74" i="8"/>
  <c r="I74" i="8"/>
  <c r="M84" i="8"/>
  <c r="K84" i="8"/>
  <c r="E84" i="8"/>
  <c r="O75" i="8"/>
  <c r="P75" i="8"/>
  <c r="P115" i="8" s="1"/>
  <c r="L75" i="8"/>
  <c r="M73" i="8"/>
  <c r="J73" i="8"/>
  <c r="K73" i="8"/>
  <c r="J72" i="8"/>
  <c r="M72" i="8"/>
  <c r="K72" i="8"/>
  <c r="N124" i="8"/>
  <c r="E124" i="8"/>
  <c r="G124" i="8"/>
  <c r="K76" i="8"/>
  <c r="I76" i="8"/>
  <c r="N76" i="8"/>
  <c r="N116" i="8" s="1"/>
  <c r="K82" i="8"/>
  <c r="N82" i="8"/>
  <c r="G82" i="8"/>
  <c r="E123" i="8"/>
  <c r="J123" i="8"/>
  <c r="O123" i="8"/>
  <c r="E43" i="8"/>
  <c r="N43" i="8"/>
  <c r="G43" i="8"/>
  <c r="N41" i="8"/>
  <c r="G41" i="8"/>
  <c r="H41" i="8"/>
  <c r="P96" i="8"/>
  <c r="N96" i="8"/>
  <c r="G96" i="8"/>
  <c r="L62" i="8"/>
  <c r="N62" i="8"/>
  <c r="K62" i="8"/>
  <c r="K85" i="8"/>
  <c r="H85" i="8"/>
  <c r="G85" i="8"/>
  <c r="J126" i="8"/>
  <c r="F126" i="8"/>
  <c r="P126" i="8"/>
  <c r="M53" i="8"/>
  <c r="F53" i="8"/>
  <c r="E53" i="8"/>
  <c r="E44" i="15"/>
  <c r="E107" i="15" s="1"/>
  <c r="E54" i="15"/>
  <c r="E117" i="15" s="1"/>
  <c r="E53" i="15"/>
  <c r="E116" i="15" s="1"/>
  <c r="P42" i="8"/>
  <c r="G42" i="8"/>
  <c r="M42" i="8"/>
  <c r="L54" i="8"/>
  <c r="O54" i="8"/>
  <c r="F54" i="8"/>
  <c r="N86" i="8"/>
  <c r="I86" i="8"/>
  <c r="O86" i="8"/>
  <c r="J66" i="8"/>
  <c r="F66" i="8"/>
  <c r="E66" i="8"/>
  <c r="L44" i="8"/>
  <c r="F44" i="8"/>
  <c r="J44" i="8"/>
  <c r="M92" i="8"/>
  <c r="N92" i="8"/>
  <c r="P92" i="8"/>
  <c r="F52" i="8"/>
  <c r="F112" i="8" s="1"/>
  <c r="L52" i="8"/>
  <c r="L112" i="8" s="1"/>
  <c r="E52" i="8"/>
  <c r="E102" i="8" s="1"/>
  <c r="K122" i="8"/>
  <c r="O122" i="8"/>
  <c r="L122" i="8"/>
  <c r="J63" i="8"/>
  <c r="H63" i="8"/>
  <c r="N63" i="8"/>
  <c r="P56" i="8"/>
  <c r="J56" i="8"/>
  <c r="L56" i="8"/>
  <c r="M95" i="8"/>
  <c r="O95" i="8"/>
  <c r="G95" i="8"/>
  <c r="N93" i="8"/>
  <c r="I93" i="8"/>
  <c r="O93" i="8"/>
  <c r="P94" i="8"/>
  <c r="H94" i="8"/>
  <c r="M94" i="8"/>
  <c r="G65" i="8"/>
  <c r="H65" i="8"/>
  <c r="M65" i="8"/>
  <c r="K83" i="8"/>
  <c r="O83" i="8"/>
  <c r="H83" i="8"/>
  <c r="E45" i="8"/>
  <c r="F45" i="8"/>
  <c r="J45" i="8"/>
  <c r="E125" i="8"/>
  <c r="K125" i="8"/>
  <c r="L125" i="8"/>
  <c r="J64" i="8"/>
  <c r="F64" i="8"/>
  <c r="P64" i="8"/>
  <c r="I55" i="8"/>
  <c r="H55" i="8"/>
  <c r="F55" i="8"/>
  <c r="L74" i="8"/>
  <c r="J74" i="8"/>
  <c r="O74" i="8"/>
  <c r="O114" i="8" s="1"/>
  <c r="J84" i="8"/>
  <c r="L84" i="8"/>
  <c r="H84" i="8"/>
  <c r="K75" i="8"/>
  <c r="K115" i="8" s="1"/>
  <c r="I75" i="8"/>
  <c r="F75" i="8"/>
  <c r="F115" i="8" s="1"/>
  <c r="G73" i="8"/>
  <c r="E73" i="8"/>
  <c r="I73" i="8"/>
  <c r="P72" i="8"/>
  <c r="E72" i="8"/>
  <c r="I72" i="8"/>
  <c r="I124" i="8"/>
  <c r="H124" i="8"/>
  <c r="K124" i="8"/>
  <c r="M76" i="8"/>
  <c r="P76" i="8"/>
  <c r="P116" i="8" s="1"/>
  <c r="H76" i="8"/>
  <c r="O82" i="8"/>
  <c r="L82" i="8"/>
  <c r="P82" i="8"/>
  <c r="N123" i="8"/>
  <c r="P123" i="8"/>
  <c r="K123" i="8"/>
  <c r="P43" i="8"/>
  <c r="O43" i="8"/>
  <c r="J43" i="8"/>
  <c r="F41" i="8"/>
  <c r="K41" i="8"/>
  <c r="I41" i="8"/>
  <c r="K96" i="8"/>
  <c r="I96" i="8"/>
  <c r="H96" i="8"/>
  <c r="M62" i="8"/>
  <c r="O62" i="8"/>
  <c r="G62" i="8"/>
  <c r="E85" i="8"/>
  <c r="M85" i="8"/>
  <c r="L85" i="8"/>
  <c r="M126" i="8"/>
  <c r="H126" i="8"/>
  <c r="K126" i="8"/>
  <c r="G53" i="8"/>
  <c r="L53" i="8"/>
  <c r="P53" i="8"/>
  <c r="E55" i="15"/>
  <c r="E118" i="15" s="1"/>
  <c r="E39" i="15"/>
  <c r="E105" i="15" s="1"/>
  <c r="E56" i="15"/>
  <c r="E119" i="15" s="1"/>
  <c r="E43" i="15"/>
  <c r="E106" i="15" s="1"/>
  <c r="N42" i="8"/>
  <c r="L42" i="8"/>
  <c r="K42" i="8"/>
  <c r="H54" i="8"/>
  <c r="K54" i="8"/>
  <c r="N54" i="8"/>
  <c r="H86" i="8"/>
  <c r="P86" i="8"/>
  <c r="M86" i="8"/>
  <c r="I66" i="8"/>
  <c r="H66" i="8"/>
  <c r="L66" i="8"/>
  <c r="H44" i="8"/>
  <c r="N44" i="8"/>
  <c r="E44" i="8"/>
  <c r="F92" i="8"/>
  <c r="H92" i="8"/>
  <c r="L92" i="8"/>
  <c r="P52" i="8"/>
  <c r="P112" i="8" s="1"/>
  <c r="N52" i="8"/>
  <c r="N102" i="8" s="1"/>
  <c r="G52" i="8"/>
  <c r="G102" i="8" s="1"/>
  <c r="H122" i="8"/>
  <c r="F122" i="8"/>
  <c r="J122" i="8"/>
  <c r="I63" i="8"/>
  <c r="P63" i="8"/>
  <c r="G63" i="8"/>
  <c r="N56" i="8"/>
  <c r="I56" i="8"/>
  <c r="O56" i="8"/>
  <c r="K95" i="8"/>
  <c r="H95" i="8"/>
  <c r="E95" i="8"/>
  <c r="K93" i="8"/>
  <c r="F93" i="8"/>
  <c r="E93" i="8"/>
  <c r="O94" i="8"/>
  <c r="E94" i="8"/>
  <c r="I94" i="8"/>
  <c r="L65" i="8"/>
  <c r="I65" i="8"/>
  <c r="J65" i="8"/>
  <c r="P83" i="8"/>
  <c r="F83" i="8"/>
  <c r="J83" i="8"/>
  <c r="H45" i="8"/>
  <c r="K45" i="8"/>
  <c r="G45" i="8"/>
  <c r="N125" i="8"/>
  <c r="H125" i="8"/>
  <c r="F125" i="8"/>
  <c r="L64" i="8"/>
  <c r="H64" i="8"/>
  <c r="E64" i="8"/>
  <c r="M55" i="8"/>
  <c r="K55" i="8"/>
  <c r="G55" i="8"/>
  <c r="H74" i="8"/>
  <c r="P74" i="8"/>
  <c r="G74" i="8"/>
  <c r="G114" i="8" s="1"/>
  <c r="O84" i="8"/>
  <c r="I84" i="8"/>
  <c r="G84" i="8"/>
  <c r="M75" i="8"/>
  <c r="G75" i="8"/>
  <c r="H75" i="8"/>
  <c r="F73" i="8"/>
  <c r="N73" i="8"/>
  <c r="L73" i="8"/>
  <c r="H72" i="8"/>
  <c r="G72" i="8"/>
  <c r="N72" i="8"/>
  <c r="L124" i="8"/>
  <c r="M124" i="8"/>
  <c r="F124" i="8"/>
  <c r="O76" i="8"/>
  <c r="F76" i="8"/>
  <c r="G76" i="8"/>
  <c r="I82" i="8"/>
  <c r="H82" i="8"/>
  <c r="M82" i="8"/>
  <c r="G123" i="8"/>
  <c r="M123" i="8"/>
  <c r="L123" i="8"/>
  <c r="A52" i="15"/>
  <c r="C112" i="15"/>
  <c r="A112" i="15" s="1"/>
  <c r="A49" i="15"/>
  <c r="A114" i="15"/>
  <c r="P118" i="8"/>
  <c r="P120" i="8"/>
  <c r="Q109" i="8"/>
  <c r="Q60" i="8"/>
  <c r="Q49" i="8"/>
  <c r="Q80" i="8"/>
  <c r="Q57" i="8"/>
  <c r="Q129" i="8"/>
  <c r="Q78" i="8"/>
  <c r="Q70" i="8"/>
  <c r="Q59" i="8"/>
  <c r="Q48" i="8"/>
  <c r="Q107" i="8"/>
  <c r="Q97" i="8"/>
  <c r="Q128" i="8"/>
  <c r="Q98" i="8"/>
  <c r="Q47" i="8"/>
  <c r="Q69" i="8"/>
  <c r="Q77" i="8"/>
  <c r="Q68" i="8"/>
  <c r="Q108" i="8"/>
  <c r="Q88" i="8"/>
  <c r="Q58" i="8"/>
  <c r="Q87" i="8"/>
  <c r="Q110" i="8"/>
  <c r="Q89" i="8"/>
  <c r="Q130" i="8"/>
  <c r="Q67" i="8"/>
  <c r="Q127" i="8"/>
  <c r="Q99" i="8"/>
  <c r="Q100" i="8"/>
  <c r="Q90" i="8"/>
  <c r="Q46" i="8"/>
  <c r="Q79" i="8"/>
  <c r="Q104" i="8"/>
  <c r="Q103" i="8"/>
  <c r="Q106" i="8"/>
  <c r="Q105" i="8"/>
  <c r="P117" i="8"/>
  <c r="X37" i="359"/>
  <c r="Z37" i="359"/>
  <c r="AA37" i="359"/>
  <c r="AB37" i="359"/>
  <c r="Y37" i="359"/>
  <c r="AC37" i="359"/>
  <c r="U37" i="359"/>
  <c r="W37" i="359"/>
  <c r="V37" i="359"/>
  <c r="R37" i="359"/>
  <c r="T37" i="359"/>
  <c r="S37" i="359"/>
  <c r="Q37" i="359"/>
  <c r="N37" i="359"/>
  <c r="P37" i="359"/>
  <c r="O37" i="359"/>
  <c r="M37" i="359"/>
  <c r="K37" i="359"/>
  <c r="J37" i="359"/>
  <c r="L37" i="359"/>
  <c r="I37" i="359"/>
  <c r="H37" i="359"/>
  <c r="G37" i="359"/>
  <c r="F37" i="359"/>
  <c r="D37" i="359"/>
  <c r="E37" i="359"/>
  <c r="C37" i="359"/>
  <c r="B37" i="359"/>
  <c r="A38" i="359"/>
  <c r="F53" i="15"/>
  <c r="F116" i="15" s="1"/>
  <c r="F51" i="15"/>
  <c r="F114" i="15" s="1"/>
  <c r="F55" i="15"/>
  <c r="F118" i="15" s="1"/>
  <c r="F43" i="15"/>
  <c r="F106" i="15" s="1"/>
  <c r="F49" i="15"/>
  <c r="F112" i="15" s="1"/>
  <c r="F45" i="15"/>
  <c r="F108" i="15" s="1"/>
  <c r="F54" i="15"/>
  <c r="F117" i="15" s="1"/>
  <c r="H38" i="15"/>
  <c r="CQ231" i="15"/>
  <c r="C119" i="15"/>
  <c r="A119" i="15" s="1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Q43" i="8"/>
  <c r="Q41" i="8"/>
  <c r="Q45" i="8"/>
  <c r="Q42" i="8"/>
  <c r="Q44" i="8"/>
  <c r="Q84" i="8"/>
  <c r="Q83" i="8"/>
  <c r="Q85" i="8"/>
  <c r="Q86" i="8"/>
  <c r="Q82" i="8"/>
  <c r="D57" i="15"/>
  <c r="D120" i="15" s="1"/>
  <c r="C57" i="15"/>
  <c r="A57" i="15" s="1"/>
  <c r="E57" i="15"/>
  <c r="F57" i="15"/>
  <c r="G57" i="15"/>
  <c r="B58" i="15"/>
  <c r="Q126" i="8"/>
  <c r="Q96" i="8"/>
  <c r="Q76" i="8"/>
  <c r="Q66" i="8"/>
  <c r="Q56" i="8"/>
  <c r="Q54" i="8"/>
  <c r="Q55" i="8"/>
  <c r="Q53" i="8"/>
  <c r="Q63" i="8"/>
  <c r="Q65" i="8"/>
  <c r="Q64" i="8"/>
  <c r="Q74" i="8"/>
  <c r="Q73" i="8"/>
  <c r="Q75" i="8"/>
  <c r="Q95" i="8"/>
  <c r="Q94" i="8"/>
  <c r="Q93" i="8"/>
  <c r="Q124" i="8"/>
  <c r="Q52" i="8"/>
  <c r="Q62" i="8"/>
  <c r="Q92" i="8"/>
  <c r="Q72" i="8"/>
  <c r="Q125" i="8"/>
  <c r="Q123" i="8"/>
  <c r="Q122" i="8"/>
  <c r="R39" i="8"/>
  <c r="F52" i="15" a="1"/>
  <c r="F44" i="15" a="1"/>
  <c r="R103" i="8" a="1"/>
  <c r="R69" i="8" a="1"/>
  <c r="R130" i="8" a="1"/>
  <c r="R89" i="8" a="1"/>
  <c r="R88" i="8" a="1"/>
  <c r="R70" i="8" a="1"/>
  <c r="R97" i="8" a="1"/>
  <c r="R77" i="8" a="1"/>
  <c r="R49" i="8" a="1"/>
  <c r="K38" i="359" a="1"/>
  <c r="N38" i="359" a="1"/>
  <c r="Q38" i="359" a="1"/>
  <c r="AC38" i="359" a="1"/>
  <c r="AA38" i="359" a="1"/>
  <c r="D38" i="359" a="1"/>
  <c r="H38" i="359" a="1"/>
  <c r="CQ202" i="15" a="1"/>
  <c r="R76" i="8" a="1"/>
  <c r="CQ175" i="15" a="1"/>
  <c r="G54" i="15" a="1"/>
  <c r="G52" i="15" a="1"/>
  <c r="CQ188" i="15" a="1"/>
  <c r="R74" i="8" a="1"/>
  <c r="CQ195" i="15" a="1"/>
  <c r="CQ189" i="15" a="1"/>
  <c r="R73" i="8" a="1"/>
  <c r="CQ190" i="15" a="1"/>
  <c r="R85" i="8" a="1"/>
  <c r="CQ178" i="15" a="1"/>
  <c r="CQ203" i="15" a="1"/>
  <c r="CQ166" i="15" a="1"/>
  <c r="G49" i="15" a="1"/>
  <c r="CQ169" i="15" a="1"/>
  <c r="R72" i="8" a="1"/>
  <c r="CQ170" i="15" a="1"/>
  <c r="CQ181" i="15" a="1"/>
  <c r="CQ213" i="15" a="1"/>
  <c r="CQ193" i="15" a="1"/>
  <c r="CQ191" i="15" a="1"/>
  <c r="G51" i="15" a="1"/>
  <c r="R45" i="8" a="1"/>
  <c r="R53" i="8" a="1"/>
  <c r="CQ220" i="15" a="1"/>
  <c r="CQ176" i="15" a="1"/>
  <c r="R42" i="8" a="1"/>
  <c r="F56" i="15" a="1"/>
  <c r="F48" i="15" a="1"/>
  <c r="R104" i="8" a="1"/>
  <c r="R108" i="8" a="1"/>
  <c r="R68" i="8" a="1"/>
  <c r="R110" i="8" a="1"/>
  <c r="R128" i="8" a="1"/>
  <c r="R107" i="8" a="1"/>
  <c r="R78" i="8" a="1"/>
  <c r="R129" i="8" a="1"/>
  <c r="R109" i="8" a="1"/>
  <c r="J38" i="359" a="1"/>
  <c r="T38" i="359" a="1"/>
  <c r="W38" i="359" a="1"/>
  <c r="AB38" i="359" a="1"/>
  <c r="X38" i="359" a="1"/>
  <c r="E38" i="359" a="1"/>
  <c r="I38" i="359" a="1"/>
  <c r="G39" i="15" a="1"/>
  <c r="R92" i="8" a="1"/>
  <c r="CQ208" i="15" a="1"/>
  <c r="E58" i="15" a="1"/>
  <c r="R126" i="8" a="1"/>
  <c r="R94" i="8" a="1"/>
  <c r="CQ216" i="15" a="1"/>
  <c r="CQ206" i="15" a="1"/>
  <c r="CQ214" i="15" a="1"/>
  <c r="CQ217" i="15" a="1"/>
  <c r="G43" i="15" a="1"/>
  <c r="G50" i="15" a="1"/>
  <c r="G47" i="15" a="1"/>
  <c r="R83" i="8" a="1"/>
  <c r="C58" i="15" a="1"/>
  <c r="R75" i="8" a="1"/>
  <c r="R63" i="8" a="1"/>
  <c r="R84" i="8" a="1"/>
  <c r="CQ205" i="15" a="1"/>
  <c r="R65" i="8" a="1"/>
  <c r="G48" i="15" a="1"/>
  <c r="CQ197" i="15" a="1"/>
  <c r="CQ167" i="15" a="1"/>
  <c r="CQ212" i="15" a="1"/>
  <c r="CQ179" i="15" a="1"/>
  <c r="CQ196" i="15" a="1"/>
  <c r="R124" i="8" a="1"/>
  <c r="R41" i="8" a="1"/>
  <c r="CQ171" i="15" a="1"/>
  <c r="F46" i="15" a="1"/>
  <c r="F50" i="15" a="1"/>
  <c r="R105" i="8" a="1"/>
  <c r="R79" i="8" a="1"/>
  <c r="R90" i="8" a="1"/>
  <c r="R58" i="8" a="1"/>
  <c r="R127" i="8" a="1"/>
  <c r="R48" i="8" a="1"/>
  <c r="R47" i="8" a="1"/>
  <c r="R80" i="8" a="1"/>
  <c r="R60" i="8" a="1"/>
  <c r="L38" i="359" a="1"/>
  <c r="O38" i="359" a="1"/>
  <c r="R38" i="359" a="1"/>
  <c r="V38" i="359" a="1"/>
  <c r="Z38" i="359" a="1"/>
  <c r="B38" i="359" a="1"/>
  <c r="F38" i="359" a="1"/>
  <c r="G44" i="15" a="1"/>
  <c r="CQ210" i="15" a="1"/>
  <c r="CQ194" i="15" a="1"/>
  <c r="CQ204" i="15" a="1"/>
  <c r="CQ223" i="15" a="1"/>
  <c r="R44" i="8" a="1"/>
  <c r="R43" i="8" a="1"/>
  <c r="CQ201" i="15" a="1"/>
  <c r="CQ215" i="15" a="1"/>
  <c r="G45" i="15" a="1"/>
  <c r="R123" i="8" a="1"/>
  <c r="CQ211" i="15" a="1"/>
  <c r="CQ224" i="15" a="1"/>
  <c r="CQ174" i="15" a="1"/>
  <c r="CQ185" i="15" a="1"/>
  <c r="R122" i="8" a="1"/>
  <c r="R93" i="8" a="1"/>
  <c r="CQ186" i="15" a="1"/>
  <c r="CQ207" i="15" a="1"/>
  <c r="R56" i="8" a="1"/>
  <c r="R66" i="8" a="1"/>
  <c r="R55" i="8" a="1"/>
  <c r="G56" i="15" a="1"/>
  <c r="CQ192" i="15" a="1"/>
  <c r="CQ177" i="15" a="1"/>
  <c r="CQ180" i="15" a="1"/>
  <c r="CQ173" i="15" a="1"/>
  <c r="G55" i="15" a="1"/>
  <c r="CQ187" i="15" a="1"/>
  <c r="G58" i="15" a="1"/>
  <c r="F39" i="15" a="1"/>
  <c r="F47" i="15" a="1"/>
  <c r="R106" i="8" a="1"/>
  <c r="R46" i="8" a="1"/>
  <c r="R67" i="8" a="1"/>
  <c r="R100" i="8" a="1"/>
  <c r="R87" i="8" a="1"/>
  <c r="R59" i="8" a="1"/>
  <c r="R98" i="8" a="1"/>
  <c r="R99" i="8" a="1"/>
  <c r="R57" i="8" a="1"/>
  <c r="M38" i="359" a="1"/>
  <c r="P38" i="359" a="1"/>
  <c r="S38" i="359" a="1"/>
  <c r="U38" i="359" a="1"/>
  <c r="Y38" i="359" a="1"/>
  <c r="C38" i="359" a="1"/>
  <c r="G38" i="359" a="1"/>
  <c r="CQ218" i="15" a="1"/>
  <c r="R125" i="8" a="1"/>
  <c r="D58" i="15" a="1"/>
  <c r="CQ165" i="15" a="1"/>
  <c r="CQ222" i="15" a="1"/>
  <c r="CQ182" i="15" a="1"/>
  <c r="CQ200" i="15" a="1"/>
  <c r="CQ219" i="15" a="1"/>
  <c r="R95" i="8" a="1"/>
  <c r="CQ172" i="15" a="1"/>
  <c r="CQ184" i="15" a="1"/>
  <c r="CQ183" i="15" a="1"/>
  <c r="CQ209" i="15" a="1"/>
  <c r="R54" i="8" a="1"/>
  <c r="CQ198" i="15" a="1"/>
  <c r="R96" i="8" a="1"/>
  <c r="CQ221" i="15" a="1"/>
  <c r="G53" i="15" a="1"/>
  <c r="CR231" i="15" a="1"/>
  <c r="G46" i="15" a="1"/>
  <c r="R64" i="8" a="1"/>
  <c r="CQ199" i="15" a="1"/>
  <c r="R82" i="8" a="1"/>
  <c r="CQ225" i="15" a="1"/>
  <c r="R86" i="8" a="1"/>
  <c r="CQ168" i="15" a="1"/>
  <c r="F58" i="15" a="1"/>
  <c r="R62" i="8" a="1"/>
  <c r="R52" i="8" a="1"/>
  <c r="P114" i="8" l="1"/>
  <c r="M102" i="8"/>
  <c r="G113" i="8"/>
  <c r="M116" i="8"/>
  <c r="J114" i="8"/>
  <c r="E116" i="8"/>
  <c r="O115" i="8"/>
  <c r="I114" i="8"/>
  <c r="N114" i="8"/>
  <c r="E115" i="8"/>
  <c r="O113" i="8"/>
  <c r="L115" i="8"/>
  <c r="P102" i="8"/>
  <c r="G116" i="8"/>
  <c r="P113" i="8"/>
  <c r="Q119" i="8"/>
  <c r="F102" i="8"/>
  <c r="F116" i="8"/>
  <c r="L113" i="8"/>
  <c r="H114" i="8"/>
  <c r="K114" i="8"/>
  <c r="H112" i="8"/>
  <c r="O116" i="8"/>
  <c r="N113" i="8"/>
  <c r="J113" i="8"/>
  <c r="M113" i="8"/>
  <c r="F114" i="8"/>
  <c r="N115" i="8"/>
  <c r="O112" i="8"/>
  <c r="N112" i="8"/>
  <c r="L102" i="8"/>
  <c r="G115" i="8"/>
  <c r="I115" i="8"/>
  <c r="H116" i="8"/>
  <c r="L114" i="8"/>
  <c r="M114" i="8"/>
  <c r="E114" i="8"/>
  <c r="K113" i="8"/>
  <c r="F113" i="8"/>
  <c r="H113" i="8"/>
  <c r="I102" i="8"/>
  <c r="M115" i="8"/>
  <c r="L116" i="8"/>
  <c r="I113" i="8"/>
  <c r="H115" i="8"/>
  <c r="I116" i="8"/>
  <c r="J116" i="8"/>
  <c r="J115" i="8"/>
  <c r="E113" i="8"/>
  <c r="G112" i="8"/>
  <c r="K102" i="8"/>
  <c r="K116" i="8"/>
  <c r="E112" i="8"/>
  <c r="J112" i="8"/>
  <c r="F47" i="15"/>
  <c r="F110" i="15" s="1"/>
  <c r="F39" i="15"/>
  <c r="F105" i="15" s="1"/>
  <c r="F50" i="15"/>
  <c r="F113" i="15" s="1"/>
  <c r="F46" i="15"/>
  <c r="F109" i="15" s="1"/>
  <c r="F48" i="15"/>
  <c r="F111" i="15" s="1"/>
  <c r="F56" i="15"/>
  <c r="F119" i="15" s="1"/>
  <c r="F44" i="15"/>
  <c r="F107" i="15" s="1"/>
  <c r="F52" i="15"/>
  <c r="F115" i="15" s="1"/>
  <c r="R109" i="8"/>
  <c r="R49" i="8"/>
  <c r="R57" i="8"/>
  <c r="R60" i="8"/>
  <c r="R129" i="8"/>
  <c r="R77" i="8"/>
  <c r="R99" i="8"/>
  <c r="R80" i="8"/>
  <c r="R78" i="8"/>
  <c r="R97" i="8"/>
  <c r="R98" i="8"/>
  <c r="R47" i="8"/>
  <c r="R107" i="8"/>
  <c r="R70" i="8"/>
  <c r="R59" i="8"/>
  <c r="R48" i="8"/>
  <c r="R128" i="8"/>
  <c r="R88" i="8"/>
  <c r="R87" i="8"/>
  <c r="R127" i="8"/>
  <c r="R110" i="8"/>
  <c r="R89" i="8"/>
  <c r="R100" i="8"/>
  <c r="R58" i="8"/>
  <c r="R68" i="8"/>
  <c r="R130" i="8"/>
  <c r="R67" i="8"/>
  <c r="R90" i="8"/>
  <c r="R108" i="8"/>
  <c r="R69" i="8"/>
  <c r="R46" i="8"/>
  <c r="R79" i="8"/>
  <c r="R104" i="8"/>
  <c r="R103" i="8"/>
  <c r="R106" i="8"/>
  <c r="R105" i="8"/>
  <c r="Q120" i="8"/>
  <c r="Q117" i="8"/>
  <c r="Q118" i="8"/>
  <c r="X38" i="359"/>
  <c r="AA38" i="359"/>
  <c r="Y38" i="359"/>
  <c r="Z38" i="359"/>
  <c r="AB38" i="359"/>
  <c r="AC38" i="359"/>
  <c r="U38" i="359"/>
  <c r="V38" i="359"/>
  <c r="W38" i="359"/>
  <c r="Q38" i="359"/>
  <c r="S38" i="359"/>
  <c r="R38" i="359"/>
  <c r="T38" i="359"/>
  <c r="N38" i="359"/>
  <c r="P38" i="359"/>
  <c r="O38" i="359"/>
  <c r="J38" i="359"/>
  <c r="K38" i="359"/>
  <c r="M38" i="359"/>
  <c r="L38" i="359"/>
  <c r="I38" i="359"/>
  <c r="H38" i="359"/>
  <c r="G38" i="359"/>
  <c r="F38" i="359"/>
  <c r="E38" i="359"/>
  <c r="D38" i="359"/>
  <c r="C38" i="359"/>
  <c r="B38" i="359"/>
  <c r="A39" i="359"/>
  <c r="G56" i="15"/>
  <c r="G119" i="15" s="1"/>
  <c r="G48" i="15"/>
  <c r="G111" i="15" s="1"/>
  <c r="G46" i="15"/>
  <c r="G109" i="15" s="1"/>
  <c r="G47" i="15"/>
  <c r="G110" i="15" s="1"/>
  <c r="G52" i="15"/>
  <c r="G115" i="15" s="1"/>
  <c r="G55" i="15"/>
  <c r="G118" i="15" s="1"/>
  <c r="G50" i="15"/>
  <c r="G113" i="15" s="1"/>
  <c r="G54" i="15"/>
  <c r="G117" i="15" s="1"/>
  <c r="G53" i="15"/>
  <c r="G116" i="15" s="1"/>
  <c r="G43" i="15"/>
  <c r="G106" i="15" s="1"/>
  <c r="G51" i="15"/>
  <c r="G114" i="15" s="1"/>
  <c r="G49" i="15"/>
  <c r="G112" i="15" s="1"/>
  <c r="G45" i="15"/>
  <c r="G108" i="15" s="1"/>
  <c r="G39" i="15"/>
  <c r="G105" i="15" s="1"/>
  <c r="G44" i="15"/>
  <c r="G107" i="15" s="1"/>
  <c r="I38" i="15"/>
  <c r="CR231" i="15"/>
  <c r="C120" i="15"/>
  <c r="A120" i="15" s="1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44" i="8"/>
  <c r="R45" i="8"/>
  <c r="R43" i="8"/>
  <c r="R41" i="8"/>
  <c r="R42" i="8"/>
  <c r="R82" i="8"/>
  <c r="R86" i="8"/>
  <c r="R84" i="8"/>
  <c r="R83" i="8"/>
  <c r="R85" i="8"/>
  <c r="F120" i="15"/>
  <c r="G120" i="15"/>
  <c r="E120" i="15"/>
  <c r="D58" i="15"/>
  <c r="D121" i="15" s="1"/>
  <c r="C58" i="15"/>
  <c r="A58" i="15" s="1"/>
  <c r="E58" i="15"/>
  <c r="F58" i="15"/>
  <c r="G58" i="15"/>
  <c r="B59" i="15"/>
  <c r="Q116" i="8"/>
  <c r="R126" i="8"/>
  <c r="R96" i="8"/>
  <c r="R76" i="8"/>
  <c r="R66" i="8"/>
  <c r="R56" i="8"/>
  <c r="R55" i="8"/>
  <c r="R53" i="8"/>
  <c r="R54" i="8"/>
  <c r="R63" i="8"/>
  <c r="R64" i="8"/>
  <c r="R65" i="8"/>
  <c r="R73" i="8"/>
  <c r="R74" i="8"/>
  <c r="R75" i="8"/>
  <c r="R93" i="8"/>
  <c r="R94" i="8"/>
  <c r="R95" i="8"/>
  <c r="Q114" i="8"/>
  <c r="R124" i="8"/>
  <c r="R52" i="8"/>
  <c r="R62" i="8"/>
  <c r="R92" i="8"/>
  <c r="R72" i="8"/>
  <c r="R125" i="8"/>
  <c r="R123" i="8"/>
  <c r="R122" i="8"/>
  <c r="Q112" i="8"/>
  <c r="Q102" i="8"/>
  <c r="Q115" i="8"/>
  <c r="S39" i="8"/>
  <c r="Q113" i="8"/>
  <c r="S103" i="8" a="1"/>
  <c r="S58" i="8" a="1"/>
  <c r="S130" i="8" a="1"/>
  <c r="S89" i="8" a="1"/>
  <c r="S69" i="8" a="1"/>
  <c r="S77" i="8" a="1"/>
  <c r="S78" i="8" a="1"/>
  <c r="S107" i="8" a="1"/>
  <c r="S49" i="8" a="1"/>
  <c r="L39" i="359" a="1"/>
  <c r="O39" i="359" a="1"/>
  <c r="T39" i="359" a="1"/>
  <c r="AB39" i="359" a="1"/>
  <c r="Y39" i="359" a="1"/>
  <c r="E39" i="359" a="1"/>
  <c r="H39" i="359" a="1"/>
  <c r="CR195" i="15" a="1"/>
  <c r="CR219" i="15" a="1"/>
  <c r="H49" i="15" a="1"/>
  <c r="H45" i="15" a="1"/>
  <c r="H54" i="15" a="1"/>
  <c r="CR218" i="15" a="1"/>
  <c r="CR171" i="15" a="1"/>
  <c r="CR174" i="15" a="1"/>
  <c r="CR204" i="15" a="1"/>
  <c r="S43" i="8" a="1"/>
  <c r="CR187" i="15" a="1"/>
  <c r="CR185" i="15" a="1"/>
  <c r="CR184" i="15" a="1"/>
  <c r="S74" i="8" a="1"/>
  <c r="H39" i="15" a="1"/>
  <c r="S72" i="8" a="1"/>
  <c r="S95" i="8" a="1"/>
  <c r="S93" i="8" a="1"/>
  <c r="S45" i="8" a="1"/>
  <c r="S82" i="8" a="1"/>
  <c r="CR208" i="15" a="1"/>
  <c r="F59" i="15" a="1"/>
  <c r="S44" i="8" a="1"/>
  <c r="CR178" i="15" a="1"/>
  <c r="D59" i="15" a="1"/>
  <c r="CR177" i="15" a="1"/>
  <c r="S123" i="8" a="1"/>
  <c r="CR180" i="15" a="1"/>
  <c r="CR165" i="15" a="1"/>
  <c r="CR209" i="15" a="1"/>
  <c r="S104" i="8" a="1"/>
  <c r="S88" i="8" a="1"/>
  <c r="S110" i="8" a="1"/>
  <c r="S68" i="8" a="1"/>
  <c r="S67" i="8" a="1"/>
  <c r="S47" i="8" a="1"/>
  <c r="S97" i="8" a="1"/>
  <c r="S48" i="8" a="1"/>
  <c r="S60" i="8" a="1"/>
  <c r="K39" i="359" a="1"/>
  <c r="Q39" i="359" a="1"/>
  <c r="U39" i="359" a="1"/>
  <c r="AA39" i="359" a="1"/>
  <c r="X39" i="359" a="1"/>
  <c r="D39" i="359" a="1"/>
  <c r="I39" i="359" a="1"/>
  <c r="H55" i="15" a="1"/>
  <c r="CR170" i="15" a="1"/>
  <c r="CR198" i="15" a="1"/>
  <c r="S92" i="8" a="1"/>
  <c r="S62" i="8" a="1"/>
  <c r="CR223" i="15" a="1"/>
  <c r="I59" i="15" a="1"/>
  <c r="S122" i="8" a="1"/>
  <c r="CR220" i="15" a="1"/>
  <c r="CR190" i="15" a="1"/>
  <c r="S53" i="8" a="1"/>
  <c r="CR175" i="15" a="1"/>
  <c r="CR181" i="15" a="1"/>
  <c r="CR200" i="15" a="1"/>
  <c r="S65" i="8" a="1"/>
  <c r="C59" i="15" a="1"/>
  <c r="CR199" i="15" a="1"/>
  <c r="G59" i="15" a="1"/>
  <c r="CR221" i="15" a="1"/>
  <c r="S83" i="8" a="1"/>
  <c r="H58" i="15" a="1"/>
  <c r="CR216" i="15" a="1"/>
  <c r="CR169" i="15" a="1"/>
  <c r="S41" i="8" a="1"/>
  <c r="S76" i="8" a="1"/>
  <c r="H48" i="15" a="1"/>
  <c r="CR206" i="15" a="1"/>
  <c r="CR182" i="15" a="1"/>
  <c r="S63" i="8" a="1"/>
  <c r="S85" i="8" a="1"/>
  <c r="S105" i="8" a="1"/>
  <c r="S46" i="8" a="1"/>
  <c r="S108" i="8" a="1"/>
  <c r="S87" i="8" a="1"/>
  <c r="S99" i="8" a="1"/>
  <c r="S129" i="8" a="1"/>
  <c r="S98" i="8" a="1"/>
  <c r="S59" i="8" a="1"/>
  <c r="S109" i="8" a="1"/>
  <c r="M39" i="359" a="1"/>
  <c r="N39" i="359" a="1"/>
  <c r="S39" i="359" a="1"/>
  <c r="V39" i="359" a="1"/>
  <c r="Z39" i="359" a="1"/>
  <c r="B39" i="359" a="1"/>
  <c r="F39" i="359" a="1"/>
  <c r="CR205" i="15" a="1"/>
  <c r="S124" i="8" a="1"/>
  <c r="S55" i="8" a="1"/>
  <c r="S125" i="8" a="1"/>
  <c r="CR173" i="15" a="1"/>
  <c r="CR201" i="15" a="1"/>
  <c r="CR211" i="15" a="1"/>
  <c r="CR196" i="15" a="1"/>
  <c r="S64" i="8" a="1"/>
  <c r="CR222" i="15" a="1"/>
  <c r="S84" i="8" a="1"/>
  <c r="S96" i="8" a="1"/>
  <c r="CR179" i="15" a="1"/>
  <c r="CR189" i="15" a="1"/>
  <c r="H44" i="15" a="1"/>
  <c r="S56" i="8" a="1"/>
  <c r="CR225" i="15" a="1"/>
  <c r="CR210" i="15" a="1"/>
  <c r="CR203" i="15" a="1"/>
  <c r="H56" i="15" a="1"/>
  <c r="CR194" i="15" a="1"/>
  <c r="S73" i="8" a="1"/>
  <c r="H47" i="15" a="1"/>
  <c r="S54" i="8" a="1"/>
  <c r="CR207" i="15" a="1"/>
  <c r="CR192" i="15" a="1"/>
  <c r="S94" i="8" a="1"/>
  <c r="H59" i="15" a="1"/>
  <c r="CR197" i="15" a="1"/>
  <c r="CR186" i="15" a="1"/>
  <c r="S106" i="8" a="1"/>
  <c r="S79" i="8" a="1"/>
  <c r="S90" i="8" a="1"/>
  <c r="S100" i="8" a="1"/>
  <c r="S127" i="8" a="1"/>
  <c r="S57" i="8" a="1"/>
  <c r="S128" i="8" a="1"/>
  <c r="S70" i="8" a="1"/>
  <c r="S80" i="8" a="1"/>
  <c r="J39" i="359" a="1"/>
  <c r="P39" i="359" a="1"/>
  <c r="R39" i="359" a="1"/>
  <c r="W39" i="359" a="1"/>
  <c r="AC39" i="359" a="1"/>
  <c r="C39" i="359" a="1"/>
  <c r="G39" i="359" a="1"/>
  <c r="CR172" i="15" a="1"/>
  <c r="S86" i="8" a="1"/>
  <c r="CR224" i="15" a="1"/>
  <c r="CR183" i="15" a="1"/>
  <c r="S42" i="8" a="1"/>
  <c r="CR213" i="15" a="1"/>
  <c r="CR214" i="15" a="1"/>
  <c r="S66" i="8" a="1"/>
  <c r="E59" i="15" a="1"/>
  <c r="H51" i="15" a="1"/>
  <c r="CR176" i="15" a="1"/>
  <c r="H46" i="15" a="1"/>
  <c r="H57" i="15" a="1"/>
  <c r="H50" i="15" a="1"/>
  <c r="S126" i="8" a="1"/>
  <c r="H43" i="15" a="1"/>
  <c r="CR212" i="15" a="1"/>
  <c r="S75" i="8" a="1"/>
  <c r="S52" i="8" a="1"/>
  <c r="H52" i="15" a="1"/>
  <c r="CR191" i="15" a="1"/>
  <c r="H53" i="15" a="1"/>
  <c r="CR167" i="15" a="1"/>
  <c r="CR193" i="15" a="1"/>
  <c r="CR202" i="15" a="1"/>
  <c r="CR168" i="15" a="1"/>
  <c r="CR215" i="15" a="1"/>
  <c r="CR188" i="15" a="1"/>
  <c r="CR217" i="15" a="1"/>
  <c r="CR166" i="15" a="1"/>
  <c r="R117" i="8" l="1"/>
  <c r="S60" i="8"/>
  <c r="S49" i="8"/>
  <c r="S80" i="8"/>
  <c r="S109" i="8"/>
  <c r="S48" i="8"/>
  <c r="S107" i="8"/>
  <c r="S70" i="8"/>
  <c r="S59" i="8"/>
  <c r="S97" i="8"/>
  <c r="S78" i="8"/>
  <c r="S128" i="8"/>
  <c r="S98" i="8"/>
  <c r="S47" i="8"/>
  <c r="S77" i="8"/>
  <c r="S57" i="8"/>
  <c r="S129" i="8"/>
  <c r="S67" i="8"/>
  <c r="S69" i="8"/>
  <c r="S127" i="8"/>
  <c r="S99" i="8"/>
  <c r="S68" i="8"/>
  <c r="S89" i="8"/>
  <c r="S100" i="8"/>
  <c r="S87" i="8"/>
  <c r="S110" i="8"/>
  <c r="S130" i="8"/>
  <c r="S90" i="8"/>
  <c r="S108" i="8"/>
  <c r="S88" i="8"/>
  <c r="S58" i="8"/>
  <c r="S79" i="8"/>
  <c r="S46" i="8"/>
  <c r="S104" i="8"/>
  <c r="S103" i="8"/>
  <c r="S106" i="8"/>
  <c r="S105" i="8"/>
  <c r="R118" i="8"/>
  <c r="R119" i="8"/>
  <c r="R120" i="8"/>
  <c r="X39" i="359"/>
  <c r="Y39" i="359"/>
  <c r="AC39" i="359"/>
  <c r="Z39" i="359"/>
  <c r="AA39" i="359"/>
  <c r="AB39" i="359"/>
  <c r="W39" i="359"/>
  <c r="V39" i="359"/>
  <c r="U39" i="359"/>
  <c r="T39" i="359"/>
  <c r="R39" i="359"/>
  <c r="S39" i="359"/>
  <c r="Q39" i="359"/>
  <c r="O39" i="359"/>
  <c r="P39" i="359"/>
  <c r="N39" i="359"/>
  <c r="K39" i="359"/>
  <c r="L39" i="359"/>
  <c r="J39" i="359"/>
  <c r="M39" i="359"/>
  <c r="I39" i="359"/>
  <c r="H39" i="359"/>
  <c r="G39" i="359"/>
  <c r="F39" i="359"/>
  <c r="D39" i="359"/>
  <c r="E39" i="359"/>
  <c r="C39" i="359"/>
  <c r="B39" i="359"/>
  <c r="A40" i="359"/>
  <c r="H58" i="15"/>
  <c r="H121" i="15" s="1"/>
  <c r="H44" i="15"/>
  <c r="H107" i="15" s="1"/>
  <c r="H52" i="15"/>
  <c r="H115" i="15" s="1"/>
  <c r="H50" i="15"/>
  <c r="H113" i="15" s="1"/>
  <c r="H54" i="15"/>
  <c r="H117" i="15" s="1"/>
  <c r="H48" i="15"/>
  <c r="H111" i="15" s="1"/>
  <c r="H56" i="15"/>
  <c r="H119" i="15" s="1"/>
  <c r="H57" i="15"/>
  <c r="H120" i="15" s="1"/>
  <c r="H45" i="15"/>
  <c r="H108" i="15" s="1"/>
  <c r="H46" i="15"/>
  <c r="H109" i="15" s="1"/>
  <c r="H49" i="15"/>
  <c r="H112" i="15" s="1"/>
  <c r="H55" i="15"/>
  <c r="H118" i="15" s="1"/>
  <c r="H47" i="15"/>
  <c r="H110" i="15" s="1"/>
  <c r="H43" i="15"/>
  <c r="H106" i="15" s="1"/>
  <c r="H51" i="15"/>
  <c r="H114" i="15" s="1"/>
  <c r="H53" i="15"/>
  <c r="H116" i="15" s="1"/>
  <c r="H39" i="15"/>
  <c r="H105" i="15" s="1"/>
  <c r="J38" i="15"/>
  <c r="C121" i="15"/>
  <c r="A121" i="15" s="1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41" i="8"/>
  <c r="S42" i="8"/>
  <c r="S44" i="8"/>
  <c r="S45" i="8"/>
  <c r="S43" i="8"/>
  <c r="S83" i="8"/>
  <c r="S85" i="8"/>
  <c r="S82" i="8"/>
  <c r="S84" i="8"/>
  <c r="S86" i="8"/>
  <c r="F121" i="15"/>
  <c r="E121" i="15"/>
  <c r="G121" i="15"/>
  <c r="D59" i="15"/>
  <c r="D122" i="15" s="1"/>
  <c r="C59" i="15"/>
  <c r="A59" i="15" s="1"/>
  <c r="E59" i="15"/>
  <c r="F59" i="15"/>
  <c r="G59" i="15"/>
  <c r="H59" i="15"/>
  <c r="I59" i="15"/>
  <c r="B60" i="15"/>
  <c r="R116" i="8"/>
  <c r="S126" i="8"/>
  <c r="S96" i="8"/>
  <c r="S76" i="8"/>
  <c r="S66" i="8"/>
  <c r="S56" i="8"/>
  <c r="S55" i="8"/>
  <c r="S54" i="8"/>
  <c r="S53" i="8"/>
  <c r="S63" i="8"/>
  <c r="S64" i="8"/>
  <c r="S65" i="8"/>
  <c r="S74" i="8"/>
  <c r="S75" i="8"/>
  <c r="S73" i="8"/>
  <c r="S95" i="8"/>
  <c r="S93" i="8"/>
  <c r="S94" i="8"/>
  <c r="R115" i="8"/>
  <c r="R113" i="8"/>
  <c r="S124" i="8"/>
  <c r="S52" i="8"/>
  <c r="S62" i="8"/>
  <c r="S92" i="8"/>
  <c r="S72" i="8"/>
  <c r="S125" i="8"/>
  <c r="S123" i="8"/>
  <c r="S122" i="8"/>
  <c r="R102" i="8"/>
  <c r="R112" i="8"/>
  <c r="T39" i="8"/>
  <c r="R114" i="8"/>
  <c r="T103" i="8" a="1"/>
  <c r="T87" i="8" a="1"/>
  <c r="T100" i="8" a="1"/>
  <c r="T108" i="8" a="1"/>
  <c r="T58" i="8" a="1"/>
  <c r="T78" i="8" a="1"/>
  <c r="T129" i="8" a="1"/>
  <c r="T59" i="8" a="1"/>
  <c r="T49" i="8" a="1"/>
  <c r="L40" i="359" a="1"/>
  <c r="O40" i="359" a="1"/>
  <c r="R40" i="359" a="1"/>
  <c r="Y40" i="359" a="1"/>
  <c r="AB40" i="359" a="1"/>
  <c r="E40" i="359" a="1"/>
  <c r="H40" i="359" a="1"/>
  <c r="T74" i="8" a="1"/>
  <c r="T93" i="8" a="1"/>
  <c r="T56" i="8" a="1"/>
  <c r="T62" i="8" a="1"/>
  <c r="T41" i="8" a="1"/>
  <c r="H60" i="15" a="1"/>
  <c r="T126" i="8" a="1"/>
  <c r="T45" i="8" a="1"/>
  <c r="J60" i="15" a="1"/>
  <c r="T63" i="8" a="1"/>
  <c r="I57" i="15" a="1"/>
  <c r="I43" i="15" a="1"/>
  <c r="I44" i="15" a="1"/>
  <c r="T53" i="8" a="1"/>
  <c r="T64" i="8" a="1"/>
  <c r="I52" i="15" a="1"/>
  <c r="I51" i="15" a="1"/>
  <c r="T104" i="8" a="1"/>
  <c r="T88" i="8" a="1"/>
  <c r="T67" i="8" a="1"/>
  <c r="T68" i="8" a="1"/>
  <c r="T110" i="8" a="1"/>
  <c r="T80" i="8" a="1"/>
  <c r="T70" i="8" a="1"/>
  <c r="T107" i="8" a="1"/>
  <c r="T60" i="8" a="1"/>
  <c r="M40" i="359" a="1"/>
  <c r="Q40" i="359" a="1"/>
  <c r="V40" i="359" a="1"/>
  <c r="AA40" i="359" a="1"/>
  <c r="X40" i="359" a="1"/>
  <c r="D40" i="359" a="1"/>
  <c r="I40" i="359" a="1"/>
  <c r="I55" i="15" a="1"/>
  <c r="T125" i="8" a="1"/>
  <c r="I48" i="15" a="1"/>
  <c r="T94" i="8" a="1"/>
  <c r="T65" i="8" a="1"/>
  <c r="I50" i="15" a="1"/>
  <c r="I53" i="15" a="1"/>
  <c r="E60" i="15" a="1"/>
  <c r="I46" i="15" a="1"/>
  <c r="I45" i="15" a="1"/>
  <c r="I47" i="15" a="1"/>
  <c r="T42" i="8" a="1"/>
  <c r="T95" i="8" a="1"/>
  <c r="T76" i="8" a="1"/>
  <c r="T66" i="8" a="1"/>
  <c r="T105" i="8" a="1"/>
  <c r="T46" i="8" a="1"/>
  <c r="T69" i="8" a="1"/>
  <c r="T130" i="8" a="1"/>
  <c r="T99" i="8" a="1"/>
  <c r="T97" i="8" a="1"/>
  <c r="T47" i="8" a="1"/>
  <c r="T77" i="8" a="1"/>
  <c r="T57" i="8" a="1"/>
  <c r="K40" i="359" a="1"/>
  <c r="P40" i="359" a="1"/>
  <c r="S40" i="359" a="1"/>
  <c r="U40" i="359" a="1"/>
  <c r="Z40" i="359" a="1"/>
  <c r="B40" i="359" a="1"/>
  <c r="F40" i="359" a="1"/>
  <c r="I56" i="15" a="1"/>
  <c r="I54" i="15" a="1"/>
  <c r="T75" i="8" a="1"/>
  <c r="T96" i="8" a="1"/>
  <c r="T82" i="8" a="1"/>
  <c r="I49" i="15" a="1"/>
  <c r="T92" i="8" a="1"/>
  <c r="C60" i="15" a="1"/>
  <c r="I39" i="15" a="1"/>
  <c r="T44" i="8" a="1"/>
  <c r="T122" i="8" a="1"/>
  <c r="T54" i="8" a="1"/>
  <c r="T86" i="8" a="1"/>
  <c r="T83" i="8" a="1"/>
  <c r="T73" i="8" a="1"/>
  <c r="T85" i="8" a="1"/>
  <c r="T106" i="8" a="1"/>
  <c r="T79" i="8" a="1"/>
  <c r="T90" i="8" a="1"/>
  <c r="T89" i="8" a="1"/>
  <c r="T127" i="8" a="1"/>
  <c r="T48" i="8" a="1"/>
  <c r="T128" i="8" a="1"/>
  <c r="T98" i="8" a="1"/>
  <c r="T109" i="8" a="1"/>
  <c r="J40" i="359" a="1"/>
  <c r="N40" i="359" a="1"/>
  <c r="T40" i="359" a="1"/>
  <c r="W40" i="359" a="1"/>
  <c r="AC40" i="359" a="1"/>
  <c r="C40" i="359" a="1"/>
  <c r="G40" i="359" a="1"/>
  <c r="F60" i="15" a="1"/>
  <c r="T123" i="8" a="1"/>
  <c r="I60" i="15" a="1"/>
  <c r="T72" i="8" a="1"/>
  <c r="T84" i="8" a="1"/>
  <c r="D60" i="15" a="1"/>
  <c r="G60" i="15" a="1"/>
  <c r="I58" i="15" a="1"/>
  <c r="T124" i="8" a="1"/>
  <c r="T43" i="8" a="1"/>
  <c r="T55" i="8" a="1"/>
  <c r="T52" i="8" a="1"/>
  <c r="S117" i="8" l="1"/>
  <c r="S118" i="8"/>
  <c r="T60" i="8"/>
  <c r="T49" i="8"/>
  <c r="T109" i="8"/>
  <c r="T57" i="8"/>
  <c r="T107" i="8"/>
  <c r="T59" i="8"/>
  <c r="T98" i="8"/>
  <c r="T77" i="8"/>
  <c r="T70" i="8"/>
  <c r="T129" i="8"/>
  <c r="T128" i="8"/>
  <c r="T47" i="8"/>
  <c r="T80" i="8"/>
  <c r="T120" i="8" s="1"/>
  <c r="T78" i="8"/>
  <c r="T48" i="8"/>
  <c r="T97" i="8"/>
  <c r="T110" i="8"/>
  <c r="T58" i="8"/>
  <c r="T127" i="8"/>
  <c r="T99" i="8"/>
  <c r="T68" i="8"/>
  <c r="T108" i="8"/>
  <c r="T89" i="8"/>
  <c r="T130" i="8"/>
  <c r="T67" i="8"/>
  <c r="T100" i="8"/>
  <c r="T90" i="8"/>
  <c r="T69" i="8"/>
  <c r="T88" i="8"/>
  <c r="T87" i="8"/>
  <c r="T79" i="8"/>
  <c r="T46" i="8"/>
  <c r="T104" i="8"/>
  <c r="T103" i="8"/>
  <c r="T106" i="8"/>
  <c r="T105" i="8"/>
  <c r="S119" i="8"/>
  <c r="S120" i="8"/>
  <c r="X40" i="359"/>
  <c r="AB40" i="359"/>
  <c r="AC40" i="359"/>
  <c r="Z40" i="359"/>
  <c r="AA40" i="359"/>
  <c r="Y40" i="359"/>
  <c r="W40" i="359"/>
  <c r="U40" i="359"/>
  <c r="V40" i="359"/>
  <c r="R40" i="359"/>
  <c r="T40" i="359"/>
  <c r="S40" i="359"/>
  <c r="Q40" i="359"/>
  <c r="O40" i="359"/>
  <c r="N40" i="359"/>
  <c r="P40" i="359"/>
  <c r="M40" i="359"/>
  <c r="L40" i="359"/>
  <c r="J40" i="359"/>
  <c r="K40" i="359"/>
  <c r="I40" i="359"/>
  <c r="H40" i="359"/>
  <c r="G40" i="359"/>
  <c r="F40" i="359"/>
  <c r="D40" i="359"/>
  <c r="E40" i="359"/>
  <c r="C40" i="359"/>
  <c r="B40" i="359"/>
  <c r="A41" i="359"/>
  <c r="I58" i="15"/>
  <c r="I121" i="15" s="1"/>
  <c r="I48" i="15"/>
  <c r="I111" i="15" s="1"/>
  <c r="I51" i="15"/>
  <c r="I114" i="15" s="1"/>
  <c r="I52" i="15"/>
  <c r="I115" i="15" s="1"/>
  <c r="I44" i="15"/>
  <c r="I107" i="15" s="1"/>
  <c r="I45" i="15"/>
  <c r="I108" i="15" s="1"/>
  <c r="I53" i="15"/>
  <c r="I116" i="15" s="1"/>
  <c r="I54" i="15"/>
  <c r="I117" i="15" s="1"/>
  <c r="I43" i="15"/>
  <c r="I106" i="15" s="1"/>
  <c r="I46" i="15"/>
  <c r="I109" i="15" s="1"/>
  <c r="I50" i="15"/>
  <c r="I113" i="15" s="1"/>
  <c r="I55" i="15"/>
  <c r="I118" i="15" s="1"/>
  <c r="I47" i="15"/>
  <c r="I110" i="15" s="1"/>
  <c r="I39" i="15"/>
  <c r="I105" i="15" s="1"/>
  <c r="I49" i="15"/>
  <c r="I112" i="15" s="1"/>
  <c r="I56" i="15"/>
  <c r="I119" i="15" s="1"/>
  <c r="I57" i="15"/>
  <c r="I120" i="15" s="1"/>
  <c r="K38" i="15"/>
  <c r="C122" i="15"/>
  <c r="A122" i="15" s="1"/>
  <c r="T43" i="8"/>
  <c r="T42" i="8"/>
  <c r="T41" i="8"/>
  <c r="T44" i="8"/>
  <c r="T45" i="8"/>
  <c r="T83" i="8"/>
  <c r="T84" i="8"/>
  <c r="T85" i="8"/>
  <c r="T82" i="8"/>
  <c r="T86" i="8"/>
  <c r="F122" i="15"/>
  <c r="I122" i="15"/>
  <c r="E122" i="15"/>
  <c r="H122" i="15"/>
  <c r="G122" i="15"/>
  <c r="D60" i="15"/>
  <c r="D123" i="15" s="1"/>
  <c r="C60" i="15"/>
  <c r="A60" i="15" s="1"/>
  <c r="E60" i="15"/>
  <c r="F60" i="15"/>
  <c r="G60" i="15"/>
  <c r="H60" i="15"/>
  <c r="I60" i="15"/>
  <c r="J60" i="15"/>
  <c r="B61" i="15"/>
  <c r="S116" i="8"/>
  <c r="T126" i="8"/>
  <c r="T96" i="8"/>
  <c r="T76" i="8"/>
  <c r="T66" i="8"/>
  <c r="T56" i="8"/>
  <c r="T54" i="8"/>
  <c r="T53" i="8"/>
  <c r="T55" i="8"/>
  <c r="T64" i="8"/>
  <c r="T65" i="8"/>
  <c r="T63" i="8"/>
  <c r="T74" i="8"/>
  <c r="T73" i="8"/>
  <c r="T75" i="8"/>
  <c r="T94" i="8"/>
  <c r="T95" i="8"/>
  <c r="T93" i="8"/>
  <c r="S113" i="8"/>
  <c r="T124" i="8"/>
  <c r="T52" i="8"/>
  <c r="T62" i="8"/>
  <c r="T92" i="8"/>
  <c r="T72" i="8"/>
  <c r="T125" i="8"/>
  <c r="T123" i="8"/>
  <c r="T122" i="8"/>
  <c r="U39" i="8"/>
  <c r="S112" i="8"/>
  <c r="S102" i="8"/>
  <c r="S115" i="8"/>
  <c r="S114" i="8"/>
  <c r="U105" i="8" a="1"/>
  <c r="U79" i="8" a="1"/>
  <c r="U130" i="8" a="1"/>
  <c r="U67" i="8" a="1"/>
  <c r="U100" i="8" a="1"/>
  <c r="U47" i="8" a="1"/>
  <c r="U97" i="8" a="1"/>
  <c r="U59" i="8" a="1"/>
  <c r="U60" i="8" a="1"/>
  <c r="L41" i="359" a="1"/>
  <c r="P41" i="359" a="1"/>
  <c r="T41" i="359" a="1"/>
  <c r="U41" i="359" a="1"/>
  <c r="AA41" i="359" a="1"/>
  <c r="B41" i="359" a="1"/>
  <c r="F41" i="359" a="1"/>
  <c r="J44" i="15" a="1"/>
  <c r="H61" i="15" a="1"/>
  <c r="U41" i="8" a="1"/>
  <c r="U92" i="8" a="1"/>
  <c r="U95" i="8" a="1"/>
  <c r="U125" i="8" a="1"/>
  <c r="G61" i="15" a="1"/>
  <c r="U53" i="8" a="1"/>
  <c r="U123" i="8" a="1"/>
  <c r="U42" i="8" a="1"/>
  <c r="U83" i="8" a="1"/>
  <c r="U96" i="8" a="1"/>
  <c r="U72" i="8" a="1"/>
  <c r="U76" i="8" a="1"/>
  <c r="U73" i="8" a="1"/>
  <c r="J55" i="15" a="1"/>
  <c r="U106" i="8" a="1"/>
  <c r="U46" i="8" a="1"/>
  <c r="U68" i="8" a="1"/>
  <c r="U87" i="8" a="1"/>
  <c r="U89" i="8" a="1"/>
  <c r="U129" i="8" a="1"/>
  <c r="U78" i="8" a="1"/>
  <c r="U70" i="8" a="1"/>
  <c r="U49" i="8" a="1"/>
  <c r="K41" i="359" a="1"/>
  <c r="N41" i="359" a="1"/>
  <c r="Q41" i="359" a="1"/>
  <c r="W41" i="359" a="1"/>
  <c r="Z41" i="359" a="1"/>
  <c r="C41" i="359" a="1"/>
  <c r="G41" i="359" a="1"/>
  <c r="U75" i="8" a="1"/>
  <c r="I61" i="15" a="1"/>
  <c r="U55" i="8" a="1"/>
  <c r="J51" i="15" a="1"/>
  <c r="U66" i="8" a="1"/>
  <c r="U44" i="8" a="1"/>
  <c r="U126" i="8" a="1"/>
  <c r="U94" i="8" a="1"/>
  <c r="U43" i="8" a="1"/>
  <c r="U85" i="8" a="1"/>
  <c r="D61" i="15" a="1"/>
  <c r="U82" i="8" a="1"/>
  <c r="U62" i="8" a="1"/>
  <c r="U124" i="8" a="1"/>
  <c r="J56" i="15" a="1"/>
  <c r="J45" i="15" a="1"/>
  <c r="U103" i="8" a="1"/>
  <c r="U127" i="8" a="1"/>
  <c r="U99" i="8" a="1"/>
  <c r="U58" i="8" a="1"/>
  <c r="U110" i="8" a="1"/>
  <c r="U77" i="8" a="1"/>
  <c r="U80" i="8" a="1"/>
  <c r="U107" i="8" a="1"/>
  <c r="U109" i="8" a="1"/>
  <c r="M41" i="359" a="1"/>
  <c r="O41" i="359" a="1"/>
  <c r="S41" i="359" a="1"/>
  <c r="AB41" i="359" a="1"/>
  <c r="Y41" i="359" a="1"/>
  <c r="E41" i="359" a="1"/>
  <c r="H41" i="359" a="1"/>
  <c r="F61" i="15" a="1"/>
  <c r="E61" i="15" a="1"/>
  <c r="K61" i="15" a="1"/>
  <c r="J57" i="15" a="1"/>
  <c r="U65" i="8" a="1"/>
  <c r="J53" i="15" a="1"/>
  <c r="J59" i="15" a="1"/>
  <c r="U45" i="8" a="1"/>
  <c r="J43" i="15" a="1"/>
  <c r="J46" i="15" a="1"/>
  <c r="U84" i="8" a="1"/>
  <c r="J58" i="15" a="1"/>
  <c r="C61" i="15" a="1"/>
  <c r="U93" i="8" a="1"/>
  <c r="U56" i="8" a="1"/>
  <c r="U122" i="8" a="1"/>
  <c r="U104" i="8" a="1"/>
  <c r="U108" i="8" a="1"/>
  <c r="U69" i="8" a="1"/>
  <c r="U88" i="8" a="1"/>
  <c r="U90" i="8" a="1"/>
  <c r="U98" i="8" a="1"/>
  <c r="U128" i="8" a="1"/>
  <c r="U48" i="8" a="1"/>
  <c r="U57" i="8" a="1"/>
  <c r="J41" i="359" a="1"/>
  <c r="R41" i="359" a="1"/>
  <c r="V41" i="359" a="1"/>
  <c r="AC41" i="359" a="1"/>
  <c r="X41" i="359" a="1"/>
  <c r="D41" i="359" a="1"/>
  <c r="I41" i="359" a="1"/>
  <c r="J48" i="15" a="1"/>
  <c r="J49" i="15" a="1"/>
  <c r="U63" i="8" a="1"/>
  <c r="U54" i="8" a="1"/>
  <c r="J39" i="15" a="1"/>
  <c r="J61" i="15" a="1"/>
  <c r="U64" i="8" a="1"/>
  <c r="J52" i="15" a="1"/>
  <c r="U52" i="8" a="1"/>
  <c r="U86" i="8" a="1"/>
  <c r="J54" i="15" a="1"/>
  <c r="J50" i="15" a="1"/>
  <c r="J47" i="15" a="1"/>
  <c r="U74" i="8" a="1"/>
  <c r="T118" i="8" l="1"/>
  <c r="U57" i="8"/>
  <c r="U109" i="8"/>
  <c r="U49" i="8"/>
  <c r="U60" i="8"/>
  <c r="U48" i="8"/>
  <c r="U107" i="8"/>
  <c r="U70" i="8"/>
  <c r="U59" i="8"/>
  <c r="U128" i="8"/>
  <c r="U80" i="8"/>
  <c r="U78" i="8"/>
  <c r="U97" i="8"/>
  <c r="U98" i="8"/>
  <c r="U77" i="8"/>
  <c r="U129" i="8"/>
  <c r="U47" i="8"/>
  <c r="U90" i="8"/>
  <c r="U110" i="8"/>
  <c r="U89" i="8"/>
  <c r="U100" i="8"/>
  <c r="U88" i="8"/>
  <c r="U58" i="8"/>
  <c r="U87" i="8"/>
  <c r="U67" i="8"/>
  <c r="U69" i="8"/>
  <c r="U99" i="8"/>
  <c r="U68" i="8"/>
  <c r="U130" i="8"/>
  <c r="U108" i="8"/>
  <c r="U127" i="8"/>
  <c r="U46" i="8"/>
  <c r="U79" i="8"/>
  <c r="U104" i="8"/>
  <c r="U103" i="8"/>
  <c r="U106" i="8"/>
  <c r="U105" i="8"/>
  <c r="T117" i="8"/>
  <c r="T119" i="8"/>
  <c r="X41" i="359"/>
  <c r="Y41" i="359"/>
  <c r="Z41" i="359"/>
  <c r="AA41" i="359"/>
  <c r="AC41" i="359"/>
  <c r="AB41" i="359"/>
  <c r="W41" i="359"/>
  <c r="U41" i="359"/>
  <c r="V41" i="359"/>
  <c r="S41" i="359"/>
  <c r="Q41" i="359"/>
  <c r="T41" i="359"/>
  <c r="R41" i="359"/>
  <c r="O41" i="359"/>
  <c r="N41" i="359"/>
  <c r="P41" i="359"/>
  <c r="J41" i="359"/>
  <c r="M41" i="359"/>
  <c r="K41" i="359"/>
  <c r="L41" i="359"/>
  <c r="I41" i="359"/>
  <c r="H41" i="359"/>
  <c r="G41" i="359"/>
  <c r="F41" i="359"/>
  <c r="D41" i="359"/>
  <c r="E41" i="359"/>
  <c r="C41" i="359"/>
  <c r="B41" i="359"/>
  <c r="A42" i="359"/>
  <c r="J57" i="15"/>
  <c r="J120" i="15" s="1"/>
  <c r="J56" i="15"/>
  <c r="J119" i="15" s="1"/>
  <c r="J45" i="15"/>
  <c r="J108" i="15" s="1"/>
  <c r="J55" i="15"/>
  <c r="J118" i="15" s="1"/>
  <c r="J51" i="15"/>
  <c r="J114" i="15" s="1"/>
  <c r="J47" i="15"/>
  <c r="J110" i="15" s="1"/>
  <c r="J46" i="15"/>
  <c r="J109" i="15" s="1"/>
  <c r="J59" i="15"/>
  <c r="J122" i="15" s="1"/>
  <c r="J49" i="15"/>
  <c r="J112" i="15" s="1"/>
  <c r="J50" i="15"/>
  <c r="J113" i="15" s="1"/>
  <c r="J43" i="15"/>
  <c r="J106" i="15" s="1"/>
  <c r="J53" i="15"/>
  <c r="J116" i="15" s="1"/>
  <c r="J48" i="15"/>
  <c r="J111" i="15" s="1"/>
  <c r="J58" i="15"/>
  <c r="J121" i="15" s="1"/>
  <c r="J52" i="15"/>
  <c r="J115" i="15" s="1"/>
  <c r="J39" i="15"/>
  <c r="J105" i="15" s="1"/>
  <c r="J44" i="15"/>
  <c r="J107" i="15" s="1"/>
  <c r="J54" i="15"/>
  <c r="J117" i="15" s="1"/>
  <c r="L38" i="15"/>
  <c r="C123" i="15"/>
  <c r="A123" i="15" s="1"/>
  <c r="U42" i="8"/>
  <c r="U44" i="8"/>
  <c r="U41" i="8"/>
  <c r="U45" i="8"/>
  <c r="U43" i="8"/>
  <c r="U83" i="8"/>
  <c r="U85" i="8"/>
  <c r="U84" i="8"/>
  <c r="U82" i="8"/>
  <c r="U86" i="8"/>
  <c r="J123" i="15"/>
  <c r="F123" i="15"/>
  <c r="E123" i="15"/>
  <c r="H123" i="15"/>
  <c r="I123" i="15"/>
  <c r="G123" i="15"/>
  <c r="D61" i="15"/>
  <c r="D124" i="15" s="1"/>
  <c r="C61" i="15"/>
  <c r="A61" i="15" s="1"/>
  <c r="E61" i="15"/>
  <c r="F61" i="15"/>
  <c r="G61" i="15"/>
  <c r="H61" i="15"/>
  <c r="I61" i="15"/>
  <c r="J61" i="15"/>
  <c r="K61" i="15"/>
  <c r="B62" i="15"/>
  <c r="U126" i="8"/>
  <c r="U96" i="8"/>
  <c r="U76" i="8"/>
  <c r="U66" i="8"/>
  <c r="U56" i="8"/>
  <c r="T116" i="8"/>
  <c r="U55" i="8"/>
  <c r="U53" i="8"/>
  <c r="U54" i="8"/>
  <c r="U64" i="8"/>
  <c r="U63" i="8"/>
  <c r="U65" i="8"/>
  <c r="U73" i="8"/>
  <c r="U74" i="8"/>
  <c r="U75" i="8"/>
  <c r="U95" i="8"/>
  <c r="U93" i="8"/>
  <c r="U94" i="8"/>
  <c r="T114" i="8"/>
  <c r="T115" i="8"/>
  <c r="U124" i="8"/>
  <c r="U52" i="8"/>
  <c r="U62" i="8"/>
  <c r="U92" i="8"/>
  <c r="U72" i="8"/>
  <c r="U125" i="8"/>
  <c r="U123" i="8"/>
  <c r="U122" i="8"/>
  <c r="T102" i="8"/>
  <c r="T112" i="8"/>
  <c r="V39" i="8"/>
  <c r="T113" i="8"/>
  <c r="V103" i="8" a="1"/>
  <c r="V108" i="8" a="1"/>
  <c r="V88" i="8" a="1"/>
  <c r="V69" i="8" a="1"/>
  <c r="V89" i="8" a="1"/>
  <c r="V78" i="8" a="1"/>
  <c r="V107" i="8" a="1"/>
  <c r="V70" i="8" a="1"/>
  <c r="V109" i="8" a="1"/>
  <c r="K42" i="359" a="1"/>
  <c r="N42" i="359" a="1"/>
  <c r="R42" i="359" a="1"/>
  <c r="Z42" i="359" a="1"/>
  <c r="Y42" i="359" a="1"/>
  <c r="D42" i="359" a="1"/>
  <c r="H42" i="359" a="1"/>
  <c r="V125" i="8" a="1"/>
  <c r="E62" i="15" a="1"/>
  <c r="V92" i="8" a="1"/>
  <c r="H62" i="15" a="1"/>
  <c r="K60" i="15" a="1"/>
  <c r="K57" i="15" a="1"/>
  <c r="K45" i="15" a="1"/>
  <c r="K55" i="15" a="1"/>
  <c r="I62" i="15" a="1"/>
  <c r="V42" i="8" a="1"/>
  <c r="V64" i="8" a="1"/>
  <c r="V63" i="8" a="1"/>
  <c r="V53" i="8" a="1"/>
  <c r="G62" i="15" a="1"/>
  <c r="K58" i="15" a="1"/>
  <c r="V65" i="8" a="1"/>
  <c r="K39" i="15" a="1"/>
  <c r="V104" i="8" a="1"/>
  <c r="V100" i="8" a="1"/>
  <c r="V68" i="8" a="1"/>
  <c r="V90" i="8" a="1"/>
  <c r="V128" i="8" a="1"/>
  <c r="V129" i="8" a="1"/>
  <c r="V47" i="8" a="1"/>
  <c r="V57" i="8" a="1"/>
  <c r="V49" i="8" a="1"/>
  <c r="M42" i="359" a="1"/>
  <c r="S42" i="359" a="1"/>
  <c r="V42" i="359" a="1"/>
  <c r="AC42" i="359" a="1"/>
  <c r="X42" i="359" a="1"/>
  <c r="E42" i="359" a="1"/>
  <c r="I42" i="359" a="1"/>
  <c r="V96" i="8" a="1"/>
  <c r="V52" i="8" a="1"/>
  <c r="V122" i="8" a="1"/>
  <c r="K62" i="15" a="1"/>
  <c r="V94" i="8" a="1"/>
  <c r="C62" i="15" a="1"/>
  <c r="V56" i="8" a="1"/>
  <c r="V44" i="8" a="1"/>
  <c r="V43" i="8" a="1"/>
  <c r="V124" i="8" a="1"/>
  <c r="F62" i="15" a="1"/>
  <c r="K44" i="15" a="1"/>
  <c r="K49" i="15" a="1"/>
  <c r="K56" i="15" a="1"/>
  <c r="V105" i="8" a="1"/>
  <c r="V127" i="8" a="1"/>
  <c r="V110" i="8" a="1"/>
  <c r="V46" i="8" a="1"/>
  <c r="V67" i="8" a="1"/>
  <c r="V97" i="8" a="1"/>
  <c r="V99" i="8" a="1"/>
  <c r="V59" i="8" a="1"/>
  <c r="V60" i="8" a="1"/>
  <c r="J42" i="359" a="1"/>
  <c r="O42" i="359" a="1"/>
  <c r="Q42" i="359" a="1"/>
  <c r="U42" i="359" a="1"/>
  <c r="AB42" i="359" a="1"/>
  <c r="B42" i="359" a="1"/>
  <c r="F42" i="359" a="1"/>
  <c r="K48" i="15" a="1"/>
  <c r="K59" i="15" a="1"/>
  <c r="K51" i="15" a="1"/>
  <c r="K50" i="15" a="1"/>
  <c r="V123" i="8" a="1"/>
  <c r="V72" i="8" a="1"/>
  <c r="V93" i="8" a="1"/>
  <c r="V55" i="8" a="1"/>
  <c r="K43" i="15" a="1"/>
  <c r="K46" i="15" a="1"/>
  <c r="K54" i="15" a="1"/>
  <c r="K52" i="15" a="1"/>
  <c r="V62" i="8" a="1"/>
  <c r="V66" i="8" a="1"/>
  <c r="V126" i="8" a="1"/>
  <c r="L62" i="15" a="1"/>
  <c r="V106" i="8" a="1"/>
  <c r="V87" i="8" a="1"/>
  <c r="V79" i="8" a="1"/>
  <c r="V58" i="8" a="1"/>
  <c r="V130" i="8" a="1"/>
  <c r="V48" i="8" a="1"/>
  <c r="V98" i="8" a="1"/>
  <c r="V77" i="8" a="1"/>
  <c r="V80" i="8" a="1"/>
  <c r="L42" i="359" a="1"/>
  <c r="P42" i="359" a="1"/>
  <c r="T42" i="359" a="1"/>
  <c r="W42" i="359" a="1"/>
  <c r="AA42" i="359" a="1"/>
  <c r="C42" i="359" a="1"/>
  <c r="G42" i="359" a="1"/>
  <c r="K47" i="15" a="1"/>
  <c r="K53" i="15" a="1"/>
  <c r="V82" i="8" a="1"/>
  <c r="V85" i="8" a="1"/>
  <c r="V75" i="8" a="1"/>
  <c r="V54" i="8" a="1"/>
  <c r="V76" i="8" a="1"/>
  <c r="V73" i="8" a="1"/>
  <c r="J62" i="15" a="1"/>
  <c r="V41" i="8" a="1"/>
  <c r="V84" i="8" a="1"/>
  <c r="V95" i="8" a="1"/>
  <c r="V83" i="8" a="1"/>
  <c r="V45" i="8" a="1"/>
  <c r="V86" i="8" a="1"/>
  <c r="D62" i="15" a="1"/>
  <c r="V74" i="8" a="1"/>
  <c r="U120" i="8" l="1"/>
  <c r="U117" i="8"/>
  <c r="V49" i="8"/>
  <c r="V109" i="8"/>
  <c r="V80" i="8"/>
  <c r="V60" i="8"/>
  <c r="V57" i="8"/>
  <c r="V70" i="8"/>
  <c r="V77" i="8"/>
  <c r="V59" i="8"/>
  <c r="V47" i="8"/>
  <c r="V107" i="8"/>
  <c r="V98" i="8"/>
  <c r="V99" i="8"/>
  <c r="V129" i="8"/>
  <c r="V78" i="8"/>
  <c r="V48" i="8"/>
  <c r="V97" i="8"/>
  <c r="V128" i="8"/>
  <c r="V89" i="8"/>
  <c r="V130" i="8"/>
  <c r="V67" i="8"/>
  <c r="V90" i="8"/>
  <c r="V69" i="8"/>
  <c r="V58" i="8"/>
  <c r="V46" i="8"/>
  <c r="V68" i="8"/>
  <c r="V88" i="8"/>
  <c r="V79" i="8"/>
  <c r="V110" i="8"/>
  <c r="V100" i="8"/>
  <c r="V108" i="8"/>
  <c r="V87" i="8"/>
  <c r="V127" i="8"/>
  <c r="V104" i="8"/>
  <c r="V103" i="8"/>
  <c r="V106" i="8"/>
  <c r="V105" i="8"/>
  <c r="U119" i="8"/>
  <c r="U118" i="8"/>
  <c r="X42" i="359"/>
  <c r="Y42" i="359"/>
  <c r="AA42" i="359"/>
  <c r="AB42" i="359"/>
  <c r="AC42" i="359"/>
  <c r="Z42" i="359"/>
  <c r="W42" i="359"/>
  <c r="U42" i="359"/>
  <c r="V42" i="359"/>
  <c r="R42" i="359"/>
  <c r="T42" i="359"/>
  <c r="Q42" i="359"/>
  <c r="S42" i="359"/>
  <c r="N42" i="359"/>
  <c r="P42" i="359"/>
  <c r="O42" i="359"/>
  <c r="M42" i="359"/>
  <c r="K42" i="359"/>
  <c r="L42" i="359"/>
  <c r="J42" i="359"/>
  <c r="I42" i="359"/>
  <c r="H42" i="359"/>
  <c r="G42" i="359"/>
  <c r="F42" i="359"/>
  <c r="E42" i="359"/>
  <c r="D42" i="359"/>
  <c r="C42" i="359"/>
  <c r="B42" i="359"/>
  <c r="A43" i="359"/>
  <c r="K39" i="15"/>
  <c r="K105" i="15" s="1"/>
  <c r="K52" i="15"/>
  <c r="K115" i="15" s="1"/>
  <c r="K55" i="15"/>
  <c r="K118" i="15" s="1"/>
  <c r="K50" i="15"/>
  <c r="K113" i="15" s="1"/>
  <c r="K58" i="15"/>
  <c r="K121" i="15" s="1"/>
  <c r="K56" i="15"/>
  <c r="K119" i="15" s="1"/>
  <c r="K54" i="15"/>
  <c r="K117" i="15" s="1"/>
  <c r="K45" i="15"/>
  <c r="K108" i="15" s="1"/>
  <c r="K51" i="15"/>
  <c r="K114" i="15" s="1"/>
  <c r="K53" i="15"/>
  <c r="K116" i="15" s="1"/>
  <c r="K49" i="15"/>
  <c r="K112" i="15" s="1"/>
  <c r="K46" i="15"/>
  <c r="K109" i="15" s="1"/>
  <c r="K57" i="15"/>
  <c r="K120" i="15" s="1"/>
  <c r="K59" i="15"/>
  <c r="K122" i="15" s="1"/>
  <c r="K47" i="15"/>
  <c r="K110" i="15" s="1"/>
  <c r="K44" i="15"/>
  <c r="K107" i="15" s="1"/>
  <c r="K43" i="15"/>
  <c r="K106" i="15" s="1"/>
  <c r="K60" i="15"/>
  <c r="K123" i="15" s="1"/>
  <c r="K48" i="15"/>
  <c r="K111" i="15" s="1"/>
  <c r="M38" i="15"/>
  <c r="C124" i="15"/>
  <c r="A124" i="15" s="1"/>
  <c r="V41" i="8"/>
  <c r="V42" i="8"/>
  <c r="V45" i="8"/>
  <c r="V43" i="8"/>
  <c r="V44" i="8"/>
  <c r="V83" i="8"/>
  <c r="V85" i="8"/>
  <c r="V82" i="8"/>
  <c r="V86" i="8"/>
  <c r="V84" i="8"/>
  <c r="J124" i="15"/>
  <c r="F124" i="15"/>
  <c r="I124" i="15"/>
  <c r="E124" i="15"/>
  <c r="H124" i="15"/>
  <c r="K124" i="15"/>
  <c r="G124" i="15"/>
  <c r="D62" i="15"/>
  <c r="D125" i="15" s="1"/>
  <c r="C62" i="15"/>
  <c r="A62" i="15" s="1"/>
  <c r="E62" i="15"/>
  <c r="F62" i="15"/>
  <c r="G62" i="15"/>
  <c r="H62" i="15"/>
  <c r="I62" i="15"/>
  <c r="J62" i="15"/>
  <c r="K62" i="15"/>
  <c r="L62" i="15"/>
  <c r="B63" i="15"/>
  <c r="V126" i="8"/>
  <c r="V96" i="8"/>
  <c r="V76" i="8"/>
  <c r="V66" i="8"/>
  <c r="V56" i="8"/>
  <c r="U116" i="8"/>
  <c r="V53" i="8"/>
  <c r="V55" i="8"/>
  <c r="V54" i="8"/>
  <c r="V64" i="8"/>
  <c r="V63" i="8"/>
  <c r="V65" i="8"/>
  <c r="V74" i="8"/>
  <c r="V73" i="8"/>
  <c r="V75" i="8"/>
  <c r="V95" i="8"/>
  <c r="V94" i="8"/>
  <c r="V93" i="8"/>
  <c r="U114" i="8"/>
  <c r="V124" i="8"/>
  <c r="V52" i="8"/>
  <c r="V62" i="8"/>
  <c r="V92" i="8"/>
  <c r="V72" i="8"/>
  <c r="V125" i="8"/>
  <c r="V123" i="8"/>
  <c r="V122" i="8"/>
  <c r="U115" i="8"/>
  <c r="U102" i="8"/>
  <c r="U112" i="8"/>
  <c r="W39" i="8"/>
  <c r="U113" i="8"/>
  <c r="W103" i="8" a="1"/>
  <c r="W69" i="8" a="1"/>
  <c r="W58" i="8" a="1"/>
  <c r="W89" i="8" a="1"/>
  <c r="W130" i="8" a="1"/>
  <c r="W98" i="8" a="1"/>
  <c r="W107" i="8" a="1"/>
  <c r="W70" i="8" a="1"/>
  <c r="W60" i="8" a="1"/>
  <c r="M43" i="359" a="1"/>
  <c r="N43" i="359" a="1"/>
  <c r="Q43" i="359" a="1"/>
  <c r="AC43" i="359" a="1"/>
  <c r="AB43" i="359" a="1"/>
  <c r="E43" i="359" a="1"/>
  <c r="H43" i="359" a="1"/>
  <c r="L48" i="15" a="1"/>
  <c r="W122" i="8" a="1"/>
  <c r="L50" i="15" a="1"/>
  <c r="L52" i="15" a="1"/>
  <c r="L43" i="15" a="1"/>
  <c r="W94" i="8" a="1"/>
  <c r="L47" i="15" a="1"/>
  <c r="L55" i="15" a="1"/>
  <c r="E63" i="15" a="1"/>
  <c r="L57" i="15" a="1"/>
  <c r="W41" i="8" a="1"/>
  <c r="W82" i="8" a="1"/>
  <c r="W53" i="8" a="1"/>
  <c r="W83" i="8" a="1"/>
  <c r="W124" i="8" a="1"/>
  <c r="W123" i="8" a="1"/>
  <c r="L46" i="15" a="1"/>
  <c r="W84" i="8" a="1"/>
  <c r="W104" i="8" a="1"/>
  <c r="W90" i="8" a="1"/>
  <c r="W100" i="8" a="1"/>
  <c r="W99" i="8" a="1"/>
  <c r="W110" i="8" a="1"/>
  <c r="W97" i="8" a="1"/>
  <c r="W77" i="8" a="1"/>
  <c r="W57" i="8" a="1"/>
  <c r="W109" i="8" a="1"/>
  <c r="K43" i="359" a="1"/>
  <c r="S43" i="359" a="1"/>
  <c r="V43" i="359" a="1"/>
  <c r="Z43" i="359" a="1"/>
  <c r="X43" i="359" a="1"/>
  <c r="D43" i="359" a="1"/>
  <c r="I43" i="359" a="1"/>
  <c r="W125" i="8" a="1"/>
  <c r="W52" i="8" a="1"/>
  <c r="W64" i="8" a="1"/>
  <c r="H63" i="15" a="1"/>
  <c r="L39" i="15" a="1"/>
  <c r="L63" i="15" a="1"/>
  <c r="W93" i="8" a="1"/>
  <c r="W45" i="8" a="1"/>
  <c r="L58" i="15" a="1"/>
  <c r="L59" i="15" a="1"/>
  <c r="W74" i="8" a="1"/>
  <c r="L44" i="15" a="1"/>
  <c r="W56" i="8" a="1"/>
  <c r="W62" i="8" a="1"/>
  <c r="W105" i="8" a="1"/>
  <c r="W79" i="8" a="1"/>
  <c r="W67" i="8" a="1"/>
  <c r="W68" i="8" a="1"/>
  <c r="W127" i="8" a="1"/>
  <c r="W128" i="8" a="1"/>
  <c r="W48" i="8" a="1"/>
  <c r="W47" i="8" a="1"/>
  <c r="W49" i="8" a="1"/>
  <c r="J43" i="359" a="1"/>
  <c r="P43" i="359" a="1"/>
  <c r="R43" i="359" a="1"/>
  <c r="W43" i="359" a="1"/>
  <c r="AA43" i="359" a="1"/>
  <c r="B43" i="359" a="1"/>
  <c r="F43" i="359" a="1"/>
  <c r="W44" i="8" a="1"/>
  <c r="W126" i="8" a="1"/>
  <c r="W75" i="8" a="1"/>
  <c r="W63" i="8" a="1"/>
  <c r="W43" i="8" a="1"/>
  <c r="M63" i="15" a="1"/>
  <c r="W92" i="8" a="1"/>
  <c r="W54" i="8" a="1"/>
  <c r="C63" i="15" a="1"/>
  <c r="F63" i="15" a="1"/>
  <c r="I63" i="15" a="1"/>
  <c r="W85" i="8" a="1"/>
  <c r="W42" i="8" a="1"/>
  <c r="L54" i="15" a="1"/>
  <c r="L45" i="15" a="1"/>
  <c r="L60" i="15" a="1"/>
  <c r="L51" i="15" a="1"/>
  <c r="L61" i="15" a="1"/>
  <c r="J63" i="15" a="1"/>
  <c r="W106" i="8" a="1"/>
  <c r="W88" i="8" a="1"/>
  <c r="W87" i="8" a="1"/>
  <c r="W46" i="8" a="1"/>
  <c r="W108" i="8" a="1"/>
  <c r="W129" i="8" a="1"/>
  <c r="W78" i="8" a="1"/>
  <c r="W59" i="8" a="1"/>
  <c r="W80" i="8" a="1"/>
  <c r="L43" i="359" a="1"/>
  <c r="O43" i="359" a="1"/>
  <c r="T43" i="359" a="1"/>
  <c r="U43" i="359" a="1"/>
  <c r="Y43" i="359" a="1"/>
  <c r="C43" i="359" a="1"/>
  <c r="G43" i="359" a="1"/>
  <c r="L49" i="15" a="1"/>
  <c r="L56" i="15" a="1"/>
  <c r="W95" i="8" a="1"/>
  <c r="D63" i="15" a="1"/>
  <c r="W55" i="8" a="1"/>
  <c r="W65" i="8" a="1"/>
  <c r="K63" i="15" a="1"/>
  <c r="W96" i="8" a="1"/>
  <c r="W66" i="8" a="1"/>
  <c r="W76" i="8" a="1"/>
  <c r="W72" i="8" a="1"/>
  <c r="G63" i="15" a="1"/>
  <c r="L53" i="15" a="1"/>
  <c r="W86" i="8" a="1"/>
  <c r="W73" i="8" a="1"/>
  <c r="V117" i="8" l="1"/>
  <c r="V118" i="8"/>
  <c r="W109" i="8"/>
  <c r="W60" i="8"/>
  <c r="W80" i="8"/>
  <c r="W49" i="8"/>
  <c r="W57" i="8"/>
  <c r="W70" i="8"/>
  <c r="W59" i="8"/>
  <c r="W47" i="8"/>
  <c r="W77" i="8"/>
  <c r="W107" i="8"/>
  <c r="W78" i="8"/>
  <c r="W48" i="8"/>
  <c r="W97" i="8"/>
  <c r="W98" i="8"/>
  <c r="W129" i="8"/>
  <c r="W128" i="8"/>
  <c r="W110" i="8"/>
  <c r="W130" i="8"/>
  <c r="W108" i="8"/>
  <c r="W127" i="8"/>
  <c r="W99" i="8"/>
  <c r="W89" i="8"/>
  <c r="W46" i="8"/>
  <c r="W68" i="8"/>
  <c r="W100" i="8"/>
  <c r="W58" i="8"/>
  <c r="W87" i="8"/>
  <c r="W67" i="8"/>
  <c r="W90" i="8"/>
  <c r="W69" i="8"/>
  <c r="W88" i="8"/>
  <c r="W79" i="8"/>
  <c r="W104" i="8"/>
  <c r="W103" i="8"/>
  <c r="W106" i="8"/>
  <c r="W105" i="8"/>
  <c r="V119" i="8"/>
  <c r="V120" i="8"/>
  <c r="X43" i="359"/>
  <c r="AB43" i="359"/>
  <c r="Y43" i="359"/>
  <c r="AA43" i="359"/>
  <c r="Z43" i="359"/>
  <c r="AC43" i="359"/>
  <c r="U43" i="359"/>
  <c r="W43" i="359"/>
  <c r="V43" i="359"/>
  <c r="Q43" i="359"/>
  <c r="T43" i="359"/>
  <c r="R43" i="359"/>
  <c r="S43" i="359"/>
  <c r="N43" i="359"/>
  <c r="O43" i="359"/>
  <c r="P43" i="359"/>
  <c r="K43" i="359"/>
  <c r="M43" i="359"/>
  <c r="L43" i="359"/>
  <c r="J43" i="359"/>
  <c r="I43" i="359"/>
  <c r="H43" i="359"/>
  <c r="G43" i="359"/>
  <c r="F43" i="359"/>
  <c r="D43" i="359"/>
  <c r="E43" i="359"/>
  <c r="C43" i="359"/>
  <c r="B43" i="359"/>
  <c r="A44" i="359"/>
  <c r="L59" i="15"/>
  <c r="L122" i="15" s="1"/>
  <c r="L52" i="15"/>
  <c r="L115" i="15" s="1"/>
  <c r="L53" i="15"/>
  <c r="L116" i="15" s="1"/>
  <c r="L51" i="15"/>
  <c r="L114" i="15" s="1"/>
  <c r="L57" i="15"/>
  <c r="L120" i="15" s="1"/>
  <c r="L61" i="15"/>
  <c r="L124" i="15" s="1"/>
  <c r="L58" i="15"/>
  <c r="L121" i="15" s="1"/>
  <c r="L50" i="15"/>
  <c r="L113" i="15" s="1"/>
  <c r="L44" i="15"/>
  <c r="L107" i="15" s="1"/>
  <c r="L60" i="15"/>
  <c r="L123" i="15" s="1"/>
  <c r="L45" i="15"/>
  <c r="L108" i="15" s="1"/>
  <c r="L55" i="15"/>
  <c r="L118" i="15" s="1"/>
  <c r="L56" i="15"/>
  <c r="L119" i="15" s="1"/>
  <c r="L39" i="15"/>
  <c r="L105" i="15" s="1"/>
  <c r="L46" i="15"/>
  <c r="L109" i="15" s="1"/>
  <c r="L48" i="15"/>
  <c r="L111" i="15" s="1"/>
  <c r="L43" i="15"/>
  <c r="L106" i="15" s="1"/>
  <c r="L54" i="15"/>
  <c r="L117" i="15" s="1"/>
  <c r="L47" i="15"/>
  <c r="L110" i="15" s="1"/>
  <c r="L49" i="15"/>
  <c r="L112" i="15" s="1"/>
  <c r="N38" i="15"/>
  <c r="C125" i="15"/>
  <c r="A125" i="15" s="1"/>
  <c r="W45" i="8"/>
  <c r="W43" i="8"/>
  <c r="W42" i="8"/>
  <c r="W41" i="8"/>
  <c r="W44" i="8"/>
  <c r="W84" i="8"/>
  <c r="W83" i="8"/>
  <c r="W82" i="8"/>
  <c r="W86" i="8"/>
  <c r="W85" i="8"/>
  <c r="J125" i="15"/>
  <c r="F125" i="15"/>
  <c r="L125" i="15"/>
  <c r="H125" i="15"/>
  <c r="I125" i="15"/>
  <c r="E125" i="15"/>
  <c r="K125" i="15"/>
  <c r="G125" i="15"/>
  <c r="D63" i="15"/>
  <c r="D126" i="15" s="1"/>
  <c r="C63" i="15"/>
  <c r="A63" i="15" s="1"/>
  <c r="E63" i="15"/>
  <c r="F63" i="15"/>
  <c r="G63" i="15"/>
  <c r="H63" i="15"/>
  <c r="I63" i="15"/>
  <c r="J63" i="15"/>
  <c r="K63" i="15"/>
  <c r="L63" i="15"/>
  <c r="M63" i="15"/>
  <c r="B64" i="15"/>
  <c r="V116" i="8"/>
  <c r="W126" i="8"/>
  <c r="W96" i="8"/>
  <c r="W76" i="8"/>
  <c r="W66" i="8"/>
  <c r="W56" i="8"/>
  <c r="W55" i="8"/>
  <c r="W53" i="8"/>
  <c r="W54" i="8"/>
  <c r="W63" i="8"/>
  <c r="W65" i="8"/>
  <c r="W64" i="8"/>
  <c r="W75" i="8"/>
  <c r="W73" i="8"/>
  <c r="W74" i="8"/>
  <c r="W93" i="8"/>
  <c r="W94" i="8"/>
  <c r="W95" i="8"/>
  <c r="V114" i="8"/>
  <c r="W124" i="8"/>
  <c r="W52" i="8"/>
  <c r="W62" i="8"/>
  <c r="W92" i="8"/>
  <c r="W72" i="8"/>
  <c r="W125" i="8"/>
  <c r="W123" i="8"/>
  <c r="W122" i="8"/>
  <c r="V102" i="8"/>
  <c r="V112" i="8"/>
  <c r="X39" i="8"/>
  <c r="V115" i="8"/>
  <c r="V113" i="8"/>
  <c r="X104" i="8" a="1"/>
  <c r="X108" i="8" a="1"/>
  <c r="X69" i="8" a="1"/>
  <c r="X79" i="8" a="1"/>
  <c r="X47" i="8" a="1"/>
  <c r="X78" i="8" a="1"/>
  <c r="X97" i="8" a="1"/>
  <c r="X107" i="8" a="1"/>
  <c r="X109" i="8" a="1"/>
  <c r="J44" i="359" a="1"/>
  <c r="S44" i="359" a="1"/>
  <c r="V44" i="359" a="1"/>
  <c r="AA44" i="359" a="1"/>
  <c r="X44" i="359" a="1"/>
  <c r="D44" i="359" a="1"/>
  <c r="I44" i="359" a="1"/>
  <c r="X93" i="8" a="1"/>
  <c r="X85" i="8" a="1"/>
  <c r="X84" i="8" a="1"/>
  <c r="X126" i="8" a="1"/>
  <c r="M58" i="15" a="1"/>
  <c r="M52" i="15" a="1"/>
  <c r="M44" i="15" a="1"/>
  <c r="X73" i="8" a="1"/>
  <c r="X74" i="8" a="1"/>
  <c r="X76" i="8" a="1"/>
  <c r="M64" i="15" a="1"/>
  <c r="M48" i="15" a="1"/>
  <c r="M62" i="15" a="1"/>
  <c r="X122" i="8" a="1"/>
  <c r="X105" i="8" a="1"/>
  <c r="X46" i="8" a="1"/>
  <c r="X67" i="8" a="1"/>
  <c r="X90" i="8" a="1"/>
  <c r="X87" i="8" a="1"/>
  <c r="X98" i="8" a="1"/>
  <c r="X57" i="8" a="1"/>
  <c r="X59" i="8" a="1"/>
  <c r="X49" i="8" a="1"/>
  <c r="L44" i="359" a="1"/>
  <c r="N44" i="359" a="1"/>
  <c r="T44" i="359" a="1"/>
  <c r="U44" i="359" a="1"/>
  <c r="Z44" i="359" a="1"/>
  <c r="B44" i="359" a="1"/>
  <c r="F44" i="359" a="1"/>
  <c r="M55" i="15" a="1"/>
  <c r="X82" i="8" a="1"/>
  <c r="H64" i="15" a="1"/>
  <c r="L64" i="15" a="1"/>
  <c r="X95" i="8" a="1"/>
  <c r="D64" i="15" a="1"/>
  <c r="X125" i="8" a="1"/>
  <c r="K64" i="15" a="1"/>
  <c r="M56" i="15" a="1"/>
  <c r="M53" i="15" a="1"/>
  <c r="M51" i="15" a="1"/>
  <c r="M61" i="15" a="1"/>
  <c r="X42" i="8" a="1"/>
  <c r="X63" i="8" a="1"/>
  <c r="F64" i="15" a="1"/>
  <c r="X106" i="8" a="1"/>
  <c r="X127" i="8" a="1"/>
  <c r="X100" i="8" a="1"/>
  <c r="X130" i="8" a="1"/>
  <c r="X58" i="8" a="1"/>
  <c r="X48" i="8" a="1"/>
  <c r="X128" i="8" a="1"/>
  <c r="X129" i="8" a="1"/>
  <c r="X80" i="8" a="1"/>
  <c r="M44" i="359" a="1"/>
  <c r="O44" i="359" a="1"/>
  <c r="R44" i="359" a="1"/>
  <c r="W44" i="359" a="1"/>
  <c r="Y44" i="359" a="1"/>
  <c r="C44" i="359" a="1"/>
  <c r="G44" i="359" a="1"/>
  <c r="M46" i="15" a="1"/>
  <c r="X43" i="8" a="1"/>
  <c r="M43" i="15" a="1"/>
  <c r="X86" i="8" a="1"/>
  <c r="M60" i="15" a="1"/>
  <c r="X123" i="8" a="1"/>
  <c r="X53" i="8" a="1"/>
  <c r="X92" i="8" a="1"/>
  <c r="C64" i="15" a="1"/>
  <c r="N64" i="15" a="1"/>
  <c r="G64" i="15" a="1"/>
  <c r="M49" i="15" a="1"/>
  <c r="X55" i="8" a="1"/>
  <c r="X45" i="8" a="1"/>
  <c r="M54" i="15" a="1"/>
  <c r="X65" i="8" a="1"/>
  <c r="X103" i="8" a="1"/>
  <c r="X88" i="8" a="1"/>
  <c r="X110" i="8" a="1"/>
  <c r="X89" i="8" a="1"/>
  <c r="X68" i="8" a="1"/>
  <c r="X77" i="8" a="1"/>
  <c r="X99" i="8" a="1"/>
  <c r="X70" i="8" a="1"/>
  <c r="X60" i="8" a="1"/>
  <c r="K44" i="359" a="1"/>
  <c r="P44" i="359" a="1"/>
  <c r="Q44" i="359" a="1"/>
  <c r="AB44" i="359" a="1"/>
  <c r="AC44" i="359" a="1"/>
  <c r="E44" i="359" a="1"/>
  <c r="H44" i="359" a="1"/>
  <c r="X94" i="8" a="1"/>
  <c r="M59" i="15" a="1"/>
  <c r="M39" i="15" a="1"/>
  <c r="M50" i="15" a="1"/>
  <c r="J64" i="15" a="1"/>
  <c r="X54" i="8" a="1"/>
  <c r="I64" i="15" a="1"/>
  <c r="X52" i="8" a="1"/>
  <c r="E64" i="15" a="1"/>
  <c r="X64" i="8" a="1"/>
  <c r="X56" i="8" a="1"/>
  <c r="X96" i="8" a="1"/>
  <c r="M45" i="15" a="1"/>
  <c r="X62" i="8" a="1"/>
  <c r="X75" i="8" a="1"/>
  <c r="X83" i="8" a="1"/>
  <c r="X66" i="8" a="1"/>
  <c r="X44" i="8" a="1"/>
  <c r="M57" i="15" a="1"/>
  <c r="M47" i="15" a="1"/>
  <c r="X124" i="8" a="1"/>
  <c r="X41" i="8" a="1"/>
  <c r="X72" i="8" a="1"/>
  <c r="W118" i="8" l="1"/>
  <c r="W117" i="8"/>
  <c r="X109" i="8"/>
  <c r="X60" i="8"/>
  <c r="X80" i="8"/>
  <c r="X49" i="8"/>
  <c r="X107" i="8"/>
  <c r="X70" i="8"/>
  <c r="X129" i="8"/>
  <c r="X59" i="8"/>
  <c r="X97" i="8"/>
  <c r="X99" i="8"/>
  <c r="X128" i="8"/>
  <c r="X57" i="8"/>
  <c r="X78" i="8"/>
  <c r="X77" i="8"/>
  <c r="X48" i="8"/>
  <c r="X98" i="8"/>
  <c r="X47" i="8"/>
  <c r="X68" i="8"/>
  <c r="X58" i="8"/>
  <c r="X87" i="8"/>
  <c r="X79" i="8"/>
  <c r="X89" i="8"/>
  <c r="X130" i="8"/>
  <c r="X90" i="8"/>
  <c r="X69" i="8"/>
  <c r="X110" i="8"/>
  <c r="X100" i="8"/>
  <c r="X67" i="8"/>
  <c r="X108" i="8"/>
  <c r="X88" i="8"/>
  <c r="X127" i="8"/>
  <c r="X46" i="8"/>
  <c r="X104" i="8"/>
  <c r="X103" i="8"/>
  <c r="X106" i="8"/>
  <c r="X105" i="8"/>
  <c r="W119" i="8"/>
  <c r="W120" i="8"/>
  <c r="X44" i="359"/>
  <c r="AC44" i="359"/>
  <c r="Y44" i="359"/>
  <c r="Z44" i="359"/>
  <c r="AA44" i="359"/>
  <c r="AB44" i="359"/>
  <c r="W44" i="359"/>
  <c r="U44" i="359"/>
  <c r="V44" i="359"/>
  <c r="Q44" i="359"/>
  <c r="R44" i="359"/>
  <c r="T44" i="359"/>
  <c r="S44" i="359"/>
  <c r="P44" i="359"/>
  <c r="O44" i="359"/>
  <c r="N44" i="359"/>
  <c r="J44" i="359"/>
  <c r="K44" i="359"/>
  <c r="M44" i="359"/>
  <c r="L44" i="359"/>
  <c r="I44" i="359"/>
  <c r="H44" i="359"/>
  <c r="G44" i="359"/>
  <c r="F44" i="359"/>
  <c r="D44" i="359"/>
  <c r="E44" i="359"/>
  <c r="C44" i="359"/>
  <c r="B44" i="359"/>
  <c r="A45" i="359"/>
  <c r="M49" i="15"/>
  <c r="M112" i="15" s="1"/>
  <c r="M60" i="15"/>
  <c r="M123" i="15" s="1"/>
  <c r="M50" i="15"/>
  <c r="M113" i="15" s="1"/>
  <c r="M47" i="15"/>
  <c r="M110" i="15" s="1"/>
  <c r="M61" i="15"/>
  <c r="M124" i="15" s="1"/>
  <c r="M39" i="15"/>
  <c r="M105" i="15" s="1"/>
  <c r="M62" i="15"/>
  <c r="M125" i="15" s="1"/>
  <c r="M51" i="15"/>
  <c r="M114" i="15" s="1"/>
  <c r="M44" i="15"/>
  <c r="M107" i="15" s="1"/>
  <c r="M43" i="15"/>
  <c r="M106" i="15" s="1"/>
  <c r="M54" i="15"/>
  <c r="M117" i="15" s="1"/>
  <c r="M59" i="15"/>
  <c r="M122" i="15" s="1"/>
  <c r="M57" i="15"/>
  <c r="M120" i="15" s="1"/>
  <c r="M53" i="15"/>
  <c r="M116" i="15" s="1"/>
  <c r="M52" i="15"/>
  <c r="M115" i="15" s="1"/>
  <c r="M48" i="15"/>
  <c r="M111" i="15" s="1"/>
  <c r="M56" i="15"/>
  <c r="M119" i="15" s="1"/>
  <c r="M58" i="15"/>
  <c r="M121" i="15" s="1"/>
  <c r="M46" i="15"/>
  <c r="M109" i="15" s="1"/>
  <c r="M45" i="15"/>
  <c r="M108" i="15" s="1"/>
  <c r="M55" i="15"/>
  <c r="M118" i="15" s="1"/>
  <c r="O38" i="15"/>
  <c r="C126" i="15"/>
  <c r="A126" i="15" s="1"/>
  <c r="X44" i="8"/>
  <c r="X45" i="8"/>
  <c r="X43" i="8"/>
  <c r="X41" i="8"/>
  <c r="X42" i="8"/>
  <c r="X82" i="8"/>
  <c r="X86" i="8"/>
  <c r="X85" i="8"/>
  <c r="X84" i="8"/>
  <c r="X83" i="8"/>
  <c r="F126" i="15"/>
  <c r="J126" i="15"/>
  <c r="L126" i="15"/>
  <c r="H126" i="15"/>
  <c r="M126" i="15"/>
  <c r="I126" i="15"/>
  <c r="E126" i="15"/>
  <c r="K126" i="15"/>
  <c r="G126" i="15"/>
  <c r="D64" i="15"/>
  <c r="D127" i="15" s="1"/>
  <c r="C64" i="15"/>
  <c r="A64" i="15" s="1"/>
  <c r="E64" i="15"/>
  <c r="F64" i="15"/>
  <c r="G64" i="15"/>
  <c r="H64" i="15"/>
  <c r="I64" i="15"/>
  <c r="K64" i="15"/>
  <c r="J64" i="15"/>
  <c r="L64" i="15"/>
  <c r="M64" i="15"/>
  <c r="N64" i="15"/>
  <c r="B65" i="15"/>
  <c r="W116" i="8"/>
  <c r="X126" i="8"/>
  <c r="X96" i="8"/>
  <c r="X76" i="8"/>
  <c r="X66" i="8"/>
  <c r="X56" i="8"/>
  <c r="X55" i="8"/>
  <c r="X53" i="8"/>
  <c r="X54" i="8"/>
  <c r="X63" i="8"/>
  <c r="X64" i="8"/>
  <c r="X65" i="8"/>
  <c r="X73" i="8"/>
  <c r="X74" i="8"/>
  <c r="X75" i="8"/>
  <c r="X95" i="8"/>
  <c r="X93" i="8"/>
  <c r="X94" i="8"/>
  <c r="W113" i="8"/>
  <c r="W115" i="8"/>
  <c r="X124" i="8"/>
  <c r="X52" i="8"/>
  <c r="X62" i="8"/>
  <c r="X92" i="8"/>
  <c r="X72" i="8"/>
  <c r="X125" i="8"/>
  <c r="X123" i="8"/>
  <c r="X122" i="8"/>
  <c r="W112" i="8"/>
  <c r="W102" i="8"/>
  <c r="Y39" i="8"/>
  <c r="W114" i="8"/>
  <c r="Y105" i="8" a="1"/>
  <c r="Y58" i="8" a="1"/>
  <c r="Y68" i="8" a="1"/>
  <c r="Y46" i="8" a="1"/>
  <c r="Y110" i="8" a="1"/>
  <c r="Y47" i="8" a="1"/>
  <c r="Y97" i="8" a="1"/>
  <c r="Y98" i="8" a="1"/>
  <c r="Y49" i="8" a="1"/>
  <c r="L45" i="359" a="1"/>
  <c r="P45" i="359" a="1"/>
  <c r="S45" i="359" a="1"/>
  <c r="V45" i="359" a="1"/>
  <c r="Z45" i="359" a="1"/>
  <c r="B45" i="359" a="1"/>
  <c r="F45" i="359" a="1"/>
  <c r="Y43" i="8" a="1"/>
  <c r="Y44" i="8" a="1"/>
  <c r="C65" i="15" a="1"/>
  <c r="Y41" i="8" a="1"/>
  <c r="Y65" i="8" a="1"/>
  <c r="Y73" i="8" a="1"/>
  <c r="Y86" i="8" a="1"/>
  <c r="Y56" i="8" a="1"/>
  <c r="Y92" i="8" a="1"/>
  <c r="Y123" i="8" a="1"/>
  <c r="Y126" i="8" a="1"/>
  <c r="N44" i="15" a="1"/>
  <c r="N51" i="15" a="1"/>
  <c r="N57" i="15" a="1"/>
  <c r="N59" i="15" a="1"/>
  <c r="L65" i="15" a="1"/>
  <c r="K65" i="15" a="1"/>
  <c r="Y55" i="8" a="1"/>
  <c r="Y106" i="8" a="1"/>
  <c r="Y69" i="8" a="1"/>
  <c r="Y87" i="8" a="1"/>
  <c r="Y79" i="8" a="1"/>
  <c r="Y127" i="8" a="1"/>
  <c r="Y128" i="8" a="1"/>
  <c r="Y78" i="8" a="1"/>
  <c r="Y48" i="8" a="1"/>
  <c r="Y80" i="8" a="1"/>
  <c r="M45" i="359" a="1"/>
  <c r="N45" i="359" a="1"/>
  <c r="T45" i="359" a="1"/>
  <c r="W45" i="359" a="1"/>
  <c r="Y45" i="359" a="1"/>
  <c r="C45" i="359" a="1"/>
  <c r="G45" i="359" a="1"/>
  <c r="N58" i="15" a="1"/>
  <c r="N47" i="15" a="1"/>
  <c r="Y82" i="8" a="1"/>
  <c r="Y45" i="8" a="1"/>
  <c r="N62" i="15" a="1"/>
  <c r="Y94" i="8" a="1"/>
  <c r="Y62" i="8" a="1"/>
  <c r="E65" i="15" a="1"/>
  <c r="Y72" i="8" a="1"/>
  <c r="Y75" i="8" a="1"/>
  <c r="I65" i="15" a="1"/>
  <c r="Y52" i="8" a="1"/>
  <c r="Y122" i="8" a="1"/>
  <c r="Y84" i="8" a="1"/>
  <c r="N63" i="15" a="1"/>
  <c r="N45" i="15" a="1"/>
  <c r="F65" i="15" a="1"/>
  <c r="Y76" i="8" a="1"/>
  <c r="Y103" i="8" a="1"/>
  <c r="Y130" i="8" a="1"/>
  <c r="Y88" i="8" a="1"/>
  <c r="Y90" i="8" a="1"/>
  <c r="Y108" i="8" a="1"/>
  <c r="Y129" i="8" a="1"/>
  <c r="Y107" i="8" a="1"/>
  <c r="Y59" i="8" a="1"/>
  <c r="Y60" i="8" a="1"/>
  <c r="K45" i="359" a="1"/>
  <c r="O45" i="359" a="1"/>
  <c r="R45" i="359" a="1"/>
  <c r="AC45" i="359" a="1"/>
  <c r="AB45" i="359" a="1"/>
  <c r="E45" i="359" a="1"/>
  <c r="H45" i="359" a="1"/>
  <c r="Y96" i="8" a="1"/>
  <c r="G65" i="15" a="1"/>
  <c r="N52" i="15" a="1"/>
  <c r="N54" i="15" a="1"/>
  <c r="N43" i="15" a="1"/>
  <c r="N55" i="15" a="1"/>
  <c r="D65" i="15" a="1"/>
  <c r="Y93" i="8" a="1"/>
  <c r="N50" i="15" a="1"/>
  <c r="Y74" i="8" a="1"/>
  <c r="Y83" i="8" a="1"/>
  <c r="Y124" i="8" a="1"/>
  <c r="Y64" i="8" a="1"/>
  <c r="Y54" i="8" a="1"/>
  <c r="O65" i="15" a="1"/>
  <c r="N46" i="15" a="1"/>
  <c r="N61" i="15" a="1"/>
  <c r="Y104" i="8" a="1"/>
  <c r="Y89" i="8" a="1"/>
  <c r="Y67" i="8" a="1"/>
  <c r="Y100" i="8" a="1"/>
  <c r="Y99" i="8" a="1"/>
  <c r="Y70" i="8" a="1"/>
  <c r="Y77" i="8" a="1"/>
  <c r="Y57" i="8" a="1"/>
  <c r="Y109" i="8" a="1"/>
  <c r="J45" i="359" a="1"/>
  <c r="Q45" i="359" a="1"/>
  <c r="U45" i="359" a="1"/>
  <c r="AA45" i="359" a="1"/>
  <c r="X45" i="359" a="1"/>
  <c r="D45" i="359" a="1"/>
  <c r="I45" i="359" a="1"/>
  <c r="J65" i="15" a="1"/>
  <c r="Y125" i="8" a="1"/>
  <c r="N39" i="15" a="1"/>
  <c r="N48" i="15" a="1"/>
  <c r="Y53" i="8" a="1"/>
  <c r="Y85" i="8" a="1"/>
  <c r="N60" i="15" a="1"/>
  <c r="N56" i="15" a="1"/>
  <c r="N49" i="15" a="1"/>
  <c r="N53" i="15" a="1"/>
  <c r="Y95" i="8" a="1"/>
  <c r="Y63" i="8" a="1"/>
  <c r="M65" i="15" a="1"/>
  <c r="H65" i="15" a="1"/>
  <c r="N65" i="15" a="1"/>
  <c r="Y66" i="8" a="1"/>
  <c r="Y42" i="8" a="1"/>
  <c r="X120" i="8" l="1"/>
  <c r="Y109" i="8"/>
  <c r="Y60" i="8"/>
  <c r="Y80" i="8"/>
  <c r="Y49" i="8"/>
  <c r="Y57" i="8"/>
  <c r="Y59" i="8"/>
  <c r="Y48" i="8"/>
  <c r="Y98" i="8"/>
  <c r="Y77" i="8"/>
  <c r="Y107" i="8"/>
  <c r="Y78" i="8"/>
  <c r="Y97" i="8"/>
  <c r="Y70" i="8"/>
  <c r="Y129" i="8"/>
  <c r="Y128" i="8"/>
  <c r="Y47" i="8"/>
  <c r="Y99" i="8"/>
  <c r="Y108" i="8"/>
  <c r="Y127" i="8"/>
  <c r="Y110" i="8"/>
  <c r="Y100" i="8"/>
  <c r="Y90" i="8"/>
  <c r="Y79" i="8"/>
  <c r="Y46" i="8"/>
  <c r="Y67" i="8"/>
  <c r="Y88" i="8"/>
  <c r="Y87" i="8"/>
  <c r="Y68" i="8"/>
  <c r="Y89" i="8"/>
  <c r="Y130" i="8"/>
  <c r="Y69" i="8"/>
  <c r="Y58" i="8"/>
  <c r="Y104" i="8"/>
  <c r="Y103" i="8"/>
  <c r="Y106" i="8"/>
  <c r="Y105" i="8"/>
  <c r="X117" i="8"/>
  <c r="X119" i="8"/>
  <c r="X118" i="8"/>
  <c r="X45" i="359"/>
  <c r="AB45" i="359"/>
  <c r="Y45" i="359"/>
  <c r="Z45" i="359"/>
  <c r="AA45" i="359"/>
  <c r="AC45" i="359"/>
  <c r="W45" i="359"/>
  <c r="V45" i="359"/>
  <c r="U45" i="359"/>
  <c r="R45" i="359"/>
  <c r="T45" i="359"/>
  <c r="S45" i="359"/>
  <c r="Q45" i="359"/>
  <c r="O45" i="359"/>
  <c r="N45" i="359"/>
  <c r="P45" i="359"/>
  <c r="J45" i="359"/>
  <c r="K45" i="359"/>
  <c r="M45" i="359"/>
  <c r="L45" i="359"/>
  <c r="I45" i="359"/>
  <c r="H45" i="359"/>
  <c r="G45" i="359"/>
  <c r="F45" i="359"/>
  <c r="D45" i="359"/>
  <c r="E45" i="359"/>
  <c r="C45" i="359"/>
  <c r="B45" i="359"/>
  <c r="A46" i="359"/>
  <c r="N48" i="15"/>
  <c r="N111" i="15" s="1"/>
  <c r="N61" i="15"/>
  <c r="N124" i="15" s="1"/>
  <c r="N51" i="15"/>
  <c r="N114" i="15" s="1"/>
  <c r="N56" i="15"/>
  <c r="N119" i="15" s="1"/>
  <c r="N54" i="15"/>
  <c r="N117" i="15" s="1"/>
  <c r="N39" i="15"/>
  <c r="N105" i="15" s="1"/>
  <c r="N46" i="15"/>
  <c r="N109" i="15" s="1"/>
  <c r="N44" i="15"/>
  <c r="N107" i="15" s="1"/>
  <c r="N60" i="15"/>
  <c r="N123" i="15" s="1"/>
  <c r="N52" i="15"/>
  <c r="N115" i="15" s="1"/>
  <c r="N45" i="15"/>
  <c r="N108" i="15" s="1"/>
  <c r="N63" i="15"/>
  <c r="N126" i="15" s="1"/>
  <c r="N53" i="15"/>
  <c r="N116" i="15" s="1"/>
  <c r="N55" i="15"/>
  <c r="N118" i="15" s="1"/>
  <c r="N47" i="15"/>
  <c r="N110" i="15" s="1"/>
  <c r="N59" i="15"/>
  <c r="N122" i="15" s="1"/>
  <c r="N49" i="15"/>
  <c r="N112" i="15" s="1"/>
  <c r="N43" i="15"/>
  <c r="N106" i="15" s="1"/>
  <c r="N58" i="15"/>
  <c r="N121" i="15" s="1"/>
  <c r="N57" i="15"/>
  <c r="N120" i="15" s="1"/>
  <c r="N50" i="15"/>
  <c r="N113" i="15" s="1"/>
  <c r="N62" i="15"/>
  <c r="N125" i="15" s="1"/>
  <c r="P38" i="15"/>
  <c r="C127" i="15"/>
  <c r="A127" i="15" s="1"/>
  <c r="Y43" i="8"/>
  <c r="Y45" i="8"/>
  <c r="Y42" i="8"/>
  <c r="Y41" i="8"/>
  <c r="Y44" i="8"/>
  <c r="Y84" i="8"/>
  <c r="Y86" i="8"/>
  <c r="Y85" i="8"/>
  <c r="Y82" i="8"/>
  <c r="Y83" i="8"/>
  <c r="N127" i="15"/>
  <c r="K127" i="15"/>
  <c r="F127" i="15"/>
  <c r="L127" i="15"/>
  <c r="H127" i="15"/>
  <c r="J127" i="15"/>
  <c r="G127" i="15"/>
  <c r="M127" i="15"/>
  <c r="I127" i="15"/>
  <c r="E127" i="15"/>
  <c r="D65" i="15"/>
  <c r="D128" i="15" s="1"/>
  <c r="C65" i="15"/>
  <c r="A65" i="15" s="1"/>
  <c r="E65" i="15"/>
  <c r="F65" i="15"/>
  <c r="G65" i="15"/>
  <c r="H65" i="15"/>
  <c r="I65" i="15"/>
  <c r="K65" i="15"/>
  <c r="J65" i="15"/>
  <c r="L65" i="15"/>
  <c r="M65" i="15"/>
  <c r="N65" i="15"/>
  <c r="O65" i="15"/>
  <c r="B66" i="15"/>
  <c r="X116" i="8"/>
  <c r="Y126" i="8"/>
  <c r="Y96" i="8"/>
  <c r="Y76" i="8"/>
  <c r="Y66" i="8"/>
  <c r="Y56" i="8"/>
  <c r="Y54" i="8"/>
  <c r="Y53" i="8"/>
  <c r="Y55" i="8"/>
  <c r="Y63" i="8"/>
  <c r="Y65" i="8"/>
  <c r="Y64" i="8"/>
  <c r="Y75" i="8"/>
  <c r="Y73" i="8"/>
  <c r="Y74" i="8"/>
  <c r="Y94" i="8"/>
  <c r="Y93" i="8"/>
  <c r="Y95" i="8"/>
  <c r="X114" i="8"/>
  <c r="Y124" i="8"/>
  <c r="Y52" i="8"/>
  <c r="Y62" i="8"/>
  <c r="Y92" i="8"/>
  <c r="Y72" i="8"/>
  <c r="Y125" i="8"/>
  <c r="Y123" i="8"/>
  <c r="Y122" i="8"/>
  <c r="X113" i="8"/>
  <c r="X102" i="8"/>
  <c r="X112" i="8"/>
  <c r="Z39" i="8"/>
  <c r="X115" i="8"/>
  <c r="Z106" i="8" a="1"/>
  <c r="Z46" i="8" a="1"/>
  <c r="Z69" i="8" a="1"/>
  <c r="Z89" i="8" a="1"/>
  <c r="Z90" i="8" a="1"/>
  <c r="Z70" i="8" a="1"/>
  <c r="Z59" i="8" a="1"/>
  <c r="Z97" i="8" a="1"/>
  <c r="Z49" i="8" a="1"/>
  <c r="L46" i="359" a="1"/>
  <c r="N46" i="359" a="1"/>
  <c r="S46" i="359" a="1"/>
  <c r="V46" i="359" a="1"/>
  <c r="AC46" i="359" a="1"/>
  <c r="C46" i="359" a="1"/>
  <c r="G46" i="359" a="1"/>
  <c r="Z94" i="8" a="1"/>
  <c r="Z42" i="8" a="1"/>
  <c r="Z92" i="8" a="1"/>
  <c r="Z45" i="8" a="1"/>
  <c r="Z83" i="8" a="1"/>
  <c r="O64" i="15" a="1"/>
  <c r="O66" i="15" a="1"/>
  <c r="P66" i="15" a="1"/>
  <c r="Z53" i="8" a="1"/>
  <c r="O46" i="15" a="1"/>
  <c r="G66" i="15" a="1"/>
  <c r="F66" i="15" a="1"/>
  <c r="Z52" i="8" a="1"/>
  <c r="Z65" i="8" a="1"/>
  <c r="C66" i="15" a="1"/>
  <c r="Z66" i="8" a="1"/>
  <c r="Z95" i="8" a="1"/>
  <c r="Z43" i="8" a="1"/>
  <c r="Z103" i="8" a="1"/>
  <c r="Z87" i="8" a="1"/>
  <c r="Z130" i="8" a="1"/>
  <c r="Z68" i="8" a="1"/>
  <c r="Z67" i="8" a="1"/>
  <c r="Z107" i="8" a="1"/>
  <c r="Z129" i="8" a="1"/>
  <c r="Z78" i="8" a="1"/>
  <c r="Z57" i="8" a="1"/>
  <c r="K46" i="359" a="1"/>
  <c r="O46" i="359" a="1"/>
  <c r="Q46" i="359" a="1"/>
  <c r="AB46" i="359" a="1"/>
  <c r="Z46" i="359" a="1"/>
  <c r="D46" i="359" a="1"/>
  <c r="H46" i="359" a="1"/>
  <c r="O49" i="15" a="1"/>
  <c r="O63" i="15" a="1"/>
  <c r="O48" i="15" a="1"/>
  <c r="Z82" i="8" a="1"/>
  <c r="O50" i="15" a="1"/>
  <c r="O44" i="15" a="1"/>
  <c r="O56" i="15" a="1"/>
  <c r="O59" i="15" a="1"/>
  <c r="O47" i="15" a="1"/>
  <c r="O52" i="15" a="1"/>
  <c r="O57" i="15" a="1"/>
  <c r="O58" i="15" a="1"/>
  <c r="O53" i="15" a="1"/>
  <c r="Z75" i="8" a="1"/>
  <c r="O60" i="15" a="1"/>
  <c r="Z62" i="8" a="1"/>
  <c r="O39" i="15" a="1"/>
  <c r="O54" i="15" a="1"/>
  <c r="Z104" i="8" a="1"/>
  <c r="Z58" i="8" a="1"/>
  <c r="Z100" i="8" a="1"/>
  <c r="Z110" i="8" a="1"/>
  <c r="Z99" i="8" a="1"/>
  <c r="Z98" i="8" a="1"/>
  <c r="Z77" i="8" a="1"/>
  <c r="Z60" i="8" a="1"/>
  <c r="Z80" i="8" a="1"/>
  <c r="J46" i="359" a="1"/>
  <c r="T46" i="359" a="1"/>
  <c r="W46" i="359" a="1"/>
  <c r="Y46" i="359" a="1"/>
  <c r="X46" i="359" a="1"/>
  <c r="E46" i="359" a="1"/>
  <c r="I46" i="359" a="1"/>
  <c r="Z96" i="8" a="1"/>
  <c r="M66" i="15" a="1"/>
  <c r="O45" i="15" a="1"/>
  <c r="O55" i="15" a="1"/>
  <c r="Z84" i="8" a="1"/>
  <c r="Z74" i="8" a="1"/>
  <c r="Z44" i="8" a="1"/>
  <c r="E66" i="15" a="1"/>
  <c r="O51" i="15" a="1"/>
  <c r="Z41" i="8" a="1"/>
  <c r="H66" i="15" a="1"/>
  <c r="Z123" i="8" a="1"/>
  <c r="Z86" i="8" a="1"/>
  <c r="N66" i="15" a="1"/>
  <c r="D66" i="15" a="1"/>
  <c r="O62" i="15" a="1"/>
  <c r="O43" i="15" a="1"/>
  <c r="K66" i="15" a="1"/>
  <c r="Z105" i="8" a="1"/>
  <c r="Z79" i="8" a="1"/>
  <c r="Z88" i="8" a="1"/>
  <c r="Z127" i="8" a="1"/>
  <c r="Z108" i="8" a="1"/>
  <c r="Z128" i="8" a="1"/>
  <c r="Z48" i="8" a="1"/>
  <c r="Z47" i="8" a="1"/>
  <c r="Z109" i="8" a="1"/>
  <c r="M46" i="359" a="1"/>
  <c r="P46" i="359" a="1"/>
  <c r="R46" i="359" a="1"/>
  <c r="U46" i="359" a="1"/>
  <c r="AA46" i="359" a="1"/>
  <c r="B46" i="359" a="1"/>
  <c r="F46" i="359" a="1"/>
  <c r="I66" i="15" a="1"/>
  <c r="Z93" i="8" a="1"/>
  <c r="Z122" i="8" a="1"/>
  <c r="Z126" i="8" a="1"/>
  <c r="Z72" i="8" a="1"/>
  <c r="Z54" i="8" a="1"/>
  <c r="L66" i="15" a="1"/>
  <c r="Z73" i="8" a="1"/>
  <c r="Z124" i="8" a="1"/>
  <c r="Z125" i="8" a="1"/>
  <c r="Z85" i="8" a="1"/>
  <c r="O61" i="15" a="1"/>
  <c r="Z56" i="8" a="1"/>
  <c r="Z63" i="8" a="1"/>
  <c r="Z55" i="8" a="1"/>
  <c r="J66" i="15" a="1"/>
  <c r="Z76" i="8" a="1"/>
  <c r="Z64" i="8" a="1"/>
  <c r="Y118" i="8" l="1"/>
  <c r="Z80" i="8"/>
  <c r="Z57" i="8"/>
  <c r="Z49" i="8"/>
  <c r="Z109" i="8"/>
  <c r="Z60" i="8"/>
  <c r="Z78" i="8"/>
  <c r="Z97" i="8"/>
  <c r="Z47" i="8"/>
  <c r="Z77" i="8"/>
  <c r="Z129" i="8"/>
  <c r="Z59" i="8"/>
  <c r="Z48" i="8"/>
  <c r="Z98" i="8"/>
  <c r="Z107" i="8"/>
  <c r="Z70" i="8"/>
  <c r="Z128" i="8"/>
  <c r="Z99" i="8"/>
  <c r="Z67" i="8"/>
  <c r="Z90" i="8"/>
  <c r="Z108" i="8"/>
  <c r="Z110" i="8"/>
  <c r="Z68" i="8"/>
  <c r="Z89" i="8"/>
  <c r="Z127" i="8"/>
  <c r="Z100" i="8"/>
  <c r="Z130" i="8"/>
  <c r="Z69" i="8"/>
  <c r="Z88" i="8"/>
  <c r="Z58" i="8"/>
  <c r="Z87" i="8"/>
  <c r="Z46" i="8"/>
  <c r="Z79" i="8"/>
  <c r="Z104" i="8"/>
  <c r="Z103" i="8"/>
  <c r="Z106" i="8"/>
  <c r="Z105" i="8"/>
  <c r="Y117" i="8"/>
  <c r="Y119" i="8"/>
  <c r="Y120" i="8"/>
  <c r="X46" i="359"/>
  <c r="Z46" i="359"/>
  <c r="AC46" i="359"/>
  <c r="AA46" i="359"/>
  <c r="Y46" i="359"/>
  <c r="AB46" i="359"/>
  <c r="V46" i="359"/>
  <c r="U46" i="359"/>
  <c r="W46" i="359"/>
  <c r="Q46" i="359"/>
  <c r="S46" i="359"/>
  <c r="R46" i="359"/>
  <c r="T46" i="359"/>
  <c r="O46" i="359"/>
  <c r="N46" i="359"/>
  <c r="P46" i="359"/>
  <c r="J46" i="359"/>
  <c r="K46" i="359"/>
  <c r="L46" i="359"/>
  <c r="M46" i="359"/>
  <c r="I46" i="359"/>
  <c r="H46" i="359"/>
  <c r="G46" i="359"/>
  <c r="F46" i="359"/>
  <c r="E46" i="359"/>
  <c r="D46" i="359"/>
  <c r="C46" i="359"/>
  <c r="B46" i="359"/>
  <c r="A47" i="359"/>
  <c r="O47" i="15"/>
  <c r="O110" i="15" s="1"/>
  <c r="O55" i="15"/>
  <c r="O118" i="15" s="1"/>
  <c r="O54" i="15"/>
  <c r="O117" i="15" s="1"/>
  <c r="O53" i="15"/>
  <c r="O116" i="15" s="1"/>
  <c r="O50" i="15"/>
  <c r="O113" i="15" s="1"/>
  <c r="O45" i="15"/>
  <c r="O108" i="15" s="1"/>
  <c r="O43" i="15"/>
  <c r="O106" i="15" s="1"/>
  <c r="O58" i="15"/>
  <c r="O121" i="15" s="1"/>
  <c r="O59" i="15"/>
  <c r="O122" i="15" s="1"/>
  <c r="O48" i="15"/>
  <c r="O111" i="15" s="1"/>
  <c r="O39" i="15"/>
  <c r="O105" i="15" s="1"/>
  <c r="O61" i="15"/>
  <c r="O124" i="15" s="1"/>
  <c r="O62" i="15"/>
  <c r="O125" i="15" s="1"/>
  <c r="O57" i="15"/>
  <c r="O120" i="15" s="1"/>
  <c r="O56" i="15"/>
  <c r="O119" i="15" s="1"/>
  <c r="O63" i="15"/>
  <c r="O126" i="15" s="1"/>
  <c r="O52" i="15"/>
  <c r="O115" i="15" s="1"/>
  <c r="O44" i="15"/>
  <c r="O107" i="15" s="1"/>
  <c r="O49" i="15"/>
  <c r="O112" i="15" s="1"/>
  <c r="O60" i="15"/>
  <c r="O123" i="15" s="1"/>
  <c r="O46" i="15"/>
  <c r="O109" i="15" s="1"/>
  <c r="O64" i="15"/>
  <c r="O127" i="15" s="1"/>
  <c r="O51" i="15"/>
  <c r="O114" i="15" s="1"/>
  <c r="Q38" i="15"/>
  <c r="C128" i="15"/>
  <c r="A128" i="15" s="1"/>
  <c r="Z45" i="8"/>
  <c r="Z43" i="8"/>
  <c r="Z42" i="8"/>
  <c r="Z41" i="8"/>
  <c r="Z44" i="8"/>
  <c r="Z83" i="8"/>
  <c r="Z82" i="8"/>
  <c r="Z85" i="8"/>
  <c r="Z84" i="8"/>
  <c r="Z86" i="8"/>
  <c r="N128" i="15"/>
  <c r="K128" i="15"/>
  <c r="F128" i="15"/>
  <c r="L128" i="15"/>
  <c r="H128" i="15"/>
  <c r="O128" i="15"/>
  <c r="J128" i="15"/>
  <c r="G128" i="15"/>
  <c r="M128" i="15"/>
  <c r="I128" i="15"/>
  <c r="E128" i="15"/>
  <c r="D66" i="15"/>
  <c r="D129" i="15" s="1"/>
  <c r="C66" i="15"/>
  <c r="A66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B67" i="15"/>
  <c r="Z126" i="8"/>
  <c r="Z96" i="8"/>
  <c r="Z76" i="8"/>
  <c r="Z66" i="8"/>
  <c r="Z56" i="8"/>
  <c r="Y116" i="8"/>
  <c r="Z55" i="8"/>
  <c r="Z54" i="8"/>
  <c r="Z53" i="8"/>
  <c r="Z65" i="8"/>
  <c r="Z64" i="8"/>
  <c r="Z63" i="8"/>
  <c r="Z73" i="8"/>
  <c r="Z75" i="8"/>
  <c r="Z74" i="8"/>
  <c r="Z94" i="8"/>
  <c r="Z95" i="8"/>
  <c r="Z93" i="8"/>
  <c r="Y113" i="8"/>
  <c r="Y114" i="8"/>
  <c r="Z124" i="8"/>
  <c r="Z52" i="8"/>
  <c r="Z62" i="8"/>
  <c r="Z92" i="8"/>
  <c r="Z72" i="8"/>
  <c r="Z125" i="8"/>
  <c r="Z123" i="8"/>
  <c r="Z122" i="8"/>
  <c r="Y115" i="8"/>
  <c r="Y112" i="8"/>
  <c r="Y102" i="8"/>
  <c r="AA39" i="8"/>
  <c r="AA103" i="8" a="1"/>
  <c r="AA69" i="8" a="1"/>
  <c r="AA110" i="8" a="1"/>
  <c r="AA130" i="8" a="1"/>
  <c r="AA89" i="8" a="1"/>
  <c r="AA107" i="8" a="1"/>
  <c r="AA59" i="8" a="1"/>
  <c r="AA77" i="8" a="1"/>
  <c r="AA57" i="8" a="1"/>
  <c r="K47" i="359" a="1"/>
  <c r="P47" i="359" a="1"/>
  <c r="R47" i="359" a="1"/>
  <c r="AB47" i="359" a="1"/>
  <c r="Z47" i="359" a="1"/>
  <c r="E47" i="359" a="1"/>
  <c r="H47" i="359" a="1"/>
  <c r="P46" i="15" a="1"/>
  <c r="P62" i="15" a="1"/>
  <c r="P39" i="15" a="1"/>
  <c r="AA85" i="8" a="1"/>
  <c r="AA63" i="8" a="1"/>
  <c r="AA55" i="8" a="1"/>
  <c r="AA66" i="8" a="1"/>
  <c r="AA76" i="8" a="1"/>
  <c r="M67" i="15" a="1"/>
  <c r="P43" i="15" a="1"/>
  <c r="P58" i="15" a="1"/>
  <c r="J67" i="15" a="1"/>
  <c r="AA83" i="8" a="1"/>
  <c r="AA86" i="8" a="1"/>
  <c r="AA64" i="8" a="1"/>
  <c r="AA75" i="8" a="1"/>
  <c r="P48" i="15" a="1"/>
  <c r="AA95" i="8" a="1"/>
  <c r="P50" i="15" a="1"/>
  <c r="AA104" i="8" a="1"/>
  <c r="AA67" i="8" a="1"/>
  <c r="AA58" i="8" a="1"/>
  <c r="AA100" i="8" a="1"/>
  <c r="AA70" i="8" a="1"/>
  <c r="AA47" i="8" a="1"/>
  <c r="AA129" i="8" a="1"/>
  <c r="AA97" i="8" a="1"/>
  <c r="AA60" i="8" a="1"/>
  <c r="J47" i="359" a="1"/>
  <c r="Q47" i="359" a="1"/>
  <c r="W47" i="359" a="1"/>
  <c r="AA47" i="359" a="1"/>
  <c r="X47" i="359" a="1"/>
  <c r="D47" i="359" a="1"/>
  <c r="I47" i="359" a="1"/>
  <c r="K67" i="15" a="1"/>
  <c r="AA43" i="8" a="1"/>
  <c r="P55" i="15" a="1"/>
  <c r="P52" i="15" a="1"/>
  <c r="P51" i="15" a="1"/>
  <c r="AA92" i="8" a="1"/>
  <c r="AA56" i="8" a="1"/>
  <c r="P67" i="15" a="1"/>
  <c r="AA126" i="8" a="1"/>
  <c r="AA82" i="8" a="1"/>
  <c r="P56" i="15" a="1"/>
  <c r="P53" i="15" a="1"/>
  <c r="AA45" i="8" a="1"/>
  <c r="Q67" i="15" a="1"/>
  <c r="AA93" i="8" a="1"/>
  <c r="C67" i="15" a="1"/>
  <c r="AA122" i="8" a="1"/>
  <c r="AA105" i="8" a="1"/>
  <c r="AA46" i="8" a="1"/>
  <c r="AA87" i="8" a="1"/>
  <c r="AA88" i="8" a="1"/>
  <c r="AA79" i="8" a="1"/>
  <c r="AA48" i="8" a="1"/>
  <c r="AA98" i="8" a="1"/>
  <c r="AA80" i="8" a="1"/>
  <c r="AA109" i="8" a="1"/>
  <c r="L47" i="359" a="1"/>
  <c r="O47" i="359" a="1"/>
  <c r="S47" i="359" a="1"/>
  <c r="V47" i="359" a="1"/>
  <c r="Y47" i="359" a="1"/>
  <c r="B47" i="359" a="1"/>
  <c r="F47" i="359" a="1"/>
  <c r="AA42" i="8" a="1"/>
  <c r="L67" i="15" a="1"/>
  <c r="AA84" i="8" a="1"/>
  <c r="E67" i="15" a="1"/>
  <c r="P63" i="15" a="1"/>
  <c r="AA124" i="8" a="1"/>
  <c r="P45" i="15" a="1"/>
  <c r="P49" i="15" a="1"/>
  <c r="D67" i="15" a="1"/>
  <c r="AA73" i="8" a="1"/>
  <c r="AA41" i="8" a="1"/>
  <c r="AA65" i="8" a="1"/>
  <c r="AA123" i="8" a="1"/>
  <c r="P54" i="15" a="1"/>
  <c r="P59" i="15" a="1"/>
  <c r="AA72" i="8" a="1"/>
  <c r="P44" i="15" a="1"/>
  <c r="AA54" i="8" a="1"/>
  <c r="G67" i="15" a="1"/>
  <c r="AA125" i="8" a="1"/>
  <c r="AA106" i="8" a="1"/>
  <c r="AA127" i="8" a="1"/>
  <c r="AA68" i="8" a="1"/>
  <c r="AA108" i="8" a="1"/>
  <c r="AA90" i="8" a="1"/>
  <c r="AA78" i="8" a="1"/>
  <c r="AA128" i="8" a="1"/>
  <c r="AA99" i="8" a="1"/>
  <c r="AA49" i="8" a="1"/>
  <c r="M47" i="359" a="1"/>
  <c r="N47" i="359" a="1"/>
  <c r="T47" i="359" a="1"/>
  <c r="U47" i="359" a="1"/>
  <c r="AC47" i="359" a="1"/>
  <c r="C47" i="359" a="1"/>
  <c r="G47" i="359" a="1"/>
  <c r="P47" i="15" a="1"/>
  <c r="N67" i="15" a="1"/>
  <c r="AA52" i="8" a="1"/>
  <c r="H67" i="15" a="1"/>
  <c r="P60" i="15" a="1"/>
  <c r="AA96" i="8" a="1"/>
  <c r="AA62" i="8" a="1"/>
  <c r="I67" i="15" a="1"/>
  <c r="P57" i="15" a="1"/>
  <c r="AA44" i="8" a="1"/>
  <c r="AA74" i="8" a="1"/>
  <c r="AA94" i="8" a="1"/>
  <c r="O67" i="15" a="1"/>
  <c r="AA53" i="8" a="1"/>
  <c r="P65" i="15" a="1"/>
  <c r="P61" i="15" a="1"/>
  <c r="P64" i="15" a="1"/>
  <c r="F67" i="15" a="1"/>
  <c r="Z120" i="8" l="1"/>
  <c r="Z119" i="8"/>
  <c r="Z118" i="8"/>
  <c r="AA60" i="8"/>
  <c r="AA57" i="8"/>
  <c r="AA49" i="8"/>
  <c r="AA109" i="8"/>
  <c r="AA97" i="8"/>
  <c r="AA77" i="8"/>
  <c r="AA99" i="8"/>
  <c r="AA80" i="8"/>
  <c r="AA129" i="8"/>
  <c r="AA59" i="8"/>
  <c r="AA128" i="8"/>
  <c r="AA98" i="8"/>
  <c r="AA47" i="8"/>
  <c r="AA107" i="8"/>
  <c r="AA78" i="8"/>
  <c r="AA48" i="8"/>
  <c r="AA70" i="8"/>
  <c r="AA89" i="8"/>
  <c r="AA90" i="8"/>
  <c r="AA79" i="8"/>
  <c r="AA100" i="8"/>
  <c r="AA130" i="8"/>
  <c r="AA108" i="8"/>
  <c r="AA88" i="8"/>
  <c r="AA58" i="8"/>
  <c r="AA110" i="8"/>
  <c r="AA68" i="8"/>
  <c r="AA87" i="8"/>
  <c r="AA67" i="8"/>
  <c r="AA69" i="8"/>
  <c r="AA127" i="8"/>
  <c r="AA46" i="8"/>
  <c r="AA104" i="8"/>
  <c r="AA103" i="8"/>
  <c r="AA106" i="8"/>
  <c r="AA105" i="8"/>
  <c r="Z117" i="8"/>
  <c r="X47" i="359"/>
  <c r="Z47" i="359"/>
  <c r="AC47" i="359"/>
  <c r="Y47" i="359"/>
  <c r="AA47" i="359"/>
  <c r="AB47" i="359"/>
  <c r="U47" i="359"/>
  <c r="V47" i="359"/>
  <c r="W47" i="359"/>
  <c r="R47" i="359"/>
  <c r="T47" i="359"/>
  <c r="S47" i="359"/>
  <c r="Q47" i="359"/>
  <c r="P47" i="359"/>
  <c r="N47" i="359"/>
  <c r="O47" i="359"/>
  <c r="J47" i="359"/>
  <c r="K47" i="359"/>
  <c r="M47" i="359"/>
  <c r="L47" i="359"/>
  <c r="I47" i="359"/>
  <c r="H47" i="359"/>
  <c r="G47" i="359"/>
  <c r="F47" i="359"/>
  <c r="D47" i="359"/>
  <c r="E47" i="359"/>
  <c r="C47" i="359"/>
  <c r="B47" i="359"/>
  <c r="A48" i="359"/>
  <c r="P63" i="15"/>
  <c r="P126" i="15" s="1"/>
  <c r="P50" i="15"/>
  <c r="P113" i="15" s="1"/>
  <c r="P54" i="15"/>
  <c r="P117" i="15" s="1"/>
  <c r="P57" i="15"/>
  <c r="P120" i="15" s="1"/>
  <c r="P52" i="15"/>
  <c r="P115" i="15" s="1"/>
  <c r="P55" i="15"/>
  <c r="P118" i="15" s="1"/>
  <c r="P48" i="15"/>
  <c r="P111" i="15" s="1"/>
  <c r="P53" i="15"/>
  <c r="P116" i="15" s="1"/>
  <c r="P49" i="15"/>
  <c r="P112" i="15" s="1"/>
  <c r="P39" i="15"/>
  <c r="P105" i="15" s="1"/>
  <c r="P64" i="15"/>
  <c r="P127" i="15" s="1"/>
  <c r="P44" i="15"/>
  <c r="P107" i="15" s="1"/>
  <c r="P56" i="15"/>
  <c r="P119" i="15" s="1"/>
  <c r="P45" i="15"/>
  <c r="P108" i="15" s="1"/>
  <c r="P62" i="15"/>
  <c r="P125" i="15" s="1"/>
  <c r="P61" i="15"/>
  <c r="P124" i="15" s="1"/>
  <c r="P58" i="15"/>
  <c r="P121" i="15" s="1"/>
  <c r="P46" i="15"/>
  <c r="P109" i="15" s="1"/>
  <c r="P65" i="15"/>
  <c r="P128" i="15" s="1"/>
  <c r="P43" i="15"/>
  <c r="P106" i="15" s="1"/>
  <c r="P51" i="15"/>
  <c r="P114" i="15" s="1"/>
  <c r="P47" i="15"/>
  <c r="P110" i="15" s="1"/>
  <c r="P59" i="15"/>
  <c r="P122" i="15" s="1"/>
  <c r="P60" i="15"/>
  <c r="P123" i="15" s="1"/>
  <c r="R38" i="15"/>
  <c r="C129" i="15"/>
  <c r="A129" i="15" s="1"/>
  <c r="AA44" i="8"/>
  <c r="AA43" i="8"/>
  <c r="AA41" i="8"/>
  <c r="AA42" i="8"/>
  <c r="AA45" i="8"/>
  <c r="AA85" i="8"/>
  <c r="AA82" i="8"/>
  <c r="AA86" i="8"/>
  <c r="AA83" i="8"/>
  <c r="AA84" i="8"/>
  <c r="P129" i="15"/>
  <c r="L129" i="15"/>
  <c r="H129" i="15"/>
  <c r="M129" i="15"/>
  <c r="I129" i="15"/>
  <c r="O129" i="15"/>
  <c r="J129" i="15"/>
  <c r="G129" i="15"/>
  <c r="N129" i="15"/>
  <c r="K129" i="15"/>
  <c r="F129" i="15"/>
  <c r="E129" i="15"/>
  <c r="D67" i="15"/>
  <c r="D130" i="15" s="1"/>
  <c r="C67" i="15"/>
  <c r="A67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B68" i="15"/>
  <c r="AA126" i="8"/>
  <c r="AA96" i="8"/>
  <c r="AA76" i="8"/>
  <c r="AA66" i="8"/>
  <c r="AA56" i="8"/>
  <c r="Z116" i="8"/>
  <c r="AA54" i="8"/>
  <c r="AA55" i="8"/>
  <c r="AA53" i="8"/>
  <c r="AA63" i="8"/>
  <c r="AA64" i="8"/>
  <c r="AA65" i="8"/>
  <c r="AA75" i="8"/>
  <c r="AA73" i="8"/>
  <c r="AA74" i="8"/>
  <c r="AA93" i="8"/>
  <c r="AA94" i="8"/>
  <c r="AA95" i="8"/>
  <c r="Z115" i="8"/>
  <c r="Z113" i="8"/>
  <c r="AA124" i="8"/>
  <c r="AA52" i="8"/>
  <c r="AA62" i="8"/>
  <c r="AA92" i="8"/>
  <c r="AA72" i="8"/>
  <c r="AA125" i="8"/>
  <c r="AA123" i="8"/>
  <c r="AA122" i="8"/>
  <c r="Z102" i="8"/>
  <c r="Z112" i="8"/>
  <c r="AB39" i="8"/>
  <c r="Z114" i="8"/>
  <c r="AB104" i="8" a="1"/>
  <c r="AB130" i="8" a="1"/>
  <c r="AB88" i="8" a="1"/>
  <c r="AB99" i="8" a="1"/>
  <c r="AB69" i="8" a="1"/>
  <c r="AB129" i="8" a="1"/>
  <c r="AB98" i="8" a="1"/>
  <c r="AB107" i="8" a="1"/>
  <c r="AB49" i="8" a="1"/>
  <c r="J48" i="359" a="1"/>
  <c r="Q48" i="359" a="1"/>
  <c r="V48" i="359" a="1"/>
  <c r="AA48" i="359" a="1"/>
  <c r="X48" i="359" a="1"/>
  <c r="D48" i="359" a="1"/>
  <c r="I48" i="359" a="1"/>
  <c r="AB45" i="8" a="1"/>
  <c r="D68" i="15" a="1"/>
  <c r="Q68" i="15" a="1"/>
  <c r="AB125" i="8" a="1"/>
  <c r="H68" i="15" a="1"/>
  <c r="AB93" i="8" a="1"/>
  <c r="AB84" i="8" a="1"/>
  <c r="AB82" i="8" a="1"/>
  <c r="Q39" i="15" a="1"/>
  <c r="AB72" i="8" a="1"/>
  <c r="AB86" i="8" a="1"/>
  <c r="AB64" i="8" a="1"/>
  <c r="Q54" i="15" a="1"/>
  <c r="J68" i="15" a="1"/>
  <c r="Q43" i="15" a="1"/>
  <c r="AB44" i="8" a="1"/>
  <c r="AB83" i="8" a="1"/>
  <c r="AB105" i="8" a="1"/>
  <c r="AB46" i="8" a="1"/>
  <c r="AB100" i="8" a="1"/>
  <c r="AB108" i="8" a="1"/>
  <c r="AB79" i="8" a="1"/>
  <c r="AB128" i="8" a="1"/>
  <c r="AB47" i="8" a="1"/>
  <c r="AB78" i="8" a="1"/>
  <c r="AB109" i="8" a="1"/>
  <c r="K48" i="359" a="1"/>
  <c r="P48" i="359" a="1"/>
  <c r="S48" i="359" a="1"/>
  <c r="W48" i="359" a="1"/>
  <c r="Y48" i="359" a="1"/>
  <c r="B48" i="359" a="1"/>
  <c r="F48" i="359" a="1"/>
  <c r="Q62" i="15" a="1"/>
  <c r="Q66" i="15" a="1"/>
  <c r="L68" i="15" a="1"/>
  <c r="Q50" i="15" a="1"/>
  <c r="Q45" i="15" a="1"/>
  <c r="AB75" i="8" a="1"/>
  <c r="Q53" i="15" a="1"/>
  <c r="AB63" i="8" a="1"/>
  <c r="Q49" i="15" a="1"/>
  <c r="Q57" i="15" a="1"/>
  <c r="O68" i="15" a="1"/>
  <c r="AB96" i="8" a="1"/>
  <c r="AB74" i="8" a="1"/>
  <c r="AB122" i="8" a="1"/>
  <c r="AB52" i="8" a="1"/>
  <c r="AB85" i="8" a="1"/>
  <c r="R68" i="15" a="1"/>
  <c r="AB106" i="8" a="1"/>
  <c r="AB127" i="8" a="1"/>
  <c r="AB110" i="8" a="1"/>
  <c r="AB67" i="8" a="1"/>
  <c r="AB58" i="8" a="1"/>
  <c r="AB48" i="8" a="1"/>
  <c r="AB70" i="8" a="1"/>
  <c r="AB57" i="8" a="1"/>
  <c r="AB80" i="8" a="1"/>
  <c r="M48" i="359" a="1"/>
  <c r="O48" i="359" a="1"/>
  <c r="T48" i="359" a="1"/>
  <c r="U48" i="359" a="1"/>
  <c r="AB48" i="359" a="1"/>
  <c r="C48" i="359" a="1"/>
  <c r="G48" i="359" a="1"/>
  <c r="AB123" i="8" a="1"/>
  <c r="M68" i="15" a="1"/>
  <c r="Q56" i="15" a="1"/>
  <c r="Q52" i="15" a="1"/>
  <c r="AB54" i="8" a="1"/>
  <c r="C68" i="15" a="1"/>
  <c r="Q47" i="15" a="1"/>
  <c r="AB65" i="8" a="1"/>
  <c r="AB92" i="8" a="1"/>
  <c r="Q59" i="15" a="1"/>
  <c r="AB43" i="8" a="1"/>
  <c r="N68" i="15" a="1"/>
  <c r="AB42" i="8" a="1"/>
  <c r="Q55" i="15" a="1"/>
  <c r="Q51" i="15" a="1"/>
  <c r="F68" i="15" a="1"/>
  <c r="Q48" i="15" a="1"/>
  <c r="AB103" i="8" a="1"/>
  <c r="AB90" i="8" a="1"/>
  <c r="AB87" i="8" a="1"/>
  <c r="AB68" i="8" a="1"/>
  <c r="AB89" i="8" a="1"/>
  <c r="AB59" i="8" a="1"/>
  <c r="AB77" i="8" a="1"/>
  <c r="AB97" i="8" a="1"/>
  <c r="AB60" i="8" a="1"/>
  <c r="L48" i="359" a="1"/>
  <c r="N48" i="359" a="1"/>
  <c r="R48" i="359" a="1"/>
  <c r="AC48" i="359" a="1"/>
  <c r="Z48" i="359" a="1"/>
  <c r="E48" i="359" a="1"/>
  <c r="H48" i="359" a="1"/>
  <c r="Q46" i="15" a="1"/>
  <c r="AB56" i="8" a="1"/>
  <c r="AB41" i="8" a="1"/>
  <c r="AB62" i="8" a="1"/>
  <c r="AB124" i="8" a="1"/>
  <c r="AB73" i="8" a="1"/>
  <c r="Q44" i="15" a="1"/>
  <c r="AB66" i="8" a="1"/>
  <c r="I68" i="15" a="1"/>
  <c r="Q61" i="15" a="1"/>
  <c r="AB95" i="8" a="1"/>
  <c r="Q60" i="15" a="1"/>
  <c r="Q64" i="15" a="1"/>
  <c r="P68" i="15" a="1"/>
  <c r="AB126" i="8" a="1"/>
  <c r="Q63" i="15" a="1"/>
  <c r="Q58" i="15" a="1"/>
  <c r="AB76" i="8" a="1"/>
  <c r="AB94" i="8" a="1"/>
  <c r="K68" i="15" a="1"/>
  <c r="AB53" i="8" a="1"/>
  <c r="AB55" i="8" a="1"/>
  <c r="G68" i="15" a="1"/>
  <c r="E68" i="15" a="1"/>
  <c r="Q65" i="15" a="1"/>
  <c r="AA117" i="8" l="1"/>
  <c r="AB49" i="8"/>
  <c r="AB60" i="8"/>
  <c r="AB80" i="8"/>
  <c r="AB109" i="8"/>
  <c r="AB107" i="8"/>
  <c r="AB97" i="8"/>
  <c r="AB57" i="8"/>
  <c r="AB78" i="8"/>
  <c r="AB98" i="8"/>
  <c r="AB77" i="8"/>
  <c r="AB70" i="8"/>
  <c r="AB47" i="8"/>
  <c r="AB129" i="8"/>
  <c r="AB59" i="8"/>
  <c r="AB48" i="8"/>
  <c r="AB128" i="8"/>
  <c r="AB69" i="8"/>
  <c r="AB89" i="8"/>
  <c r="AB58" i="8"/>
  <c r="AB79" i="8"/>
  <c r="AB99" i="8"/>
  <c r="AB68" i="8"/>
  <c r="AB67" i="8"/>
  <c r="AB108" i="8"/>
  <c r="AB88" i="8"/>
  <c r="AB87" i="8"/>
  <c r="AB110" i="8"/>
  <c r="AB100" i="8"/>
  <c r="AB130" i="8"/>
  <c r="AB90" i="8"/>
  <c r="AB127" i="8"/>
  <c r="AB46" i="8"/>
  <c r="AB104" i="8"/>
  <c r="AB103" i="8"/>
  <c r="AB106" i="8"/>
  <c r="AB105" i="8"/>
  <c r="AA119" i="8"/>
  <c r="AA120" i="8"/>
  <c r="AA118" i="8"/>
  <c r="X48" i="359"/>
  <c r="Z48" i="359"/>
  <c r="AB48" i="359"/>
  <c r="Y48" i="359"/>
  <c r="AA48" i="359"/>
  <c r="AC48" i="359"/>
  <c r="U48" i="359"/>
  <c r="W48" i="359"/>
  <c r="V48" i="359"/>
  <c r="R48" i="359"/>
  <c r="T48" i="359"/>
  <c r="S48" i="359"/>
  <c r="Q48" i="359"/>
  <c r="N48" i="359"/>
  <c r="O48" i="359"/>
  <c r="P48" i="359"/>
  <c r="J48" i="359"/>
  <c r="L48" i="359"/>
  <c r="M48" i="359"/>
  <c r="K48" i="359"/>
  <c r="I48" i="359"/>
  <c r="H48" i="359"/>
  <c r="G48" i="359"/>
  <c r="F48" i="359"/>
  <c r="D48" i="359"/>
  <c r="E48" i="359"/>
  <c r="C48" i="359"/>
  <c r="B48" i="359"/>
  <c r="A49" i="359"/>
  <c r="Q43" i="15"/>
  <c r="Q106" i="15" s="1"/>
  <c r="Q64" i="15"/>
  <c r="Q127" i="15" s="1"/>
  <c r="Q55" i="15"/>
  <c r="Q118" i="15" s="1"/>
  <c r="Q45" i="15"/>
  <c r="Q108" i="15" s="1"/>
  <c r="Q65" i="15"/>
  <c r="Q128" i="15" s="1"/>
  <c r="Q52" i="15"/>
  <c r="Q115" i="15" s="1"/>
  <c r="Q58" i="15"/>
  <c r="Q121" i="15" s="1"/>
  <c r="Q60" i="15"/>
  <c r="Q123" i="15" s="1"/>
  <c r="Q49" i="15"/>
  <c r="Q112" i="15" s="1"/>
  <c r="Q50" i="15"/>
  <c r="Q113" i="15" s="1"/>
  <c r="Q48" i="15"/>
  <c r="Q111" i="15" s="1"/>
  <c r="Q56" i="15"/>
  <c r="Q119" i="15" s="1"/>
  <c r="Q63" i="15"/>
  <c r="Q126" i="15" s="1"/>
  <c r="Q61" i="15"/>
  <c r="Q124" i="15" s="1"/>
  <c r="Q44" i="15"/>
  <c r="Q107" i="15" s="1"/>
  <c r="Q66" i="15"/>
  <c r="Q129" i="15" s="1"/>
  <c r="Q51" i="15"/>
  <c r="Q114" i="15" s="1"/>
  <c r="Q59" i="15"/>
  <c r="Q122" i="15" s="1"/>
  <c r="Q47" i="15"/>
  <c r="Q110" i="15" s="1"/>
  <c r="Q57" i="15"/>
  <c r="Q120" i="15" s="1"/>
  <c r="Q53" i="15"/>
  <c r="Q116" i="15" s="1"/>
  <c r="Q46" i="15"/>
  <c r="Q109" i="15" s="1"/>
  <c r="Q54" i="15"/>
  <c r="Q117" i="15" s="1"/>
  <c r="Q39" i="15"/>
  <c r="Q105" i="15" s="1"/>
  <c r="Q62" i="15"/>
  <c r="Q125" i="15" s="1"/>
  <c r="S38" i="15"/>
  <c r="C130" i="15"/>
  <c r="A130" i="15" s="1"/>
  <c r="K130" i="15"/>
  <c r="AB43" i="8"/>
  <c r="AB44" i="8"/>
  <c r="AB41" i="8"/>
  <c r="AB42" i="8"/>
  <c r="AB45" i="8"/>
  <c r="AB84" i="8"/>
  <c r="AB85" i="8"/>
  <c r="AB83" i="8"/>
  <c r="AB82" i="8"/>
  <c r="AB86" i="8"/>
  <c r="N130" i="15"/>
  <c r="L130" i="15"/>
  <c r="H130" i="15"/>
  <c r="O130" i="15"/>
  <c r="J130" i="15"/>
  <c r="G130" i="15"/>
  <c r="F130" i="15"/>
  <c r="Q130" i="15"/>
  <c r="M130" i="15"/>
  <c r="I130" i="15"/>
  <c r="E130" i="15"/>
  <c r="P130" i="15"/>
  <c r="D68" i="15"/>
  <c r="D131" i="15" s="1"/>
  <c r="C68" i="15"/>
  <c r="A68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B69" i="15"/>
  <c r="AB126" i="8"/>
  <c r="AB96" i="8"/>
  <c r="AB76" i="8"/>
  <c r="AB66" i="8"/>
  <c r="AB56" i="8"/>
  <c r="AA116" i="8"/>
  <c r="AB53" i="8"/>
  <c r="AB55" i="8"/>
  <c r="AB54" i="8"/>
  <c r="AB63" i="8"/>
  <c r="AB65" i="8"/>
  <c r="AB64" i="8"/>
  <c r="AB75" i="8"/>
  <c r="AB74" i="8"/>
  <c r="AB73" i="8"/>
  <c r="AB94" i="8"/>
  <c r="AB95" i="8"/>
  <c r="AB93" i="8"/>
  <c r="AA115" i="8"/>
  <c r="AB124" i="8"/>
  <c r="AB52" i="8"/>
  <c r="AB62" i="8"/>
  <c r="AB92" i="8"/>
  <c r="AB72" i="8"/>
  <c r="AB125" i="8"/>
  <c r="AB123" i="8"/>
  <c r="AB122" i="8"/>
  <c r="AA112" i="8"/>
  <c r="AA102" i="8"/>
  <c r="AC39" i="8"/>
  <c r="AA114" i="8"/>
  <c r="AA113" i="8"/>
  <c r="AC105" i="8" a="1"/>
  <c r="AC79" i="8" a="1"/>
  <c r="AC130" i="8" a="1"/>
  <c r="AC100" i="8" a="1"/>
  <c r="AC77" i="8" a="1"/>
  <c r="AC108" i="8" a="1"/>
  <c r="AC78" i="8" a="1"/>
  <c r="AC59" i="8" a="1"/>
  <c r="AC97" i="8" a="1"/>
  <c r="L49" i="359" a="1"/>
  <c r="P49" i="359" a="1"/>
  <c r="R49" i="359" a="1"/>
  <c r="W49" i="359" a="1"/>
  <c r="Z49" i="359" a="1"/>
  <c r="B49" i="359" a="1"/>
  <c r="F49" i="359" a="1"/>
  <c r="AC123" i="8" a="1"/>
  <c r="R56" i="15" a="1"/>
  <c r="AC96" i="8" a="1"/>
  <c r="R58" i="15" a="1"/>
  <c r="K69" i="15" a="1"/>
  <c r="I69" i="15" a="1"/>
  <c r="R65" i="15" a="1"/>
  <c r="P69" i="15" a="1"/>
  <c r="C69" i="15" a="1"/>
  <c r="AC62" i="8" a="1"/>
  <c r="H69" i="15" a="1"/>
  <c r="AC53" i="8" a="1"/>
  <c r="AC64" i="8" a="1"/>
  <c r="R49" i="15" a="1"/>
  <c r="R66" i="15" a="1"/>
  <c r="R52" i="15" a="1"/>
  <c r="R61" i="15" a="1"/>
  <c r="AC92" i="8" a="1"/>
  <c r="AC66" i="8" a="1"/>
  <c r="R60" i="15" a="1"/>
  <c r="AC83" i="8" a="1"/>
  <c r="AC76" i="8" a="1"/>
  <c r="AC65" i="8" a="1"/>
  <c r="AC93" i="8" a="1"/>
  <c r="R57" i="15" a="1"/>
  <c r="AC106" i="8" a="1"/>
  <c r="AC46" i="8" a="1"/>
  <c r="AC89" i="8" a="1"/>
  <c r="AC68" i="8" a="1"/>
  <c r="AC87" i="8" a="1"/>
  <c r="AC47" i="8" a="1"/>
  <c r="AC70" i="8" a="1"/>
  <c r="AC129" i="8" a="1"/>
  <c r="AC109" i="8" a="1"/>
  <c r="J49" i="359" a="1"/>
  <c r="O49" i="359" a="1"/>
  <c r="Q49" i="359" a="1"/>
  <c r="V49" i="359" a="1"/>
  <c r="AB49" i="359" a="1"/>
  <c r="C49" i="359" a="1"/>
  <c r="G49" i="359" a="1"/>
  <c r="R67" i="15" a="1"/>
  <c r="R45" i="15" a="1"/>
  <c r="E69" i="15" a="1"/>
  <c r="AC95" i="8" a="1"/>
  <c r="J69" i="15" a="1"/>
  <c r="AC74" i="8" a="1"/>
  <c r="R43" i="15" a="1"/>
  <c r="AC44" i="8" a="1"/>
  <c r="AC82" i="8" a="1"/>
  <c r="Q69" i="15" a="1"/>
  <c r="L69" i="15" a="1"/>
  <c r="R50" i="15" a="1"/>
  <c r="R46" i="15" a="1"/>
  <c r="M69" i="15" a="1"/>
  <c r="R63" i="15" a="1"/>
  <c r="O69" i="15" a="1"/>
  <c r="AC126" i="8" a="1"/>
  <c r="AC122" i="8" a="1"/>
  <c r="AC42" i="8" a="1"/>
  <c r="R54" i="15" a="1"/>
  <c r="AC104" i="8" a="1"/>
  <c r="AC90" i="8" a="1"/>
  <c r="AC127" i="8" a="1"/>
  <c r="AC48" i="8" a="1"/>
  <c r="AC49" i="8" a="1"/>
  <c r="T49" i="359" a="1"/>
  <c r="AA49" i="359" a="1"/>
  <c r="D49" i="359" a="1"/>
  <c r="AC86" i="8" a="1"/>
  <c r="R47" i="15" a="1"/>
  <c r="AC55" i="8" a="1"/>
  <c r="R44" i="15" a="1"/>
  <c r="AC94" i="8" a="1"/>
  <c r="R53" i="15" a="1"/>
  <c r="R64" i="15" a="1"/>
  <c r="AC103" i="8" a="1"/>
  <c r="AC58" i="8" a="1"/>
  <c r="AC88" i="8" a="1"/>
  <c r="AC110" i="8" a="1"/>
  <c r="AC69" i="8" a="1"/>
  <c r="AC107" i="8" a="1"/>
  <c r="AC98" i="8" a="1"/>
  <c r="AC57" i="8" a="1"/>
  <c r="AC80" i="8" a="1"/>
  <c r="M49" i="359" a="1"/>
  <c r="N49" i="359" a="1"/>
  <c r="S49" i="359" a="1"/>
  <c r="AC49" i="359" a="1"/>
  <c r="Y49" i="359" a="1"/>
  <c r="E49" i="359" a="1"/>
  <c r="H49" i="359" a="1"/>
  <c r="R51" i="15" a="1"/>
  <c r="AC54" i="8" a="1"/>
  <c r="AC72" i="8" a="1"/>
  <c r="AC75" i="8" a="1"/>
  <c r="D69" i="15" a="1"/>
  <c r="AC45" i="8" a="1"/>
  <c r="AC125" i="8" a="1"/>
  <c r="G69" i="15" a="1"/>
  <c r="R55" i="15" a="1"/>
  <c r="AC52" i="8" a="1"/>
  <c r="R62" i="15" a="1"/>
  <c r="AC43" i="8" a="1"/>
  <c r="AC73" i="8" a="1"/>
  <c r="N69" i="15" a="1"/>
  <c r="AC84" i="8" a="1"/>
  <c r="AC41" i="8" a="1"/>
  <c r="R69" i="15" a="1"/>
  <c r="F69" i="15" a="1"/>
  <c r="AC63" i="8" a="1"/>
  <c r="AC67" i="8" a="1"/>
  <c r="AC99" i="8" a="1"/>
  <c r="AC128" i="8" a="1"/>
  <c r="AC60" i="8" a="1"/>
  <c r="K49" i="359" a="1"/>
  <c r="U49" i="359" a="1"/>
  <c r="X49" i="359" a="1"/>
  <c r="I49" i="359" a="1"/>
  <c r="S69" i="15" a="1"/>
  <c r="AC124" i="8" a="1"/>
  <c r="R48" i="15" a="1"/>
  <c r="R59" i="15" a="1"/>
  <c r="AC85" i="8" a="1"/>
  <c r="R39" i="15" a="1"/>
  <c r="AC56" i="8" a="1"/>
  <c r="AB117" i="8" l="1"/>
  <c r="AC49" i="8"/>
  <c r="AC80" i="8"/>
  <c r="AC109" i="8"/>
  <c r="AC97" i="8"/>
  <c r="AC60" i="8"/>
  <c r="AC57" i="8"/>
  <c r="AC129" i="8"/>
  <c r="AC59" i="8"/>
  <c r="AC48" i="8"/>
  <c r="AC98" i="8"/>
  <c r="AC70" i="8"/>
  <c r="AC78" i="8"/>
  <c r="AC128" i="8"/>
  <c r="AC107" i="8"/>
  <c r="AC47" i="8"/>
  <c r="AC108" i="8"/>
  <c r="AC127" i="8"/>
  <c r="AC69" i="8"/>
  <c r="AC87" i="8"/>
  <c r="AC77" i="8"/>
  <c r="AC99" i="8"/>
  <c r="AC110" i="8"/>
  <c r="AC68" i="8"/>
  <c r="AC100" i="8"/>
  <c r="AC90" i="8"/>
  <c r="AC88" i="8"/>
  <c r="AC89" i="8"/>
  <c r="AC130" i="8"/>
  <c r="AC67" i="8"/>
  <c r="AC58" i="8"/>
  <c r="AC46" i="8"/>
  <c r="AC79" i="8"/>
  <c r="AC104" i="8"/>
  <c r="AC103" i="8"/>
  <c r="AC106" i="8"/>
  <c r="AC105" i="8"/>
  <c r="AB119" i="8"/>
  <c r="AB118" i="8"/>
  <c r="AB120" i="8"/>
  <c r="X49" i="359"/>
  <c r="Y49" i="359"/>
  <c r="AB49" i="359"/>
  <c r="Z49" i="359"/>
  <c r="AA49" i="359"/>
  <c r="AC49" i="359"/>
  <c r="V49" i="359"/>
  <c r="W49" i="359"/>
  <c r="U49" i="359"/>
  <c r="S49" i="359"/>
  <c r="Q49" i="359"/>
  <c r="R49" i="359"/>
  <c r="T49" i="359"/>
  <c r="N49" i="359"/>
  <c r="O49" i="359"/>
  <c r="P49" i="359"/>
  <c r="K49" i="359"/>
  <c r="M49" i="359"/>
  <c r="J49" i="359"/>
  <c r="L49" i="359"/>
  <c r="I49" i="359"/>
  <c r="H49" i="359"/>
  <c r="G49" i="359"/>
  <c r="F49" i="359"/>
  <c r="D49" i="359"/>
  <c r="E49" i="359"/>
  <c r="C49" i="359"/>
  <c r="B49" i="359"/>
  <c r="A50" i="359"/>
  <c r="R54" i="15"/>
  <c r="R117" i="15" s="1"/>
  <c r="R57" i="15"/>
  <c r="R120" i="15" s="1"/>
  <c r="R60" i="15"/>
  <c r="R123" i="15" s="1"/>
  <c r="R59" i="15"/>
  <c r="R122" i="15" s="1"/>
  <c r="R58" i="15"/>
  <c r="R121" i="15" s="1"/>
  <c r="R64" i="15"/>
  <c r="R127" i="15" s="1"/>
  <c r="R49" i="15"/>
  <c r="R112" i="15" s="1"/>
  <c r="R55" i="15"/>
  <c r="R118" i="15" s="1"/>
  <c r="R47" i="15"/>
  <c r="R110" i="15" s="1"/>
  <c r="R61" i="15"/>
  <c r="R124" i="15" s="1"/>
  <c r="R46" i="15"/>
  <c r="R109" i="15" s="1"/>
  <c r="R44" i="15"/>
  <c r="R107" i="15" s="1"/>
  <c r="R45" i="15"/>
  <c r="R108" i="15" s="1"/>
  <c r="R52" i="15"/>
  <c r="R115" i="15" s="1"/>
  <c r="R50" i="15"/>
  <c r="R113" i="15" s="1"/>
  <c r="R48" i="15"/>
  <c r="R111" i="15" s="1"/>
  <c r="R56" i="15"/>
  <c r="R119" i="15" s="1"/>
  <c r="R39" i="15"/>
  <c r="R105" i="15" s="1"/>
  <c r="R43" i="15"/>
  <c r="R106" i="15" s="1"/>
  <c r="R51" i="15"/>
  <c r="R114" i="15" s="1"/>
  <c r="R63" i="15"/>
  <c r="R126" i="15" s="1"/>
  <c r="R62" i="15"/>
  <c r="R125" i="15" s="1"/>
  <c r="R65" i="15"/>
  <c r="R128" i="15" s="1"/>
  <c r="R67" i="15"/>
  <c r="R130" i="15" s="1"/>
  <c r="R66" i="15"/>
  <c r="R129" i="15" s="1"/>
  <c r="R53" i="15"/>
  <c r="R116" i="15" s="1"/>
  <c r="T38" i="15"/>
  <c r="C131" i="15"/>
  <c r="A131" i="15" s="1"/>
  <c r="R131" i="15"/>
  <c r="N131" i="15"/>
  <c r="AC44" i="8"/>
  <c r="AC41" i="8"/>
  <c r="AC45" i="8"/>
  <c r="AC43" i="8"/>
  <c r="AC42" i="8"/>
  <c r="AC85" i="8"/>
  <c r="AC82" i="8"/>
  <c r="AC83" i="8"/>
  <c r="AC84" i="8"/>
  <c r="AC86" i="8"/>
  <c r="F131" i="15"/>
  <c r="J131" i="15"/>
  <c r="O131" i="15"/>
  <c r="K131" i="15"/>
  <c r="G131" i="15"/>
  <c r="Q131" i="15"/>
  <c r="M131" i="15"/>
  <c r="I131" i="15"/>
  <c r="E131" i="15"/>
  <c r="P131" i="15"/>
  <c r="L131" i="15"/>
  <c r="H131" i="15"/>
  <c r="D69" i="15"/>
  <c r="D132" i="15" s="1"/>
  <c r="C69" i="15"/>
  <c r="A69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B70" i="15"/>
  <c r="AC126" i="8"/>
  <c r="AC96" i="8"/>
  <c r="AC76" i="8"/>
  <c r="AC66" i="8"/>
  <c r="AC56" i="8"/>
  <c r="AB116" i="8"/>
  <c r="AC54" i="8"/>
  <c r="AC53" i="8"/>
  <c r="AC55" i="8"/>
  <c r="AC65" i="8"/>
  <c r="AC63" i="8"/>
  <c r="AC64" i="8"/>
  <c r="AC75" i="8"/>
  <c r="AC73" i="8"/>
  <c r="AC74" i="8"/>
  <c r="AC94" i="8"/>
  <c r="AC95" i="8"/>
  <c r="AC93" i="8"/>
  <c r="AB114" i="8"/>
  <c r="AC124" i="8"/>
  <c r="AC52" i="8"/>
  <c r="AC62" i="8"/>
  <c r="AC92" i="8"/>
  <c r="AC72" i="8"/>
  <c r="AC125" i="8"/>
  <c r="AC123" i="8"/>
  <c r="AC122" i="8"/>
  <c r="AB113" i="8"/>
  <c r="AB112" i="8"/>
  <c r="AB102" i="8"/>
  <c r="AD39" i="8"/>
  <c r="AB115" i="8"/>
  <c r="AD106" i="8" a="1"/>
  <c r="AD88" i="8" a="1"/>
  <c r="AD89" i="8" a="1"/>
  <c r="AD58" i="8" a="1"/>
  <c r="AD130" i="8" a="1"/>
  <c r="AD128" i="8" a="1"/>
  <c r="AD57" i="8" a="1"/>
  <c r="AD59" i="8" a="1"/>
  <c r="AD80" i="8" a="1"/>
  <c r="M50" i="359" a="1"/>
  <c r="O50" i="359" a="1"/>
  <c r="T50" i="359" a="1"/>
  <c r="V50" i="359" a="1"/>
  <c r="AB50" i="359" a="1"/>
  <c r="C50" i="359" a="1"/>
  <c r="G50" i="359" a="1"/>
  <c r="S68" i="15" a="1"/>
  <c r="AD76" i="8" a="1"/>
  <c r="E70" i="15" a="1"/>
  <c r="S51" i="15" a="1"/>
  <c r="AD56" i="8" a="1"/>
  <c r="AD66" i="8" a="1"/>
  <c r="S50" i="15" a="1"/>
  <c r="AD83" i="8" a="1"/>
  <c r="AD84" i="8" a="1"/>
  <c r="L70" i="15" a="1"/>
  <c r="S44" i="15" a="1"/>
  <c r="K70" i="15" a="1"/>
  <c r="Q70" i="15" a="1"/>
  <c r="S67" i="15" a="1"/>
  <c r="AD103" i="8" a="1"/>
  <c r="AD69" i="8" a="1"/>
  <c r="AD110" i="8" a="1"/>
  <c r="AD68" i="8" a="1"/>
  <c r="AD100" i="8" a="1"/>
  <c r="AD48" i="8" a="1"/>
  <c r="AD60" i="8" a="1"/>
  <c r="AD129" i="8" a="1"/>
  <c r="AD109" i="8" a="1"/>
  <c r="L50" i="359" a="1"/>
  <c r="N50" i="359" a="1"/>
  <c r="R50" i="359" a="1"/>
  <c r="Y50" i="359" a="1"/>
  <c r="AA50" i="359" a="1"/>
  <c r="E50" i="359" a="1"/>
  <c r="H50" i="359" a="1"/>
  <c r="AD45" i="8" a="1"/>
  <c r="AD92" i="8" a="1"/>
  <c r="AD52" i="8" a="1"/>
  <c r="AD74" i="8" a="1"/>
  <c r="AD54" i="8" a="1"/>
  <c r="S59" i="15" a="1"/>
  <c r="F70" i="15" a="1"/>
  <c r="S66" i="15" a="1"/>
  <c r="S60" i="15" a="1"/>
  <c r="AD94" i="8" a="1"/>
  <c r="S65" i="15" a="1"/>
  <c r="G70" i="15" a="1"/>
  <c r="AD124" i="8" a="1"/>
  <c r="AD65" i="8" a="1"/>
  <c r="AD85" i="8" a="1"/>
  <c r="I70" i="15" a="1"/>
  <c r="S63" i="15" a="1"/>
  <c r="P70" i="15" a="1"/>
  <c r="S39" i="15" a="1"/>
  <c r="S62" i="15" a="1"/>
  <c r="S52" i="15" a="1"/>
  <c r="AD43" i="8" a="1"/>
  <c r="AD104" i="8" a="1"/>
  <c r="AD108" i="8" a="1"/>
  <c r="AD46" i="8" a="1"/>
  <c r="AD87" i="8" a="1"/>
  <c r="AD98" i="8" a="1"/>
  <c r="AD78" i="8" a="1"/>
  <c r="AD47" i="8" a="1"/>
  <c r="AD70" i="8" a="1"/>
  <c r="AD49" i="8" a="1"/>
  <c r="K50" i="359" a="1"/>
  <c r="Q50" i="359" a="1"/>
  <c r="W50" i="359" a="1"/>
  <c r="Z50" i="359" a="1"/>
  <c r="X50" i="359" a="1"/>
  <c r="D50" i="359" a="1"/>
  <c r="I50" i="359" a="1"/>
  <c r="S56" i="15" a="1"/>
  <c r="AD64" i="8" a="1"/>
  <c r="AD73" i="8" a="1"/>
  <c r="AD44" i="8" a="1"/>
  <c r="AD53" i="8" a="1"/>
  <c r="S49" i="15" a="1"/>
  <c r="J70" i="15" a="1"/>
  <c r="AD42" i="8" a="1"/>
  <c r="S46" i="15" a="1"/>
  <c r="S54" i="15" a="1"/>
  <c r="S48" i="15" a="1"/>
  <c r="AD95" i="8" a="1"/>
  <c r="AD125" i="8" a="1"/>
  <c r="S70" i="15" a="1"/>
  <c r="AD82" i="8" a="1"/>
  <c r="C70" i="15" a="1"/>
  <c r="AD62" i="8" a="1"/>
  <c r="AD122" i="8" a="1"/>
  <c r="S58" i="15" a="1"/>
  <c r="H70" i="15" a="1"/>
  <c r="AD93" i="8" a="1"/>
  <c r="AD72" i="8" a="1"/>
  <c r="AD105" i="8" a="1"/>
  <c r="AD79" i="8" a="1"/>
  <c r="AD67" i="8" a="1"/>
  <c r="AD127" i="8" a="1"/>
  <c r="AD90" i="8" a="1"/>
  <c r="AD99" i="8" a="1"/>
  <c r="AD77" i="8" a="1"/>
  <c r="AD97" i="8" a="1"/>
  <c r="AD107" i="8" a="1"/>
  <c r="J50" i="359" a="1"/>
  <c r="P50" i="359" a="1"/>
  <c r="S50" i="359" a="1"/>
  <c r="U50" i="359" a="1"/>
  <c r="AC50" i="359" a="1"/>
  <c r="B50" i="359" a="1"/>
  <c r="F50" i="359" a="1"/>
  <c r="O70" i="15" a="1"/>
  <c r="AD126" i="8" a="1"/>
  <c r="S43" i="15" a="1"/>
  <c r="S57" i="15" a="1"/>
  <c r="S55" i="15" a="1"/>
  <c r="S47" i="15" a="1"/>
  <c r="AD75" i="8" a="1"/>
  <c r="AD63" i="8" a="1"/>
  <c r="S53" i="15" a="1"/>
  <c r="AD55" i="8" a="1"/>
  <c r="AD123" i="8" a="1"/>
  <c r="D70" i="15" a="1"/>
  <c r="N70" i="15" a="1"/>
  <c r="S45" i="15" a="1"/>
  <c r="S61" i="15" a="1"/>
  <c r="M70" i="15" a="1"/>
  <c r="S64" i="15" a="1"/>
  <c r="AD96" i="8" a="1"/>
  <c r="R70" i="15" a="1"/>
  <c r="T70" i="15" a="1"/>
  <c r="AD86" i="8" a="1"/>
  <c r="AD41" i="8" a="1"/>
  <c r="AC118" i="8" l="1"/>
  <c r="AC120" i="8"/>
  <c r="AD49" i="8"/>
  <c r="AD109" i="8"/>
  <c r="AD80" i="8"/>
  <c r="AD107" i="8"/>
  <c r="AD70" i="8"/>
  <c r="AD129" i="8"/>
  <c r="AD59" i="8"/>
  <c r="AD97" i="8"/>
  <c r="AD47" i="8"/>
  <c r="AD60" i="8"/>
  <c r="AD57" i="8"/>
  <c r="AD77" i="8"/>
  <c r="AD78" i="8"/>
  <c r="AD48" i="8"/>
  <c r="AD128" i="8"/>
  <c r="AD99" i="8"/>
  <c r="AD98" i="8"/>
  <c r="AD100" i="8"/>
  <c r="AD130" i="8"/>
  <c r="AD90" i="8"/>
  <c r="AD87" i="8"/>
  <c r="AD68" i="8"/>
  <c r="AD58" i="8"/>
  <c r="AD127" i="8"/>
  <c r="AD46" i="8"/>
  <c r="AD110" i="8"/>
  <c r="AD89" i="8"/>
  <c r="AD67" i="8"/>
  <c r="AD108" i="8"/>
  <c r="AD69" i="8"/>
  <c r="AD88" i="8"/>
  <c r="AD79" i="8"/>
  <c r="AD104" i="8"/>
  <c r="AD103" i="8"/>
  <c r="AD106" i="8"/>
  <c r="AD105" i="8"/>
  <c r="AC119" i="8"/>
  <c r="AC117" i="8"/>
  <c r="X50" i="359"/>
  <c r="AA50" i="359"/>
  <c r="AB50" i="359"/>
  <c r="AC50" i="359"/>
  <c r="Z50" i="359"/>
  <c r="Y50" i="359"/>
  <c r="V50" i="359"/>
  <c r="U50" i="359"/>
  <c r="W50" i="359"/>
  <c r="R50" i="359"/>
  <c r="T50" i="359"/>
  <c r="S50" i="359"/>
  <c r="Q50" i="359"/>
  <c r="N50" i="359"/>
  <c r="O50" i="359"/>
  <c r="P50" i="359"/>
  <c r="K50" i="359"/>
  <c r="L50" i="359"/>
  <c r="M50" i="359"/>
  <c r="J50" i="359"/>
  <c r="I50" i="359"/>
  <c r="H50" i="359"/>
  <c r="G50" i="359"/>
  <c r="F50" i="359"/>
  <c r="D50" i="359"/>
  <c r="E50" i="359"/>
  <c r="C50" i="359"/>
  <c r="B50" i="359"/>
  <c r="A51" i="359"/>
  <c r="S52" i="15"/>
  <c r="S115" i="15" s="1"/>
  <c r="S62" i="15"/>
  <c r="S125" i="15" s="1"/>
  <c r="S61" i="15"/>
  <c r="S124" i="15" s="1"/>
  <c r="S47" i="15"/>
  <c r="S110" i="15" s="1"/>
  <c r="S55" i="15"/>
  <c r="S118" i="15" s="1"/>
  <c r="S46" i="15"/>
  <c r="S109" i="15" s="1"/>
  <c r="S51" i="15"/>
  <c r="S114" i="15" s="1"/>
  <c r="S58" i="15"/>
  <c r="S121" i="15" s="1"/>
  <c r="S45" i="15"/>
  <c r="S108" i="15" s="1"/>
  <c r="S60" i="15"/>
  <c r="S123" i="15" s="1"/>
  <c r="S57" i="15"/>
  <c r="S120" i="15" s="1"/>
  <c r="S39" i="15"/>
  <c r="S105" i="15" s="1"/>
  <c r="S53" i="15"/>
  <c r="S116" i="15" s="1"/>
  <c r="S66" i="15"/>
  <c r="S129" i="15" s="1"/>
  <c r="S43" i="15"/>
  <c r="S106" i="15" s="1"/>
  <c r="S63" i="15"/>
  <c r="S126" i="15" s="1"/>
  <c r="S48" i="15"/>
  <c r="S111" i="15" s="1"/>
  <c r="S50" i="15"/>
  <c r="S113" i="15" s="1"/>
  <c r="S56" i="15"/>
  <c r="S119" i="15" s="1"/>
  <c r="S67" i="15"/>
  <c r="S130" i="15" s="1"/>
  <c r="S65" i="15"/>
  <c r="S128" i="15" s="1"/>
  <c r="S64" i="15"/>
  <c r="S127" i="15" s="1"/>
  <c r="S44" i="15"/>
  <c r="S107" i="15" s="1"/>
  <c r="S49" i="15"/>
  <c r="S112" i="15" s="1"/>
  <c r="S68" i="15"/>
  <c r="S131" i="15" s="1"/>
  <c r="S59" i="15"/>
  <c r="S122" i="15" s="1"/>
  <c r="S54" i="15"/>
  <c r="S117" i="15" s="1"/>
  <c r="U38" i="15"/>
  <c r="C132" i="15"/>
  <c r="A132" i="15" s="1"/>
  <c r="N132" i="15"/>
  <c r="R132" i="15"/>
  <c r="AD41" i="8"/>
  <c r="AD44" i="8"/>
  <c r="AD42" i="8"/>
  <c r="AD45" i="8"/>
  <c r="AD43" i="8"/>
  <c r="AD85" i="8"/>
  <c r="AD86" i="8"/>
  <c r="AD82" i="8"/>
  <c r="AD83" i="8"/>
  <c r="AD84" i="8"/>
  <c r="F132" i="15"/>
  <c r="K132" i="15"/>
  <c r="P132" i="15"/>
  <c r="L132" i="15"/>
  <c r="H132" i="15"/>
  <c r="S132" i="15"/>
  <c r="O132" i="15"/>
  <c r="J132" i="15"/>
  <c r="G132" i="15"/>
  <c r="Q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B71" i="15"/>
  <c r="AD126" i="8"/>
  <c r="AD96" i="8"/>
  <c r="AD76" i="8"/>
  <c r="AD66" i="8"/>
  <c r="AD56" i="8"/>
  <c r="AC116" i="8"/>
  <c r="AD54" i="8"/>
  <c r="AD53" i="8"/>
  <c r="AD55" i="8"/>
  <c r="AD63" i="8"/>
  <c r="AD65" i="8"/>
  <c r="AD64" i="8"/>
  <c r="AD73" i="8"/>
  <c r="AD74" i="8"/>
  <c r="AD75" i="8"/>
  <c r="AD95" i="8"/>
  <c r="AD94" i="8"/>
  <c r="AD93" i="8"/>
  <c r="AC114" i="8"/>
  <c r="AD124" i="8"/>
  <c r="AD52" i="8"/>
  <c r="AD62" i="8"/>
  <c r="AD92" i="8"/>
  <c r="AD72" i="8"/>
  <c r="AD125" i="8"/>
  <c r="AD123" i="8"/>
  <c r="AD122" i="8"/>
  <c r="AC115" i="8"/>
  <c r="AC112" i="8"/>
  <c r="AC102" i="8"/>
  <c r="AE39" i="8"/>
  <c r="AC113" i="8"/>
  <c r="AE103" i="8" a="1"/>
  <c r="AE90" i="8" a="1"/>
  <c r="AE58" i="8" a="1"/>
  <c r="AE127" i="8" a="1"/>
  <c r="AE69" i="8" a="1"/>
  <c r="AE80" i="8" a="1"/>
  <c r="AE78" i="8" a="1"/>
  <c r="AE129" i="8" a="1"/>
  <c r="AE60" i="8" a="1"/>
  <c r="M51" i="359" a="1"/>
  <c r="N51" i="359" a="1"/>
  <c r="Q51" i="359" a="1"/>
  <c r="Y51" i="359" a="1"/>
  <c r="AB51" i="359" a="1"/>
  <c r="E51" i="359" a="1"/>
  <c r="H51" i="359" a="1"/>
  <c r="AE124" i="8" a="1"/>
  <c r="AE44" i="8" a="1"/>
  <c r="AE53" i="8" a="1"/>
  <c r="AE72" i="8" a="1"/>
  <c r="T55" i="15" a="1"/>
  <c r="T71" i="15" a="1"/>
  <c r="AE43" i="8" a="1"/>
  <c r="AE64" i="8" a="1"/>
  <c r="AE82" i="8" a="1"/>
  <c r="T61" i="15" a="1"/>
  <c r="T62" i="15" a="1"/>
  <c r="T50" i="15" a="1"/>
  <c r="AE84" i="8" a="1"/>
  <c r="AE55" i="8" a="1"/>
  <c r="G71" i="15" a="1"/>
  <c r="T45" i="15" a="1"/>
  <c r="AE92" i="8" a="1"/>
  <c r="AE104" i="8" a="1"/>
  <c r="AE100" i="8" a="1"/>
  <c r="AE130" i="8" a="1"/>
  <c r="AE87" i="8" a="1"/>
  <c r="AE108" i="8" a="1"/>
  <c r="AE77" i="8" a="1"/>
  <c r="AE59" i="8" a="1"/>
  <c r="AE107" i="8" a="1"/>
  <c r="AE109" i="8" a="1"/>
  <c r="K51" i="359" a="1"/>
  <c r="T51" i="359" a="1"/>
  <c r="U51" i="359" a="1"/>
  <c r="AC51" i="359" a="1"/>
  <c r="X51" i="359" a="1"/>
  <c r="D51" i="359" a="1"/>
  <c r="I51" i="359" a="1"/>
  <c r="T59" i="15" a="1"/>
  <c r="AE126" i="8" a="1"/>
  <c r="T49" i="15" a="1"/>
  <c r="AE122" i="8" a="1"/>
  <c r="H71" i="15" a="1"/>
  <c r="F71" i="15" a="1"/>
  <c r="AE65" i="8" a="1"/>
  <c r="AE85" i="8" a="1"/>
  <c r="T51" i="15" a="1"/>
  <c r="K71" i="15" a="1"/>
  <c r="E71" i="15" a="1"/>
  <c r="T64" i="15" a="1"/>
  <c r="T54" i="15" a="1"/>
  <c r="AE74" i="8" a="1"/>
  <c r="T52" i="15" a="1"/>
  <c r="J71" i="15" a="1"/>
  <c r="I71" i="15" a="1"/>
  <c r="AE105" i="8" a="1"/>
  <c r="AE79" i="8" a="1"/>
  <c r="AE89" i="8" a="1"/>
  <c r="AE68" i="8" a="1"/>
  <c r="AE88" i="8" a="1"/>
  <c r="AE98" i="8" a="1"/>
  <c r="AE128" i="8" a="1"/>
  <c r="AE70" i="8" a="1"/>
  <c r="AE49" i="8" a="1"/>
  <c r="J51" i="359" a="1"/>
  <c r="P51" i="359" a="1"/>
  <c r="R51" i="359" a="1"/>
  <c r="W51" i="359" a="1"/>
  <c r="AA51" i="359" a="1"/>
  <c r="B51" i="359" a="1"/>
  <c r="F51" i="359" a="1"/>
  <c r="AE41" i="8" a="1"/>
  <c r="T58" i="15" a="1"/>
  <c r="T44" i="15" a="1"/>
  <c r="T43" i="15" a="1"/>
  <c r="AE45" i="8" a="1"/>
  <c r="T57" i="15" a="1"/>
  <c r="Q71" i="15" a="1"/>
  <c r="T53" i="15" a="1"/>
  <c r="C71" i="15" a="1"/>
  <c r="T65" i="15" a="1"/>
  <c r="AE96" i="8" a="1"/>
  <c r="AE42" i="8" a="1"/>
  <c r="AE75" i="8" a="1"/>
  <c r="N71" i="15" a="1"/>
  <c r="AE54" i="8" a="1"/>
  <c r="AE95" i="8" a="1"/>
  <c r="L71" i="15" a="1"/>
  <c r="O71" i="15" a="1"/>
  <c r="AE93" i="8" a="1"/>
  <c r="R71" i="15" a="1"/>
  <c r="AE52" i="8" a="1"/>
  <c r="T39" i="15" a="1"/>
  <c r="AE123" i="8" a="1"/>
  <c r="T47" i="15" a="1"/>
  <c r="AE106" i="8" a="1"/>
  <c r="AE46" i="8" a="1"/>
  <c r="AE110" i="8" a="1"/>
  <c r="AE99" i="8" a="1"/>
  <c r="AE67" i="8" a="1"/>
  <c r="AE48" i="8" a="1"/>
  <c r="AE97" i="8" a="1"/>
  <c r="AE47" i="8" a="1"/>
  <c r="AE57" i="8" a="1"/>
  <c r="L51" i="359" a="1"/>
  <c r="O51" i="359" a="1"/>
  <c r="S51" i="359" a="1"/>
  <c r="V51" i="359" a="1"/>
  <c r="Z51" i="359" a="1"/>
  <c r="C51" i="359" a="1"/>
  <c r="G51" i="359" a="1"/>
  <c r="T69" i="15" a="1"/>
  <c r="AE73" i="8" a="1"/>
  <c r="AE63" i="8" a="1"/>
  <c r="AE86" i="8" a="1"/>
  <c r="T46" i="15" a="1"/>
  <c r="AE66" i="8" a="1"/>
  <c r="AE83" i="8" a="1"/>
  <c r="T67" i="15" a="1"/>
  <c r="U71" i="15" a="1"/>
  <c r="T56" i="15" a="1"/>
  <c r="D71" i="15" a="1"/>
  <c r="AE76" i="8" a="1"/>
  <c r="AE125" i="8" a="1"/>
  <c r="T66" i="15" a="1"/>
  <c r="T60" i="15" a="1"/>
  <c r="T48" i="15" a="1"/>
  <c r="AE62" i="8" a="1"/>
  <c r="T68" i="15" a="1"/>
  <c r="AE56" i="8" a="1"/>
  <c r="AE94" i="8" a="1"/>
  <c r="M71" i="15" a="1"/>
  <c r="T63" i="15" a="1"/>
  <c r="P71" i="15" a="1"/>
  <c r="S71" i="15" a="1"/>
  <c r="AE109" i="8" l="1"/>
  <c r="AE60" i="8"/>
  <c r="AE57" i="8"/>
  <c r="AE49" i="8"/>
  <c r="AE107" i="8"/>
  <c r="AE129" i="8"/>
  <c r="AE47" i="8"/>
  <c r="AE70" i="8"/>
  <c r="AE59" i="8"/>
  <c r="AE78" i="8"/>
  <c r="AE97" i="8"/>
  <c r="AE128" i="8"/>
  <c r="AE77" i="8"/>
  <c r="AE80" i="8"/>
  <c r="AE48" i="8"/>
  <c r="AE98" i="8"/>
  <c r="AE108" i="8"/>
  <c r="AE69" i="8"/>
  <c r="AE67" i="8"/>
  <c r="AE88" i="8"/>
  <c r="AE87" i="8"/>
  <c r="AE127" i="8"/>
  <c r="AE99" i="8"/>
  <c r="AE68" i="8"/>
  <c r="AE130" i="8"/>
  <c r="AE58" i="8"/>
  <c r="AE110" i="8"/>
  <c r="AE89" i="8"/>
  <c r="AE100" i="8"/>
  <c r="AE90" i="8"/>
  <c r="AE46" i="8"/>
  <c r="AE79" i="8"/>
  <c r="AE104" i="8"/>
  <c r="AE103" i="8"/>
  <c r="AE106" i="8"/>
  <c r="AE105" i="8"/>
  <c r="AD119" i="8"/>
  <c r="AD117" i="8"/>
  <c r="AD118" i="8"/>
  <c r="AD120" i="8"/>
  <c r="X51" i="359"/>
  <c r="AB51" i="359"/>
  <c r="Z51" i="359"/>
  <c r="AA51" i="359"/>
  <c r="AC51" i="359"/>
  <c r="Y51" i="359"/>
  <c r="V51" i="359"/>
  <c r="W51" i="359"/>
  <c r="U51" i="359"/>
  <c r="Q51" i="359"/>
  <c r="S51" i="359"/>
  <c r="R51" i="359"/>
  <c r="T51" i="359"/>
  <c r="N51" i="359"/>
  <c r="O51" i="359"/>
  <c r="P51" i="359"/>
  <c r="K51" i="359"/>
  <c r="M51" i="359"/>
  <c r="L51" i="359"/>
  <c r="J51" i="359"/>
  <c r="I51" i="359"/>
  <c r="H51" i="359"/>
  <c r="G51" i="359"/>
  <c r="F51" i="359"/>
  <c r="D51" i="359"/>
  <c r="E51" i="359"/>
  <c r="C51" i="359"/>
  <c r="B51" i="359"/>
  <c r="A52" i="359"/>
  <c r="T66" i="15"/>
  <c r="T129" i="15" s="1"/>
  <c r="T47" i="15"/>
  <c r="T110" i="15" s="1"/>
  <c r="T54" i="15"/>
  <c r="T117" i="15" s="1"/>
  <c r="T60" i="15"/>
  <c r="T123" i="15" s="1"/>
  <c r="T64" i="15"/>
  <c r="T127" i="15" s="1"/>
  <c r="T67" i="15"/>
  <c r="T130" i="15" s="1"/>
  <c r="T43" i="15"/>
  <c r="T106" i="15" s="1"/>
  <c r="T45" i="15"/>
  <c r="T108" i="15" s="1"/>
  <c r="T50" i="15"/>
  <c r="T113" i="15" s="1"/>
  <c r="T53" i="15"/>
  <c r="T116" i="15" s="1"/>
  <c r="T49" i="15"/>
  <c r="T112" i="15" s="1"/>
  <c r="T68" i="15"/>
  <c r="T131" i="15" s="1"/>
  <c r="T44" i="15"/>
  <c r="T107" i="15" s="1"/>
  <c r="T63" i="15"/>
  <c r="T126" i="15" s="1"/>
  <c r="T62" i="15"/>
  <c r="T125" i="15" s="1"/>
  <c r="T58" i="15"/>
  <c r="T121" i="15" s="1"/>
  <c r="T39" i="15"/>
  <c r="T105" i="15" s="1"/>
  <c r="T61" i="15"/>
  <c r="T124" i="15" s="1"/>
  <c r="T57" i="15"/>
  <c r="T120" i="15" s="1"/>
  <c r="T59" i="15"/>
  <c r="T122" i="15" s="1"/>
  <c r="T48" i="15"/>
  <c r="T111" i="15" s="1"/>
  <c r="T56" i="15"/>
  <c r="T119" i="15" s="1"/>
  <c r="T65" i="15"/>
  <c r="T128" i="15" s="1"/>
  <c r="T55" i="15"/>
  <c r="T118" i="15" s="1"/>
  <c r="T69" i="15"/>
  <c r="T132" i="15" s="1"/>
  <c r="T52" i="15"/>
  <c r="T115" i="15" s="1"/>
  <c r="T51" i="15"/>
  <c r="T114" i="15" s="1"/>
  <c r="T46" i="15"/>
  <c r="T109" i="15" s="1"/>
  <c r="V38" i="15"/>
  <c r="AE43" i="8"/>
  <c r="AE42" i="8"/>
  <c r="AE41" i="8"/>
  <c r="AE45" i="8"/>
  <c r="AE44" i="8"/>
  <c r="AE83" i="8"/>
  <c r="AE84" i="8"/>
  <c r="AE82" i="8"/>
  <c r="AE86" i="8"/>
  <c r="AE85" i="8"/>
  <c r="R133" i="15"/>
  <c r="N133" i="15"/>
  <c r="K133" i="15"/>
  <c r="F133" i="15"/>
  <c r="M133" i="15"/>
  <c r="E133" i="15"/>
  <c r="T133" i="15"/>
  <c r="P133" i="15"/>
  <c r="L133" i="15"/>
  <c r="H133" i="15"/>
  <c r="Q133" i="15"/>
  <c r="I133" i="15"/>
  <c r="S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B72" i="15"/>
  <c r="AE126" i="8"/>
  <c r="AE96" i="8"/>
  <c r="AE76" i="8"/>
  <c r="AE66" i="8"/>
  <c r="AE56" i="8"/>
  <c r="AD116" i="8"/>
  <c r="AE54" i="8"/>
  <c r="AE53" i="8"/>
  <c r="AE55" i="8"/>
  <c r="AE65" i="8"/>
  <c r="AE64" i="8"/>
  <c r="AE63" i="8"/>
  <c r="AE73" i="8"/>
  <c r="AE74" i="8"/>
  <c r="AE75" i="8"/>
  <c r="AE93" i="8"/>
  <c r="AE95" i="8"/>
  <c r="AE94" i="8"/>
  <c r="AD113" i="8"/>
  <c r="AE124" i="8"/>
  <c r="AE52" i="8"/>
  <c r="AE62" i="8"/>
  <c r="AE92" i="8"/>
  <c r="AE72" i="8"/>
  <c r="AE125" i="8"/>
  <c r="AE123" i="8"/>
  <c r="AE122" i="8"/>
  <c r="AF39" i="8"/>
  <c r="AD115" i="8"/>
  <c r="AD112" i="8"/>
  <c r="AD102" i="8"/>
  <c r="AD114" i="8"/>
  <c r="AF105" i="8" a="1"/>
  <c r="AF46" i="8" a="1"/>
  <c r="AF110" i="8" a="1"/>
  <c r="AF67" i="8" a="1"/>
  <c r="AF88" i="8" a="1"/>
  <c r="AF77" i="8" a="1"/>
  <c r="AF78" i="8" a="1"/>
  <c r="AF59" i="8" a="1"/>
  <c r="AF60" i="8" a="1"/>
  <c r="L52" i="359" a="1"/>
  <c r="N52" i="359" a="1"/>
  <c r="S52" i="359" a="1"/>
  <c r="W52" i="359" a="1"/>
  <c r="Y52" i="359" a="1"/>
  <c r="B52" i="359" a="1"/>
  <c r="F52" i="359" a="1"/>
  <c r="AF122" i="8" a="1"/>
  <c r="U49" i="15" a="1"/>
  <c r="AF86" i="8" a="1"/>
  <c r="AF44" i="8" a="1"/>
  <c r="AF94" i="8" a="1"/>
  <c r="D72" i="15" a="1"/>
  <c r="AF92" i="8" a="1"/>
  <c r="O72" i="15" a="1"/>
  <c r="AF52" i="8" a="1"/>
  <c r="U60" i="15" a="1"/>
  <c r="U55" i="15" a="1"/>
  <c r="U61" i="15" a="1"/>
  <c r="U45" i="15" a="1"/>
  <c r="U43" i="15" a="1"/>
  <c r="AF95" i="8" a="1"/>
  <c r="U62" i="15" a="1"/>
  <c r="AF72" i="8" a="1"/>
  <c r="AF74" i="8" a="1"/>
  <c r="AF106" i="8" a="1"/>
  <c r="AF79" i="8" a="1"/>
  <c r="AF99" i="8" a="1"/>
  <c r="AF100" i="8" a="1"/>
  <c r="AF130" i="8" a="1"/>
  <c r="AF47" i="8" a="1"/>
  <c r="AF129" i="8" a="1"/>
  <c r="AF70" i="8" a="1"/>
  <c r="AF109" i="8" a="1"/>
  <c r="K52" i="359" a="1"/>
  <c r="P52" i="359" a="1"/>
  <c r="T52" i="359" a="1"/>
  <c r="V52" i="359" a="1"/>
  <c r="AB52" i="359" a="1"/>
  <c r="C52" i="359" a="1"/>
  <c r="G52" i="359" a="1"/>
  <c r="AF85" i="8" a="1"/>
  <c r="U57" i="15" a="1"/>
  <c r="AF124" i="8" a="1"/>
  <c r="U58" i="15" a="1"/>
  <c r="AF83" i="8" a="1"/>
  <c r="U54" i="15" a="1"/>
  <c r="J72" i="15" a="1"/>
  <c r="Q72" i="15" a="1"/>
  <c r="AF41" i="8" a="1"/>
  <c r="U68" i="15" a="1"/>
  <c r="AF54" i="8" a="1"/>
  <c r="AF82" i="8" a="1"/>
  <c r="AF76" i="8" a="1"/>
  <c r="F72" i="15" a="1"/>
  <c r="E72" i="15" a="1"/>
  <c r="U48" i="15" a="1"/>
  <c r="AF63" i="8" a="1"/>
  <c r="U53" i="15" a="1"/>
  <c r="AF103" i="8" a="1"/>
  <c r="AF69" i="8" a="1"/>
  <c r="AF87" i="8" a="1"/>
  <c r="AF127" i="8" a="1"/>
  <c r="AF68" i="8" a="1"/>
  <c r="AF98" i="8" a="1"/>
  <c r="AF107" i="8" a="1"/>
  <c r="AF128" i="8" a="1"/>
  <c r="AF57" i="8" a="1"/>
  <c r="M52" i="359" a="1"/>
  <c r="O52" i="359" a="1"/>
  <c r="Q52" i="359" a="1"/>
  <c r="Z52" i="359" a="1"/>
  <c r="AA52" i="359" a="1"/>
  <c r="E52" i="359" a="1"/>
  <c r="H52" i="359" a="1"/>
  <c r="U70" i="15" a="1"/>
  <c r="S72" i="15" a="1"/>
  <c r="U50" i="15" a="1"/>
  <c r="U64" i="15" a="1"/>
  <c r="U44" i="15" a="1"/>
  <c r="U59" i="15" a="1"/>
  <c r="AF55" i="8" a="1"/>
  <c r="U67" i="15" a="1"/>
  <c r="AF96" i="8" a="1"/>
  <c r="AF93" i="8" a="1"/>
  <c r="AF75" i="8" a="1"/>
  <c r="I72" i="15" a="1"/>
  <c r="H72" i="15" a="1"/>
  <c r="AF66" i="8" a="1"/>
  <c r="U69" i="15" a="1"/>
  <c r="U39" i="15" a="1"/>
  <c r="AF56" i="8" a="1"/>
  <c r="AF53" i="8" a="1"/>
  <c r="AF43" i="8" a="1"/>
  <c r="AF84" i="8" a="1"/>
  <c r="N72" i="15" a="1"/>
  <c r="AF42" i="8" a="1"/>
  <c r="AF62" i="8" a="1"/>
  <c r="U52" i="15" a="1"/>
  <c r="AF104" i="8" a="1"/>
  <c r="AF90" i="8" a="1"/>
  <c r="AF108" i="8" a="1"/>
  <c r="AF58" i="8" a="1"/>
  <c r="AF89" i="8" a="1"/>
  <c r="AF48" i="8" a="1"/>
  <c r="AF97" i="8" a="1"/>
  <c r="AF49" i="8" a="1"/>
  <c r="AF80" i="8" a="1"/>
  <c r="J52" i="359" a="1"/>
  <c r="R52" i="359" a="1"/>
  <c r="U52" i="359" a="1"/>
  <c r="AC52" i="359" a="1"/>
  <c r="X52" i="359" a="1"/>
  <c r="D52" i="359" a="1"/>
  <c r="I52" i="359" a="1"/>
  <c r="U56" i="15" a="1"/>
  <c r="R72" i="15" a="1"/>
  <c r="C72" i="15" a="1"/>
  <c r="AF65" i="8" a="1"/>
  <c r="U65" i="15" a="1"/>
  <c r="U72" i="15" a="1"/>
  <c r="AF45" i="8" a="1"/>
  <c r="U46" i="15" a="1"/>
  <c r="P72" i="15" a="1"/>
  <c r="U47" i="15" a="1"/>
  <c r="L72" i="15" a="1"/>
  <c r="AF64" i="8" a="1"/>
  <c r="M72" i="15" a="1"/>
  <c r="V72" i="15" a="1"/>
  <c r="U66" i="15" a="1"/>
  <c r="K72" i="15" a="1"/>
  <c r="AF73" i="8" a="1"/>
  <c r="G72" i="15" a="1"/>
  <c r="AF125" i="8" a="1"/>
  <c r="AF123" i="8" a="1"/>
  <c r="AF126" i="8" a="1"/>
  <c r="T72" i="15" a="1"/>
  <c r="U51" i="15" a="1"/>
  <c r="U63" i="15" a="1"/>
  <c r="AE120" i="8" l="1"/>
  <c r="AE117" i="8"/>
  <c r="AE118" i="8"/>
  <c r="AF80" i="8"/>
  <c r="AF57" i="8"/>
  <c r="AF109" i="8"/>
  <c r="AF60" i="8"/>
  <c r="AF49" i="8"/>
  <c r="AF128" i="8"/>
  <c r="AF70" i="8"/>
  <c r="AF59" i="8"/>
  <c r="AF97" i="8"/>
  <c r="AF107" i="8"/>
  <c r="AF129" i="8"/>
  <c r="AF78" i="8"/>
  <c r="AF48" i="8"/>
  <c r="AF98" i="8"/>
  <c r="AF47" i="8"/>
  <c r="AF77" i="8"/>
  <c r="AF89" i="8"/>
  <c r="AF68" i="8"/>
  <c r="AF130" i="8"/>
  <c r="AF88" i="8"/>
  <c r="AF58" i="8"/>
  <c r="AF127" i="8"/>
  <c r="AF100" i="8"/>
  <c r="AF67" i="8"/>
  <c r="AF108" i="8"/>
  <c r="AF87" i="8"/>
  <c r="AF99" i="8"/>
  <c r="AF110" i="8"/>
  <c r="AF90" i="8"/>
  <c r="AF69" i="8"/>
  <c r="AF79" i="8"/>
  <c r="AF46" i="8"/>
  <c r="AF104" i="8"/>
  <c r="AF103" i="8"/>
  <c r="AF106" i="8"/>
  <c r="AF105" i="8"/>
  <c r="AE119" i="8"/>
  <c r="X52" i="359"/>
  <c r="AA52" i="359"/>
  <c r="AB52" i="359"/>
  <c r="Y52" i="359"/>
  <c r="AC52" i="359"/>
  <c r="Z52" i="359"/>
  <c r="V52" i="359"/>
  <c r="W52" i="359"/>
  <c r="U52" i="359"/>
  <c r="Q52" i="359"/>
  <c r="T52" i="359"/>
  <c r="S52" i="359"/>
  <c r="R52" i="359"/>
  <c r="O52" i="359"/>
  <c r="P52" i="359"/>
  <c r="N52" i="359"/>
  <c r="J52" i="359"/>
  <c r="M52" i="359"/>
  <c r="K52" i="359"/>
  <c r="L52" i="359"/>
  <c r="I52" i="359"/>
  <c r="H52" i="359"/>
  <c r="G52" i="359"/>
  <c r="F52" i="359"/>
  <c r="D52" i="359"/>
  <c r="E52" i="359"/>
  <c r="C52" i="359"/>
  <c r="B52" i="359"/>
  <c r="A53" i="359"/>
  <c r="U52" i="15"/>
  <c r="U115" i="15" s="1"/>
  <c r="U43" i="15"/>
  <c r="U106" i="15" s="1"/>
  <c r="U69" i="15"/>
  <c r="U132" i="15" s="1"/>
  <c r="U46" i="15"/>
  <c r="U109" i="15" s="1"/>
  <c r="U64" i="15"/>
  <c r="U127" i="15" s="1"/>
  <c r="U53" i="15"/>
  <c r="U116" i="15" s="1"/>
  <c r="U45" i="15"/>
  <c r="U108" i="15" s="1"/>
  <c r="U67" i="15"/>
  <c r="U130" i="15" s="1"/>
  <c r="U58" i="15"/>
  <c r="U121" i="15" s="1"/>
  <c r="U51" i="15"/>
  <c r="U114" i="15" s="1"/>
  <c r="U50" i="15"/>
  <c r="U113" i="15" s="1"/>
  <c r="U63" i="15"/>
  <c r="U126" i="15" s="1"/>
  <c r="U61" i="15"/>
  <c r="U124" i="15" s="1"/>
  <c r="U55" i="15"/>
  <c r="U118" i="15" s="1"/>
  <c r="U59" i="15"/>
  <c r="U122" i="15" s="1"/>
  <c r="U57" i="15"/>
  <c r="U120" i="15" s="1"/>
  <c r="U62" i="15"/>
  <c r="U125" i="15" s="1"/>
  <c r="U47" i="15"/>
  <c r="U110" i="15" s="1"/>
  <c r="U54" i="15"/>
  <c r="U117" i="15" s="1"/>
  <c r="U49" i="15"/>
  <c r="U112" i="15" s="1"/>
  <c r="U56" i="15"/>
  <c r="U119" i="15" s="1"/>
  <c r="U39" i="15"/>
  <c r="U105" i="15" s="1"/>
  <c r="U68" i="15"/>
  <c r="U131" i="15" s="1"/>
  <c r="U65" i="15"/>
  <c r="U128" i="15" s="1"/>
  <c r="U70" i="15"/>
  <c r="U133" i="15" s="1"/>
  <c r="U48" i="15"/>
  <c r="U111" i="15" s="1"/>
  <c r="U60" i="15"/>
  <c r="U123" i="15" s="1"/>
  <c r="U44" i="15"/>
  <c r="U107" i="15" s="1"/>
  <c r="U66" i="15"/>
  <c r="U129" i="15" s="1"/>
  <c r="W38" i="15"/>
  <c r="R134" i="15"/>
  <c r="N134" i="15"/>
  <c r="AF42" i="8"/>
  <c r="AF45" i="8"/>
  <c r="AF43" i="8"/>
  <c r="AF41" i="8"/>
  <c r="AF44" i="8"/>
  <c r="AF82" i="8"/>
  <c r="AF86" i="8"/>
  <c r="AF85" i="8"/>
  <c r="AF84" i="8"/>
  <c r="AF83" i="8"/>
  <c r="J134" i="15"/>
  <c r="F134" i="15"/>
  <c r="T134" i="15"/>
  <c r="P134" i="15"/>
  <c r="L134" i="15"/>
  <c r="H134" i="15"/>
  <c r="U134" i="15"/>
  <c r="Q134" i="15"/>
  <c r="M134" i="15"/>
  <c r="I134" i="15"/>
  <c r="E134" i="15"/>
  <c r="S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B73" i="15"/>
  <c r="AF126" i="8"/>
  <c r="AF96" i="8"/>
  <c r="AF76" i="8"/>
  <c r="AF66" i="8"/>
  <c r="AF56" i="8"/>
  <c r="AE116" i="8"/>
  <c r="AF54" i="8"/>
  <c r="AF55" i="8"/>
  <c r="AF53" i="8"/>
  <c r="AF64" i="8"/>
  <c r="AF63" i="8"/>
  <c r="AF65" i="8"/>
  <c r="AF73" i="8"/>
  <c r="AF75" i="8"/>
  <c r="AF74" i="8"/>
  <c r="AF93" i="8"/>
  <c r="AF94" i="8"/>
  <c r="AF95" i="8"/>
  <c r="AE115" i="8"/>
  <c r="AF124" i="8"/>
  <c r="AF52" i="8"/>
  <c r="AF62" i="8"/>
  <c r="AF92" i="8"/>
  <c r="AF72" i="8"/>
  <c r="AF125" i="8"/>
  <c r="AF123" i="8"/>
  <c r="AF122" i="8"/>
  <c r="AE114" i="8"/>
  <c r="AG39" i="8"/>
  <c r="AE113" i="8"/>
  <c r="AE112" i="8"/>
  <c r="AE102" i="8"/>
  <c r="AG106" i="8" a="1"/>
  <c r="AG79" i="8" a="1"/>
  <c r="AG90" i="8" a="1"/>
  <c r="AG77" i="8" a="1"/>
  <c r="AG58" i="8" a="1"/>
  <c r="AG70" i="8" a="1"/>
  <c r="AG59" i="8" a="1"/>
  <c r="AG97" i="8" a="1"/>
  <c r="AG60" i="8" a="1"/>
  <c r="K53" i="359" a="1"/>
  <c r="O53" i="359" a="1"/>
  <c r="S53" i="359" a="1"/>
  <c r="V53" i="359" a="1"/>
  <c r="Z53" i="359" a="1"/>
  <c r="C53" i="359" a="1"/>
  <c r="G53" i="359" a="1"/>
  <c r="AG125" i="8" a="1"/>
  <c r="V64" i="15" a="1"/>
  <c r="T73" i="15" a="1"/>
  <c r="V63" i="15" a="1"/>
  <c r="K73" i="15" a="1"/>
  <c r="V44" i="15" a="1"/>
  <c r="P73" i="15" a="1"/>
  <c r="V73" i="15" a="1"/>
  <c r="V68" i="15" a="1"/>
  <c r="AG86" i="8" a="1"/>
  <c r="V66" i="15" a="1"/>
  <c r="G73" i="15" a="1"/>
  <c r="AG44" i="8" a="1"/>
  <c r="V53" i="15" a="1"/>
  <c r="V54" i="15" a="1"/>
  <c r="V47" i="15" a="1"/>
  <c r="V49" i="15" a="1"/>
  <c r="AG41" i="8" a="1"/>
  <c r="R73" i="15" a="1"/>
  <c r="AG73" i="8" a="1"/>
  <c r="AG56" i="8" a="1"/>
  <c r="AG103" i="8" a="1"/>
  <c r="AG87" i="8" a="1"/>
  <c r="AG130" i="8" a="1"/>
  <c r="AG88" i="8" a="1"/>
  <c r="AG100" i="8" a="1"/>
  <c r="AG99" i="8" a="1"/>
  <c r="AG129" i="8" a="1"/>
  <c r="AG48" i="8" a="1"/>
  <c r="AG109" i="8" a="1"/>
  <c r="J53" i="359" a="1"/>
  <c r="N53" i="359" a="1"/>
  <c r="Q53" i="359" a="1"/>
  <c r="AB53" i="359" a="1"/>
  <c r="Y53" i="359" a="1"/>
  <c r="D53" i="359" a="1"/>
  <c r="H53" i="359" a="1"/>
  <c r="V48" i="15" a="1"/>
  <c r="AG66" i="8" a="1"/>
  <c r="AG65" i="8" a="1"/>
  <c r="V45" i="15" a="1"/>
  <c r="AG92" i="8" a="1"/>
  <c r="H73" i="15" a="1"/>
  <c r="AG42" i="8" a="1"/>
  <c r="S73" i="15" a="1"/>
  <c r="W73" i="15" a="1"/>
  <c r="V43" i="15" a="1"/>
  <c r="AG95" i="8" a="1"/>
  <c r="AG85" i="8" a="1"/>
  <c r="F73" i="15" a="1"/>
  <c r="D73" i="15" a="1"/>
  <c r="AG52" i="8" a="1"/>
  <c r="AG123" i="8" a="1"/>
  <c r="L73" i="15" a="1"/>
  <c r="AG54" i="8" a="1"/>
  <c r="AG62" i="8" a="1"/>
  <c r="N73" i="15" a="1"/>
  <c r="AG64" i="8" a="1"/>
  <c r="AG93" i="8" a="1"/>
  <c r="AG104" i="8" a="1"/>
  <c r="AG69" i="8" a="1"/>
  <c r="AG68" i="8" a="1"/>
  <c r="AG67" i="8" a="1"/>
  <c r="AG89" i="8" a="1"/>
  <c r="AG128" i="8" a="1"/>
  <c r="AG107" i="8" a="1"/>
  <c r="AG80" i="8" a="1"/>
  <c r="AG57" i="8" a="1"/>
  <c r="M53" i="359" a="1"/>
  <c r="R53" i="359" a="1"/>
  <c r="W53" i="359" a="1"/>
  <c r="AA53" i="359" a="1"/>
  <c r="X53" i="359" a="1"/>
  <c r="E53" i="359" a="1"/>
  <c r="I53" i="359" a="1"/>
  <c r="V57" i="15" a="1"/>
  <c r="AG122" i="8" a="1"/>
  <c r="AG96" i="8" a="1"/>
  <c r="AG43" i="8" a="1"/>
  <c r="E73" i="15" a="1"/>
  <c r="V61" i="15" a="1"/>
  <c r="Q73" i="15" a="1"/>
  <c r="O73" i="15" a="1"/>
  <c r="AG83" i="8" a="1"/>
  <c r="AG45" i="8" a="1"/>
  <c r="V39" i="15" a="1"/>
  <c r="AG55" i="8" a="1"/>
  <c r="AG124" i="8" a="1"/>
  <c r="AG94" i="8" a="1"/>
  <c r="AG126" i="8" a="1"/>
  <c r="M73" i="15" a="1"/>
  <c r="V67" i="15" a="1"/>
  <c r="AG75" i="8" a="1"/>
  <c r="V52" i="15" a="1"/>
  <c r="J73" i="15" a="1"/>
  <c r="AG105" i="8" a="1"/>
  <c r="AG46" i="8" a="1"/>
  <c r="AG108" i="8" a="1"/>
  <c r="AG110" i="8" a="1"/>
  <c r="AG127" i="8" a="1"/>
  <c r="AG98" i="8" a="1"/>
  <c r="AG78" i="8" a="1"/>
  <c r="AG47" i="8" a="1"/>
  <c r="AG49" i="8" a="1"/>
  <c r="L53" i="359" a="1"/>
  <c r="P53" i="359" a="1"/>
  <c r="T53" i="359" a="1"/>
  <c r="U53" i="359" a="1"/>
  <c r="AC53" i="359" a="1"/>
  <c r="B53" i="359" a="1"/>
  <c r="F53" i="359" a="1"/>
  <c r="I73" i="15" a="1"/>
  <c r="V58" i="15" a="1"/>
  <c r="AG53" i="8" a="1"/>
  <c r="AG76" i="8" a="1"/>
  <c r="AG63" i="8" a="1"/>
  <c r="V70" i="15" a="1"/>
  <c r="V46" i="15" a="1"/>
  <c r="V60" i="15" a="1"/>
  <c r="V71" i="15" a="1"/>
  <c r="AG84" i="8" a="1"/>
  <c r="V65" i="15" a="1"/>
  <c r="V59" i="15" a="1"/>
  <c r="V51" i="15" a="1"/>
  <c r="V69" i="15" a="1"/>
  <c r="AG82" i="8" a="1"/>
  <c r="AG72" i="8" a="1"/>
  <c r="V50" i="15" a="1"/>
  <c r="U73" i="15" a="1"/>
  <c r="V56" i="15" a="1"/>
  <c r="V62" i="15" a="1"/>
  <c r="AG74" i="8" a="1"/>
  <c r="C73" i="15" a="1"/>
  <c r="V55" i="15" a="1"/>
  <c r="AF120" i="8" l="1"/>
  <c r="AG57" i="8"/>
  <c r="AG109" i="8"/>
  <c r="AG60" i="8"/>
  <c r="AG49" i="8"/>
  <c r="AG80" i="8"/>
  <c r="AG48" i="8"/>
  <c r="AG97" i="8"/>
  <c r="AG47" i="8"/>
  <c r="AG107" i="8"/>
  <c r="AG129" i="8"/>
  <c r="AG59" i="8"/>
  <c r="AG78" i="8"/>
  <c r="AG128" i="8"/>
  <c r="AG99" i="8"/>
  <c r="AG70" i="8"/>
  <c r="AG98" i="8"/>
  <c r="AG89" i="8"/>
  <c r="AG100" i="8"/>
  <c r="AG58" i="8"/>
  <c r="AG127" i="8"/>
  <c r="AG67" i="8"/>
  <c r="AG88" i="8"/>
  <c r="AG77" i="8"/>
  <c r="AG110" i="8"/>
  <c r="AG68" i="8"/>
  <c r="AG130" i="8"/>
  <c r="AG90" i="8"/>
  <c r="AG108" i="8"/>
  <c r="AG69" i="8"/>
  <c r="AG87" i="8"/>
  <c r="AG79" i="8"/>
  <c r="AG46" i="8"/>
  <c r="AG104" i="8"/>
  <c r="AG103" i="8"/>
  <c r="AG106" i="8"/>
  <c r="AG105" i="8"/>
  <c r="AF117" i="8"/>
  <c r="AF118" i="8"/>
  <c r="AF119" i="8"/>
  <c r="X53" i="359"/>
  <c r="Y53" i="359"/>
  <c r="Z53" i="359"/>
  <c r="AC53" i="359"/>
  <c r="AA53" i="359"/>
  <c r="AB53" i="359"/>
  <c r="V53" i="359"/>
  <c r="U53" i="359"/>
  <c r="W53" i="359"/>
  <c r="Q53" i="359"/>
  <c r="S53" i="359"/>
  <c r="T53" i="359"/>
  <c r="R53" i="359"/>
  <c r="N53" i="359"/>
  <c r="O53" i="359"/>
  <c r="P53" i="359"/>
  <c r="M53" i="359"/>
  <c r="J53" i="359"/>
  <c r="K53" i="359"/>
  <c r="L53" i="359"/>
  <c r="I53" i="359"/>
  <c r="H53" i="359"/>
  <c r="G53" i="359"/>
  <c r="F53" i="359"/>
  <c r="E53" i="359"/>
  <c r="D53" i="359"/>
  <c r="C53" i="359"/>
  <c r="B53" i="359"/>
  <c r="A54" i="359"/>
  <c r="V55" i="15"/>
  <c r="V118" i="15" s="1"/>
  <c r="V54" i="15"/>
  <c r="V117" i="15" s="1"/>
  <c r="V47" i="15"/>
  <c r="V110" i="15" s="1"/>
  <c r="V53" i="15"/>
  <c r="V116" i="15" s="1"/>
  <c r="V68" i="15"/>
  <c r="V131" i="15" s="1"/>
  <c r="V45" i="15"/>
  <c r="V108" i="15" s="1"/>
  <c r="V62" i="15"/>
  <c r="V125" i="15" s="1"/>
  <c r="V69" i="15"/>
  <c r="V132" i="15" s="1"/>
  <c r="V71" i="15"/>
  <c r="V134" i="15" s="1"/>
  <c r="V63" i="15"/>
  <c r="V126" i="15" s="1"/>
  <c r="V52" i="15"/>
  <c r="V115" i="15" s="1"/>
  <c r="V56" i="15"/>
  <c r="V119" i="15" s="1"/>
  <c r="V51" i="15"/>
  <c r="V114" i="15" s="1"/>
  <c r="V60" i="15"/>
  <c r="V123" i="15" s="1"/>
  <c r="V59" i="15"/>
  <c r="V122" i="15" s="1"/>
  <c r="V46" i="15"/>
  <c r="V109" i="15" s="1"/>
  <c r="V64" i="15"/>
  <c r="V127" i="15" s="1"/>
  <c r="V67" i="15"/>
  <c r="V130" i="15" s="1"/>
  <c r="V39" i="15"/>
  <c r="V105" i="15" s="1"/>
  <c r="V61" i="15"/>
  <c r="V124" i="15" s="1"/>
  <c r="V58" i="15"/>
  <c r="V121" i="15" s="1"/>
  <c r="V57" i="15"/>
  <c r="V120" i="15" s="1"/>
  <c r="V49" i="15"/>
  <c r="V112" i="15" s="1"/>
  <c r="V66" i="15"/>
  <c r="V129" i="15" s="1"/>
  <c r="V44" i="15"/>
  <c r="V107" i="15" s="1"/>
  <c r="V48" i="15"/>
  <c r="V111" i="15" s="1"/>
  <c r="V50" i="15"/>
  <c r="V113" i="15" s="1"/>
  <c r="V65" i="15"/>
  <c r="V128" i="15" s="1"/>
  <c r="V70" i="15"/>
  <c r="V133" i="15" s="1"/>
  <c r="V43" i="15"/>
  <c r="V106" i="15" s="1"/>
  <c r="X38" i="15"/>
  <c r="V135" i="15"/>
  <c r="R135" i="15"/>
  <c r="N135" i="15"/>
  <c r="J135" i="15"/>
  <c r="AG43" i="8"/>
  <c r="AG41" i="8"/>
  <c r="AG42" i="8"/>
  <c r="AG45" i="8"/>
  <c r="AG44" i="8"/>
  <c r="AG83" i="8"/>
  <c r="AG84" i="8"/>
  <c r="AG82" i="8"/>
  <c r="AG85" i="8"/>
  <c r="AG86" i="8"/>
  <c r="F135" i="15"/>
  <c r="T135" i="15"/>
  <c r="P135" i="15"/>
  <c r="L135" i="15"/>
  <c r="H135" i="15"/>
  <c r="U135" i="15"/>
  <c r="Q135" i="15"/>
  <c r="M135" i="15"/>
  <c r="I135" i="15"/>
  <c r="E135" i="15"/>
  <c r="S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B74" i="15"/>
  <c r="AF116" i="8"/>
  <c r="AG126" i="8"/>
  <c r="AG96" i="8"/>
  <c r="AG76" i="8"/>
  <c r="AG66" i="8"/>
  <c r="AG56" i="8"/>
  <c r="AG54" i="8"/>
  <c r="AG55" i="8"/>
  <c r="AG53" i="8"/>
  <c r="AG63" i="8"/>
  <c r="AG64" i="8"/>
  <c r="AG65" i="8"/>
  <c r="AG73" i="8"/>
  <c r="AG74" i="8"/>
  <c r="AG75" i="8"/>
  <c r="AG94" i="8"/>
  <c r="AG93" i="8"/>
  <c r="AG95" i="8"/>
  <c r="AF114" i="8"/>
  <c r="AG124" i="8"/>
  <c r="AG52" i="8"/>
  <c r="AG62" i="8"/>
  <c r="AG92" i="8"/>
  <c r="AG72" i="8"/>
  <c r="AG125" i="8"/>
  <c r="AG123" i="8"/>
  <c r="AG122" i="8"/>
  <c r="AH39" i="8"/>
  <c r="AF115" i="8"/>
  <c r="AF113" i="8"/>
  <c r="AF112" i="8"/>
  <c r="AF102" i="8"/>
  <c r="AH103" i="8" a="1"/>
  <c r="AH88" i="8" a="1"/>
  <c r="AH89" i="8" a="1"/>
  <c r="AH100" i="8" a="1"/>
  <c r="AH127" i="8" a="1"/>
  <c r="AH98" i="8" a="1"/>
  <c r="AH128" i="8" a="1"/>
  <c r="AH48" i="8" a="1"/>
  <c r="AH109" i="8" a="1"/>
  <c r="K54" i="359" a="1"/>
  <c r="N54" i="359" a="1"/>
  <c r="R54" i="359" a="1"/>
  <c r="AC54" i="359" a="1"/>
  <c r="Y54" i="359" a="1"/>
  <c r="E54" i="359" a="1"/>
  <c r="H54" i="359" a="1"/>
  <c r="W56" i="15" a="1"/>
  <c r="AH56" i="8" a="1"/>
  <c r="M74" i="15" a="1"/>
  <c r="W48" i="15" a="1"/>
  <c r="W52" i="15" a="1"/>
  <c r="W46" i="15" a="1"/>
  <c r="AH126" i="8" a="1"/>
  <c r="AH74" i="8" a="1"/>
  <c r="AH65" i="8" a="1"/>
  <c r="AH93" i="8" a="1"/>
  <c r="AH73" i="8" a="1"/>
  <c r="W43" i="15" a="1"/>
  <c r="W65" i="15" a="1"/>
  <c r="AH54" i="8" a="1"/>
  <c r="W60" i="15" a="1"/>
  <c r="AH95" i="8" a="1"/>
  <c r="AH125" i="8" a="1"/>
  <c r="AH96" i="8" a="1"/>
  <c r="F74" i="15" a="1"/>
  <c r="AH72" i="8" a="1"/>
  <c r="AH104" i="8" a="1"/>
  <c r="AH67" i="8" a="1"/>
  <c r="AH69" i="8" a="1"/>
  <c r="AH110" i="8" a="1"/>
  <c r="AH58" i="8" a="1"/>
  <c r="AH97" i="8" a="1"/>
  <c r="AH78" i="8" a="1"/>
  <c r="AH70" i="8" a="1"/>
  <c r="AH60" i="8" a="1"/>
  <c r="J54" i="359" a="1"/>
  <c r="Q54" i="359" a="1"/>
  <c r="V54" i="359" a="1"/>
  <c r="AB54" i="359" a="1"/>
  <c r="X54" i="359" a="1"/>
  <c r="D54" i="359" a="1"/>
  <c r="I54" i="359" a="1"/>
  <c r="V74" i="15" a="1"/>
  <c r="D74" i="15" a="1"/>
  <c r="AH52" i="8" a="1"/>
  <c r="AH45" i="8" a="1"/>
  <c r="K74" i="15" a="1"/>
  <c r="AH94" i="8" a="1"/>
  <c r="W44" i="15" a="1"/>
  <c r="J74" i="15" a="1"/>
  <c r="AH43" i="8" a="1"/>
  <c r="AH82" i="8" a="1"/>
  <c r="AH75" i="8" a="1"/>
  <c r="W53" i="15" a="1"/>
  <c r="S74" i="15" a="1"/>
  <c r="AH55" i="8" a="1"/>
  <c r="AH123" i="8" a="1"/>
  <c r="W64" i="15" a="1"/>
  <c r="W55" i="15" a="1"/>
  <c r="W54" i="15" a="1"/>
  <c r="W68" i="15" a="1"/>
  <c r="W39" i="15" a="1"/>
  <c r="AH105" i="8" a="1"/>
  <c r="AH46" i="8" a="1"/>
  <c r="AH77" i="8" a="1"/>
  <c r="AH108" i="8" a="1"/>
  <c r="AH99" i="8" a="1"/>
  <c r="AH68" i="8" a="1"/>
  <c r="AH59" i="8" a="1"/>
  <c r="AH129" i="8" a="1"/>
  <c r="AH49" i="8" a="1"/>
  <c r="L54" i="359" a="1"/>
  <c r="P54" i="359" a="1"/>
  <c r="T54" i="359" a="1"/>
  <c r="U54" i="359" a="1"/>
  <c r="AA54" i="359" a="1"/>
  <c r="B54" i="359" a="1"/>
  <c r="F54" i="359" a="1"/>
  <c r="AH85" i="8" a="1"/>
  <c r="W71" i="15" a="1"/>
  <c r="H74" i="15" a="1"/>
  <c r="W74" i="15" a="1"/>
  <c r="AH122" i="8" a="1"/>
  <c r="AH92" i="8" a="1"/>
  <c r="W62" i="15" a="1"/>
  <c r="W57" i="15" a="1"/>
  <c r="W59" i="15" a="1"/>
  <c r="W45" i="15" a="1"/>
  <c r="AH42" i="8" a="1"/>
  <c r="U74" i="15" a="1"/>
  <c r="AH124" i="8" a="1"/>
  <c r="R74" i="15" a="1"/>
  <c r="N74" i="15" a="1"/>
  <c r="AH62" i="8" a="1"/>
  <c r="P74" i="15" a="1"/>
  <c r="W51" i="15" a="1"/>
  <c r="W63" i="15" a="1"/>
  <c r="AH44" i="8" a="1"/>
  <c r="W61" i="15" a="1"/>
  <c r="AH86" i="8" a="1"/>
  <c r="X74" i="15" a="1"/>
  <c r="C74" i="15" a="1"/>
  <c r="AH106" i="8" a="1"/>
  <c r="AH87" i="8" a="1"/>
  <c r="AH130" i="8" a="1"/>
  <c r="AH90" i="8" a="1"/>
  <c r="AH79" i="8" a="1"/>
  <c r="AH47" i="8" a="1"/>
  <c r="AH107" i="8" a="1"/>
  <c r="AH57" i="8" a="1"/>
  <c r="AH80" i="8" a="1"/>
  <c r="M54" i="359" a="1"/>
  <c r="O54" i="359" a="1"/>
  <c r="S54" i="359" a="1"/>
  <c r="W54" i="359" a="1"/>
  <c r="Z54" i="359" a="1"/>
  <c r="C54" i="359" a="1"/>
  <c r="G54" i="359" a="1"/>
  <c r="W47" i="15" a="1"/>
  <c r="W69" i="15" a="1"/>
  <c r="W72" i="15" a="1"/>
  <c r="W50" i="15" a="1"/>
  <c r="L74" i="15" a="1"/>
  <c r="AH84" i="8" a="1"/>
  <c r="W66" i="15" a="1"/>
  <c r="O74" i="15" a="1"/>
  <c r="AH53" i="8" a="1"/>
  <c r="W70" i="15" a="1"/>
  <c r="W67" i="15" a="1"/>
  <c r="T74" i="15" a="1"/>
  <c r="W58" i="15" a="1"/>
  <c r="AH63" i="8" a="1"/>
  <c r="W49" i="15" a="1"/>
  <c r="AH76" i="8" a="1"/>
  <c r="Q74" i="15" a="1"/>
  <c r="AH41" i="8" a="1"/>
  <c r="AH66" i="8" a="1"/>
  <c r="AH64" i="8" a="1"/>
  <c r="E74" i="15" a="1"/>
  <c r="AH83" i="8" a="1"/>
  <c r="G74" i="15" a="1"/>
  <c r="I74" i="15" a="1"/>
  <c r="AG120" i="8" l="1"/>
  <c r="AH60" i="8"/>
  <c r="AH109" i="8"/>
  <c r="AH80" i="8"/>
  <c r="AH49" i="8"/>
  <c r="AH70" i="8"/>
  <c r="AH48" i="8"/>
  <c r="AH57" i="8"/>
  <c r="AH129" i="8"/>
  <c r="AH78" i="8"/>
  <c r="AH128" i="8"/>
  <c r="AH107" i="8"/>
  <c r="AH59" i="8"/>
  <c r="AH97" i="8"/>
  <c r="AH98" i="8"/>
  <c r="AH47" i="8"/>
  <c r="AH68" i="8"/>
  <c r="AH58" i="8"/>
  <c r="AH127" i="8"/>
  <c r="AH79" i="8"/>
  <c r="AH99" i="8"/>
  <c r="AH110" i="8"/>
  <c r="AH100" i="8"/>
  <c r="AH90" i="8"/>
  <c r="AH108" i="8"/>
  <c r="AH69" i="8"/>
  <c r="AH89" i="8"/>
  <c r="AH130" i="8"/>
  <c r="AH77" i="8"/>
  <c r="AH67" i="8"/>
  <c r="AH88" i="8"/>
  <c r="AH87" i="8"/>
  <c r="AH46" i="8"/>
  <c r="AH104" i="8"/>
  <c r="AH103" i="8"/>
  <c r="AH106" i="8"/>
  <c r="AH105" i="8"/>
  <c r="AG118" i="8"/>
  <c r="AG119" i="8"/>
  <c r="AG117" i="8"/>
  <c r="X54" i="359"/>
  <c r="Y54" i="359"/>
  <c r="Z54" i="359"/>
  <c r="AA54" i="359"/>
  <c r="AB54" i="359"/>
  <c r="AC54" i="359"/>
  <c r="W54" i="359"/>
  <c r="U54" i="359"/>
  <c r="V54" i="359"/>
  <c r="R54" i="359"/>
  <c r="S54" i="359"/>
  <c r="T54" i="359"/>
  <c r="Q54" i="359"/>
  <c r="N54" i="359"/>
  <c r="O54" i="359"/>
  <c r="P54" i="359"/>
  <c r="J54" i="359"/>
  <c r="K54" i="359"/>
  <c r="M54" i="359"/>
  <c r="L54" i="359"/>
  <c r="I54" i="359"/>
  <c r="H54" i="359"/>
  <c r="G54" i="359"/>
  <c r="F54" i="359"/>
  <c r="D54" i="359"/>
  <c r="E54" i="359"/>
  <c r="C54" i="359"/>
  <c r="B54" i="359"/>
  <c r="A55" i="359"/>
  <c r="W64" i="15"/>
  <c r="W127" i="15" s="1"/>
  <c r="W67" i="15"/>
  <c r="W130" i="15" s="1"/>
  <c r="W52" i="15"/>
  <c r="W115" i="15" s="1"/>
  <c r="W70" i="15"/>
  <c r="W133" i="15" s="1"/>
  <c r="W48" i="15"/>
  <c r="W111" i="15" s="1"/>
  <c r="W61" i="15"/>
  <c r="W124" i="15" s="1"/>
  <c r="W60" i="15"/>
  <c r="W123" i="15" s="1"/>
  <c r="W45" i="15"/>
  <c r="W108" i="15" s="1"/>
  <c r="W50" i="15"/>
  <c r="W113" i="15" s="1"/>
  <c r="W39" i="15"/>
  <c r="W105" i="15" s="1"/>
  <c r="W49" i="15"/>
  <c r="W112" i="15" s="1"/>
  <c r="W59" i="15"/>
  <c r="W122" i="15" s="1"/>
  <c r="W72" i="15"/>
  <c r="W135" i="15" s="1"/>
  <c r="W68" i="15"/>
  <c r="W131" i="15" s="1"/>
  <c r="W63" i="15"/>
  <c r="W126" i="15" s="1"/>
  <c r="W65" i="15"/>
  <c r="W128" i="15" s="1"/>
  <c r="W57" i="15"/>
  <c r="W120" i="15" s="1"/>
  <c r="W69" i="15"/>
  <c r="W132" i="15" s="1"/>
  <c r="W54" i="15"/>
  <c r="W117" i="15" s="1"/>
  <c r="W58" i="15"/>
  <c r="W121" i="15" s="1"/>
  <c r="W44" i="15"/>
  <c r="W107" i="15" s="1"/>
  <c r="W71" i="15"/>
  <c r="W134" i="15" s="1"/>
  <c r="W53" i="15"/>
  <c r="W116" i="15" s="1"/>
  <c r="W66" i="15"/>
  <c r="W129" i="15" s="1"/>
  <c r="W56" i="15"/>
  <c r="W119" i="15" s="1"/>
  <c r="W51" i="15"/>
  <c r="W114" i="15" s="1"/>
  <c r="W43" i="15"/>
  <c r="W106" i="15" s="1"/>
  <c r="W62" i="15"/>
  <c r="W125" i="15" s="1"/>
  <c r="W47" i="15"/>
  <c r="W110" i="15" s="1"/>
  <c r="W55" i="15"/>
  <c r="W118" i="15" s="1"/>
  <c r="W46" i="15"/>
  <c r="W109" i="15" s="1"/>
  <c r="Y38" i="15"/>
  <c r="AH42" i="8"/>
  <c r="AH44" i="8"/>
  <c r="AH45" i="8"/>
  <c r="AH43" i="8"/>
  <c r="AH41" i="8"/>
  <c r="AH82" i="8"/>
  <c r="AH86" i="8"/>
  <c r="AH83" i="8"/>
  <c r="AH84" i="8"/>
  <c r="AH85" i="8"/>
  <c r="V136" i="15"/>
  <c r="R136" i="15"/>
  <c r="N136" i="15"/>
  <c r="F136" i="15"/>
  <c r="K136" i="15"/>
  <c r="T136" i="15"/>
  <c r="P136" i="15"/>
  <c r="L136" i="15"/>
  <c r="H136" i="15"/>
  <c r="U136" i="15"/>
  <c r="Q136" i="15"/>
  <c r="M136" i="15"/>
  <c r="I136" i="15"/>
  <c r="E136" i="15"/>
  <c r="W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B75" i="15"/>
  <c r="AH126" i="8"/>
  <c r="AH96" i="8"/>
  <c r="AH76" i="8"/>
  <c r="AH66" i="8"/>
  <c r="AH56" i="8"/>
  <c r="AG116" i="8"/>
  <c r="AH55" i="8"/>
  <c r="AH54" i="8"/>
  <c r="AH53" i="8"/>
  <c r="AH64" i="8"/>
  <c r="AH65" i="8"/>
  <c r="AH63" i="8"/>
  <c r="AH73" i="8"/>
  <c r="AH74" i="8"/>
  <c r="AH75" i="8"/>
  <c r="AH94" i="8"/>
  <c r="AH95" i="8"/>
  <c r="AH93" i="8"/>
  <c r="AG115" i="8"/>
  <c r="AG113" i="8"/>
  <c r="AH124" i="8"/>
  <c r="AH52" i="8"/>
  <c r="AH62" i="8"/>
  <c r="AH92" i="8"/>
  <c r="AH72" i="8"/>
  <c r="AH125" i="8"/>
  <c r="AH123" i="8"/>
  <c r="AH122" i="8"/>
  <c r="AI39" i="8"/>
  <c r="AG114" i="8"/>
  <c r="AG112" i="8"/>
  <c r="AG102" i="8"/>
  <c r="AI104" i="8" a="1"/>
  <c r="AI99" i="8" a="1"/>
  <c r="AI68" i="8" a="1"/>
  <c r="AI130" i="8" a="1"/>
  <c r="AI89" i="8" a="1"/>
  <c r="AI128" i="8" a="1"/>
  <c r="AI60" i="8" a="1"/>
  <c r="AI97" i="8" a="1"/>
  <c r="AI49" i="8" a="1"/>
  <c r="K55" i="359" a="1"/>
  <c r="T55" i="359" a="1"/>
  <c r="W55" i="359" a="1"/>
  <c r="Y55" i="359" a="1"/>
  <c r="X55" i="359" a="1"/>
  <c r="D55" i="359" a="1"/>
  <c r="I55" i="359" a="1"/>
  <c r="X43" i="15" a="1"/>
  <c r="AI95" i="8" a="1"/>
  <c r="X39" i="15" a="1"/>
  <c r="X70" i="15" a="1"/>
  <c r="AI72" i="8" a="1"/>
  <c r="X69" i="15" a="1"/>
  <c r="AI85" i="8" a="1"/>
  <c r="X57" i="15" a="1"/>
  <c r="O75" i="15" a="1"/>
  <c r="X75" i="15" a="1"/>
  <c r="X47" i="15" a="1"/>
  <c r="Q75" i="15" a="1"/>
  <c r="AI55" i="8" a="1"/>
  <c r="E75" i="15" a="1"/>
  <c r="X72" i="15" a="1"/>
  <c r="R75" i="15" a="1"/>
  <c r="S75" i="15" a="1"/>
  <c r="X67" i="15" a="1"/>
  <c r="X45" i="15" a="1"/>
  <c r="AI93" i="8" a="1"/>
  <c r="X46" i="15" a="1"/>
  <c r="AI105" i="8" a="1"/>
  <c r="AI46" i="8" a="1"/>
  <c r="AI58" i="8" a="1"/>
  <c r="AI87" i="8" a="1"/>
  <c r="AI110" i="8" a="1"/>
  <c r="AI77" i="8" a="1"/>
  <c r="AI129" i="8" a="1"/>
  <c r="AI48" i="8" a="1"/>
  <c r="AI78" i="8" a="1"/>
  <c r="M55" i="359" a="1"/>
  <c r="O55" i="359" a="1"/>
  <c r="Q55" i="359" a="1"/>
  <c r="U55" i="359" a="1"/>
  <c r="AC55" i="359" a="1"/>
  <c r="B55" i="359" a="1"/>
  <c r="F55" i="359" a="1"/>
  <c r="X65" i="15" a="1"/>
  <c r="AI75" i="8" a="1"/>
  <c r="X63" i="15" a="1"/>
  <c r="AI52" i="8" a="1"/>
  <c r="D75" i="15" a="1"/>
  <c r="X52" i="15" a="1"/>
  <c r="AI74" i="8" a="1"/>
  <c r="AI54" i="8" a="1"/>
  <c r="AI124" i="8" a="1"/>
  <c r="AI42" i="8" a="1"/>
  <c r="AI83" i="8" a="1"/>
  <c r="AI96" i="8" a="1"/>
  <c r="X61" i="15" a="1"/>
  <c r="V75" i="15" a="1"/>
  <c r="F75" i="15" a="1"/>
  <c r="X62" i="15" a="1"/>
  <c r="AI43" i="8" a="1"/>
  <c r="L75" i="15" a="1"/>
  <c r="N75" i="15" a="1"/>
  <c r="X53" i="15" a="1"/>
  <c r="AI63" i="8" a="1"/>
  <c r="AI73" i="8" a="1"/>
  <c r="AI106" i="8" a="1"/>
  <c r="AI79" i="8" a="1"/>
  <c r="AI108" i="8" a="1"/>
  <c r="AI88" i="8" a="1"/>
  <c r="AI127" i="8" a="1"/>
  <c r="AI47" i="8" a="1"/>
  <c r="AI107" i="8" a="1"/>
  <c r="AI59" i="8" a="1"/>
  <c r="AI80" i="8" a="1"/>
  <c r="J55" i="359" a="1"/>
  <c r="P55" i="359" a="1"/>
  <c r="S55" i="359" a="1"/>
  <c r="V55" i="359" a="1"/>
  <c r="AB55" i="359" a="1"/>
  <c r="C55" i="359" a="1"/>
  <c r="G55" i="359" a="1"/>
  <c r="AI45" i="8" a="1"/>
  <c r="AI76" i="8" a="1"/>
  <c r="AI65" i="8" a="1"/>
  <c r="U75" i="15" a="1"/>
  <c r="P75" i="15" a="1"/>
  <c r="Y75" i="15" a="1"/>
  <c r="X51" i="15" a="1"/>
  <c r="AI92" i="8" a="1"/>
  <c r="H75" i="15" a="1"/>
  <c r="X50" i="15" a="1"/>
  <c r="K75" i="15" a="1"/>
  <c r="T75" i="15" a="1"/>
  <c r="X54" i="15" a="1"/>
  <c r="AI41" i="8" a="1"/>
  <c r="M75" i="15" a="1"/>
  <c r="X55" i="15" a="1"/>
  <c r="X73" i="15" a="1"/>
  <c r="AI66" i="8" a="1"/>
  <c r="C75" i="15" a="1"/>
  <c r="AI56" i="8" a="1"/>
  <c r="X64" i="15" a="1"/>
  <c r="AI82" i="8" a="1"/>
  <c r="AI53" i="8" a="1"/>
  <c r="AI122" i="8" a="1"/>
  <c r="AI103" i="8" a="1"/>
  <c r="AI69" i="8" a="1"/>
  <c r="AI100" i="8" a="1"/>
  <c r="AI90" i="8" a="1"/>
  <c r="AI67" i="8" a="1"/>
  <c r="AI98" i="8" a="1"/>
  <c r="AI70" i="8" a="1"/>
  <c r="AI57" i="8" a="1"/>
  <c r="AI109" i="8" a="1"/>
  <c r="L55" i="359" a="1"/>
  <c r="N55" i="359" a="1"/>
  <c r="R55" i="359" a="1"/>
  <c r="Z55" i="359" a="1"/>
  <c r="AA55" i="359" a="1"/>
  <c r="E55" i="359" a="1"/>
  <c r="H55" i="359" a="1"/>
  <c r="X66" i="15" a="1"/>
  <c r="J75" i="15" a="1"/>
  <c r="AI62" i="8" a="1"/>
  <c r="X71" i="15" a="1"/>
  <c r="AI84" i="8" a="1"/>
  <c r="AI123" i="8" a="1"/>
  <c r="X48" i="15" a="1"/>
  <c r="AI125" i="8" a="1"/>
  <c r="AI44" i="8" a="1"/>
  <c r="X44" i="15" a="1"/>
  <c r="X59" i="15" a="1"/>
  <c r="I75" i="15" a="1"/>
  <c r="AI64" i="8" a="1"/>
  <c r="X56" i="15" a="1"/>
  <c r="AI94" i="8" a="1"/>
  <c r="W75" i="15" a="1"/>
  <c r="X60" i="15" a="1"/>
  <c r="X68" i="15" a="1"/>
  <c r="G75" i="15" a="1"/>
  <c r="X58" i="15" a="1"/>
  <c r="X49" i="15" a="1"/>
  <c r="AI86" i="8" a="1"/>
  <c r="AI126" i="8" a="1"/>
  <c r="AH118" i="8" l="1"/>
  <c r="AI49" i="8"/>
  <c r="AI109" i="8"/>
  <c r="AI80" i="8"/>
  <c r="AI78" i="8"/>
  <c r="AI97" i="8"/>
  <c r="AI57" i="8"/>
  <c r="AI59" i="8"/>
  <c r="AI48" i="8"/>
  <c r="AI60" i="8"/>
  <c r="AI70" i="8"/>
  <c r="AI107" i="8"/>
  <c r="AI129" i="8"/>
  <c r="AI128" i="8"/>
  <c r="AI98" i="8"/>
  <c r="AI47" i="8"/>
  <c r="AI77" i="8"/>
  <c r="AI89" i="8"/>
  <c r="AI67" i="8"/>
  <c r="AI127" i="8"/>
  <c r="AI110" i="8"/>
  <c r="AI130" i="8"/>
  <c r="AI90" i="8"/>
  <c r="AI88" i="8"/>
  <c r="AI87" i="8"/>
  <c r="AI68" i="8"/>
  <c r="AI100" i="8"/>
  <c r="AI108" i="8"/>
  <c r="AI58" i="8"/>
  <c r="AI99" i="8"/>
  <c r="AI69" i="8"/>
  <c r="AI79" i="8"/>
  <c r="AI46" i="8"/>
  <c r="AI104" i="8"/>
  <c r="AI103" i="8"/>
  <c r="AI106" i="8"/>
  <c r="AI105" i="8"/>
  <c r="AH117" i="8"/>
  <c r="AH119" i="8"/>
  <c r="AH120" i="8"/>
  <c r="X55" i="359"/>
  <c r="AA55" i="359"/>
  <c r="AB55" i="359"/>
  <c r="AC55" i="359"/>
  <c r="Y55" i="359"/>
  <c r="Z55" i="359"/>
  <c r="V55" i="359"/>
  <c r="U55" i="359"/>
  <c r="W55" i="359"/>
  <c r="R55" i="359"/>
  <c r="S55" i="359"/>
  <c r="Q55" i="359"/>
  <c r="T55" i="359"/>
  <c r="N55" i="359"/>
  <c r="P55" i="359"/>
  <c r="O55" i="359"/>
  <c r="K55" i="359"/>
  <c r="L55" i="359"/>
  <c r="J55" i="359"/>
  <c r="M55" i="359"/>
  <c r="I55" i="359"/>
  <c r="H55" i="359"/>
  <c r="G55" i="359"/>
  <c r="F55" i="359"/>
  <c r="D55" i="359"/>
  <c r="E55" i="359"/>
  <c r="C55" i="359"/>
  <c r="B55" i="359"/>
  <c r="A56" i="359"/>
  <c r="X60" i="15"/>
  <c r="X123" i="15" s="1"/>
  <c r="X47" i="15"/>
  <c r="X110" i="15" s="1"/>
  <c r="X52" i="15"/>
  <c r="X115" i="15" s="1"/>
  <c r="X46" i="15"/>
  <c r="X109" i="15" s="1"/>
  <c r="X73" i="15"/>
  <c r="X136" i="15" s="1"/>
  <c r="X59" i="15"/>
  <c r="X122" i="15" s="1"/>
  <c r="X55" i="15"/>
  <c r="X118" i="15" s="1"/>
  <c r="X44" i="15"/>
  <c r="X107" i="15" s="1"/>
  <c r="X70" i="15"/>
  <c r="X133" i="15" s="1"/>
  <c r="X49" i="15"/>
  <c r="X112" i="15" s="1"/>
  <c r="X62" i="15"/>
  <c r="X125" i="15" s="1"/>
  <c r="X50" i="15"/>
  <c r="X113" i="15" s="1"/>
  <c r="X71" i="15"/>
  <c r="X134" i="15" s="1"/>
  <c r="X64" i="15"/>
  <c r="X127" i="15" s="1"/>
  <c r="X72" i="15"/>
  <c r="X135" i="15" s="1"/>
  <c r="X39" i="15"/>
  <c r="X105" i="15" s="1"/>
  <c r="X58" i="15"/>
  <c r="X121" i="15" s="1"/>
  <c r="X53" i="15"/>
  <c r="X116" i="15" s="1"/>
  <c r="X56" i="15"/>
  <c r="X119" i="15" s="1"/>
  <c r="X57" i="15"/>
  <c r="X120" i="15" s="1"/>
  <c r="X63" i="15"/>
  <c r="X126" i="15" s="1"/>
  <c r="X45" i="15"/>
  <c r="X108" i="15" s="1"/>
  <c r="X67" i="15"/>
  <c r="X130" i="15" s="1"/>
  <c r="X54" i="15"/>
  <c r="X117" i="15" s="1"/>
  <c r="X48" i="15"/>
  <c r="X111" i="15" s="1"/>
  <c r="X43" i="15"/>
  <c r="X106" i="15" s="1"/>
  <c r="X68" i="15"/>
  <c r="X131" i="15" s="1"/>
  <c r="X61" i="15"/>
  <c r="X124" i="15" s="1"/>
  <c r="X51" i="15"/>
  <c r="X114" i="15" s="1"/>
  <c r="X66" i="15"/>
  <c r="X129" i="15" s="1"/>
  <c r="X69" i="15"/>
  <c r="X132" i="15" s="1"/>
  <c r="X65" i="15"/>
  <c r="X128" i="15" s="1"/>
  <c r="Z38" i="15"/>
  <c r="V137" i="15"/>
  <c r="R137" i="15"/>
  <c r="N137" i="15"/>
  <c r="AI41" i="8"/>
  <c r="AI44" i="8"/>
  <c r="AI45" i="8"/>
  <c r="AI43" i="8"/>
  <c r="AI42" i="8"/>
  <c r="AI82" i="8"/>
  <c r="AI85" i="8"/>
  <c r="AI83" i="8"/>
  <c r="AI84" i="8"/>
  <c r="AI86" i="8"/>
  <c r="K137" i="15"/>
  <c r="F137" i="15"/>
  <c r="Q137" i="15"/>
  <c r="E137" i="15"/>
  <c r="X137" i="15"/>
  <c r="T137" i="15"/>
  <c r="P137" i="15"/>
  <c r="L137" i="15"/>
  <c r="H137" i="15"/>
  <c r="U137" i="15"/>
  <c r="M137" i="15"/>
  <c r="I137" i="15"/>
  <c r="W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B76" i="15"/>
  <c r="AH116" i="8"/>
  <c r="AI126" i="8"/>
  <c r="AI96" i="8"/>
  <c r="AI76" i="8"/>
  <c r="AI66" i="8"/>
  <c r="AI56" i="8"/>
  <c r="AI55" i="8"/>
  <c r="AI54" i="8"/>
  <c r="AI53" i="8"/>
  <c r="AI63" i="8"/>
  <c r="AI65" i="8"/>
  <c r="AI64" i="8"/>
  <c r="AI73" i="8"/>
  <c r="AI74" i="8"/>
  <c r="AI75" i="8"/>
  <c r="AI95" i="8"/>
  <c r="AI93" i="8"/>
  <c r="AI94" i="8"/>
  <c r="AI124" i="8"/>
  <c r="AI52" i="8"/>
  <c r="AI62" i="8"/>
  <c r="AI92" i="8"/>
  <c r="AI72" i="8"/>
  <c r="AI125" i="8"/>
  <c r="AI123" i="8"/>
  <c r="AI122" i="8"/>
  <c r="AJ39" i="8"/>
  <c r="AH113" i="8"/>
  <c r="AH114" i="8"/>
  <c r="AH115" i="8"/>
  <c r="AH102" i="8"/>
  <c r="AH112" i="8"/>
  <c r="AJ105" i="8" a="1"/>
  <c r="AJ46" i="8" a="1"/>
  <c r="AJ108" i="8" a="1"/>
  <c r="AJ87" i="8" a="1"/>
  <c r="AJ89" i="8" a="1"/>
  <c r="AJ98" i="8" a="1"/>
  <c r="AJ97" i="8" a="1"/>
  <c r="AJ48" i="8" a="1"/>
  <c r="AJ60" i="8" a="1"/>
  <c r="M56" i="359" a="1"/>
  <c r="O56" i="359" a="1"/>
  <c r="T56" i="359" a="1"/>
  <c r="W56" i="359" a="1"/>
  <c r="AC56" i="359" a="1"/>
  <c r="B56" i="359" a="1"/>
  <c r="F56" i="359" a="1"/>
  <c r="Y50" i="15" a="1"/>
  <c r="Y53" i="15" a="1"/>
  <c r="Y44" i="15" a="1"/>
  <c r="AJ66" i="8" a="1"/>
  <c r="X76" i="15" a="1"/>
  <c r="Y71" i="15" a="1"/>
  <c r="K76" i="15" a="1"/>
  <c r="AJ95" i="8" a="1"/>
  <c r="Y43" i="15" a="1"/>
  <c r="AJ76" i="8" a="1"/>
  <c r="AJ123" i="8" a="1"/>
  <c r="E76" i="15" a="1"/>
  <c r="Y67" i="15" a="1"/>
  <c r="AJ43" i="8" a="1"/>
  <c r="O76" i="15" a="1"/>
  <c r="Y58" i="15" a="1"/>
  <c r="Y73" i="15" a="1"/>
  <c r="I76" i="15" a="1"/>
  <c r="Y70" i="15" a="1"/>
  <c r="P76" i="15" a="1"/>
  <c r="Q76" i="15" a="1"/>
  <c r="Y51" i="15" a="1"/>
  <c r="AJ106" i="8" a="1"/>
  <c r="AJ79" i="8" a="1"/>
  <c r="AJ100" i="8" a="1"/>
  <c r="AJ58" i="8" a="1"/>
  <c r="AJ110" i="8" a="1"/>
  <c r="AJ78" i="8" a="1"/>
  <c r="AJ99" i="8" a="1"/>
  <c r="AJ59" i="8" a="1"/>
  <c r="AJ49" i="8" a="1"/>
  <c r="K56" i="359" a="1"/>
  <c r="P56" i="359" a="1"/>
  <c r="S56" i="359" a="1"/>
  <c r="U56" i="359" a="1"/>
  <c r="Z56" i="359" a="1"/>
  <c r="C56" i="359" a="1"/>
  <c r="G56" i="359" a="1"/>
  <c r="J76" i="15" a="1"/>
  <c r="AJ63" i="8" a="1"/>
  <c r="Y52" i="15" a="1"/>
  <c r="Y46" i="15" a="1"/>
  <c r="AJ125" i="8" a="1"/>
  <c r="AJ56" i="8" a="1"/>
  <c r="AJ84" i="8" a="1"/>
  <c r="AJ122" i="8" a="1"/>
  <c r="AJ86" i="8" a="1"/>
  <c r="Y61" i="15" a="1"/>
  <c r="AJ124" i="8" a="1"/>
  <c r="N76" i="15" a="1"/>
  <c r="Y65" i="15" a="1"/>
  <c r="AJ74" i="8" a="1"/>
  <c r="Y62" i="15" a="1"/>
  <c r="AJ126" i="8" a="1"/>
  <c r="Y69" i="15" a="1"/>
  <c r="Y47" i="15" a="1"/>
  <c r="Y74" i="15" a="1"/>
  <c r="Y66" i="15" a="1"/>
  <c r="U76" i="15" a="1"/>
  <c r="AJ93" i="8" a="1"/>
  <c r="AJ103" i="8" a="1"/>
  <c r="AJ88" i="8" a="1"/>
  <c r="AJ68" i="8" a="1"/>
  <c r="AJ77" i="8" a="1"/>
  <c r="AJ90" i="8" a="1"/>
  <c r="AJ129" i="8" a="1"/>
  <c r="AJ47" i="8" a="1"/>
  <c r="AJ70" i="8" a="1"/>
  <c r="AJ80" i="8" a="1"/>
  <c r="J56" i="359" a="1"/>
  <c r="N56" i="359" a="1"/>
  <c r="Q56" i="359" a="1"/>
  <c r="AB56" i="359" a="1"/>
  <c r="Y56" i="359" a="1"/>
  <c r="E56" i="359" a="1"/>
  <c r="H56" i="359" a="1"/>
  <c r="F76" i="15" a="1"/>
  <c r="W76" i="15" a="1"/>
  <c r="C76" i="15" a="1"/>
  <c r="Y57" i="15" a="1"/>
  <c r="AJ55" i="8" a="1"/>
  <c r="M76" i="15" a="1"/>
  <c r="Y59" i="15" a="1"/>
  <c r="AJ53" i="8" a="1"/>
  <c r="AJ83" i="8" a="1"/>
  <c r="Y48" i="15" a="1"/>
  <c r="AJ96" i="8" a="1"/>
  <c r="AJ65" i="8" a="1"/>
  <c r="S76" i="15" a="1"/>
  <c r="Y68" i="15" a="1"/>
  <c r="R76" i="15" a="1"/>
  <c r="Y76" i="15" a="1"/>
  <c r="AJ75" i="8" a="1"/>
  <c r="AJ41" i="8" a="1"/>
  <c r="AJ72" i="8" a="1"/>
  <c r="Y55" i="15" a="1"/>
  <c r="L76" i="15" a="1"/>
  <c r="AJ94" i="8" a="1"/>
  <c r="AJ82" i="8" a="1"/>
  <c r="Y60" i="15" a="1"/>
  <c r="AJ104" i="8" a="1"/>
  <c r="AJ69" i="8" a="1"/>
  <c r="AJ127" i="8" a="1"/>
  <c r="AJ67" i="8" a="1"/>
  <c r="AJ130" i="8" a="1"/>
  <c r="AJ107" i="8" a="1"/>
  <c r="AJ128" i="8" a="1"/>
  <c r="AJ57" i="8" a="1"/>
  <c r="AJ109" i="8" a="1"/>
  <c r="L56" i="359" a="1"/>
  <c r="R56" i="359" a="1"/>
  <c r="V56" i="359" a="1"/>
  <c r="AA56" i="359" a="1"/>
  <c r="X56" i="359" a="1"/>
  <c r="D56" i="359" a="1"/>
  <c r="I56" i="359" a="1"/>
  <c r="Y72" i="15" a="1"/>
  <c r="Z76" i="15" a="1"/>
  <c r="AJ85" i="8" a="1"/>
  <c r="V76" i="15" a="1"/>
  <c r="Y45" i="15" a="1"/>
  <c r="AJ44" i="8" a="1"/>
  <c r="Y64" i="15" a="1"/>
  <c r="AJ45" i="8" a="1"/>
  <c r="Y63" i="15" a="1"/>
  <c r="AJ54" i="8" a="1"/>
  <c r="Y49" i="15" a="1"/>
  <c r="T76" i="15" a="1"/>
  <c r="D76" i="15" a="1"/>
  <c r="H76" i="15" a="1"/>
  <c r="Y54" i="15" a="1"/>
  <c r="AJ64" i="8" a="1"/>
  <c r="AJ52" i="8" a="1"/>
  <c r="AJ62" i="8" a="1"/>
  <c r="AJ92" i="8" a="1"/>
  <c r="G76" i="15" a="1"/>
  <c r="Y39" i="15" a="1"/>
  <c r="AJ73" i="8" a="1"/>
  <c r="AJ42" i="8" a="1"/>
  <c r="Y56" i="15" a="1"/>
  <c r="AJ109" i="8" l="1"/>
  <c r="AJ80" i="8"/>
  <c r="AJ49" i="8"/>
  <c r="AJ60" i="8"/>
  <c r="AJ57" i="8"/>
  <c r="AJ70" i="8"/>
  <c r="AJ59" i="8"/>
  <c r="AJ48" i="8"/>
  <c r="AJ128" i="8"/>
  <c r="AJ47" i="8"/>
  <c r="AJ99" i="8"/>
  <c r="AJ97" i="8"/>
  <c r="AJ107" i="8"/>
  <c r="AJ129" i="8"/>
  <c r="AJ78" i="8"/>
  <c r="AJ98" i="8"/>
  <c r="AJ130" i="8"/>
  <c r="AJ90" i="8"/>
  <c r="AJ110" i="8"/>
  <c r="AJ89" i="8"/>
  <c r="AJ67" i="8"/>
  <c r="AJ77" i="8"/>
  <c r="AJ58" i="8"/>
  <c r="AJ87" i="8"/>
  <c r="AJ127" i="8"/>
  <c r="AJ68" i="8"/>
  <c r="AJ100" i="8"/>
  <c r="AJ108" i="8"/>
  <c r="AJ69" i="8"/>
  <c r="AJ88" i="8"/>
  <c r="AJ79" i="8"/>
  <c r="AJ46" i="8"/>
  <c r="AJ104" i="8"/>
  <c r="AJ103" i="8"/>
  <c r="AJ106" i="8"/>
  <c r="AJ105" i="8"/>
  <c r="AI117" i="8"/>
  <c r="AI118" i="8"/>
  <c r="AI119" i="8"/>
  <c r="AI120" i="8"/>
  <c r="X56" i="359"/>
  <c r="Y56" i="359"/>
  <c r="Z56" i="359"/>
  <c r="AC56" i="359"/>
  <c r="AA56" i="359"/>
  <c r="AB56" i="359"/>
  <c r="U56" i="359"/>
  <c r="W56" i="359"/>
  <c r="V56" i="359"/>
  <c r="Q56" i="359"/>
  <c r="S56" i="359"/>
  <c r="T56" i="359"/>
  <c r="R56" i="359"/>
  <c r="N56" i="359"/>
  <c r="P56" i="359"/>
  <c r="O56" i="359"/>
  <c r="L56" i="359"/>
  <c r="J56" i="359"/>
  <c r="K56" i="359"/>
  <c r="M56" i="359"/>
  <c r="I56" i="359"/>
  <c r="H56" i="359"/>
  <c r="G56" i="359"/>
  <c r="F56" i="359"/>
  <c r="D56" i="359"/>
  <c r="E56" i="359"/>
  <c r="C56" i="359"/>
  <c r="B56" i="359"/>
  <c r="A57" i="359"/>
  <c r="Y71" i="15"/>
  <c r="Y134" i="15" s="1"/>
  <c r="Y51" i="15"/>
  <c r="Y114" i="15" s="1"/>
  <c r="Y69" i="15"/>
  <c r="Y132" i="15" s="1"/>
  <c r="Y49" i="15"/>
  <c r="Y112" i="15" s="1"/>
  <c r="Y45" i="15"/>
  <c r="Y108" i="15" s="1"/>
  <c r="Y60" i="15"/>
  <c r="Y123" i="15" s="1"/>
  <c r="Y73" i="15"/>
  <c r="Y136" i="15" s="1"/>
  <c r="Y56" i="15"/>
  <c r="Y119" i="15" s="1"/>
  <c r="Y58" i="15"/>
  <c r="Y121" i="15" s="1"/>
  <c r="Y48" i="15"/>
  <c r="Y111" i="15" s="1"/>
  <c r="Y57" i="15"/>
  <c r="Y120" i="15" s="1"/>
  <c r="Y39" i="15"/>
  <c r="Y105" i="15" s="1"/>
  <c r="Y54" i="15"/>
  <c r="Y117" i="15" s="1"/>
  <c r="Y61" i="15"/>
  <c r="Y124" i="15" s="1"/>
  <c r="Y46" i="15"/>
  <c r="Y109" i="15" s="1"/>
  <c r="Y62" i="15"/>
  <c r="Y125" i="15" s="1"/>
  <c r="Y63" i="15"/>
  <c r="Y126" i="15" s="1"/>
  <c r="Y52" i="15"/>
  <c r="Y115" i="15" s="1"/>
  <c r="Y55" i="15"/>
  <c r="Y118" i="15" s="1"/>
  <c r="Y68" i="15"/>
  <c r="Y131" i="15" s="1"/>
  <c r="Y43" i="15"/>
  <c r="Y106" i="15" s="1"/>
  <c r="Y44" i="15"/>
  <c r="Y107" i="15" s="1"/>
  <c r="Y66" i="15"/>
  <c r="Y129" i="15" s="1"/>
  <c r="Y53" i="15"/>
  <c r="Y116" i="15" s="1"/>
  <c r="Y74" i="15"/>
  <c r="Y137" i="15" s="1"/>
  <c r="Y65" i="15"/>
  <c r="Y128" i="15" s="1"/>
  <c r="Y64" i="15"/>
  <c r="Y127" i="15" s="1"/>
  <c r="Y72" i="15"/>
  <c r="Y135" i="15" s="1"/>
  <c r="Y70" i="15"/>
  <c r="Y133" i="15" s="1"/>
  <c r="Y67" i="15"/>
  <c r="Y130" i="15" s="1"/>
  <c r="Y59" i="15"/>
  <c r="Y122" i="15" s="1"/>
  <c r="Y50" i="15"/>
  <c r="Y113" i="15" s="1"/>
  <c r="Y47" i="15"/>
  <c r="Y110" i="15" s="1"/>
  <c r="AA38" i="15"/>
  <c r="N138" i="15"/>
  <c r="V138" i="15"/>
  <c r="R138" i="15"/>
  <c r="AJ43" i="8"/>
  <c r="AJ42" i="8"/>
  <c r="AJ41" i="8"/>
  <c r="AJ44" i="8"/>
  <c r="AJ45" i="8"/>
  <c r="AJ84" i="8"/>
  <c r="AJ83" i="8"/>
  <c r="AJ85" i="8"/>
  <c r="AJ82" i="8"/>
  <c r="AJ86" i="8"/>
  <c r="J138" i="15"/>
  <c r="F138" i="15"/>
  <c r="X138" i="15"/>
  <c r="T138" i="15"/>
  <c r="P138" i="15"/>
  <c r="L138" i="15"/>
  <c r="H138" i="15"/>
  <c r="Y138" i="15"/>
  <c r="U138" i="15"/>
  <c r="Q138" i="15"/>
  <c r="M138" i="15"/>
  <c r="I138" i="15"/>
  <c r="E138" i="15"/>
  <c r="W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B77" i="15"/>
  <c r="AI116" i="8"/>
  <c r="AJ126" i="8"/>
  <c r="AJ96" i="8"/>
  <c r="AJ76" i="8"/>
  <c r="AJ66" i="8"/>
  <c r="AJ56" i="8"/>
  <c r="AJ53" i="8"/>
  <c r="AJ55" i="8"/>
  <c r="AJ54" i="8"/>
  <c r="AJ63" i="8"/>
  <c r="AJ65" i="8"/>
  <c r="AJ64" i="8"/>
  <c r="AJ75" i="8"/>
  <c r="AJ74" i="8"/>
  <c r="AJ73" i="8"/>
  <c r="AJ94" i="8"/>
  <c r="AJ95" i="8"/>
  <c r="AJ93" i="8"/>
  <c r="AJ124" i="8"/>
  <c r="AJ52" i="8"/>
  <c r="AJ62" i="8"/>
  <c r="AJ92" i="8"/>
  <c r="AJ72" i="8"/>
  <c r="AJ125" i="8"/>
  <c r="AJ123" i="8"/>
  <c r="AJ122" i="8"/>
  <c r="AK39" i="8"/>
  <c r="AI115" i="8"/>
  <c r="AI113" i="8"/>
  <c r="AI114" i="8"/>
  <c r="AI112" i="8"/>
  <c r="AI102" i="8"/>
  <c r="AK106" i="8" a="1"/>
  <c r="AK87" i="8" a="1"/>
  <c r="AK68" i="8" a="1"/>
  <c r="AK46" i="8" a="1"/>
  <c r="AK90" i="8" a="1"/>
  <c r="AK59" i="8" a="1"/>
  <c r="AK77" i="8" a="1"/>
  <c r="AK60" i="8" a="1"/>
  <c r="AK109" i="8" a="1"/>
  <c r="L57" i="359" a="1"/>
  <c r="P57" i="359" a="1"/>
  <c r="T57" i="359" a="1"/>
  <c r="V57" i="359" a="1"/>
  <c r="AC57" i="359" a="1"/>
  <c r="C57" i="359" a="1"/>
  <c r="G57" i="359" a="1"/>
  <c r="Y77" i="15" a="1"/>
  <c r="U77" i="15" a="1"/>
  <c r="Z58" i="15" a="1"/>
  <c r="AK125" i="8" a="1"/>
  <c r="R77" i="15" a="1"/>
  <c r="N77" i="15" a="1"/>
  <c r="AK44" i="8" a="1"/>
  <c r="AK64" i="8" a="1"/>
  <c r="Z49" i="15" a="1"/>
  <c r="AK53" i="8" a="1"/>
  <c r="V77" i="15" a="1"/>
  <c r="AK63" i="8" a="1"/>
  <c r="Z73" i="15" a="1"/>
  <c r="AK74" i="8" a="1"/>
  <c r="AK86" i="8" a="1"/>
  <c r="Z47" i="15" a="1"/>
  <c r="AK83" i="8" a="1"/>
  <c r="AK55" i="8" a="1"/>
  <c r="AK82" i="8" a="1"/>
  <c r="Z67" i="15" a="1"/>
  <c r="Z77" i="15" a="1"/>
  <c r="AK93" i="8" a="1"/>
  <c r="AK43" i="8" a="1"/>
  <c r="AK103" i="8" a="1"/>
  <c r="AK69" i="8" a="1"/>
  <c r="AK58" i="8" a="1"/>
  <c r="AK79" i="8" a="1"/>
  <c r="AK100" i="8" a="1"/>
  <c r="AK98" i="8" a="1"/>
  <c r="AK128" i="8" a="1"/>
  <c r="AK48" i="8" a="1"/>
  <c r="AK80" i="8" a="1"/>
  <c r="K57" i="359" a="1"/>
  <c r="O57" i="359" a="1"/>
  <c r="Q57" i="359" a="1"/>
  <c r="Z57" i="359" a="1"/>
  <c r="AA57" i="359" a="1"/>
  <c r="D57" i="359" a="1"/>
  <c r="H57" i="359" a="1"/>
  <c r="Z52" i="15" a="1"/>
  <c r="K77" i="15" a="1"/>
  <c r="AK45" i="8" a="1"/>
  <c r="Z54" i="15" a="1"/>
  <c r="F77" i="15" a="1"/>
  <c r="W77" i="15" a="1"/>
  <c r="AK52" i="8" a="1"/>
  <c r="I77" i="15" a="1"/>
  <c r="Q77" i="15" a="1"/>
  <c r="Z59" i="15" a="1"/>
  <c r="AK96" i="8" a="1"/>
  <c r="Z75" i="15" a="1"/>
  <c r="AK84" i="8" a="1"/>
  <c r="AK73" i="8" a="1"/>
  <c r="Z72" i="15" a="1"/>
  <c r="H77" i="15" a="1"/>
  <c r="Z64" i="15" a="1"/>
  <c r="Z39" i="15" a="1"/>
  <c r="AK41" i="8" a="1"/>
  <c r="AK124" i="8" a="1"/>
  <c r="Z48" i="15" a="1"/>
  <c r="O77" i="15" a="1"/>
  <c r="P77" i="15" a="1"/>
  <c r="X77" i="15" a="1"/>
  <c r="AK104" i="8" a="1"/>
  <c r="AK67" i="8" a="1"/>
  <c r="AK89" i="8" a="1"/>
  <c r="AK88" i="8" a="1"/>
  <c r="AK99" i="8" a="1"/>
  <c r="AK78" i="8" a="1"/>
  <c r="AK97" i="8" a="1"/>
  <c r="AK129" i="8" a="1"/>
  <c r="AK49" i="8" a="1"/>
  <c r="J57" i="359" a="1"/>
  <c r="R57" i="359" a="1"/>
  <c r="U57" i="359" a="1"/>
  <c r="Y57" i="359" a="1"/>
  <c r="X57" i="359" a="1"/>
  <c r="E57" i="359" a="1"/>
  <c r="I57" i="359" a="1"/>
  <c r="Z68" i="15" a="1"/>
  <c r="AK123" i="8" a="1"/>
  <c r="Z66" i="15" a="1"/>
  <c r="Z51" i="15" a="1"/>
  <c r="Z55" i="15" a="1"/>
  <c r="Z60" i="15" a="1"/>
  <c r="Z56" i="15" a="1"/>
  <c r="AK72" i="8" a="1"/>
  <c r="AK94" i="8" a="1"/>
  <c r="Z71" i="15" a="1"/>
  <c r="L77" i="15" a="1"/>
  <c r="E77" i="15" a="1"/>
  <c r="AA77" i="15" a="1"/>
  <c r="Z62" i="15" a="1"/>
  <c r="G77" i="15" a="1"/>
  <c r="AK85" i="8" a="1"/>
  <c r="S77" i="15" a="1"/>
  <c r="Z69" i="15" a="1"/>
  <c r="M77" i="15" a="1"/>
  <c r="AK42" i="8" a="1"/>
  <c r="Z46" i="15" a="1"/>
  <c r="J77" i="15" a="1"/>
  <c r="AK95" i="8" a="1"/>
  <c r="AK105" i="8" a="1"/>
  <c r="AK127" i="8" a="1"/>
  <c r="AK130" i="8" a="1"/>
  <c r="AK110" i="8" a="1"/>
  <c r="AK108" i="8" a="1"/>
  <c r="AK47" i="8" a="1"/>
  <c r="AK57" i="8" a="1"/>
  <c r="AK70" i="8" a="1"/>
  <c r="AK107" i="8" a="1"/>
  <c r="M57" i="359" a="1"/>
  <c r="N57" i="359" a="1"/>
  <c r="S57" i="359" a="1"/>
  <c r="W57" i="359" a="1"/>
  <c r="AB57" i="359" a="1"/>
  <c r="B57" i="359" a="1"/>
  <c r="F57" i="359" a="1"/>
  <c r="AK62" i="8" a="1"/>
  <c r="AK76" i="8" a="1"/>
  <c r="Z65" i="15" a="1"/>
  <c r="AK66" i="8" a="1"/>
  <c r="AK75" i="8" a="1"/>
  <c r="Z61" i="15" a="1"/>
  <c r="AK65" i="8" a="1"/>
  <c r="Z50" i="15" a="1"/>
  <c r="AK126" i="8" a="1"/>
  <c r="Z45" i="15" a="1"/>
  <c r="Z43" i="15" a="1"/>
  <c r="Z63" i="15" a="1"/>
  <c r="Z74" i="15" a="1"/>
  <c r="AK122" i="8" a="1"/>
  <c r="D77" i="15" a="1"/>
  <c r="Z57" i="15" a="1"/>
  <c r="C77" i="15" a="1"/>
  <c r="Z53" i="15" a="1"/>
  <c r="AK92" i="8" a="1"/>
  <c r="Z70" i="15" a="1"/>
  <c r="T77" i="15" a="1"/>
  <c r="AK54" i="8" a="1"/>
  <c r="Z44" i="15" a="1"/>
  <c r="AK56" i="8" a="1"/>
  <c r="AJ117" i="8" l="1"/>
  <c r="AK49" i="8"/>
  <c r="AK80" i="8"/>
  <c r="AK109" i="8"/>
  <c r="AK107" i="8"/>
  <c r="AK129" i="8"/>
  <c r="AK48" i="8"/>
  <c r="AK60" i="8"/>
  <c r="AK70" i="8"/>
  <c r="AK97" i="8"/>
  <c r="AK128" i="8"/>
  <c r="AK77" i="8"/>
  <c r="AK57" i="8"/>
  <c r="AK78" i="8"/>
  <c r="AK98" i="8"/>
  <c r="AK59" i="8"/>
  <c r="AK47" i="8"/>
  <c r="AK99" i="8"/>
  <c r="AK100" i="8"/>
  <c r="AK90" i="8"/>
  <c r="AK108" i="8"/>
  <c r="AK88" i="8"/>
  <c r="AK79" i="8"/>
  <c r="AK46" i="8"/>
  <c r="AK110" i="8"/>
  <c r="AK89" i="8"/>
  <c r="AK58" i="8"/>
  <c r="AK68" i="8"/>
  <c r="AK130" i="8"/>
  <c r="AK67" i="8"/>
  <c r="AK69" i="8"/>
  <c r="AK87" i="8"/>
  <c r="AK127" i="8"/>
  <c r="AK104" i="8"/>
  <c r="AK103" i="8"/>
  <c r="AK106" i="8"/>
  <c r="AK105" i="8"/>
  <c r="AJ120" i="8"/>
  <c r="AJ119" i="8"/>
  <c r="AJ118" i="8"/>
  <c r="X57" i="359"/>
  <c r="AA57" i="359"/>
  <c r="AC57" i="359"/>
  <c r="AB57" i="359"/>
  <c r="Y57" i="359"/>
  <c r="Z57" i="359"/>
  <c r="V57" i="359"/>
  <c r="W57" i="359"/>
  <c r="U57" i="359"/>
  <c r="Q57" i="359"/>
  <c r="T57" i="359"/>
  <c r="S57" i="359"/>
  <c r="R57" i="359"/>
  <c r="O57" i="359"/>
  <c r="P57" i="359"/>
  <c r="N57" i="359"/>
  <c r="J57" i="359"/>
  <c r="K57" i="359"/>
  <c r="L57" i="359"/>
  <c r="M57" i="359"/>
  <c r="I57" i="359"/>
  <c r="H57" i="359"/>
  <c r="G57" i="359"/>
  <c r="F57" i="359"/>
  <c r="E57" i="359"/>
  <c r="D57" i="359"/>
  <c r="C57" i="359"/>
  <c r="B57" i="359"/>
  <c r="A58" i="359"/>
  <c r="Z63" i="15"/>
  <c r="Z126" i="15" s="1"/>
  <c r="Z61" i="15"/>
  <c r="Z124" i="15" s="1"/>
  <c r="Z44" i="15"/>
  <c r="Z107" i="15" s="1"/>
  <c r="Z64" i="15"/>
  <c r="Z127" i="15" s="1"/>
  <c r="Z60" i="15"/>
  <c r="Z123" i="15" s="1"/>
  <c r="Z55" i="15"/>
  <c r="Z118" i="15" s="1"/>
  <c r="Z43" i="15"/>
  <c r="Z106" i="15" s="1"/>
  <c r="Z51" i="15"/>
  <c r="Z114" i="15" s="1"/>
  <c r="Z46" i="15"/>
  <c r="Z109" i="15" s="1"/>
  <c r="Z47" i="15"/>
  <c r="Z110" i="15" s="1"/>
  <c r="Z71" i="15"/>
  <c r="Z134" i="15" s="1"/>
  <c r="Z54" i="15"/>
  <c r="Z117" i="15" s="1"/>
  <c r="Z48" i="15"/>
  <c r="Z111" i="15" s="1"/>
  <c r="Z57" i="15"/>
  <c r="Z120" i="15" s="1"/>
  <c r="Z59" i="15"/>
  <c r="Z122" i="15" s="1"/>
  <c r="Z72" i="15"/>
  <c r="Z135" i="15" s="1"/>
  <c r="Z45" i="15"/>
  <c r="Z108" i="15" s="1"/>
  <c r="Z66" i="15"/>
  <c r="Z129" i="15" s="1"/>
  <c r="Z58" i="15"/>
  <c r="Z121" i="15" s="1"/>
  <c r="Z67" i="15"/>
  <c r="Z130" i="15" s="1"/>
  <c r="Z62" i="15"/>
  <c r="Z125" i="15" s="1"/>
  <c r="Z49" i="15"/>
  <c r="Z112" i="15" s="1"/>
  <c r="Z65" i="15"/>
  <c r="Z128" i="15" s="1"/>
  <c r="Z70" i="15"/>
  <c r="Z133" i="15" s="1"/>
  <c r="Z50" i="15"/>
  <c r="Z113" i="15" s="1"/>
  <c r="Z68" i="15"/>
  <c r="Z131" i="15" s="1"/>
  <c r="Z69" i="15"/>
  <c r="Z132" i="15" s="1"/>
  <c r="Z73" i="15"/>
  <c r="Z136" i="15" s="1"/>
  <c r="Z56" i="15"/>
  <c r="Z119" i="15" s="1"/>
  <c r="Z52" i="15"/>
  <c r="Z115" i="15" s="1"/>
  <c r="Z39" i="15"/>
  <c r="Z105" i="15" s="1"/>
  <c r="Z74" i="15"/>
  <c r="Z137" i="15" s="1"/>
  <c r="Z53" i="15"/>
  <c r="Z116" i="15" s="1"/>
  <c r="Z75" i="15"/>
  <c r="Z138" i="15" s="1"/>
  <c r="AB38" i="15"/>
  <c r="AK41" i="8"/>
  <c r="AK44" i="8"/>
  <c r="AK45" i="8"/>
  <c r="AK43" i="8"/>
  <c r="AK42" i="8"/>
  <c r="AK85" i="8"/>
  <c r="AK86" i="8"/>
  <c r="AK83" i="8"/>
  <c r="AK84" i="8"/>
  <c r="AK82" i="8"/>
  <c r="V139" i="15"/>
  <c r="Z139" i="15"/>
  <c r="R139" i="15"/>
  <c r="N139" i="15"/>
  <c r="K139" i="15"/>
  <c r="F139" i="15"/>
  <c r="Y139" i="15"/>
  <c r="U139" i="15"/>
  <c r="Q139" i="15"/>
  <c r="M139" i="15"/>
  <c r="I139" i="15"/>
  <c r="E139" i="15"/>
  <c r="X139" i="15"/>
  <c r="T139" i="15"/>
  <c r="P139" i="15"/>
  <c r="L139" i="15"/>
  <c r="H139" i="15"/>
  <c r="W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B78" i="15"/>
  <c r="AK126" i="8"/>
  <c r="AK96" i="8"/>
  <c r="AK76" i="8"/>
  <c r="AK66" i="8"/>
  <c r="AK56" i="8"/>
  <c r="AJ116" i="8"/>
  <c r="AK55" i="8"/>
  <c r="AK53" i="8"/>
  <c r="AK54" i="8"/>
  <c r="AK65" i="8"/>
  <c r="AK64" i="8"/>
  <c r="AK63" i="8"/>
  <c r="AK73" i="8"/>
  <c r="AK74" i="8"/>
  <c r="AK75" i="8"/>
  <c r="AK94" i="8"/>
  <c r="AK95" i="8"/>
  <c r="AK93" i="8"/>
  <c r="AJ113" i="8"/>
  <c r="AK124" i="8"/>
  <c r="AK52" i="8"/>
  <c r="AK62" i="8"/>
  <c r="AK92" i="8"/>
  <c r="AK72" i="8"/>
  <c r="AK125" i="8"/>
  <c r="AK123" i="8"/>
  <c r="AK122" i="8"/>
  <c r="AL39" i="8"/>
  <c r="AJ114" i="8"/>
  <c r="AJ115" i="8"/>
  <c r="AJ112" i="8"/>
  <c r="AJ102" i="8"/>
  <c r="AL103" i="8" a="1"/>
  <c r="AL127" i="8" a="1"/>
  <c r="AL58" i="8" a="1"/>
  <c r="AL69" i="8" a="1"/>
  <c r="AL110" i="8" a="1"/>
  <c r="AL48" i="8" a="1"/>
  <c r="AL97" i="8" a="1"/>
  <c r="AL78" i="8" a="1"/>
  <c r="AL109" i="8" a="1"/>
  <c r="K58" i="359" a="1"/>
  <c r="N58" i="359" a="1"/>
  <c r="S58" i="359" a="1"/>
  <c r="AA58" i="359" a="1"/>
  <c r="AB58" i="359" a="1"/>
  <c r="D58" i="359" a="1"/>
  <c r="H58" i="359" a="1"/>
  <c r="AA52" i="15" a="1"/>
  <c r="N78" i="15" a="1"/>
  <c r="AL124" i="8" a="1"/>
  <c r="AA45" i="15" a="1"/>
  <c r="AL41" i="8" a="1"/>
  <c r="AB78" i="15" a="1"/>
  <c r="AA54" i="15" a="1"/>
  <c r="AL92" i="8" a="1"/>
  <c r="AL95" i="8" a="1"/>
  <c r="AA49" i="15" a="1"/>
  <c r="AA78" i="15" a="1"/>
  <c r="AL45" i="8" a="1"/>
  <c r="AL73" i="8" a="1"/>
  <c r="S78" i="15" a="1"/>
  <c r="AL44" i="8" a="1"/>
  <c r="AL85" i="8" a="1"/>
  <c r="U78" i="15" a="1"/>
  <c r="AA62" i="15" a="1"/>
  <c r="AA47" i="15" a="1"/>
  <c r="Z78" i="15" a="1"/>
  <c r="AL62" i="8" a="1"/>
  <c r="AA73" i="15" a="1"/>
  <c r="W78" i="15" a="1"/>
  <c r="AL125" i="8" a="1"/>
  <c r="AL104" i="8" a="1"/>
  <c r="AL87" i="8" a="1"/>
  <c r="AL90" i="8" a="1"/>
  <c r="AL108" i="8" a="1"/>
  <c r="AL128" i="8" a="1"/>
  <c r="AL59" i="8" a="1"/>
  <c r="AL129" i="8" a="1"/>
  <c r="AL57" i="8" a="1"/>
  <c r="AL49" i="8" a="1"/>
  <c r="J58" i="359" a="1"/>
  <c r="T58" i="359" a="1"/>
  <c r="W58" i="359" a="1"/>
  <c r="Y58" i="359" a="1"/>
  <c r="X58" i="359" a="1"/>
  <c r="E58" i="359" a="1"/>
  <c r="I58" i="359" a="1"/>
  <c r="AA56" i="15" a="1"/>
  <c r="AA71" i="15" a="1"/>
  <c r="Y78" i="15" a="1"/>
  <c r="AL122" i="8" a="1"/>
  <c r="AL94" i="8" a="1"/>
  <c r="L78" i="15" a="1"/>
  <c r="AA72" i="15" a="1"/>
  <c r="AL72" i="8" a="1"/>
  <c r="AA75" i="15" a="1"/>
  <c r="AA55" i="15" a="1"/>
  <c r="AL52" i="8" a="1"/>
  <c r="AL75" i="8" a="1"/>
  <c r="AA61" i="15" a="1"/>
  <c r="AL66" i="8" a="1"/>
  <c r="O78" i="15" a="1"/>
  <c r="AA43" i="15" a="1"/>
  <c r="AL86" i="8" a="1"/>
  <c r="AL82" i="8" a="1"/>
  <c r="AA60" i="15" a="1"/>
  <c r="AA59" i="15" a="1"/>
  <c r="AA76" i="15" a="1"/>
  <c r="AA53" i="15" a="1"/>
  <c r="AL55" i="8" a="1"/>
  <c r="AL54" i="8" a="1"/>
  <c r="AL105" i="8" a="1"/>
  <c r="AL67" i="8" a="1"/>
  <c r="AL130" i="8" a="1"/>
  <c r="AL89" i="8" a="1"/>
  <c r="AL100" i="8" a="1"/>
  <c r="AL99" i="8" a="1"/>
  <c r="AL70" i="8" a="1"/>
  <c r="AL107" i="8" a="1"/>
  <c r="AL80" i="8" a="1"/>
  <c r="M58" i="359" a="1"/>
  <c r="O58" i="359" a="1"/>
  <c r="Q58" i="359" a="1"/>
  <c r="V58" i="359" a="1"/>
  <c r="Z58" i="359" a="1"/>
  <c r="B58" i="359" a="1"/>
  <c r="F58" i="359" a="1"/>
  <c r="E78" i="15" a="1"/>
  <c r="Q78" i="15" a="1"/>
  <c r="AA67" i="15" a="1"/>
  <c r="F78" i="15" a="1"/>
  <c r="X78" i="15" a="1"/>
  <c r="AA46" i="15" a="1"/>
  <c r="AA39" i="15" a="1"/>
  <c r="H78" i="15" a="1"/>
  <c r="AA68" i="15" a="1"/>
  <c r="AL56" i="8" a="1"/>
  <c r="V78" i="15" a="1"/>
  <c r="AA58" i="15" a="1"/>
  <c r="AL53" i="8" a="1"/>
  <c r="AA69" i="15" a="1"/>
  <c r="AL63" i="8" a="1"/>
  <c r="AA74" i="15" a="1"/>
  <c r="AA63" i="15" a="1"/>
  <c r="AL64" i="8" a="1"/>
  <c r="AA48" i="15" a="1"/>
  <c r="AL96" i="8" a="1"/>
  <c r="AA64" i="15" a="1"/>
  <c r="G78" i="15" a="1"/>
  <c r="I78" i="15" a="1"/>
  <c r="AA57" i="15" a="1"/>
  <c r="AL106" i="8" a="1"/>
  <c r="AL79" i="8" a="1"/>
  <c r="AL46" i="8" a="1"/>
  <c r="AL88" i="8" a="1"/>
  <c r="AL68" i="8" a="1"/>
  <c r="AL98" i="8" a="1"/>
  <c r="AL47" i="8" a="1"/>
  <c r="AL77" i="8" a="1"/>
  <c r="AL60" i="8" a="1"/>
  <c r="L58" i="359" a="1"/>
  <c r="P58" i="359" a="1"/>
  <c r="R58" i="359" a="1"/>
  <c r="U58" i="359" a="1"/>
  <c r="AC58" i="359" a="1"/>
  <c r="C58" i="359" a="1"/>
  <c r="G58" i="359" a="1"/>
  <c r="AL123" i="8" a="1"/>
  <c r="AL126" i="8" a="1"/>
  <c r="AL43" i="8" a="1"/>
  <c r="AA51" i="15" a="1"/>
  <c r="T78" i="15" a="1"/>
  <c r="R78" i="15" a="1"/>
  <c r="AL84" i="8" a="1"/>
  <c r="AL65" i="8" a="1"/>
  <c r="M78" i="15" a="1"/>
  <c r="AL93" i="8" a="1"/>
  <c r="AL83" i="8" a="1"/>
  <c r="AA65" i="15" a="1"/>
  <c r="AA66" i="15" a="1"/>
  <c r="C78" i="15" a="1"/>
  <c r="AA50" i="15" a="1"/>
  <c r="J78" i="15" a="1"/>
  <c r="K78" i="15" a="1"/>
  <c r="AA44" i="15" a="1"/>
  <c r="D78" i="15" a="1"/>
  <c r="AL74" i="8" a="1"/>
  <c r="AL76" i="8" a="1"/>
  <c r="AA70" i="15" a="1"/>
  <c r="P78" i="15" a="1"/>
  <c r="AL42" i="8" a="1"/>
  <c r="AK120" i="8" l="1"/>
  <c r="AK118" i="8"/>
  <c r="AL49" i="8"/>
  <c r="AL109" i="8"/>
  <c r="AL60" i="8"/>
  <c r="AL80" i="8"/>
  <c r="AL57" i="8"/>
  <c r="AL78" i="8"/>
  <c r="AL77" i="8"/>
  <c r="AL107" i="8"/>
  <c r="AL129" i="8"/>
  <c r="AL97" i="8"/>
  <c r="AL47" i="8"/>
  <c r="AL70" i="8"/>
  <c r="AL59" i="8"/>
  <c r="AL48" i="8"/>
  <c r="AL98" i="8"/>
  <c r="AL99" i="8"/>
  <c r="AL128" i="8"/>
  <c r="AL110" i="8"/>
  <c r="AL68" i="8"/>
  <c r="AL100" i="8"/>
  <c r="AL108" i="8"/>
  <c r="AL69" i="8"/>
  <c r="AL88" i="8"/>
  <c r="AL89" i="8"/>
  <c r="AL90" i="8"/>
  <c r="AL58" i="8"/>
  <c r="AL46" i="8"/>
  <c r="AL130" i="8"/>
  <c r="AL87" i="8"/>
  <c r="AL127" i="8"/>
  <c r="AL79" i="8"/>
  <c r="AL67" i="8"/>
  <c r="AL104" i="8"/>
  <c r="AL103" i="8"/>
  <c r="AL106" i="8"/>
  <c r="AL105" i="8"/>
  <c r="AK119" i="8"/>
  <c r="AK117" i="8"/>
  <c r="X58" i="359"/>
  <c r="AB58" i="359"/>
  <c r="AC58" i="359"/>
  <c r="Z58" i="359"/>
  <c r="Y58" i="359"/>
  <c r="AA58" i="359"/>
  <c r="U58" i="359"/>
  <c r="V58" i="359"/>
  <c r="W58" i="359"/>
  <c r="S58" i="359"/>
  <c r="R58" i="359"/>
  <c r="Q58" i="359"/>
  <c r="T58" i="359"/>
  <c r="N58" i="359"/>
  <c r="P58" i="359"/>
  <c r="O58" i="359"/>
  <c r="J58" i="359"/>
  <c r="K58" i="359"/>
  <c r="L58" i="359"/>
  <c r="M58" i="359"/>
  <c r="I58" i="359"/>
  <c r="H58" i="359"/>
  <c r="G58" i="359"/>
  <c r="F58" i="359"/>
  <c r="E58" i="359"/>
  <c r="D58" i="359"/>
  <c r="C58" i="359"/>
  <c r="B58" i="359"/>
  <c r="A59" i="359"/>
  <c r="AA62" i="15"/>
  <c r="AA125" i="15" s="1"/>
  <c r="AA65" i="15"/>
  <c r="AA128" i="15" s="1"/>
  <c r="AA46" i="15"/>
  <c r="AA109" i="15" s="1"/>
  <c r="AA57" i="15"/>
  <c r="AA120" i="15" s="1"/>
  <c r="AA44" i="15"/>
  <c r="AA107" i="15" s="1"/>
  <c r="AA58" i="15"/>
  <c r="AA121" i="15" s="1"/>
  <c r="AA53" i="15"/>
  <c r="AA116" i="15" s="1"/>
  <c r="AA63" i="15"/>
  <c r="AA126" i="15" s="1"/>
  <c r="AA55" i="15"/>
  <c r="AA118" i="15" s="1"/>
  <c r="AA45" i="15"/>
  <c r="AA108" i="15" s="1"/>
  <c r="AA73" i="15"/>
  <c r="AA136" i="15" s="1"/>
  <c r="AA43" i="15"/>
  <c r="AA106" i="15" s="1"/>
  <c r="AA49" i="15"/>
  <c r="AA112" i="15" s="1"/>
  <c r="AA51" i="15"/>
  <c r="AA114" i="15" s="1"/>
  <c r="AA70" i="15"/>
  <c r="AA133" i="15" s="1"/>
  <c r="AA76" i="15"/>
  <c r="AA139" i="15" s="1"/>
  <c r="AA74" i="15"/>
  <c r="AA137" i="15" s="1"/>
  <c r="AA75" i="15"/>
  <c r="AA138" i="15" s="1"/>
  <c r="AA67" i="15"/>
  <c r="AA130" i="15" s="1"/>
  <c r="AA64" i="15"/>
  <c r="AA127" i="15" s="1"/>
  <c r="AA50" i="15"/>
  <c r="AA113" i="15" s="1"/>
  <c r="AA68" i="15"/>
  <c r="AA131" i="15" s="1"/>
  <c r="AA71" i="15"/>
  <c r="AA134" i="15" s="1"/>
  <c r="AA59" i="15"/>
  <c r="AA122" i="15" s="1"/>
  <c r="AA56" i="15"/>
  <c r="AA119" i="15" s="1"/>
  <c r="AA60" i="15"/>
  <c r="AA123" i="15" s="1"/>
  <c r="AA69" i="15"/>
  <c r="AA132" i="15" s="1"/>
  <c r="AA72" i="15"/>
  <c r="AA135" i="15" s="1"/>
  <c r="AA52" i="15"/>
  <c r="AA115" i="15" s="1"/>
  <c r="AA47" i="15"/>
  <c r="AA110" i="15" s="1"/>
  <c r="AA61" i="15"/>
  <c r="AA124" i="15" s="1"/>
  <c r="AA54" i="15"/>
  <c r="AA117" i="15" s="1"/>
  <c r="AA48" i="15"/>
  <c r="AA111" i="15" s="1"/>
  <c r="AA66" i="15"/>
  <c r="AA129" i="15" s="1"/>
  <c r="AA39" i="15"/>
  <c r="AA105" i="15" s="1"/>
  <c r="AC38" i="15"/>
  <c r="V140" i="15"/>
  <c r="N140" i="15"/>
  <c r="Z140" i="15"/>
  <c r="R140" i="15"/>
  <c r="AL41" i="8"/>
  <c r="AL42" i="8"/>
  <c r="AL45" i="8"/>
  <c r="AL43" i="8"/>
  <c r="AL44" i="8"/>
  <c r="AL86" i="8"/>
  <c r="AL83" i="8"/>
  <c r="AL85" i="8"/>
  <c r="AL82" i="8"/>
  <c r="AL84" i="8"/>
  <c r="J140" i="15"/>
  <c r="F140" i="15"/>
  <c r="AA140" i="15"/>
  <c r="W140" i="15"/>
  <c r="S140" i="15"/>
  <c r="O140" i="15"/>
  <c r="K140" i="15"/>
  <c r="G140" i="15"/>
  <c r="Y140" i="15"/>
  <c r="U140" i="15"/>
  <c r="Q140" i="15"/>
  <c r="M140" i="15"/>
  <c r="I140" i="15"/>
  <c r="E140" i="15"/>
  <c r="X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B79" i="15"/>
  <c r="AL126" i="8"/>
  <c r="AL96" i="8"/>
  <c r="AL76" i="8"/>
  <c r="AL66" i="8"/>
  <c r="AL56" i="8"/>
  <c r="AK116" i="8"/>
  <c r="AL53" i="8"/>
  <c r="AL54" i="8"/>
  <c r="AL55" i="8"/>
  <c r="AL63" i="8"/>
  <c r="AL65" i="8"/>
  <c r="AL64" i="8"/>
  <c r="AL75" i="8"/>
  <c r="AL73" i="8"/>
  <c r="AL74" i="8"/>
  <c r="AL95" i="8"/>
  <c r="AL93" i="8"/>
  <c r="AL94" i="8"/>
  <c r="AK113" i="8"/>
  <c r="AL124" i="8"/>
  <c r="AL52" i="8"/>
  <c r="AL62" i="8"/>
  <c r="AL92" i="8"/>
  <c r="AL72" i="8"/>
  <c r="AL125" i="8"/>
  <c r="AL123" i="8"/>
  <c r="AL122" i="8"/>
  <c r="AM39" i="8"/>
  <c r="AK114" i="8"/>
  <c r="AK115" i="8"/>
  <c r="AK112" i="8"/>
  <c r="AK102" i="8"/>
  <c r="AM104" i="8" a="1"/>
  <c r="AM67" i="8" a="1"/>
  <c r="AM130" i="8" a="1"/>
  <c r="AM68" i="8" a="1"/>
  <c r="AM128" i="8" a="1"/>
  <c r="AM59" i="8" a="1"/>
  <c r="AM78" i="8" a="1"/>
  <c r="AM80" i="8" a="1"/>
  <c r="AM57" i="8" a="1"/>
  <c r="K59" i="359" a="1"/>
  <c r="T59" i="359" a="1"/>
  <c r="V59" i="359" a="1"/>
  <c r="AC59" i="359" a="1"/>
  <c r="X59" i="359" a="1"/>
  <c r="D59" i="359" a="1"/>
  <c r="I59" i="359" a="1"/>
  <c r="AB50" i="15" a="1"/>
  <c r="N79" i="15" a="1"/>
  <c r="AM53" i="8" a="1"/>
  <c r="AM95" i="8" a="1"/>
  <c r="AM42" i="8" a="1"/>
  <c r="O79" i="15" a="1"/>
  <c r="AB53" i="15" a="1"/>
  <c r="C79" i="15" a="1"/>
  <c r="AM45" i="8" a="1"/>
  <c r="AB58" i="15" a="1"/>
  <c r="AB64" i="15" a="1"/>
  <c r="AB66" i="15" a="1"/>
  <c r="AB54" i="15" a="1"/>
  <c r="AM73" i="8" a="1"/>
  <c r="AM62" i="8" a="1"/>
  <c r="AM124" i="8" a="1"/>
  <c r="L79" i="15" a="1"/>
  <c r="AB75" i="15" a="1"/>
  <c r="AB60" i="15" a="1"/>
  <c r="AB79" i="15" a="1"/>
  <c r="AM86" i="8" a="1"/>
  <c r="AB68" i="15" a="1"/>
  <c r="U79" i="15" a="1"/>
  <c r="T79" i="15" a="1"/>
  <c r="AM105" i="8" a="1"/>
  <c r="AM46" i="8" a="1"/>
  <c r="AM79" i="8" a="1"/>
  <c r="AM87" i="8" a="1"/>
  <c r="AM110" i="8" a="1"/>
  <c r="AM97" i="8" a="1"/>
  <c r="AM107" i="8" a="1"/>
  <c r="AM99" i="8" a="1"/>
  <c r="AM109" i="8" a="1"/>
  <c r="M59" i="359" a="1"/>
  <c r="P59" i="359" a="1"/>
  <c r="S59" i="359" a="1"/>
  <c r="W59" i="359" a="1"/>
  <c r="Y59" i="359" a="1"/>
  <c r="B59" i="359" a="1"/>
  <c r="F59" i="359" a="1"/>
  <c r="AB74" i="15" a="1"/>
  <c r="J79" i="15" a="1"/>
  <c r="Z79" i="15" a="1"/>
  <c r="AB65" i="15" a="1"/>
  <c r="AB57" i="15" a="1"/>
  <c r="AM84" i="8" a="1"/>
  <c r="K79" i="15" a="1"/>
  <c r="AM56" i="8" a="1"/>
  <c r="AM125" i="8" a="1"/>
  <c r="AB62" i="15" a="1"/>
  <c r="AM92" i="8" a="1"/>
  <c r="AB61" i="15" a="1"/>
  <c r="AM96" i="8" a="1"/>
  <c r="AB71" i="15" a="1"/>
  <c r="R79" i="15" a="1"/>
  <c r="AM75" i="8" a="1"/>
  <c r="AB63" i="15" a="1"/>
  <c r="AM126" i="8" a="1"/>
  <c r="W79" i="15" a="1"/>
  <c r="AM63" i="8" a="1"/>
  <c r="AM66" i="8" a="1"/>
  <c r="AB39" i="15" a="1"/>
  <c r="AB70" i="15" a="1"/>
  <c r="AA79" i="15" a="1"/>
  <c r="AB46" i="15" a="1"/>
  <c r="AM106" i="8" a="1"/>
  <c r="AM88" i="8" a="1"/>
  <c r="AM127" i="8" a="1"/>
  <c r="AM90" i="8" a="1"/>
  <c r="AM69" i="8" a="1"/>
  <c r="AM70" i="8" a="1"/>
  <c r="AM47" i="8" a="1"/>
  <c r="AM77" i="8" a="1"/>
  <c r="AM60" i="8" a="1"/>
  <c r="L59" i="359" a="1"/>
  <c r="N59" i="359" a="1"/>
  <c r="Q59" i="359" a="1"/>
  <c r="U59" i="359" a="1"/>
  <c r="AB59" i="359" a="1"/>
  <c r="C59" i="359" a="1"/>
  <c r="G59" i="359" a="1"/>
  <c r="D79" i="15" a="1"/>
  <c r="S79" i="15" a="1"/>
  <c r="AB73" i="15" a="1"/>
  <c r="AM43" i="8" a="1"/>
  <c r="AB48" i="15" a="1"/>
  <c r="Y79" i="15" a="1"/>
  <c r="AM93" i="8" a="1"/>
  <c r="AB52" i="15" a="1"/>
  <c r="AM54" i="8" a="1"/>
  <c r="AM65" i="8" a="1"/>
  <c r="Q79" i="15" a="1"/>
  <c r="X79" i="15" a="1"/>
  <c r="AM52" i="8" a="1"/>
  <c r="AM72" i="8" a="1"/>
  <c r="AM41" i="8" a="1"/>
  <c r="AB51" i="15" a="1"/>
  <c r="AB49" i="15" a="1"/>
  <c r="I79" i="15" a="1"/>
  <c r="AB55" i="15" a="1"/>
  <c r="G79" i="15" a="1"/>
  <c r="AB59" i="15" a="1"/>
  <c r="AM82" i="8" a="1"/>
  <c r="P79" i="15" a="1"/>
  <c r="AB45" i="15" a="1"/>
  <c r="AM94" i="8" a="1"/>
  <c r="AM103" i="8" a="1"/>
  <c r="AM108" i="8" a="1"/>
  <c r="AM58" i="8" a="1"/>
  <c r="AM89" i="8" a="1"/>
  <c r="AM100" i="8" a="1"/>
  <c r="AM98" i="8" a="1"/>
  <c r="AM48" i="8" a="1"/>
  <c r="AM129" i="8" a="1"/>
  <c r="AM49" i="8" a="1"/>
  <c r="J59" i="359" a="1"/>
  <c r="O59" i="359" a="1"/>
  <c r="R59" i="359" a="1"/>
  <c r="AA59" i="359" a="1"/>
  <c r="Z59" i="359" a="1"/>
  <c r="E59" i="359" a="1"/>
  <c r="H59" i="359" a="1"/>
  <c r="AB69" i="15" a="1"/>
  <c r="E79" i="15" a="1"/>
  <c r="AB67" i="15" a="1"/>
  <c r="AM44" i="8" a="1"/>
  <c r="AM85" i="8" a="1"/>
  <c r="AB77" i="15" a="1"/>
  <c r="AC79" i="15" a="1"/>
  <c r="AB47" i="15" a="1"/>
  <c r="AM64" i="8" a="1"/>
  <c r="AM123" i="8" a="1"/>
  <c r="AB76" i="15" a="1"/>
  <c r="AM83" i="8" a="1"/>
  <c r="AM122" i="8" a="1"/>
  <c r="F79" i="15" a="1"/>
  <c r="AB44" i="15" a="1"/>
  <c r="AM76" i="8" a="1"/>
  <c r="AB56" i="15" a="1"/>
  <c r="AB72" i="15" a="1"/>
  <c r="AB43" i="15" a="1"/>
  <c r="V79" i="15" a="1"/>
  <c r="AM55" i="8" a="1"/>
  <c r="AM74" i="8" a="1"/>
  <c r="H79" i="15" a="1"/>
  <c r="M79" i="15" a="1"/>
  <c r="AL118" i="8" l="1"/>
  <c r="AM57" i="8"/>
  <c r="AM49" i="8"/>
  <c r="AM60" i="8"/>
  <c r="AM109" i="8"/>
  <c r="AM80" i="8"/>
  <c r="AM129" i="8"/>
  <c r="AM77" i="8"/>
  <c r="AM99" i="8"/>
  <c r="AM78" i="8"/>
  <c r="AM48" i="8"/>
  <c r="AM47" i="8"/>
  <c r="AM107" i="8"/>
  <c r="AM59" i="8"/>
  <c r="AM98" i="8"/>
  <c r="AM70" i="8"/>
  <c r="AM97" i="8"/>
  <c r="AM128" i="8"/>
  <c r="AM100" i="8"/>
  <c r="AM69" i="8"/>
  <c r="AM110" i="8"/>
  <c r="AM68" i="8"/>
  <c r="AM89" i="8"/>
  <c r="AM90" i="8"/>
  <c r="AM87" i="8"/>
  <c r="AM130" i="8"/>
  <c r="AM58" i="8"/>
  <c r="AM127" i="8"/>
  <c r="AM79" i="8"/>
  <c r="AM67" i="8"/>
  <c r="AM108" i="8"/>
  <c r="AM88" i="8"/>
  <c r="AM46" i="8"/>
  <c r="AM104" i="8"/>
  <c r="AM103" i="8"/>
  <c r="AM106" i="8"/>
  <c r="AM105" i="8"/>
  <c r="AL120" i="8"/>
  <c r="AL119" i="8"/>
  <c r="AL117" i="8"/>
  <c r="X59" i="359"/>
  <c r="Z59" i="359"/>
  <c r="AB59" i="359"/>
  <c r="Y59" i="359"/>
  <c r="AC59" i="359"/>
  <c r="AA59" i="359"/>
  <c r="U59" i="359"/>
  <c r="W59" i="359"/>
  <c r="V59" i="359"/>
  <c r="R59" i="359"/>
  <c r="Q59" i="359"/>
  <c r="S59" i="359"/>
  <c r="T59" i="359"/>
  <c r="O59" i="359"/>
  <c r="N59" i="359"/>
  <c r="P59" i="359"/>
  <c r="K59" i="359"/>
  <c r="J59" i="359"/>
  <c r="L59" i="359"/>
  <c r="M59" i="359"/>
  <c r="I59" i="359"/>
  <c r="H59" i="359"/>
  <c r="G59" i="359"/>
  <c r="F59" i="359"/>
  <c r="D59" i="359"/>
  <c r="E59" i="359"/>
  <c r="C59" i="359"/>
  <c r="B59" i="359"/>
  <c r="A60" i="359"/>
  <c r="AB75" i="15"/>
  <c r="AB138" i="15" s="1"/>
  <c r="AB66" i="15"/>
  <c r="AB129" i="15" s="1"/>
  <c r="AB77" i="15"/>
  <c r="AB140" i="15" s="1"/>
  <c r="AB45" i="15"/>
  <c r="AB108" i="15" s="1"/>
  <c r="AB72" i="15"/>
  <c r="AB135" i="15" s="1"/>
  <c r="AB46" i="15"/>
  <c r="AB109" i="15" s="1"/>
  <c r="AB56" i="15"/>
  <c r="AB119" i="15" s="1"/>
  <c r="AB61" i="15"/>
  <c r="AB124" i="15" s="1"/>
  <c r="AB48" i="15"/>
  <c r="AB111" i="15" s="1"/>
  <c r="AB70" i="15"/>
  <c r="AB133" i="15" s="1"/>
  <c r="AB49" i="15"/>
  <c r="AB112" i="15" s="1"/>
  <c r="AB64" i="15"/>
  <c r="AB127" i="15" s="1"/>
  <c r="AB57" i="15"/>
  <c r="AB120" i="15" s="1"/>
  <c r="AB68" i="15"/>
  <c r="AB131" i="15" s="1"/>
  <c r="AB63" i="15"/>
  <c r="AB126" i="15" s="1"/>
  <c r="AB76" i="15"/>
  <c r="AB139" i="15" s="1"/>
  <c r="AB39" i="15"/>
  <c r="AB105" i="15" s="1"/>
  <c r="AB51" i="15"/>
  <c r="AB114" i="15" s="1"/>
  <c r="AB58" i="15"/>
  <c r="AB121" i="15" s="1"/>
  <c r="AB65" i="15"/>
  <c r="AB128" i="15" s="1"/>
  <c r="AB67" i="15"/>
  <c r="AB130" i="15" s="1"/>
  <c r="AB59" i="15"/>
  <c r="AB122" i="15" s="1"/>
  <c r="AB44" i="15"/>
  <c r="AB107" i="15" s="1"/>
  <c r="AB62" i="15"/>
  <c r="AB125" i="15" s="1"/>
  <c r="AB73" i="15"/>
  <c r="AB136" i="15" s="1"/>
  <c r="AB60" i="15"/>
  <c r="AB123" i="15" s="1"/>
  <c r="AB71" i="15"/>
  <c r="AB134" i="15" s="1"/>
  <c r="AB47" i="15"/>
  <c r="AB110" i="15" s="1"/>
  <c r="AB50" i="15"/>
  <c r="AB113" i="15" s="1"/>
  <c r="AB43" i="15"/>
  <c r="AB106" i="15" s="1"/>
  <c r="AB54" i="15"/>
  <c r="AB117" i="15" s="1"/>
  <c r="AB52" i="15"/>
  <c r="AB115" i="15" s="1"/>
  <c r="AB69" i="15"/>
  <c r="AB132" i="15" s="1"/>
  <c r="AB55" i="15"/>
  <c r="AB118" i="15" s="1"/>
  <c r="AB53" i="15"/>
  <c r="AB116" i="15" s="1"/>
  <c r="AB74" i="15"/>
  <c r="AB137" i="15" s="1"/>
  <c r="AD38" i="15"/>
  <c r="Z141" i="15"/>
  <c r="R141" i="15"/>
  <c r="V141" i="15"/>
  <c r="N141" i="15"/>
  <c r="AM45" i="8"/>
  <c r="AM43" i="8"/>
  <c r="AM42" i="8"/>
  <c r="AM41" i="8"/>
  <c r="AM44" i="8"/>
  <c r="AM83" i="8"/>
  <c r="AM84" i="8"/>
  <c r="AM85" i="8"/>
  <c r="AM82" i="8"/>
  <c r="AM86" i="8"/>
  <c r="F141" i="15"/>
  <c r="K141" i="15"/>
  <c r="AB141" i="15"/>
  <c r="X141" i="15"/>
  <c r="T141" i="15"/>
  <c r="P141" i="15"/>
  <c r="L141" i="15"/>
  <c r="H141" i="15"/>
  <c r="AA141" i="15"/>
  <c r="W141" i="15"/>
  <c r="S141" i="15"/>
  <c r="O141" i="15"/>
  <c r="J141" i="15"/>
  <c r="G141" i="15"/>
  <c r="Y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B80" i="15"/>
  <c r="AL116" i="8"/>
  <c r="AM126" i="8"/>
  <c r="AM96" i="8"/>
  <c r="AM76" i="8"/>
  <c r="AM66" i="8"/>
  <c r="AM56" i="8"/>
  <c r="AM55" i="8"/>
  <c r="AM53" i="8"/>
  <c r="AM54" i="8"/>
  <c r="AM65" i="8"/>
  <c r="AM63" i="8"/>
  <c r="AM64" i="8"/>
  <c r="AM74" i="8"/>
  <c r="AM73" i="8"/>
  <c r="AM75" i="8"/>
  <c r="AM93" i="8"/>
  <c r="AM95" i="8"/>
  <c r="AM94" i="8"/>
  <c r="AL113" i="8"/>
  <c r="AL114" i="8"/>
  <c r="AM124" i="8"/>
  <c r="AM52" i="8"/>
  <c r="AM62" i="8"/>
  <c r="AM92" i="8"/>
  <c r="AM72" i="8"/>
  <c r="AM125" i="8"/>
  <c r="AM123" i="8"/>
  <c r="AM122" i="8"/>
  <c r="AL102" i="8"/>
  <c r="AL112" i="8"/>
  <c r="AN39" i="8"/>
  <c r="AL115" i="8"/>
  <c r="AN105" i="8" a="1"/>
  <c r="AN46" i="8" a="1"/>
  <c r="AN99" i="8" a="1"/>
  <c r="AN67" i="8" a="1"/>
  <c r="AN68" i="8" a="1"/>
  <c r="AN98" i="8" a="1"/>
  <c r="AN107" i="8" a="1"/>
  <c r="AN48" i="8" a="1"/>
  <c r="AN128" i="8" a="1"/>
  <c r="K60" i="359" a="1"/>
  <c r="O60" i="359" a="1"/>
  <c r="T60" i="359" a="1"/>
  <c r="V60" i="359" a="1"/>
  <c r="AA60" i="359" a="1"/>
  <c r="B60" i="359" a="1"/>
  <c r="F60" i="359" a="1"/>
  <c r="AC51" i="15" a="1"/>
  <c r="AC43" i="15" a="1"/>
  <c r="AC66" i="15" a="1"/>
  <c r="O80" i="15" a="1"/>
  <c r="AN43" i="8" a="1"/>
  <c r="AN54" i="8" a="1"/>
  <c r="M80" i="15" a="1"/>
  <c r="AC45" i="15" a="1"/>
  <c r="F80" i="15" a="1"/>
  <c r="AN84" i="8" a="1"/>
  <c r="AC72" i="15" a="1"/>
  <c r="N80" i="15" a="1"/>
  <c r="AN83" i="8" a="1"/>
  <c r="AC44" i="15" a="1"/>
  <c r="AN53" i="8" a="1"/>
  <c r="AN74" i="8" a="1"/>
  <c r="AC55" i="15" a="1"/>
  <c r="AN76" i="8" a="1"/>
  <c r="G80" i="15" a="1"/>
  <c r="L80" i="15" a="1"/>
  <c r="X80" i="15" a="1"/>
  <c r="AC59" i="15" a="1"/>
  <c r="H80" i="15" a="1"/>
  <c r="AN55" i="8" a="1"/>
  <c r="AC57" i="15" a="1"/>
  <c r="AN106" i="8" a="1"/>
  <c r="AN79" i="8" a="1"/>
  <c r="AN58" i="8" a="1"/>
  <c r="AN100" i="8" a="1"/>
  <c r="AN127" i="8" a="1"/>
  <c r="AN78" i="8" a="1"/>
  <c r="AN57" i="8" a="1"/>
  <c r="AN80" i="8" a="1"/>
  <c r="AN129" i="8" a="1"/>
  <c r="M60" i="359" a="1"/>
  <c r="P60" i="359" a="1"/>
  <c r="Q60" i="359" a="1"/>
  <c r="U60" i="359" a="1"/>
  <c r="Z60" i="359" a="1"/>
  <c r="C60" i="359" a="1"/>
  <c r="G60" i="359" a="1"/>
  <c r="AN75" i="8" a="1"/>
  <c r="AN73" i="8" a="1"/>
  <c r="D80" i="15" a="1"/>
  <c r="AN72" i="8" a="1"/>
  <c r="AC80" i="15" a="1"/>
  <c r="AC60" i="15" a="1"/>
  <c r="R80" i="15" a="1"/>
  <c r="AC68" i="15" a="1"/>
  <c r="AC39" i="15" a="1"/>
  <c r="AC70" i="15" a="1"/>
  <c r="AC71" i="15" a="1"/>
  <c r="T80" i="15" a="1"/>
  <c r="C80" i="15" a="1"/>
  <c r="AC54" i="15" a="1"/>
  <c r="AC69" i="15" a="1"/>
  <c r="J80" i="15" a="1"/>
  <c r="AN41" i="8" a="1"/>
  <c r="AN66" i="8" a="1"/>
  <c r="AN82" i="8" a="1"/>
  <c r="P80" i="15" a="1"/>
  <c r="AN125" i="8" a="1"/>
  <c r="AN85" i="8" a="1"/>
  <c r="AC62" i="15" a="1"/>
  <c r="AN42" i="8" a="1"/>
  <c r="AC48" i="15" a="1"/>
  <c r="AN103" i="8" a="1"/>
  <c r="AN87" i="8" a="1"/>
  <c r="AN69" i="8" a="1"/>
  <c r="AN130" i="8" a="1"/>
  <c r="AN88" i="8" a="1"/>
  <c r="AN70" i="8" a="1"/>
  <c r="AN47" i="8" a="1"/>
  <c r="AN60" i="8" a="1"/>
  <c r="AN49" i="8" a="1"/>
  <c r="L60" i="359" a="1"/>
  <c r="N60" i="359" a="1"/>
  <c r="S60" i="359" a="1"/>
  <c r="Y60" i="359" a="1"/>
  <c r="AB60" i="359" a="1"/>
  <c r="E60" i="359" a="1"/>
  <c r="H60" i="359" a="1"/>
  <c r="AN123" i="8" a="1"/>
  <c r="AD80" i="15" a="1"/>
  <c r="AN86" i="8" a="1"/>
  <c r="AC56" i="15" a="1"/>
  <c r="Z80" i="15" a="1"/>
  <c r="AC73" i="15" a="1"/>
  <c r="AC74" i="15" a="1"/>
  <c r="AC63" i="15" a="1"/>
  <c r="AC50" i="15" a="1"/>
  <c r="Q80" i="15" a="1"/>
  <c r="AN122" i="8" a="1"/>
  <c r="AN94" i="8" a="1"/>
  <c r="I80" i="15" a="1"/>
  <c r="AN96" i="8" a="1"/>
  <c r="AC46" i="15" a="1"/>
  <c r="AN52" i="8" a="1"/>
  <c r="AA80" i="15" a="1"/>
  <c r="AC75" i="15" a="1"/>
  <c r="AN44" i="8" a="1"/>
  <c r="AC67" i="15" a="1"/>
  <c r="AN126" i="8" a="1"/>
  <c r="V80" i="15" a="1"/>
  <c r="AC64" i="15" a="1"/>
  <c r="AN63" i="8" a="1"/>
  <c r="AN65" i="8" a="1"/>
  <c r="K80" i="15" a="1"/>
  <c r="AN104" i="8" a="1"/>
  <c r="AN110" i="8" a="1"/>
  <c r="AN108" i="8" a="1"/>
  <c r="AN89" i="8" a="1"/>
  <c r="AN90" i="8" a="1"/>
  <c r="AN59" i="8" a="1"/>
  <c r="AN97" i="8" a="1"/>
  <c r="AN77" i="8" a="1"/>
  <c r="AN109" i="8" a="1"/>
  <c r="J60" i="359" a="1"/>
  <c r="R60" i="359" a="1"/>
  <c r="W60" i="359" a="1"/>
  <c r="AC60" i="359" a="1"/>
  <c r="X60" i="359" a="1"/>
  <c r="D60" i="359" a="1"/>
  <c r="I60" i="359" a="1"/>
  <c r="AC76" i="15" a="1"/>
  <c r="AN92" i="8" a="1"/>
  <c r="AC53" i="15" a="1"/>
  <c r="AC58" i="15" a="1"/>
  <c r="E80" i="15" a="1"/>
  <c r="U80" i="15" a="1"/>
  <c r="Y80" i="15" a="1"/>
  <c r="AN64" i="8" a="1"/>
  <c r="AN56" i="8" a="1"/>
  <c r="AC78" i="15" a="1"/>
  <c r="AN124" i="8" a="1"/>
  <c r="AC65" i="15" a="1"/>
  <c r="AN45" i="8" a="1"/>
  <c r="AN93" i="8" a="1"/>
  <c r="AN62" i="8" a="1"/>
  <c r="AC61" i="15" a="1"/>
  <c r="AB80" i="15" a="1"/>
  <c r="AC52" i="15" a="1"/>
  <c r="AC77" i="15" a="1"/>
  <c r="AC47" i="15" a="1"/>
  <c r="AC49" i="15" a="1"/>
  <c r="S80" i="15" a="1"/>
  <c r="W80" i="15" a="1"/>
  <c r="AN95" i="8" a="1"/>
  <c r="AM120" i="8" l="1"/>
  <c r="AN109" i="8"/>
  <c r="AN49" i="8"/>
  <c r="AN129" i="8"/>
  <c r="AN128" i="8"/>
  <c r="AN77" i="8"/>
  <c r="AN60" i="8"/>
  <c r="AN80" i="8"/>
  <c r="AN48" i="8"/>
  <c r="AN97" i="8"/>
  <c r="AN47" i="8"/>
  <c r="AN57" i="8"/>
  <c r="AN107" i="8"/>
  <c r="AN59" i="8"/>
  <c r="AN70" i="8"/>
  <c r="AN78" i="8"/>
  <c r="AN98" i="8"/>
  <c r="AN90" i="8"/>
  <c r="AN88" i="8"/>
  <c r="AN127" i="8"/>
  <c r="AN68" i="8"/>
  <c r="AN89" i="8"/>
  <c r="AN130" i="8"/>
  <c r="AN100" i="8"/>
  <c r="AN67" i="8"/>
  <c r="AN108" i="8"/>
  <c r="AN69" i="8"/>
  <c r="AN58" i="8"/>
  <c r="AN99" i="8"/>
  <c r="AN110" i="8"/>
  <c r="AN87" i="8"/>
  <c r="AN79" i="8"/>
  <c r="AN46" i="8"/>
  <c r="AN104" i="8"/>
  <c r="AN103" i="8"/>
  <c r="AN106" i="8"/>
  <c r="AN105" i="8"/>
  <c r="AM119" i="8"/>
  <c r="AM118" i="8"/>
  <c r="AM117" i="8"/>
  <c r="X60" i="359"/>
  <c r="AB60" i="359"/>
  <c r="Z60" i="359"/>
  <c r="AA60" i="359"/>
  <c r="AC60" i="359"/>
  <c r="Y60" i="359"/>
  <c r="U60" i="359"/>
  <c r="V60" i="359"/>
  <c r="W60" i="359"/>
  <c r="S60" i="359"/>
  <c r="Q60" i="359"/>
  <c r="T60" i="359"/>
  <c r="R60" i="359"/>
  <c r="N60" i="359"/>
  <c r="P60" i="359"/>
  <c r="O60" i="359"/>
  <c r="J60" i="359"/>
  <c r="L60" i="359"/>
  <c r="M60" i="359"/>
  <c r="K60" i="359"/>
  <c r="I60" i="359"/>
  <c r="H60" i="359"/>
  <c r="G60" i="359"/>
  <c r="F60" i="359"/>
  <c r="D60" i="359"/>
  <c r="E60" i="359"/>
  <c r="C60" i="359"/>
  <c r="B60" i="359"/>
  <c r="A61" i="359"/>
  <c r="AC73" i="15"/>
  <c r="AC136" i="15" s="1"/>
  <c r="AC48" i="15"/>
  <c r="AC111" i="15" s="1"/>
  <c r="AC52" i="15"/>
  <c r="AC115" i="15" s="1"/>
  <c r="AC65" i="15"/>
  <c r="AC128" i="15" s="1"/>
  <c r="AC60" i="15"/>
  <c r="AC123" i="15" s="1"/>
  <c r="AC57" i="15"/>
  <c r="AC120" i="15" s="1"/>
  <c r="AC75" i="15"/>
  <c r="AC138" i="15" s="1"/>
  <c r="AC71" i="15"/>
  <c r="AC134" i="15" s="1"/>
  <c r="AC58" i="15"/>
  <c r="AC121" i="15" s="1"/>
  <c r="AC64" i="15"/>
  <c r="AC127" i="15" s="1"/>
  <c r="AC55" i="15"/>
  <c r="AC118" i="15" s="1"/>
  <c r="AC72" i="15"/>
  <c r="AC135" i="15" s="1"/>
  <c r="AC56" i="15"/>
  <c r="AC119" i="15" s="1"/>
  <c r="AC62" i="15"/>
  <c r="AC125" i="15" s="1"/>
  <c r="AC61" i="15"/>
  <c r="AC124" i="15" s="1"/>
  <c r="AC78" i="15"/>
  <c r="AC141" i="15" s="1"/>
  <c r="AC70" i="15"/>
  <c r="AC133" i="15" s="1"/>
  <c r="AC53" i="15"/>
  <c r="AC116" i="15" s="1"/>
  <c r="AC59" i="15"/>
  <c r="AC122" i="15" s="1"/>
  <c r="AC46" i="15"/>
  <c r="AC109" i="15" s="1"/>
  <c r="AC50" i="15"/>
  <c r="AC113" i="15" s="1"/>
  <c r="AC66" i="15"/>
  <c r="AC129" i="15" s="1"/>
  <c r="AC49" i="15"/>
  <c r="AC112" i="15" s="1"/>
  <c r="AC69" i="15"/>
  <c r="AC132" i="15" s="1"/>
  <c r="AC39" i="15"/>
  <c r="AC105" i="15" s="1"/>
  <c r="AC63" i="15"/>
  <c r="AC126" i="15" s="1"/>
  <c r="AC43" i="15"/>
  <c r="AC106" i="15" s="1"/>
  <c r="AC47" i="15"/>
  <c r="AC110" i="15" s="1"/>
  <c r="AC54" i="15"/>
  <c r="AC117" i="15" s="1"/>
  <c r="AC68" i="15"/>
  <c r="AC131" i="15" s="1"/>
  <c r="AC76" i="15"/>
  <c r="AC139" i="15" s="1"/>
  <c r="AC67" i="15"/>
  <c r="AC130" i="15" s="1"/>
  <c r="AC44" i="15"/>
  <c r="AC107" i="15" s="1"/>
  <c r="AC45" i="15"/>
  <c r="AC108" i="15" s="1"/>
  <c r="AC74" i="15"/>
  <c r="AC137" i="15" s="1"/>
  <c r="AC51" i="15"/>
  <c r="AC114" i="15" s="1"/>
  <c r="AC77" i="15"/>
  <c r="AC140" i="15" s="1"/>
  <c r="AE38" i="15"/>
  <c r="AN44" i="8"/>
  <c r="AN45" i="8"/>
  <c r="AN43" i="8"/>
  <c r="AN41" i="8"/>
  <c r="AN42" i="8"/>
  <c r="AN83" i="8"/>
  <c r="AN85" i="8"/>
  <c r="AN82" i="8"/>
  <c r="AN86" i="8"/>
  <c r="AN84" i="8"/>
  <c r="Z142" i="15"/>
  <c r="V142" i="15"/>
  <c r="R142" i="15"/>
  <c r="N142" i="15"/>
  <c r="K142" i="15"/>
  <c r="F142" i="15"/>
  <c r="AA142" i="15"/>
  <c r="W142" i="15"/>
  <c r="S142" i="15"/>
  <c r="O142" i="15"/>
  <c r="AC142" i="15"/>
  <c r="Y142" i="15"/>
  <c r="U142" i="15"/>
  <c r="Q142" i="15"/>
  <c r="M142" i="15"/>
  <c r="I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B81" i="15"/>
  <c r="AM116" i="8"/>
  <c r="AN126" i="8"/>
  <c r="AN96" i="8"/>
  <c r="AN76" i="8"/>
  <c r="AN66" i="8"/>
  <c r="AN56" i="8"/>
  <c r="AN53" i="8"/>
  <c r="AN55" i="8"/>
  <c r="AN54" i="8"/>
  <c r="AN63" i="8"/>
  <c r="AN65" i="8"/>
  <c r="AN64" i="8"/>
  <c r="AN74" i="8"/>
  <c r="AN73" i="8"/>
  <c r="AN75" i="8"/>
  <c r="AN95" i="8"/>
  <c r="AN93" i="8"/>
  <c r="AN94" i="8"/>
  <c r="AM115" i="8"/>
  <c r="AN124" i="8"/>
  <c r="AN52" i="8"/>
  <c r="AN62" i="8"/>
  <c r="AN92" i="8"/>
  <c r="AN72" i="8"/>
  <c r="AN125" i="8"/>
  <c r="AN123" i="8"/>
  <c r="AN122" i="8"/>
  <c r="AM113" i="8"/>
  <c r="AM102" i="8"/>
  <c r="AM112" i="8"/>
  <c r="AO39" i="8"/>
  <c r="AM114" i="8"/>
  <c r="AO106" i="8" a="1"/>
  <c r="AO108" i="8" a="1"/>
  <c r="AO46" i="8" a="1"/>
  <c r="AO110" i="8" a="1"/>
  <c r="AO67" i="8" a="1"/>
  <c r="AO70" i="8" a="1"/>
  <c r="AO48" i="8" a="1"/>
  <c r="AO77" i="8" a="1"/>
  <c r="AO109" i="8" a="1"/>
  <c r="M61" i="359" a="1"/>
  <c r="N61" i="359" a="1"/>
  <c r="T61" i="359" a="1"/>
  <c r="W61" i="359" a="1"/>
  <c r="AA61" i="359" a="1"/>
  <c r="C61" i="359" a="1"/>
  <c r="G61" i="359" a="1"/>
  <c r="R81" i="15" a="1"/>
  <c r="G81" i="15" a="1"/>
  <c r="AD77" i="15" a="1"/>
  <c r="AB81" i="15" a="1"/>
  <c r="V81" i="15" a="1"/>
  <c r="AD72" i="15" a="1"/>
  <c r="AD48" i="15" a="1"/>
  <c r="AO84" i="8" a="1"/>
  <c r="AO62" i="8" a="1"/>
  <c r="J81" i="15" a="1"/>
  <c r="AO94" i="8" a="1"/>
  <c r="AO72" i="8" a="1"/>
  <c r="AD49" i="15" a="1"/>
  <c r="AO86" i="8" a="1"/>
  <c r="H81" i="15" a="1"/>
  <c r="AD71" i="15" a="1"/>
  <c r="AO126" i="8" a="1"/>
  <c r="D81" i="15" a="1"/>
  <c r="P81" i="15" a="1"/>
  <c r="AD74" i="15" a="1"/>
  <c r="AO54" i="8" a="1"/>
  <c r="C81" i="15" a="1"/>
  <c r="AD64" i="15" a="1"/>
  <c r="AO53" i="8" a="1"/>
  <c r="AO75" i="8" a="1"/>
  <c r="S81" i="15" a="1"/>
  <c r="AO103" i="8" a="1"/>
  <c r="AO90" i="8" a="1"/>
  <c r="AO79" i="8" a="1"/>
  <c r="AO127" i="8" a="1"/>
  <c r="AO100" i="8" a="1"/>
  <c r="AO47" i="8" a="1"/>
  <c r="AO59" i="8" a="1"/>
  <c r="AO78" i="8" a="1"/>
  <c r="AO49" i="8" a="1"/>
  <c r="J61" i="359" a="1"/>
  <c r="P61" i="359" a="1"/>
  <c r="Q61" i="359" a="1"/>
  <c r="Y61" i="359" a="1"/>
  <c r="Z61" i="359" a="1"/>
  <c r="D61" i="359" a="1"/>
  <c r="H61" i="359" a="1"/>
  <c r="AD79" i="15" a="1"/>
  <c r="N81" i="15" a="1"/>
  <c r="L81" i="15" a="1"/>
  <c r="AC81" i="15" a="1"/>
  <c r="AO45" i="8" a="1"/>
  <c r="AE81" i="15" a="1"/>
  <c r="AD43" i="15" a="1"/>
  <c r="Q81" i="15" a="1"/>
  <c r="AO41" i="8" a="1"/>
  <c r="AD58" i="15" a="1"/>
  <c r="Y81" i="15" a="1"/>
  <c r="AD55" i="15" a="1"/>
  <c r="AD44" i="15" a="1"/>
  <c r="AO124" i="8" a="1"/>
  <c r="AO42" i="8" a="1"/>
  <c r="AD45" i="15" a="1"/>
  <c r="AO95" i="8" a="1"/>
  <c r="E81" i="15" a="1"/>
  <c r="AD53" i="15" a="1"/>
  <c r="AD66" i="15" a="1"/>
  <c r="X81" i="15" a="1"/>
  <c r="AD68" i="15" a="1"/>
  <c r="AD52" i="15" a="1"/>
  <c r="AO76" i="8" a="1"/>
  <c r="AA81" i="15" a="1"/>
  <c r="AO104" i="8" a="1"/>
  <c r="AO89" i="8" a="1"/>
  <c r="AO69" i="8" a="1"/>
  <c r="AO87" i="8" a="1"/>
  <c r="AO97" i="8" a="1"/>
  <c r="AO98" i="8" a="1"/>
  <c r="AO107" i="8" a="1"/>
  <c r="AO57" i="8" a="1"/>
  <c r="AO60" i="8" a="1"/>
  <c r="L61" i="359" a="1"/>
  <c r="S61" i="359" a="1"/>
  <c r="V61" i="359" a="1"/>
  <c r="AB61" i="359" a="1"/>
  <c r="X61" i="359" a="1"/>
  <c r="E61" i="359" a="1"/>
  <c r="I61" i="359" a="1"/>
  <c r="AD76" i="15" a="1"/>
  <c r="AO73" i="8" a="1"/>
  <c r="O81" i="15" a="1"/>
  <c r="AD65" i="15" a="1"/>
  <c r="AO85" i="8" a="1"/>
  <c r="AO93" i="8" a="1"/>
  <c r="F81" i="15" a="1"/>
  <c r="AD62" i="15" a="1"/>
  <c r="AD63" i="15" a="1"/>
  <c r="AD61" i="15" a="1"/>
  <c r="AO123" i="8" a="1"/>
  <c r="AO65" i="8" a="1"/>
  <c r="AO125" i="8" a="1"/>
  <c r="AD60" i="15" a="1"/>
  <c r="AD70" i="15" a="1"/>
  <c r="AD73" i="15" a="1"/>
  <c r="AO66" i="8" a="1"/>
  <c r="K81" i="15" a="1"/>
  <c r="AO92" i="8" a="1"/>
  <c r="AO52" i="8" a="1"/>
  <c r="AD69" i="15" a="1"/>
  <c r="AD75" i="15" a="1"/>
  <c r="AD50" i="15" a="1"/>
  <c r="AD46" i="15" a="1"/>
  <c r="AO82" i="8" a="1"/>
  <c r="AO105" i="8" a="1"/>
  <c r="AO88" i="8" a="1"/>
  <c r="AO68" i="8" a="1"/>
  <c r="AO130" i="8" a="1"/>
  <c r="AO58" i="8" a="1"/>
  <c r="AO129" i="8" a="1"/>
  <c r="AO128" i="8" a="1"/>
  <c r="AO99" i="8" a="1"/>
  <c r="AO80" i="8" a="1"/>
  <c r="K61" i="359" a="1"/>
  <c r="O61" i="359" a="1"/>
  <c r="R61" i="359" a="1"/>
  <c r="U61" i="359" a="1"/>
  <c r="AC61" i="359" a="1"/>
  <c r="B61" i="359" a="1"/>
  <c r="F61" i="359" a="1"/>
  <c r="AD56" i="15" a="1"/>
  <c r="W81" i="15" a="1"/>
  <c r="Z81" i="15" a="1"/>
  <c r="AD51" i="15" a="1"/>
  <c r="AD39" i="15" a="1"/>
  <c r="AO64" i="8" a="1"/>
  <c r="AD81" i="15" a="1"/>
  <c r="AO63" i="8" a="1"/>
  <c r="AD57" i="15" a="1"/>
  <c r="AO55" i="8" a="1"/>
  <c r="AO83" i="8" a="1"/>
  <c r="AD67" i="15" a="1"/>
  <c r="I81" i="15" a="1"/>
  <c r="AO56" i="8" a="1"/>
  <c r="AO74" i="8" a="1"/>
  <c r="U81" i="15" a="1"/>
  <c r="AO44" i="8" a="1"/>
  <c r="AD54" i="15" a="1"/>
  <c r="AD47" i="15" a="1"/>
  <c r="AD78" i="15" a="1"/>
  <c r="T81" i="15" a="1"/>
  <c r="AO43" i="8" a="1"/>
  <c r="AO122" i="8" a="1"/>
  <c r="AO96" i="8" a="1"/>
  <c r="AD59" i="15" a="1"/>
  <c r="M81" i="15" a="1"/>
  <c r="AN118" i="8" l="1"/>
  <c r="AN117" i="8"/>
  <c r="AO60" i="8"/>
  <c r="AO49" i="8"/>
  <c r="AO109" i="8"/>
  <c r="AO80" i="8"/>
  <c r="AO57" i="8"/>
  <c r="AO78" i="8"/>
  <c r="AO77" i="8"/>
  <c r="AO99" i="8"/>
  <c r="AO107" i="8"/>
  <c r="AO59" i="8"/>
  <c r="AO48" i="8"/>
  <c r="AO128" i="8"/>
  <c r="AO98" i="8"/>
  <c r="AO47" i="8"/>
  <c r="AO70" i="8"/>
  <c r="AO129" i="8"/>
  <c r="AO97" i="8"/>
  <c r="AO100" i="8"/>
  <c r="AO67" i="8"/>
  <c r="AO58" i="8"/>
  <c r="AO87" i="8"/>
  <c r="AO127" i="8"/>
  <c r="AO110" i="8"/>
  <c r="AO130" i="8"/>
  <c r="AO69" i="8"/>
  <c r="AO79" i="8"/>
  <c r="AO46" i="8"/>
  <c r="AO68" i="8"/>
  <c r="AO89" i="8"/>
  <c r="AO90" i="8"/>
  <c r="AO108" i="8"/>
  <c r="AO88" i="8"/>
  <c r="AO104" i="8"/>
  <c r="AO103" i="8"/>
  <c r="AO106" i="8"/>
  <c r="AO105" i="8"/>
  <c r="AN119" i="8"/>
  <c r="AN120" i="8"/>
  <c r="X61" i="359"/>
  <c r="Z61" i="359"/>
  <c r="AA61" i="359"/>
  <c r="AC61" i="359"/>
  <c r="AB61" i="359"/>
  <c r="Y61" i="359"/>
  <c r="W61" i="359"/>
  <c r="U61" i="359"/>
  <c r="V61" i="359"/>
  <c r="Q61" i="359"/>
  <c r="T61" i="359"/>
  <c r="R61" i="359"/>
  <c r="S61" i="359"/>
  <c r="P61" i="359"/>
  <c r="N61" i="359"/>
  <c r="O61" i="359"/>
  <c r="L61" i="359"/>
  <c r="J61" i="359"/>
  <c r="M61" i="359"/>
  <c r="K61" i="359"/>
  <c r="I61" i="359"/>
  <c r="H61" i="359"/>
  <c r="G61" i="359"/>
  <c r="F61" i="359"/>
  <c r="E61" i="359"/>
  <c r="D61" i="359"/>
  <c r="C61" i="359"/>
  <c r="B61" i="359"/>
  <c r="A62" i="359"/>
  <c r="AD47" i="15"/>
  <c r="AD110" i="15" s="1"/>
  <c r="AD59" i="15"/>
  <c r="AD122" i="15" s="1"/>
  <c r="AD54" i="15"/>
  <c r="AD117" i="15" s="1"/>
  <c r="AD67" i="15"/>
  <c r="AD130" i="15" s="1"/>
  <c r="AD72" i="15"/>
  <c r="AD135" i="15" s="1"/>
  <c r="AD46" i="15"/>
  <c r="AD109" i="15" s="1"/>
  <c r="AD50" i="15"/>
  <c r="AD113" i="15" s="1"/>
  <c r="AD73" i="15"/>
  <c r="AD136" i="15" s="1"/>
  <c r="AD61" i="15"/>
  <c r="AD124" i="15" s="1"/>
  <c r="AD39" i="15"/>
  <c r="AD105" i="15" s="1"/>
  <c r="AD52" i="15"/>
  <c r="AD115" i="15" s="1"/>
  <c r="AD45" i="15"/>
  <c r="AD108" i="15" s="1"/>
  <c r="AD58" i="15"/>
  <c r="AD121" i="15" s="1"/>
  <c r="AD65" i="15"/>
  <c r="AD128" i="15" s="1"/>
  <c r="AD64" i="15"/>
  <c r="AD127" i="15" s="1"/>
  <c r="AD71" i="15"/>
  <c r="AD134" i="15" s="1"/>
  <c r="AD75" i="15"/>
  <c r="AD138" i="15" s="1"/>
  <c r="AD70" i="15"/>
  <c r="AD133" i="15" s="1"/>
  <c r="AD63" i="15"/>
  <c r="AD126" i="15" s="1"/>
  <c r="AD51" i="15"/>
  <c r="AD114" i="15" s="1"/>
  <c r="AD68" i="15"/>
  <c r="AD131" i="15" s="1"/>
  <c r="AD57" i="15"/>
  <c r="AD120" i="15" s="1"/>
  <c r="AD77" i="15"/>
  <c r="AD140" i="15" s="1"/>
  <c r="AD69" i="15"/>
  <c r="AD132" i="15" s="1"/>
  <c r="AD60" i="15"/>
  <c r="AD123" i="15" s="1"/>
  <c r="AD62" i="15"/>
  <c r="AD125" i="15" s="1"/>
  <c r="AD66" i="15"/>
  <c r="AD129" i="15" s="1"/>
  <c r="AD44" i="15"/>
  <c r="AD107" i="15" s="1"/>
  <c r="AD43" i="15"/>
  <c r="AD106" i="15" s="1"/>
  <c r="AD76" i="15"/>
  <c r="AD139" i="15" s="1"/>
  <c r="AD74" i="15"/>
  <c r="AD137" i="15" s="1"/>
  <c r="AD49" i="15"/>
  <c r="AD112" i="15" s="1"/>
  <c r="AD48" i="15"/>
  <c r="AD111" i="15" s="1"/>
  <c r="AD79" i="15"/>
  <c r="AD142" i="15" s="1"/>
  <c r="AD78" i="15"/>
  <c r="AD141" i="15" s="1"/>
  <c r="AD56" i="15"/>
  <c r="AD119" i="15" s="1"/>
  <c r="AD53" i="15"/>
  <c r="AD116" i="15" s="1"/>
  <c r="AD55" i="15"/>
  <c r="AD118" i="15" s="1"/>
  <c r="AF38" i="15"/>
  <c r="AO43" i="8"/>
  <c r="AO41" i="8"/>
  <c r="AO42" i="8"/>
  <c r="AO45" i="8"/>
  <c r="AO44" i="8"/>
  <c r="AO83" i="8"/>
  <c r="AO84" i="8"/>
  <c r="AO85" i="8"/>
  <c r="AO82" i="8"/>
  <c r="AO86" i="8"/>
  <c r="AD143" i="15"/>
  <c r="Z143" i="15"/>
  <c r="V143" i="15"/>
  <c r="R143" i="15"/>
  <c r="N143" i="15"/>
  <c r="F143" i="15"/>
  <c r="J143" i="15"/>
  <c r="AC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A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B82" i="15"/>
  <c r="AO126" i="8"/>
  <c r="AO96" i="8"/>
  <c r="AO76" i="8"/>
  <c r="AO66" i="8"/>
  <c r="AO56" i="8"/>
  <c r="AN116" i="8"/>
  <c r="AO55" i="8"/>
  <c r="AO54" i="8"/>
  <c r="AO53" i="8"/>
  <c r="AO65" i="8"/>
  <c r="AO64" i="8"/>
  <c r="AO63" i="8"/>
  <c r="AO73" i="8"/>
  <c r="AO74" i="8"/>
  <c r="AO75" i="8"/>
  <c r="AO93" i="8"/>
  <c r="AO94" i="8"/>
  <c r="AO95" i="8"/>
  <c r="AN113" i="8"/>
  <c r="AO124" i="8"/>
  <c r="AO52" i="8"/>
  <c r="AO62" i="8"/>
  <c r="AO92" i="8"/>
  <c r="AO72" i="8"/>
  <c r="AO125" i="8"/>
  <c r="AO123" i="8"/>
  <c r="AO122" i="8"/>
  <c r="AN115" i="8"/>
  <c r="AN112" i="8"/>
  <c r="AN102" i="8"/>
  <c r="AP39" i="8"/>
  <c r="AN114" i="8"/>
  <c r="AP103" i="8" a="1"/>
  <c r="AP58" i="8" a="1"/>
  <c r="AP130" i="8" a="1"/>
  <c r="AP127" i="8" a="1"/>
  <c r="AP67" i="8" a="1"/>
  <c r="AP99" i="8" a="1"/>
  <c r="AP70" i="8" a="1"/>
  <c r="AP77" i="8" a="1"/>
  <c r="AP80" i="8" a="1"/>
  <c r="K62" i="359" a="1"/>
  <c r="O62" i="359" a="1"/>
  <c r="R62" i="359" a="1"/>
  <c r="Y62" i="359" a="1"/>
  <c r="Z62" i="359" a="1"/>
  <c r="E62" i="359" a="1"/>
  <c r="H62" i="359" a="1"/>
  <c r="W82" i="15" a="1"/>
  <c r="AP43" i="8" a="1"/>
  <c r="P82" i="15" a="1"/>
  <c r="AP65" i="8" a="1"/>
  <c r="X82" i="15" a="1"/>
  <c r="AE62" i="15" a="1"/>
  <c r="AE43" i="15" a="1"/>
  <c r="AE51" i="15" a="1"/>
  <c r="AP94" i="8" a="1"/>
  <c r="AE76" i="15" a="1"/>
  <c r="AP76" i="8" a="1"/>
  <c r="AP41" i="8" a="1"/>
  <c r="R82" i="15" a="1"/>
  <c r="AP74" i="8" a="1"/>
  <c r="AF82" i="15" a="1"/>
  <c r="AE72" i="15" a="1"/>
  <c r="AP84" i="8" a="1"/>
  <c r="AP55" i="8" a="1"/>
  <c r="AE57" i="15" a="1"/>
  <c r="AE50" i="15" a="1"/>
  <c r="AE53" i="15" a="1"/>
  <c r="AP75" i="8" a="1"/>
  <c r="AE59" i="15" a="1"/>
  <c r="J82" i="15" a="1"/>
  <c r="AP45" i="8" a="1"/>
  <c r="T82" i="15" a="1"/>
  <c r="AP104" i="8" a="1"/>
  <c r="AP88" i="8" a="1"/>
  <c r="AP89" i="8" a="1"/>
  <c r="AP87" i="8" a="1"/>
  <c r="AP128" i="8" a="1"/>
  <c r="AP98" i="8" a="1"/>
  <c r="AP107" i="8" a="1"/>
  <c r="AP48" i="8" a="1"/>
  <c r="AP49" i="8" a="1"/>
  <c r="M62" i="359" a="1"/>
  <c r="S62" i="359" a="1"/>
  <c r="W62" i="359" a="1"/>
  <c r="AC62" i="359" a="1"/>
  <c r="X62" i="359" a="1"/>
  <c r="D62" i="359" a="1"/>
  <c r="I62" i="359" a="1"/>
  <c r="AE54" i="15" a="1"/>
  <c r="AE70" i="15" a="1"/>
  <c r="L82" i="15" a="1"/>
  <c r="AE82" i="15" a="1"/>
  <c r="O82" i="15" a="1"/>
  <c r="AP66" i="8" a="1"/>
  <c r="AP82" i="8" a="1"/>
  <c r="Q82" i="15" a="1"/>
  <c r="AE52" i="15" a="1"/>
  <c r="AE75" i="15" a="1"/>
  <c r="AE67" i="15" a="1"/>
  <c r="AE63" i="15" a="1"/>
  <c r="AE49" i="15" a="1"/>
  <c r="AP86" i="8" a="1"/>
  <c r="AP56" i="8" a="1"/>
  <c r="AP123" i="8" a="1"/>
  <c r="H82" i="15" a="1"/>
  <c r="AP96" i="8" a="1"/>
  <c r="D82" i="15" a="1"/>
  <c r="N82" i="15" a="1"/>
  <c r="AP62" i="8" a="1"/>
  <c r="AE78" i="15" a="1"/>
  <c r="AE45" i="15" a="1"/>
  <c r="AP52" i="8" a="1"/>
  <c r="S82" i="15" a="1"/>
  <c r="AP64" i="8" a="1"/>
  <c r="AP105" i="8" a="1"/>
  <c r="AP46" i="8" a="1"/>
  <c r="AP100" i="8" a="1"/>
  <c r="AP68" i="8" a="1"/>
  <c r="AP69" i="8" a="1"/>
  <c r="AP97" i="8" a="1"/>
  <c r="AP78" i="8" a="1"/>
  <c r="AP47" i="8" a="1"/>
  <c r="AP109" i="8" a="1"/>
  <c r="L62" i="359" a="1"/>
  <c r="P62" i="359" a="1"/>
  <c r="Q62" i="359" a="1"/>
  <c r="V62" i="359" a="1"/>
  <c r="AB62" i="359" a="1"/>
  <c r="B62" i="359" a="1"/>
  <c r="F62" i="359" a="1"/>
  <c r="AE68" i="15" a="1"/>
  <c r="AE61" i="15" a="1"/>
  <c r="AE73" i="15" a="1"/>
  <c r="AB82" i="15" a="1"/>
  <c r="AE55" i="15" a="1"/>
  <c r="E82" i="15" a="1"/>
  <c r="AE80" i="15" a="1"/>
  <c r="AE79" i="15" a="1"/>
  <c r="AP44" i="8" a="1"/>
  <c r="M82" i="15" a="1"/>
  <c r="AP122" i="8" a="1"/>
  <c r="AE69" i="15" a="1"/>
  <c r="AE66" i="15" a="1"/>
  <c r="AE44" i="15" a="1"/>
  <c r="AP92" i="8" a="1"/>
  <c r="AE39" i="15" a="1"/>
  <c r="AP72" i="8" a="1"/>
  <c r="AP73" i="8" a="1"/>
  <c r="AD82" i="15" a="1"/>
  <c r="AP83" i="8" a="1"/>
  <c r="C82" i="15" a="1"/>
  <c r="AP85" i="8" a="1"/>
  <c r="Y82" i="15" a="1"/>
  <c r="AE64" i="15" a="1"/>
  <c r="AP42" i="8" a="1"/>
  <c r="V82" i="15" a="1"/>
  <c r="AP106" i="8" a="1"/>
  <c r="AP79" i="8" a="1"/>
  <c r="AP108" i="8" a="1"/>
  <c r="AP110" i="8" a="1"/>
  <c r="AP90" i="8" a="1"/>
  <c r="AP57" i="8" a="1"/>
  <c r="AP129" i="8" a="1"/>
  <c r="AP59" i="8" a="1"/>
  <c r="AP60" i="8" a="1"/>
  <c r="J62" i="359" a="1"/>
  <c r="N62" i="359" a="1"/>
  <c r="T62" i="359" a="1"/>
  <c r="U62" i="359" a="1"/>
  <c r="AA62" i="359" a="1"/>
  <c r="C62" i="359" a="1"/>
  <c r="G62" i="359" a="1"/>
  <c r="AP54" i="8" a="1"/>
  <c r="G82" i="15" a="1"/>
  <c r="U82" i="15" a="1"/>
  <c r="AE74" i="15" a="1"/>
  <c r="AE71" i="15" a="1"/>
  <c r="AE60" i="15" a="1"/>
  <c r="AE56" i="15" a="1"/>
  <c r="AE77" i="15" a="1"/>
  <c r="AP125" i="8" a="1"/>
  <c r="AP95" i="8" a="1"/>
  <c r="AP63" i="8" a="1"/>
  <c r="I82" i="15" a="1"/>
  <c r="AP93" i="8" a="1"/>
  <c r="AE47" i="15" a="1"/>
  <c r="Z82" i="15" a="1"/>
  <c r="AE46" i="15" a="1"/>
  <c r="K82" i="15" a="1"/>
  <c r="AP53" i="8" a="1"/>
  <c r="AC82" i="15" a="1"/>
  <c r="AE48" i="15" a="1"/>
  <c r="AE58" i="15" a="1"/>
  <c r="AP124" i="8" a="1"/>
  <c r="AP126" i="8" a="1"/>
  <c r="AA82" i="15" a="1"/>
  <c r="F82" i="15" a="1"/>
  <c r="AE65" i="15" a="1"/>
  <c r="AO119" i="8" l="1"/>
  <c r="AO118" i="8"/>
  <c r="AP49" i="8"/>
  <c r="AP80" i="8"/>
  <c r="AP60" i="8"/>
  <c r="AP109" i="8"/>
  <c r="AP48" i="8"/>
  <c r="AP77" i="8"/>
  <c r="AP59" i="8"/>
  <c r="AP47" i="8"/>
  <c r="AP107" i="8"/>
  <c r="AP70" i="8"/>
  <c r="AP129" i="8"/>
  <c r="AP78" i="8"/>
  <c r="AP98" i="8"/>
  <c r="AP99" i="8"/>
  <c r="AP57" i="8"/>
  <c r="AP97" i="8"/>
  <c r="AP128" i="8"/>
  <c r="AP67" i="8"/>
  <c r="AP90" i="8"/>
  <c r="AP69" i="8"/>
  <c r="AP87" i="8"/>
  <c r="AP127" i="8"/>
  <c r="AP110" i="8"/>
  <c r="AP68" i="8"/>
  <c r="AP89" i="8"/>
  <c r="AP130" i="8"/>
  <c r="AP108" i="8"/>
  <c r="AP100" i="8"/>
  <c r="AP88" i="8"/>
  <c r="AP58" i="8"/>
  <c r="AP79" i="8"/>
  <c r="AP46" i="8"/>
  <c r="AP104" i="8"/>
  <c r="AP103" i="8"/>
  <c r="AP106" i="8"/>
  <c r="AP105" i="8"/>
  <c r="AO120" i="8"/>
  <c r="AO117" i="8"/>
  <c r="X62" i="359"/>
  <c r="Z62" i="359"/>
  <c r="AA62" i="359"/>
  <c r="AB62" i="359"/>
  <c r="AC62" i="359"/>
  <c r="Y62" i="359"/>
  <c r="U62" i="359"/>
  <c r="V62" i="359"/>
  <c r="W62" i="359"/>
  <c r="R62" i="359"/>
  <c r="T62" i="359"/>
  <c r="Q62" i="359"/>
  <c r="S62" i="359"/>
  <c r="O62" i="359"/>
  <c r="N62" i="359"/>
  <c r="P62" i="359"/>
  <c r="M62" i="359"/>
  <c r="K62" i="359"/>
  <c r="J62" i="359"/>
  <c r="L62" i="359"/>
  <c r="I62" i="359"/>
  <c r="H62" i="359"/>
  <c r="G62" i="359"/>
  <c r="F62" i="359"/>
  <c r="D62" i="359"/>
  <c r="E62" i="359"/>
  <c r="C62" i="359"/>
  <c r="B62" i="359"/>
  <c r="A63" i="359"/>
  <c r="AE67" i="15"/>
  <c r="AE130" i="15" s="1"/>
  <c r="AE65" i="15"/>
  <c r="AE128" i="15" s="1"/>
  <c r="AE64" i="15"/>
  <c r="AE127" i="15" s="1"/>
  <c r="AE72" i="15"/>
  <c r="AE135" i="15" s="1"/>
  <c r="AE75" i="15"/>
  <c r="AE138" i="15" s="1"/>
  <c r="AE71" i="15"/>
  <c r="AE134" i="15" s="1"/>
  <c r="AE45" i="15"/>
  <c r="AE108" i="15" s="1"/>
  <c r="AE46" i="15"/>
  <c r="AE109" i="15" s="1"/>
  <c r="AE76" i="15"/>
  <c r="AE139" i="15" s="1"/>
  <c r="AE55" i="15"/>
  <c r="AE118" i="15" s="1"/>
  <c r="AE59" i="15"/>
  <c r="AE122" i="15" s="1"/>
  <c r="AE39" i="15"/>
  <c r="AE105" i="15" s="1"/>
  <c r="AE52" i="15"/>
  <c r="AE115" i="15" s="1"/>
  <c r="AE74" i="15"/>
  <c r="AE137" i="15" s="1"/>
  <c r="AE78" i="15"/>
  <c r="AE141" i="15" s="1"/>
  <c r="AE47" i="15"/>
  <c r="AE110" i="15" s="1"/>
  <c r="AE51" i="15"/>
  <c r="AE114" i="15" s="1"/>
  <c r="AE73" i="15"/>
  <c r="AE136" i="15" s="1"/>
  <c r="AE53" i="15"/>
  <c r="AE116" i="15" s="1"/>
  <c r="AE44" i="15"/>
  <c r="AE107" i="15" s="1"/>
  <c r="AE77" i="15"/>
  <c r="AE140" i="15" s="1"/>
  <c r="AE70" i="15"/>
  <c r="AE133" i="15" s="1"/>
  <c r="AE58" i="15"/>
  <c r="AE121" i="15" s="1"/>
  <c r="AE49" i="15"/>
  <c r="AE112" i="15" s="1"/>
  <c r="AE79" i="15"/>
  <c r="AE142" i="15" s="1"/>
  <c r="AE43" i="15"/>
  <c r="AE106" i="15" s="1"/>
  <c r="AE61" i="15"/>
  <c r="AE124" i="15" s="1"/>
  <c r="AE50" i="15"/>
  <c r="AE113" i="15" s="1"/>
  <c r="AE66" i="15"/>
  <c r="AE129" i="15" s="1"/>
  <c r="AE56" i="15"/>
  <c r="AE119" i="15" s="1"/>
  <c r="AE54" i="15"/>
  <c r="AE117" i="15" s="1"/>
  <c r="AE48" i="15"/>
  <c r="AE111" i="15" s="1"/>
  <c r="AE63" i="15"/>
  <c r="AE126" i="15" s="1"/>
  <c r="AE80" i="15"/>
  <c r="AE143" i="15" s="1"/>
  <c r="AE62" i="15"/>
  <c r="AE125" i="15" s="1"/>
  <c r="AE68" i="15"/>
  <c r="AE131" i="15" s="1"/>
  <c r="AE57" i="15"/>
  <c r="AE120" i="15" s="1"/>
  <c r="AE69" i="15"/>
  <c r="AE132" i="15" s="1"/>
  <c r="AE60" i="15"/>
  <c r="AE123" i="15" s="1"/>
  <c r="AG38" i="15"/>
  <c r="AP45" i="8"/>
  <c r="AP43" i="8"/>
  <c r="AP41" i="8"/>
  <c r="AP42" i="8"/>
  <c r="AP44" i="8"/>
  <c r="AP83" i="8"/>
  <c r="AP82" i="8"/>
  <c r="AP85" i="8"/>
  <c r="AP84" i="8"/>
  <c r="AP86" i="8"/>
  <c r="Z144" i="15"/>
  <c r="R144" i="15"/>
  <c r="K144" i="15"/>
  <c r="AD144" i="15"/>
  <c r="V144" i="15"/>
  <c r="N144" i="15"/>
  <c r="F144" i="15"/>
  <c r="Y144" i="15"/>
  <c r="Q144" i="15"/>
  <c r="I144" i="15"/>
  <c r="AC144" i="15"/>
  <c r="X144" i="15"/>
  <c r="T144" i="15"/>
  <c r="P144" i="15"/>
  <c r="L144" i="15"/>
  <c r="H144" i="15"/>
  <c r="AB144" i="15"/>
  <c r="U144" i="15"/>
  <c r="M144" i="15"/>
  <c r="E144" i="15"/>
  <c r="A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B83" i="15"/>
  <c r="AO116" i="8"/>
  <c r="AP126" i="8"/>
  <c r="AP96" i="8"/>
  <c r="AP76" i="8"/>
  <c r="AP66" i="8"/>
  <c r="AP56" i="8"/>
  <c r="AP55" i="8"/>
  <c r="AP54" i="8"/>
  <c r="AP53" i="8"/>
  <c r="AP63" i="8"/>
  <c r="AP65" i="8"/>
  <c r="AP64" i="8"/>
  <c r="AP73" i="8"/>
  <c r="AP75" i="8"/>
  <c r="AP74" i="8"/>
  <c r="AP94" i="8"/>
  <c r="AP95" i="8"/>
  <c r="AP93" i="8"/>
  <c r="AO113" i="8"/>
  <c r="AP124" i="8"/>
  <c r="AP52" i="8"/>
  <c r="AP62" i="8"/>
  <c r="AP92" i="8"/>
  <c r="AP72" i="8"/>
  <c r="AP125" i="8"/>
  <c r="AP123" i="8"/>
  <c r="AP122" i="8"/>
  <c r="AO112" i="8"/>
  <c r="AO102" i="8"/>
  <c r="AO114" i="8"/>
  <c r="AQ39" i="8"/>
  <c r="AO115" i="8"/>
  <c r="AQ104" i="8" a="1"/>
  <c r="AQ88" i="8" a="1"/>
  <c r="AQ67" i="8" a="1"/>
  <c r="AQ90" i="8" a="1"/>
  <c r="AQ97" i="8" a="1"/>
  <c r="AQ99" i="8" a="1"/>
  <c r="AQ78" i="8" a="1"/>
  <c r="AQ59" i="8" a="1"/>
  <c r="AQ60" i="8" a="1"/>
  <c r="J63" i="359" a="1"/>
  <c r="T63" i="359" a="1"/>
  <c r="V63" i="359" a="1"/>
  <c r="AA63" i="359" a="1"/>
  <c r="X63" i="359" a="1"/>
  <c r="D63" i="359" a="1"/>
  <c r="I63" i="359" a="1"/>
  <c r="AQ64" i="8" a="1"/>
  <c r="AQ42" i="8" a="1"/>
  <c r="AF39" i="15" a="1"/>
  <c r="X83" i="15" a="1"/>
  <c r="S83" i="15" a="1"/>
  <c r="AF69" i="15" a="1"/>
  <c r="AF54" i="15" a="1"/>
  <c r="E83" i="15" a="1"/>
  <c r="AF50" i="15" a="1"/>
  <c r="AD83" i="15" a="1"/>
  <c r="AF52" i="15" a="1"/>
  <c r="Z83" i="15" a="1"/>
  <c r="D83" i="15" a="1"/>
  <c r="AF70" i="15" a="1"/>
  <c r="AQ72" i="8" a="1"/>
  <c r="AQ126" i="8" a="1"/>
  <c r="I83" i="15" a="1"/>
  <c r="AF76" i="15" a="1"/>
  <c r="AQ41" i="8" a="1"/>
  <c r="L83" i="15" a="1"/>
  <c r="J83" i="15" a="1"/>
  <c r="U83" i="15" a="1"/>
  <c r="AF62" i="15" a="1"/>
  <c r="AF81" i="15" a="1"/>
  <c r="AQ66" i="8" a="1"/>
  <c r="AA83" i="15" a="1"/>
  <c r="AF80" i="15" a="1"/>
  <c r="AQ105" i="8" a="1"/>
  <c r="AQ46" i="8" a="1"/>
  <c r="AQ100" i="8" a="1"/>
  <c r="AQ130" i="8" a="1"/>
  <c r="AQ127" i="8" a="1"/>
  <c r="AQ129" i="8" a="1"/>
  <c r="AQ77" i="8" a="1"/>
  <c r="AQ107" i="8" a="1"/>
  <c r="AQ109" i="8" a="1"/>
  <c r="L63" i="359" a="1"/>
  <c r="P63" i="359" a="1"/>
  <c r="Q63" i="359" a="1"/>
  <c r="W63" i="359" a="1"/>
  <c r="Z63" i="359" a="1"/>
  <c r="B63" i="359" a="1"/>
  <c r="F63" i="359" a="1"/>
  <c r="AF43" i="15" a="1"/>
  <c r="AQ84" i="8" a="1"/>
  <c r="AQ63" i="8" a="1"/>
  <c r="AQ75" i="8" a="1"/>
  <c r="AF45" i="15" a="1"/>
  <c r="T83" i="15" a="1"/>
  <c r="AQ93" i="8" a="1"/>
  <c r="AF72" i="15" a="1"/>
  <c r="F83" i="15" a="1"/>
  <c r="AQ76" i="8" a="1"/>
  <c r="H83" i="15" a="1"/>
  <c r="AF64" i="15" a="1"/>
  <c r="W83" i="15" a="1"/>
  <c r="AF78" i="15" a="1"/>
  <c r="AC83" i="15" a="1"/>
  <c r="AQ74" i="8" a="1"/>
  <c r="AF68" i="15" a="1"/>
  <c r="AF57" i="15" a="1"/>
  <c r="AQ124" i="8" a="1"/>
  <c r="AF46" i="15" a="1"/>
  <c r="AF67" i="15" a="1"/>
  <c r="AQ96" i="8" a="1"/>
  <c r="AQ44" i="8" a="1"/>
  <c r="AQ54" i="8" a="1"/>
  <c r="AF51" i="15" a="1"/>
  <c r="AQ62" i="8" a="1"/>
  <c r="AQ106" i="8" a="1"/>
  <c r="AQ87" i="8" a="1"/>
  <c r="AQ68" i="8" a="1"/>
  <c r="AQ79" i="8" a="1"/>
  <c r="AQ89" i="8" a="1"/>
  <c r="AQ70" i="8" a="1"/>
  <c r="AQ48" i="8" a="1"/>
  <c r="AQ47" i="8" a="1"/>
  <c r="AQ49" i="8" a="1"/>
  <c r="M63" i="359" a="1"/>
  <c r="O63" i="359" a="1"/>
  <c r="S63" i="359" a="1"/>
  <c r="U63" i="359" a="1"/>
  <c r="Y63" i="359" a="1"/>
  <c r="C63" i="359" a="1"/>
  <c r="G63" i="359" a="1"/>
  <c r="AF55" i="15" a="1"/>
  <c r="AQ95" i="8" a="1"/>
  <c r="AQ65" i="8" a="1"/>
  <c r="V83" i="15" a="1"/>
  <c r="AF79" i="15" a="1"/>
  <c r="Y83" i="15" a="1"/>
  <c r="AF66" i="15" a="1"/>
  <c r="AF74" i="15" a="1"/>
  <c r="AQ86" i="8" a="1"/>
  <c r="AF60" i="15" a="1"/>
  <c r="P83" i="15" a="1"/>
  <c r="AQ53" i="8" a="1"/>
  <c r="AF56" i="15" a="1"/>
  <c r="K83" i="15" a="1"/>
  <c r="AQ52" i="8" a="1"/>
  <c r="G83" i="15" a="1"/>
  <c r="AF61" i="15" a="1"/>
  <c r="AF83" i="15" a="1"/>
  <c r="C83" i="15" a="1"/>
  <c r="AF53" i="15" a="1"/>
  <c r="AF73" i="15" a="1"/>
  <c r="AQ85" i="8" a="1"/>
  <c r="AF44" i="15" a="1"/>
  <c r="O83" i="15" a="1"/>
  <c r="AF71" i="15" a="1"/>
  <c r="R83" i="15" a="1"/>
  <c r="AQ43" i="8" a="1"/>
  <c r="AQ103" i="8" a="1"/>
  <c r="AQ58" i="8" a="1"/>
  <c r="AQ69" i="8" a="1"/>
  <c r="AQ108" i="8" a="1"/>
  <c r="AQ110" i="8" a="1"/>
  <c r="AQ57" i="8" a="1"/>
  <c r="AQ128" i="8" a="1"/>
  <c r="AQ98" i="8" a="1"/>
  <c r="AQ80" i="8" a="1"/>
  <c r="K63" i="359" a="1"/>
  <c r="N63" i="359" a="1"/>
  <c r="R63" i="359" a="1"/>
  <c r="AB63" i="359" a="1"/>
  <c r="AC63" i="359" a="1"/>
  <c r="E63" i="359" a="1"/>
  <c r="H63" i="359" a="1"/>
  <c r="AF48" i="15" a="1"/>
  <c r="AQ55" i="8" a="1"/>
  <c r="AF49" i="15" a="1"/>
  <c r="AQ56" i="8" a="1"/>
  <c r="AF47" i="15" a="1"/>
  <c r="AQ123" i="8" a="1"/>
  <c r="M83" i="15" a="1"/>
  <c r="AQ94" i="8" a="1"/>
  <c r="AG83" i="15" a="1"/>
  <c r="AF77" i="15" a="1"/>
  <c r="N83" i="15" a="1"/>
  <c r="Q83" i="15" a="1"/>
  <c r="AF75" i="15" a="1"/>
  <c r="AF63" i="15" a="1"/>
  <c r="AB83" i="15" a="1"/>
  <c r="AQ92" i="8" a="1"/>
  <c r="AQ125" i="8" a="1"/>
  <c r="AF59" i="15" a="1"/>
  <c r="AQ73" i="8" a="1"/>
  <c r="AQ83" i="8" a="1"/>
  <c r="AE83" i="15" a="1"/>
  <c r="AQ122" i="8" a="1"/>
  <c r="AF58" i="15" a="1"/>
  <c r="AQ45" i="8" a="1"/>
  <c r="AQ82" i="8" a="1"/>
  <c r="AF65" i="15" a="1"/>
  <c r="AQ60" i="8" l="1"/>
  <c r="AQ80" i="8"/>
  <c r="AQ49" i="8"/>
  <c r="AQ109" i="8"/>
  <c r="AQ59" i="8"/>
  <c r="AQ98" i="8"/>
  <c r="AQ47" i="8"/>
  <c r="AQ107" i="8"/>
  <c r="AQ78" i="8"/>
  <c r="AQ128" i="8"/>
  <c r="AQ48" i="8"/>
  <c r="AQ77" i="8"/>
  <c r="AQ99" i="8"/>
  <c r="AQ57" i="8"/>
  <c r="AQ70" i="8"/>
  <c r="AQ129" i="8"/>
  <c r="AQ97" i="8"/>
  <c r="AQ110" i="8"/>
  <c r="AQ89" i="8"/>
  <c r="AQ127" i="8"/>
  <c r="AQ90" i="8"/>
  <c r="AQ108" i="8"/>
  <c r="AQ79" i="8"/>
  <c r="AQ130" i="8"/>
  <c r="AQ67" i="8"/>
  <c r="AQ69" i="8"/>
  <c r="AQ68" i="8"/>
  <c r="AQ100" i="8"/>
  <c r="AQ88" i="8"/>
  <c r="AQ58" i="8"/>
  <c r="AQ87" i="8"/>
  <c r="AQ46" i="8"/>
  <c r="AQ104" i="8"/>
  <c r="AQ103" i="8"/>
  <c r="AQ106" i="8"/>
  <c r="AQ105" i="8"/>
  <c r="AP117" i="8"/>
  <c r="AP118" i="8"/>
  <c r="AP120" i="8"/>
  <c r="AP119" i="8"/>
  <c r="X63" i="359"/>
  <c r="AC63" i="359"/>
  <c r="Y63" i="359"/>
  <c r="Z63" i="359"/>
  <c r="AA63" i="359"/>
  <c r="AB63" i="359"/>
  <c r="U63" i="359"/>
  <c r="W63" i="359"/>
  <c r="V63" i="359"/>
  <c r="R63" i="359"/>
  <c r="S63" i="359"/>
  <c r="Q63" i="359"/>
  <c r="T63" i="359"/>
  <c r="N63" i="359"/>
  <c r="O63" i="359"/>
  <c r="P63" i="359"/>
  <c r="J63" i="359"/>
  <c r="K63" i="359"/>
  <c r="M63" i="359"/>
  <c r="L63" i="359"/>
  <c r="I63" i="359"/>
  <c r="H63" i="359"/>
  <c r="G63" i="359"/>
  <c r="F63" i="359"/>
  <c r="D63" i="359"/>
  <c r="E63" i="359"/>
  <c r="C63" i="359"/>
  <c r="B63" i="359"/>
  <c r="A64" i="359"/>
  <c r="AF78" i="15"/>
  <c r="AF141" i="15" s="1"/>
  <c r="AF66" i="15"/>
  <c r="AF129" i="15" s="1"/>
  <c r="AF80" i="15"/>
  <c r="AF143" i="15" s="1"/>
  <c r="AF53" i="15"/>
  <c r="AF116" i="15" s="1"/>
  <c r="AF75" i="15"/>
  <c r="AF138" i="15" s="1"/>
  <c r="AF69" i="15"/>
  <c r="AF132" i="15" s="1"/>
  <c r="AF65" i="15"/>
  <c r="AF128" i="15" s="1"/>
  <c r="AF46" i="15"/>
  <c r="AF109" i="15" s="1"/>
  <c r="AF56" i="15"/>
  <c r="AF119" i="15" s="1"/>
  <c r="AF47" i="15"/>
  <c r="AF110" i="15" s="1"/>
  <c r="AF71" i="15"/>
  <c r="AF134" i="15" s="1"/>
  <c r="AF76" i="15"/>
  <c r="AF139" i="15" s="1"/>
  <c r="AF64" i="15"/>
  <c r="AF127" i="15" s="1"/>
  <c r="AF79" i="15"/>
  <c r="AF142" i="15" s="1"/>
  <c r="AF51" i="15"/>
  <c r="AF114" i="15" s="1"/>
  <c r="AF59" i="15"/>
  <c r="AF122" i="15" s="1"/>
  <c r="AF52" i="15"/>
  <c r="AF115" i="15" s="1"/>
  <c r="AF45" i="15"/>
  <c r="AF108" i="15" s="1"/>
  <c r="AF81" i="15"/>
  <c r="AF144" i="15" s="1"/>
  <c r="AF57" i="15"/>
  <c r="AF120" i="15" s="1"/>
  <c r="AF62" i="15"/>
  <c r="AF125" i="15" s="1"/>
  <c r="AF61" i="15"/>
  <c r="AF124" i="15" s="1"/>
  <c r="AF77" i="15"/>
  <c r="AF140" i="15" s="1"/>
  <c r="AF39" i="15"/>
  <c r="AF105" i="15" s="1"/>
  <c r="AF58" i="15"/>
  <c r="AF121" i="15" s="1"/>
  <c r="AF68" i="15"/>
  <c r="AF131" i="15" s="1"/>
  <c r="AF60" i="15"/>
  <c r="AF123" i="15" s="1"/>
  <c r="AF49" i="15"/>
  <c r="AF112" i="15" s="1"/>
  <c r="AF44" i="15"/>
  <c r="AF107" i="15" s="1"/>
  <c r="AF50" i="15"/>
  <c r="AF113" i="15" s="1"/>
  <c r="AF74" i="15"/>
  <c r="AF137" i="15" s="1"/>
  <c r="AF48" i="15"/>
  <c r="AF111" i="15" s="1"/>
  <c r="AF73" i="15"/>
  <c r="AF136" i="15" s="1"/>
  <c r="AF70" i="15"/>
  <c r="AF133" i="15" s="1"/>
  <c r="AF72" i="15"/>
  <c r="AF135" i="15" s="1"/>
  <c r="AF55" i="15"/>
  <c r="AF118" i="15" s="1"/>
  <c r="AF67" i="15"/>
  <c r="AF130" i="15" s="1"/>
  <c r="AF63" i="15"/>
  <c r="AF126" i="15" s="1"/>
  <c r="AF54" i="15"/>
  <c r="AF117" i="15" s="1"/>
  <c r="AF43" i="15"/>
  <c r="AF106" i="15" s="1"/>
  <c r="AH38" i="15"/>
  <c r="Z145" i="15"/>
  <c r="AD145" i="15"/>
  <c r="V145" i="15"/>
  <c r="R145" i="15"/>
  <c r="N145" i="15"/>
  <c r="J145" i="15"/>
  <c r="AQ44" i="8"/>
  <c r="AQ41" i="8"/>
  <c r="AQ43" i="8"/>
  <c r="AQ42" i="8"/>
  <c r="AQ45" i="8"/>
  <c r="AQ86" i="8"/>
  <c r="AQ85" i="8"/>
  <c r="AQ83" i="8"/>
  <c r="AQ84" i="8"/>
  <c r="AQ82" i="8"/>
  <c r="F145" i="15"/>
  <c r="AF145" i="15"/>
  <c r="AB145" i="15"/>
  <c r="X145" i="15"/>
  <c r="T145" i="15"/>
  <c r="P145" i="15"/>
  <c r="L145" i="15"/>
  <c r="H145" i="15"/>
  <c r="AC145" i="15"/>
  <c r="Y145" i="15"/>
  <c r="U145" i="15"/>
  <c r="Q145" i="15"/>
  <c r="M145" i="15"/>
  <c r="I145" i="15"/>
  <c r="E145" i="15"/>
  <c r="A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B84" i="15"/>
  <c r="AQ126" i="8"/>
  <c r="AQ96" i="8"/>
  <c r="AQ76" i="8"/>
  <c r="AQ66" i="8"/>
  <c r="AQ56" i="8"/>
  <c r="AP116" i="8"/>
  <c r="AQ54" i="8"/>
  <c r="AQ55" i="8"/>
  <c r="AQ53" i="8"/>
  <c r="AQ63" i="8"/>
  <c r="AQ65" i="8"/>
  <c r="AQ64" i="8"/>
  <c r="AQ73" i="8"/>
  <c r="AQ74" i="8"/>
  <c r="AQ75" i="8"/>
  <c r="AQ94" i="8"/>
  <c r="AQ93" i="8"/>
  <c r="AQ95" i="8"/>
  <c r="AP115" i="8"/>
  <c r="AP114" i="8"/>
  <c r="AQ124" i="8"/>
  <c r="AQ52" i="8"/>
  <c r="AQ62" i="8"/>
  <c r="AQ92" i="8"/>
  <c r="AQ72" i="8"/>
  <c r="AQ125" i="8"/>
  <c r="AQ123" i="8"/>
  <c r="AQ122" i="8"/>
  <c r="AP112" i="8"/>
  <c r="AP102" i="8"/>
  <c r="AR39" i="8"/>
  <c r="AP113" i="8"/>
  <c r="AR105" i="8" a="1"/>
  <c r="AR46" i="8" a="1"/>
  <c r="AR130" i="8" a="1"/>
  <c r="AR89" i="8" a="1"/>
  <c r="AR100" i="8" a="1"/>
  <c r="AR128" i="8" a="1"/>
  <c r="AR107" i="8" a="1"/>
  <c r="AR59" i="8" a="1"/>
  <c r="AR78" i="8" a="1"/>
  <c r="L64" i="359" a="1"/>
  <c r="P64" i="359" a="1"/>
  <c r="T64" i="359" a="1"/>
  <c r="U64" i="359" a="1"/>
  <c r="AA64" i="359" a="1"/>
  <c r="B64" i="359" a="1"/>
  <c r="F64" i="359" a="1"/>
  <c r="AG51" i="15" a="1"/>
  <c r="AG64" i="15" a="1"/>
  <c r="AG69" i="15" a="1"/>
  <c r="AR93" i="8" a="1"/>
  <c r="AR53" i="8" a="1"/>
  <c r="AR75" i="8" a="1"/>
  <c r="AG77" i="15" a="1"/>
  <c r="AG73" i="15" a="1"/>
  <c r="AG48" i="15" a="1"/>
  <c r="AR92" i="8" a="1"/>
  <c r="AR123" i="8" a="1"/>
  <c r="AF84" i="15" a="1"/>
  <c r="AG74" i="15" a="1"/>
  <c r="AG75" i="15" a="1"/>
  <c r="AG78" i="15" a="1"/>
  <c r="I84" i="15" a="1"/>
  <c r="D84" i="15" a="1"/>
  <c r="U84" i="15" a="1"/>
  <c r="AG53" i="15" a="1"/>
  <c r="AR74" i="8" a="1"/>
  <c r="AR41" i="8" a="1"/>
  <c r="AG60" i="15" a="1"/>
  <c r="AR94" i="8" a="1"/>
  <c r="AG70" i="15" a="1"/>
  <c r="AG46" i="15" a="1"/>
  <c r="AR95" i="8" a="1"/>
  <c r="L84" i="15" a="1"/>
  <c r="AR106" i="8" a="1"/>
  <c r="AR79" i="8" a="1"/>
  <c r="AR110" i="8" a="1"/>
  <c r="AR87" i="8" a="1"/>
  <c r="AR58" i="8" a="1"/>
  <c r="AR77" i="8" a="1"/>
  <c r="AR57" i="8" a="1"/>
  <c r="AR70" i="8" a="1"/>
  <c r="AR49" i="8" a="1"/>
  <c r="K64" i="359" a="1"/>
  <c r="N64" i="359" a="1"/>
  <c r="Q64" i="359" a="1"/>
  <c r="V64" i="359" a="1"/>
  <c r="Y64" i="359" a="1"/>
  <c r="C64" i="359" a="1"/>
  <c r="G64" i="359" a="1"/>
  <c r="AG81" i="15" a="1"/>
  <c r="AG79" i="15" a="1"/>
  <c r="AG39" i="15" a="1"/>
  <c r="AR84" i="8" a="1"/>
  <c r="AR73" i="8" a="1"/>
  <c r="Z84" i="15" a="1"/>
  <c r="AG63" i="15" a="1"/>
  <c r="AG62" i="15" a="1"/>
  <c r="AG76" i="15" a="1"/>
  <c r="AG84" i="15" a="1"/>
  <c r="AG67" i="15" a="1"/>
  <c r="AR42" i="8" a="1"/>
  <c r="AR83" i="8" a="1"/>
  <c r="AG65" i="15" a="1"/>
  <c r="AG80" i="15" a="1"/>
  <c r="AR125" i="8" a="1"/>
  <c r="AG66" i="15" a="1"/>
  <c r="AR62" i="8" a="1"/>
  <c r="AR85" i="8" a="1"/>
  <c r="AG49" i="15" a="1"/>
  <c r="J84" i="15" a="1"/>
  <c r="AR63" i="8" a="1"/>
  <c r="H84" i="15" a="1"/>
  <c r="M84" i="15" a="1"/>
  <c r="AG47" i="15" a="1"/>
  <c r="S84" i="15" a="1"/>
  <c r="AR72" i="8" a="1"/>
  <c r="AR103" i="8" a="1"/>
  <c r="AR108" i="8" a="1"/>
  <c r="AR127" i="8" a="1"/>
  <c r="AR88" i="8" a="1"/>
  <c r="AR68" i="8" a="1"/>
  <c r="AR48" i="8" a="1"/>
  <c r="AR60" i="8" a="1"/>
  <c r="AR99" i="8" a="1"/>
  <c r="AR80" i="8" a="1"/>
  <c r="J64" i="359" a="1"/>
  <c r="O64" i="359" a="1"/>
  <c r="S64" i="359" a="1"/>
  <c r="AB64" i="359" a="1"/>
  <c r="Z64" i="359" a="1"/>
  <c r="E64" i="359" a="1"/>
  <c r="H64" i="359" a="1"/>
  <c r="AR44" i="8" a="1"/>
  <c r="AG72" i="15" a="1"/>
  <c r="AR86" i="8" a="1"/>
  <c r="AG56" i="15" a="1"/>
  <c r="AG52" i="15" a="1"/>
  <c r="AR43" i="8" a="1"/>
  <c r="X84" i="15" a="1"/>
  <c r="V84" i="15" a="1"/>
  <c r="Y84" i="15" a="1"/>
  <c r="AE84" i="15" a="1"/>
  <c r="AG54" i="15" a="1"/>
  <c r="P84" i="15" a="1"/>
  <c r="F84" i="15" a="1"/>
  <c r="AR124" i="8" a="1"/>
  <c r="AA84" i="15" a="1"/>
  <c r="K84" i="15" a="1"/>
  <c r="AG58" i="15" a="1"/>
  <c r="R84" i="15" a="1"/>
  <c r="AH84" i="15" a="1"/>
  <c r="AG50" i="15" a="1"/>
  <c r="AG61" i="15" a="1"/>
  <c r="AG82" i="15" a="1"/>
  <c r="Q84" i="15" a="1"/>
  <c r="AC84" i="15" a="1"/>
  <c r="AR76" i="8" a="1"/>
  <c r="T84" i="15" a="1"/>
  <c r="AR56" i="8" a="1"/>
  <c r="AR104" i="8" a="1"/>
  <c r="AR90" i="8" a="1"/>
  <c r="AR67" i="8" a="1"/>
  <c r="AR69" i="8" a="1"/>
  <c r="AR47" i="8" a="1"/>
  <c r="AR129" i="8" a="1"/>
  <c r="AR97" i="8" a="1"/>
  <c r="AR98" i="8" a="1"/>
  <c r="AR109" i="8" a="1"/>
  <c r="M64" i="359" a="1"/>
  <c r="R64" i="359" a="1"/>
  <c r="W64" i="359" a="1"/>
  <c r="AC64" i="359" a="1"/>
  <c r="X64" i="359" a="1"/>
  <c r="D64" i="359" a="1"/>
  <c r="I64" i="359" a="1"/>
  <c r="O84" i="15" a="1"/>
  <c r="G84" i="15" a="1"/>
  <c r="AR65" i="8" a="1"/>
  <c r="AR45" i="8" a="1"/>
  <c r="AG68" i="15" a="1"/>
  <c r="AB84" i="15" a="1"/>
  <c r="AR96" i="8" a="1"/>
  <c r="AG55" i="15" a="1"/>
  <c r="AR82" i="8" a="1"/>
  <c r="W84" i="15" a="1"/>
  <c r="AG57" i="15" a="1"/>
  <c r="C84" i="15" a="1"/>
  <c r="AR64" i="8" a="1"/>
  <c r="AG59" i="15" a="1"/>
  <c r="AR66" i="8" a="1"/>
  <c r="E84" i="15" a="1"/>
  <c r="AG45" i="15" a="1"/>
  <c r="AR55" i="8" a="1"/>
  <c r="AD84" i="15" a="1"/>
  <c r="AG43" i="15" a="1"/>
  <c r="AG71" i="15" a="1"/>
  <c r="AG44" i="15" a="1"/>
  <c r="AR52" i="8" a="1"/>
  <c r="AR54" i="8" a="1"/>
  <c r="AR122" i="8" a="1"/>
  <c r="AR126" i="8" a="1"/>
  <c r="N84" i="15" a="1"/>
  <c r="AQ118" i="8" l="1"/>
  <c r="AQ120" i="8"/>
  <c r="AR109" i="8"/>
  <c r="AR80" i="8"/>
  <c r="AR49" i="8"/>
  <c r="AR78" i="8"/>
  <c r="AR98" i="8"/>
  <c r="AR99" i="8"/>
  <c r="AR70" i="8"/>
  <c r="AR59" i="8"/>
  <c r="AR97" i="8"/>
  <c r="AR60" i="8"/>
  <c r="AR57" i="8"/>
  <c r="AR107" i="8"/>
  <c r="AR129" i="8"/>
  <c r="AR48" i="8"/>
  <c r="AR77" i="8"/>
  <c r="AR128" i="8"/>
  <c r="AR47" i="8"/>
  <c r="AR68" i="8"/>
  <c r="AR58" i="8"/>
  <c r="AR100" i="8"/>
  <c r="AR69" i="8"/>
  <c r="AR88" i="8"/>
  <c r="AR87" i="8"/>
  <c r="AR89" i="8"/>
  <c r="AR67" i="8"/>
  <c r="AR127" i="8"/>
  <c r="AR110" i="8"/>
  <c r="AR130" i="8"/>
  <c r="AR90" i="8"/>
  <c r="AR108" i="8"/>
  <c r="AR79" i="8"/>
  <c r="AR46" i="8"/>
  <c r="AR104" i="8"/>
  <c r="AR103" i="8"/>
  <c r="AR106" i="8"/>
  <c r="AR105" i="8"/>
  <c r="AQ117" i="8"/>
  <c r="AQ119" i="8"/>
  <c r="X64" i="359"/>
  <c r="Z64" i="359"/>
  <c r="Y64" i="359"/>
  <c r="AA64" i="359"/>
  <c r="AC64" i="359"/>
  <c r="AB64" i="359"/>
  <c r="V64" i="359"/>
  <c r="U64" i="359"/>
  <c r="W64" i="359"/>
  <c r="S64" i="359"/>
  <c r="Q64" i="359"/>
  <c r="T64" i="359"/>
  <c r="R64" i="359"/>
  <c r="O64" i="359"/>
  <c r="N64" i="359"/>
  <c r="P64" i="359"/>
  <c r="M64" i="359"/>
  <c r="J64" i="359"/>
  <c r="K64" i="359"/>
  <c r="L64" i="359"/>
  <c r="I64" i="359"/>
  <c r="H64" i="359"/>
  <c r="G64" i="359"/>
  <c r="F64" i="359"/>
  <c r="D64" i="359"/>
  <c r="E64" i="359"/>
  <c r="C64" i="359"/>
  <c r="B64" i="359"/>
  <c r="A65" i="359"/>
  <c r="AG53" i="15"/>
  <c r="AG116" i="15" s="1"/>
  <c r="AG49" i="15"/>
  <c r="AG112" i="15" s="1"/>
  <c r="AG45" i="15"/>
  <c r="AG108" i="15" s="1"/>
  <c r="AG57" i="15"/>
  <c r="AG120" i="15" s="1"/>
  <c r="AG68" i="15"/>
  <c r="AG131" i="15" s="1"/>
  <c r="AG47" i="15"/>
  <c r="AG110" i="15" s="1"/>
  <c r="AG58" i="15"/>
  <c r="AG121" i="15" s="1"/>
  <c r="AG54" i="15"/>
  <c r="AG117" i="15" s="1"/>
  <c r="AG52" i="15"/>
  <c r="AG115" i="15" s="1"/>
  <c r="AG46" i="15"/>
  <c r="AG109" i="15" s="1"/>
  <c r="AG66" i="15"/>
  <c r="AG129" i="15" s="1"/>
  <c r="AG67" i="15"/>
  <c r="AG130" i="15" s="1"/>
  <c r="AG56" i="15"/>
  <c r="AG119" i="15" s="1"/>
  <c r="AG70" i="15"/>
  <c r="AG133" i="15" s="1"/>
  <c r="AG80" i="15"/>
  <c r="AG143" i="15" s="1"/>
  <c r="AG76" i="15"/>
  <c r="AG139" i="15" s="1"/>
  <c r="AG39" i="15"/>
  <c r="AG105" i="15" s="1"/>
  <c r="AG44" i="15"/>
  <c r="AG107" i="15" s="1"/>
  <c r="AG78" i="15"/>
  <c r="AG141" i="15" s="1"/>
  <c r="AG48" i="15"/>
  <c r="AG111" i="15" s="1"/>
  <c r="AG69" i="15"/>
  <c r="AG132" i="15" s="1"/>
  <c r="AG82" i="15"/>
  <c r="AG145" i="15" s="1"/>
  <c r="AG59" i="15"/>
  <c r="AG122" i="15" s="1"/>
  <c r="AG55" i="15"/>
  <c r="AG118" i="15" s="1"/>
  <c r="AG72" i="15"/>
  <c r="AG135" i="15" s="1"/>
  <c r="AG60" i="15"/>
  <c r="AG123" i="15" s="1"/>
  <c r="AG65" i="15"/>
  <c r="AG128" i="15" s="1"/>
  <c r="AG62" i="15"/>
  <c r="AG125" i="15" s="1"/>
  <c r="AG79" i="15"/>
  <c r="AG142" i="15" s="1"/>
  <c r="AG71" i="15"/>
  <c r="AG134" i="15" s="1"/>
  <c r="AG75" i="15"/>
  <c r="AG138" i="15" s="1"/>
  <c r="AG73" i="15"/>
  <c r="AG136" i="15" s="1"/>
  <c r="AG64" i="15"/>
  <c r="AG127" i="15" s="1"/>
  <c r="AG61" i="15"/>
  <c r="AG124" i="15" s="1"/>
  <c r="AG63" i="15"/>
  <c r="AG126" i="15" s="1"/>
  <c r="AG81" i="15"/>
  <c r="AG144" i="15" s="1"/>
  <c r="AG43" i="15"/>
  <c r="AG106" i="15" s="1"/>
  <c r="AG74" i="15"/>
  <c r="AG137" i="15" s="1"/>
  <c r="AG77" i="15"/>
  <c r="AG140" i="15" s="1"/>
  <c r="AG51" i="15"/>
  <c r="AG114" i="15" s="1"/>
  <c r="AG50" i="15"/>
  <c r="AG113" i="15" s="1"/>
  <c r="AI38" i="15"/>
  <c r="AR43" i="8"/>
  <c r="AR44" i="8"/>
  <c r="AR41" i="8"/>
  <c r="AR42" i="8"/>
  <c r="AR45" i="8"/>
  <c r="AR83" i="8"/>
  <c r="AR85" i="8"/>
  <c r="AR84" i="8"/>
  <c r="AR82" i="8"/>
  <c r="AR86" i="8"/>
  <c r="Z146" i="15"/>
  <c r="R146" i="15"/>
  <c r="AD146" i="15"/>
  <c r="V146" i="15"/>
  <c r="N146" i="15"/>
  <c r="K146" i="15"/>
  <c r="F146" i="15"/>
  <c r="AG146" i="15"/>
  <c r="Y146" i="15"/>
  <c r="Q146" i="15"/>
  <c r="AF146" i="15"/>
  <c r="AC146" i="15"/>
  <c r="X146" i="15"/>
  <c r="T146" i="15"/>
  <c r="P146" i="15"/>
  <c r="L146" i="15"/>
  <c r="H146" i="15"/>
  <c r="AB146" i="15"/>
  <c r="U146" i="15"/>
  <c r="M146" i="15"/>
  <c r="E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B85" i="15"/>
  <c r="AR126" i="8"/>
  <c r="AR96" i="8"/>
  <c r="AR76" i="8"/>
  <c r="AR66" i="8"/>
  <c r="AR56" i="8"/>
  <c r="AQ116" i="8"/>
  <c r="AR54" i="8"/>
  <c r="AR53" i="8"/>
  <c r="AR55" i="8"/>
  <c r="AR63" i="8"/>
  <c r="AR65" i="8"/>
  <c r="AR64" i="8"/>
  <c r="AR75" i="8"/>
  <c r="AR73" i="8"/>
  <c r="AR74" i="8"/>
  <c r="AR94" i="8"/>
  <c r="AR95" i="8"/>
  <c r="AR93" i="8"/>
  <c r="AQ113" i="8"/>
  <c r="AR124" i="8"/>
  <c r="AR52" i="8"/>
  <c r="AR62" i="8"/>
  <c r="AR92" i="8"/>
  <c r="AR72" i="8"/>
  <c r="AR125" i="8"/>
  <c r="AR123" i="8"/>
  <c r="AR122" i="8"/>
  <c r="AS39" i="8"/>
  <c r="AQ115" i="8"/>
  <c r="AQ102" i="8"/>
  <c r="AQ112" i="8"/>
  <c r="AQ114" i="8"/>
  <c r="AS106" i="8" a="1"/>
  <c r="AS67" i="8" a="1"/>
  <c r="AS108" i="8" a="1"/>
  <c r="AS127" i="8" a="1"/>
  <c r="AS68" i="8" a="1"/>
  <c r="AS57" i="8" a="1"/>
  <c r="AS97" i="8" a="1"/>
  <c r="AS59" i="8" a="1"/>
  <c r="AS49" i="8" a="1"/>
  <c r="J65" i="359" a="1"/>
  <c r="O65" i="359" a="1"/>
  <c r="T65" i="359" a="1"/>
  <c r="V65" i="359" a="1"/>
  <c r="AB65" i="359" a="1"/>
  <c r="C65" i="359" a="1"/>
  <c r="G65" i="359" a="1"/>
  <c r="AS65" i="8" a="1"/>
  <c r="AH56" i="15" a="1"/>
  <c r="AH66" i="15" a="1"/>
  <c r="AH52" i="15" a="1"/>
  <c r="AH46" i="15" a="1"/>
  <c r="AE85" i="15" a="1"/>
  <c r="C85" i="15" a="1"/>
  <c r="AS96" i="8" a="1"/>
  <c r="D85" i="15" a="1"/>
  <c r="J85" i="15" a="1"/>
  <c r="AS53" i="8" a="1"/>
  <c r="AH62" i="15" a="1"/>
  <c r="H85" i="15" a="1"/>
  <c r="AS122" i="8" a="1"/>
  <c r="AS73" i="8" a="1"/>
  <c r="AH85" i="15" a="1"/>
  <c r="AS62" i="8" a="1"/>
  <c r="Y85" i="15" a="1"/>
  <c r="AH68" i="15" a="1"/>
  <c r="AS76" i="8" a="1"/>
  <c r="AS75" i="8" a="1"/>
  <c r="AS55" i="8" a="1"/>
  <c r="AH55" i="15" a="1"/>
  <c r="AH50" i="15" a="1"/>
  <c r="V85" i="15" a="1"/>
  <c r="AS103" i="8" a="1"/>
  <c r="AS130" i="8" a="1"/>
  <c r="AS90" i="8" a="1"/>
  <c r="AS87" i="8" a="1"/>
  <c r="AS77" i="8" a="1"/>
  <c r="AS99" i="8" a="1"/>
  <c r="AS78" i="8" a="1"/>
  <c r="AS129" i="8" a="1"/>
  <c r="AS80" i="8" a="1"/>
  <c r="L65" i="359" a="1"/>
  <c r="P65" i="359" a="1"/>
  <c r="Q65" i="359" a="1"/>
  <c r="AC65" i="359" a="1"/>
  <c r="Z65" i="359" a="1"/>
  <c r="D65" i="359" a="1"/>
  <c r="H65" i="359" a="1"/>
  <c r="AD85" i="15" a="1"/>
  <c r="AA85" i="15" a="1"/>
  <c r="Z85" i="15" a="1"/>
  <c r="AS45" i="8" a="1"/>
  <c r="AH58" i="15" a="1"/>
  <c r="L85" i="15" a="1"/>
  <c r="AC85" i="15" a="1"/>
  <c r="AH51" i="15" a="1"/>
  <c r="AH45" i="15" a="1"/>
  <c r="AS56" i="8" a="1"/>
  <c r="AS84" i="8" a="1"/>
  <c r="AS42" i="8" a="1"/>
  <c r="AS94" i="8" a="1"/>
  <c r="AH60" i="15" a="1"/>
  <c r="AH72" i="15" a="1"/>
  <c r="AH57" i="15" a="1"/>
  <c r="S85" i="15" a="1"/>
  <c r="AF85" i="15" a="1"/>
  <c r="AS41" i="8" a="1"/>
  <c r="AS83" i="8" a="1"/>
  <c r="AH77" i="15" a="1"/>
  <c r="AH59" i="15" a="1"/>
  <c r="AH48" i="15" a="1"/>
  <c r="F85" i="15" a="1"/>
  <c r="U85" i="15" a="1"/>
  <c r="AH47" i="15" a="1"/>
  <c r="AS104" i="8" a="1"/>
  <c r="AS58" i="8" a="1"/>
  <c r="AS110" i="8" a="1"/>
  <c r="AS69" i="8" a="1"/>
  <c r="AS89" i="8" a="1"/>
  <c r="AS47" i="8" a="1"/>
  <c r="AS70" i="8" a="1"/>
  <c r="AS107" i="8" a="1"/>
  <c r="AS60" i="8" a="1"/>
  <c r="M65" i="359" a="1"/>
  <c r="R65" i="359" a="1"/>
  <c r="U65" i="359" a="1"/>
  <c r="AA65" i="359" a="1"/>
  <c r="X65" i="359" a="1"/>
  <c r="E65" i="359" a="1"/>
  <c r="I65" i="359" a="1"/>
  <c r="AH82" i="15" a="1"/>
  <c r="AH79" i="15" a="1"/>
  <c r="T85" i="15" a="1"/>
  <c r="I85" i="15" a="1"/>
  <c r="AH81" i="15" a="1"/>
  <c r="R85" i="15" a="1"/>
  <c r="AH70" i="15" a="1"/>
  <c r="AH74" i="15" a="1"/>
  <c r="AH75" i="15" a="1"/>
  <c r="AS74" i="8" a="1"/>
  <c r="O85" i="15" a="1"/>
  <c r="AS125" i="8" a="1"/>
  <c r="AS126" i="8" a="1"/>
  <c r="AH80" i="15" a="1"/>
  <c r="AH78" i="15" a="1"/>
  <c r="AH53" i="15" a="1"/>
  <c r="G85" i="15" a="1"/>
  <c r="AH49" i="15" a="1"/>
  <c r="P85" i="15" a="1"/>
  <c r="E85" i="15" a="1"/>
  <c r="AH71" i="15" a="1"/>
  <c r="AH39" i="15" a="1"/>
  <c r="AH65" i="15" a="1"/>
  <c r="AS124" i="8" a="1"/>
  <c r="AH54" i="15" a="1"/>
  <c r="AS43" i="8" a="1"/>
  <c r="AS85" i="8" a="1"/>
  <c r="AS93" i="8" a="1"/>
  <c r="AS72" i="8" a="1"/>
  <c r="AS105" i="8" a="1"/>
  <c r="AS79" i="8" a="1"/>
  <c r="AS88" i="8" a="1"/>
  <c r="AS46" i="8" a="1"/>
  <c r="AS100" i="8" a="1"/>
  <c r="AS128" i="8" a="1"/>
  <c r="AS98" i="8" a="1"/>
  <c r="AS48" i="8" a="1"/>
  <c r="AS109" i="8" a="1"/>
  <c r="K65" i="359" a="1"/>
  <c r="N65" i="359" a="1"/>
  <c r="S65" i="359" a="1"/>
  <c r="W65" i="359" a="1"/>
  <c r="Y65" i="359" a="1"/>
  <c r="B65" i="359" a="1"/>
  <c r="F65" i="359" a="1"/>
  <c r="AH43" i="15" a="1"/>
  <c r="AH83" i="15" a="1"/>
  <c r="AH61" i="15" a="1"/>
  <c r="AS63" i="8" a="1"/>
  <c r="AS52" i="8" a="1"/>
  <c r="AS82" i="8" a="1"/>
  <c r="AH63" i="15" a="1"/>
  <c r="AI85" i="15" a="1"/>
  <c r="AH69" i="15" a="1"/>
  <c r="Q85" i="15" a="1"/>
  <c r="AH73" i="15" a="1"/>
  <c r="AH67" i="15" a="1"/>
  <c r="K85" i="15" a="1"/>
  <c r="AS54" i="8" a="1"/>
  <c r="X85" i="15" a="1"/>
  <c r="AH64" i="15" a="1"/>
  <c r="AS86" i="8" a="1"/>
  <c r="N85" i="15" a="1"/>
  <c r="AH76" i="15" a="1"/>
  <c r="AS92" i="8" a="1"/>
  <c r="AG85" i="15" a="1"/>
  <c r="M85" i="15" a="1"/>
  <c r="AS64" i="8" a="1"/>
  <c r="AS66" i="8" a="1"/>
  <c r="AS95" i="8" a="1"/>
  <c r="AH44" i="15" a="1"/>
  <c r="AB85" i="15" a="1"/>
  <c r="AS44" i="8" a="1"/>
  <c r="W85" i="15" a="1"/>
  <c r="AS123" i="8" a="1"/>
  <c r="AR120" i="8" l="1"/>
  <c r="AS60" i="8"/>
  <c r="AS80" i="8"/>
  <c r="AS49" i="8"/>
  <c r="AS109" i="8"/>
  <c r="AS107" i="8"/>
  <c r="AS129" i="8"/>
  <c r="AS59" i="8"/>
  <c r="AS48" i="8"/>
  <c r="AS70" i="8"/>
  <c r="AS78" i="8"/>
  <c r="AS97" i="8"/>
  <c r="AS98" i="8"/>
  <c r="AS47" i="8"/>
  <c r="AS99" i="8"/>
  <c r="AS57" i="8"/>
  <c r="AS128" i="8"/>
  <c r="AS89" i="8"/>
  <c r="AS77" i="8"/>
  <c r="AS68" i="8"/>
  <c r="AS100" i="8"/>
  <c r="AS69" i="8"/>
  <c r="AS87" i="8"/>
  <c r="AS127" i="8"/>
  <c r="AS46" i="8"/>
  <c r="AS110" i="8"/>
  <c r="AS90" i="8"/>
  <c r="AS108" i="8"/>
  <c r="AS88" i="8"/>
  <c r="AS58" i="8"/>
  <c r="AS130" i="8"/>
  <c r="AS67" i="8"/>
  <c r="AS79" i="8"/>
  <c r="AS104" i="8"/>
  <c r="AS103" i="8"/>
  <c r="AS106" i="8"/>
  <c r="AS105" i="8"/>
  <c r="AR118" i="8"/>
  <c r="AR119" i="8"/>
  <c r="AR117" i="8"/>
  <c r="X65" i="359"/>
  <c r="Z65" i="359"/>
  <c r="AB65" i="359"/>
  <c r="Y65" i="359"/>
  <c r="AA65" i="359"/>
  <c r="AC65" i="359"/>
  <c r="V65" i="359"/>
  <c r="W65" i="359"/>
  <c r="U65" i="359"/>
  <c r="Q65" i="359"/>
  <c r="T65" i="359"/>
  <c r="S65" i="359"/>
  <c r="R65" i="359"/>
  <c r="P65" i="359"/>
  <c r="O65" i="359"/>
  <c r="N65" i="359"/>
  <c r="M65" i="359"/>
  <c r="L65" i="359"/>
  <c r="J65" i="359"/>
  <c r="K65" i="359"/>
  <c r="I65" i="359"/>
  <c r="H65" i="359"/>
  <c r="G65" i="359"/>
  <c r="F65" i="359"/>
  <c r="E65" i="359"/>
  <c r="D65" i="359"/>
  <c r="C65" i="359"/>
  <c r="B65" i="359"/>
  <c r="A66" i="359"/>
  <c r="AH63" i="15"/>
  <c r="AH126" i="15" s="1"/>
  <c r="AH47" i="15"/>
  <c r="AH110" i="15" s="1"/>
  <c r="AH81" i="15"/>
  <c r="AH144" i="15" s="1"/>
  <c r="AH50" i="15"/>
  <c r="AH113" i="15" s="1"/>
  <c r="AH68" i="15"/>
  <c r="AH131" i="15" s="1"/>
  <c r="AH62" i="15"/>
  <c r="AH125" i="15" s="1"/>
  <c r="AH58" i="15"/>
  <c r="AH121" i="15" s="1"/>
  <c r="AH44" i="15"/>
  <c r="AH107" i="15" s="1"/>
  <c r="AH76" i="15"/>
  <c r="AH139" i="15" s="1"/>
  <c r="AH67" i="15"/>
  <c r="AH130" i="15" s="1"/>
  <c r="AH46" i="15"/>
  <c r="AH109" i="15" s="1"/>
  <c r="AH54" i="15"/>
  <c r="AH117" i="15" s="1"/>
  <c r="AH49" i="15"/>
  <c r="AH112" i="15" s="1"/>
  <c r="AH73" i="15"/>
  <c r="AH136" i="15" s="1"/>
  <c r="AH52" i="15"/>
  <c r="AH115" i="15" s="1"/>
  <c r="AH66" i="15"/>
  <c r="AH129" i="15" s="1"/>
  <c r="AH65" i="15"/>
  <c r="AH128" i="15" s="1"/>
  <c r="AH53" i="15"/>
  <c r="AH116" i="15" s="1"/>
  <c r="AH75" i="15"/>
  <c r="AH138" i="15" s="1"/>
  <c r="AH61" i="15"/>
  <c r="AH124" i="15" s="1"/>
  <c r="AH48" i="15"/>
  <c r="AH111" i="15" s="1"/>
  <c r="AH57" i="15"/>
  <c r="AH120" i="15" s="1"/>
  <c r="AH45" i="15"/>
  <c r="AH108" i="15" s="1"/>
  <c r="AH79" i="15"/>
  <c r="AH142" i="15" s="1"/>
  <c r="AH55" i="15"/>
  <c r="AH118" i="15" s="1"/>
  <c r="AH64" i="15"/>
  <c r="AH127" i="15" s="1"/>
  <c r="AH69" i="15"/>
  <c r="AH132" i="15" s="1"/>
  <c r="AH56" i="15"/>
  <c r="AH119" i="15" s="1"/>
  <c r="AH39" i="15"/>
  <c r="AH105" i="15" s="1"/>
  <c r="AH78" i="15"/>
  <c r="AH141" i="15" s="1"/>
  <c r="AH74" i="15"/>
  <c r="AH137" i="15" s="1"/>
  <c r="AH83" i="15"/>
  <c r="AH146" i="15" s="1"/>
  <c r="AH59" i="15"/>
  <c r="AH122" i="15" s="1"/>
  <c r="AH72" i="15"/>
  <c r="AH135" i="15" s="1"/>
  <c r="AH51" i="15"/>
  <c r="AH114" i="15" s="1"/>
  <c r="AH82" i="15"/>
  <c r="AH145" i="15" s="1"/>
  <c r="AH71" i="15"/>
  <c r="AH134" i="15" s="1"/>
  <c r="AH80" i="15"/>
  <c r="AH143" i="15" s="1"/>
  <c r="AH70" i="15"/>
  <c r="AH133" i="15" s="1"/>
  <c r="AH43" i="15"/>
  <c r="AH106" i="15" s="1"/>
  <c r="AH77" i="15"/>
  <c r="AH140" i="15" s="1"/>
  <c r="AH60" i="15"/>
  <c r="AH123" i="15" s="1"/>
  <c r="AJ38" i="15"/>
  <c r="AH147" i="15"/>
  <c r="Z147" i="15"/>
  <c r="V147" i="15"/>
  <c r="AD147" i="15"/>
  <c r="R147" i="15"/>
  <c r="AS44" i="8"/>
  <c r="AS45" i="8"/>
  <c r="AS43" i="8"/>
  <c r="AS42" i="8"/>
  <c r="AS41" i="8"/>
  <c r="AS85" i="8"/>
  <c r="AS83" i="8"/>
  <c r="AS84" i="8"/>
  <c r="AS82" i="8"/>
  <c r="AS86" i="8"/>
  <c r="N147" i="15"/>
  <c r="F147" i="15"/>
  <c r="J147" i="15"/>
  <c r="AF147" i="15"/>
  <c r="AC147" i="15"/>
  <c r="X147" i="15"/>
  <c r="T147" i="15"/>
  <c r="P147" i="15"/>
  <c r="L147" i="15"/>
  <c r="H147" i="15"/>
  <c r="AG147" i="15"/>
  <c r="AB147" i="15"/>
  <c r="Y147" i="15"/>
  <c r="U147" i="15"/>
  <c r="Q147" i="15"/>
  <c r="M147" i="15"/>
  <c r="I147" i="15"/>
  <c r="E147" i="15"/>
  <c r="A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B86" i="15"/>
  <c r="AS126" i="8"/>
  <c r="AS96" i="8"/>
  <c r="AS76" i="8"/>
  <c r="AS66" i="8"/>
  <c r="AS56" i="8"/>
  <c r="AR116" i="8"/>
  <c r="AS54" i="8"/>
  <c r="AS53" i="8"/>
  <c r="AS55" i="8"/>
  <c r="AS65" i="8"/>
  <c r="AS64" i="8"/>
  <c r="AS63" i="8"/>
  <c r="AS73" i="8"/>
  <c r="AS74" i="8"/>
  <c r="AS75" i="8"/>
  <c r="AS93" i="8"/>
  <c r="AS94" i="8"/>
  <c r="AS95" i="8"/>
  <c r="AR115" i="8"/>
  <c r="AS124" i="8"/>
  <c r="AS52" i="8"/>
  <c r="AS62" i="8"/>
  <c r="AS92" i="8"/>
  <c r="AS72" i="8"/>
  <c r="AS125" i="8"/>
  <c r="AS123" i="8"/>
  <c r="AS122" i="8"/>
  <c r="AR113" i="8"/>
  <c r="AR102" i="8"/>
  <c r="AR112" i="8"/>
  <c r="AT39" i="8"/>
  <c r="AR114" i="8"/>
  <c r="AT103" i="8" a="1"/>
  <c r="AT87" i="8" a="1"/>
  <c r="AT90" i="8" a="1"/>
  <c r="AT127" i="8" a="1"/>
  <c r="AT130" i="8" a="1"/>
  <c r="AT59" i="8" a="1"/>
  <c r="AT107" i="8" a="1"/>
  <c r="AT48" i="8" a="1"/>
  <c r="AT49" i="8" a="1"/>
  <c r="K66" i="359" a="1"/>
  <c r="O66" i="359" a="1"/>
  <c r="R66" i="359" a="1"/>
  <c r="AB66" i="359" a="1"/>
  <c r="Y66" i="359" a="1"/>
  <c r="D66" i="359" a="1"/>
  <c r="H66" i="359" a="1"/>
  <c r="U86" i="15" a="1"/>
  <c r="AI83" i="15" a="1"/>
  <c r="AT75" i="8" a="1"/>
  <c r="AT44" i="8" a="1"/>
  <c r="AI61" i="15" a="1"/>
  <c r="AT125" i="8" a="1"/>
  <c r="AT76" i="8" a="1"/>
  <c r="AI52" i="15" a="1"/>
  <c r="AT92" i="8" a="1"/>
  <c r="AI55" i="15" a="1"/>
  <c r="AI80" i="15" a="1"/>
  <c r="AT66" i="8" a="1"/>
  <c r="AT45" i="8" a="1"/>
  <c r="AE86" i="15" a="1"/>
  <c r="D86" i="15" a="1"/>
  <c r="AJ86" i="15" a="1"/>
  <c r="AT63" i="8" a="1"/>
  <c r="AT54" i="8" a="1"/>
  <c r="AT62" i="8" a="1"/>
  <c r="N86" i="15" a="1"/>
  <c r="AT64" i="8" a="1"/>
  <c r="Q86" i="15" a="1"/>
  <c r="AT85" i="8" a="1"/>
  <c r="AT82" i="8" a="1"/>
  <c r="AI51" i="15" a="1"/>
  <c r="AD86" i="15" a="1"/>
  <c r="AG86" i="15" a="1"/>
  <c r="AF86" i="15" a="1"/>
  <c r="AT104" i="8" a="1"/>
  <c r="AT58" i="8" a="1"/>
  <c r="AT68" i="8" a="1"/>
  <c r="AT69" i="8" a="1"/>
  <c r="AT77" i="8" a="1"/>
  <c r="AT57" i="8" a="1"/>
  <c r="AT99" i="8" a="1"/>
  <c r="AT78" i="8" a="1"/>
  <c r="AT80" i="8" a="1"/>
  <c r="J66" i="359" a="1"/>
  <c r="T66" i="359" a="1"/>
  <c r="U66" i="359" a="1"/>
  <c r="Z66" i="359" a="1"/>
  <c r="X66" i="359" a="1"/>
  <c r="E66" i="359" a="1"/>
  <c r="I66" i="359" a="1"/>
  <c r="AI53" i="15" a="1"/>
  <c r="AI60" i="15" a="1"/>
  <c r="J86" i="15" a="1"/>
  <c r="AT53" i="8" a="1"/>
  <c r="AI70" i="15" a="1"/>
  <c r="AI39" i="15" a="1"/>
  <c r="AI75" i="15" a="1"/>
  <c r="AI49" i="15" a="1"/>
  <c r="AT55" i="8" a="1"/>
  <c r="AT41" i="8" a="1"/>
  <c r="AI48" i="15" a="1"/>
  <c r="K86" i="15" a="1"/>
  <c r="AI84" i="15" a="1"/>
  <c r="AI44" i="15" a="1"/>
  <c r="M86" i="15" a="1"/>
  <c r="AI65" i="15" a="1"/>
  <c r="AI82" i="15" a="1"/>
  <c r="AT126" i="8" a="1"/>
  <c r="AT124" i="8" a="1"/>
  <c r="AT72" i="8" a="1"/>
  <c r="AI59" i="15" a="1"/>
  <c r="AI50" i="15" a="1"/>
  <c r="E86" i="15" a="1"/>
  <c r="AT84" i="8" a="1"/>
  <c r="AI56" i="15" a="1"/>
  <c r="AT93" i="8" a="1"/>
  <c r="AI86" i="15" a="1"/>
  <c r="AI43" i="15" a="1"/>
  <c r="AT105" i="8" a="1"/>
  <c r="AT46" i="8" a="1"/>
  <c r="AT100" i="8" a="1"/>
  <c r="AT110" i="8" a="1"/>
  <c r="AT108" i="8" a="1"/>
  <c r="AT98" i="8" a="1"/>
  <c r="AT70" i="8" a="1"/>
  <c r="AT47" i="8" a="1"/>
  <c r="AT60" i="8" a="1"/>
  <c r="M66" i="359" a="1"/>
  <c r="P66" i="359" a="1"/>
  <c r="Q66" i="359" a="1"/>
  <c r="V66" i="359" a="1"/>
  <c r="AA66" i="359" a="1"/>
  <c r="B66" i="359" a="1"/>
  <c r="F66" i="359" a="1"/>
  <c r="AI63" i="15" a="1"/>
  <c r="AI72" i="15" a="1"/>
  <c r="AI74" i="15" a="1"/>
  <c r="AT123" i="8" a="1"/>
  <c r="AT74" i="8" a="1"/>
  <c r="AI45" i="15" a="1"/>
  <c r="AI64" i="15" a="1"/>
  <c r="AI57" i="15" a="1"/>
  <c r="AI79" i="15" a="1"/>
  <c r="V86" i="15" a="1"/>
  <c r="AA86" i="15" a="1"/>
  <c r="AT43" i="8" a="1"/>
  <c r="AI46" i="15" a="1"/>
  <c r="AI47" i="15" a="1"/>
  <c r="AI54" i="15" a="1"/>
  <c r="AT56" i="8" a="1"/>
  <c r="AH86" i="15" a="1"/>
  <c r="AI73" i="15" a="1"/>
  <c r="AI62" i="15" a="1"/>
  <c r="AT94" i="8" a="1"/>
  <c r="AI76" i="15" a="1"/>
  <c r="AI67" i="15" a="1"/>
  <c r="AI78" i="15" a="1"/>
  <c r="T86" i="15" a="1"/>
  <c r="AT52" i="8" a="1"/>
  <c r="AI77" i="15" a="1"/>
  <c r="AI58" i="15" a="1"/>
  <c r="AC86" i="15" a="1"/>
  <c r="AT106" i="8" a="1"/>
  <c r="AT79" i="8" a="1"/>
  <c r="AT88" i="8" a="1"/>
  <c r="AT89" i="8" a="1"/>
  <c r="AT67" i="8" a="1"/>
  <c r="AT128" i="8" a="1"/>
  <c r="AT129" i="8" a="1"/>
  <c r="AT97" i="8" a="1"/>
  <c r="AT109" i="8" a="1"/>
  <c r="L66" i="359" a="1"/>
  <c r="N66" i="359" a="1"/>
  <c r="S66" i="359" a="1"/>
  <c r="W66" i="359" a="1"/>
  <c r="AC66" i="359" a="1"/>
  <c r="C66" i="359" a="1"/>
  <c r="G66" i="359" a="1"/>
  <c r="I86" i="15" a="1"/>
  <c r="AI81" i="15" a="1"/>
  <c r="AT95" i="8" a="1"/>
  <c r="W86" i="15" a="1"/>
  <c r="AT73" i="8" a="1"/>
  <c r="AI68" i="15" a="1"/>
  <c r="R86" i="15" a="1"/>
  <c r="P86" i="15" a="1"/>
  <c r="AT42" i="8" a="1"/>
  <c r="AT83" i="8" a="1"/>
  <c r="F86" i="15" a="1"/>
  <c r="Z86" i="15" a="1"/>
  <c r="G86" i="15" a="1"/>
  <c r="AI71" i="15" a="1"/>
  <c r="AI66" i="15" a="1"/>
  <c r="X86" i="15" a="1"/>
  <c r="AT65" i="8" a="1"/>
  <c r="AT96" i="8" a="1"/>
  <c r="AT86" i="8" a="1"/>
  <c r="AB86" i="15" a="1"/>
  <c r="AT122" i="8" a="1"/>
  <c r="AI69" i="15" a="1"/>
  <c r="S86" i="15" a="1"/>
  <c r="H86" i="15" a="1"/>
  <c r="L86" i="15" a="1"/>
  <c r="O86" i="15" a="1"/>
  <c r="Y86" i="15" a="1"/>
  <c r="C86" i="15" a="1"/>
  <c r="AS117" i="8" l="1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AI68" i="15"/>
  <c r="AI131" i="15" s="1"/>
  <c r="AI58" i="15"/>
  <c r="AI121" i="15" s="1"/>
  <c r="AI62" i="15"/>
  <c r="AI125" i="15" s="1"/>
  <c r="AI43" i="15"/>
  <c r="AI106" i="15" s="1"/>
  <c r="AI45" i="15"/>
  <c r="AI108" i="15" s="1"/>
  <c r="AI77" i="15"/>
  <c r="AI140" i="15" s="1"/>
  <c r="AI73" i="15"/>
  <c r="AI136" i="15" s="1"/>
  <c r="AI48" i="15"/>
  <c r="AI111" i="15" s="1"/>
  <c r="AI70" i="15"/>
  <c r="AI133" i="15" s="1"/>
  <c r="AI56" i="15"/>
  <c r="AI119" i="15" s="1"/>
  <c r="AI82" i="15"/>
  <c r="AI145" i="15" s="1"/>
  <c r="AI80" i="15"/>
  <c r="AI143" i="15" s="1"/>
  <c r="AI61" i="15"/>
  <c r="AI124" i="15" s="1"/>
  <c r="AI51" i="15"/>
  <c r="AI114" i="15" s="1"/>
  <c r="AI65" i="15"/>
  <c r="AI128" i="15" s="1"/>
  <c r="AI55" i="15"/>
  <c r="AI118" i="15" s="1"/>
  <c r="AI66" i="15"/>
  <c r="AI129" i="15" s="1"/>
  <c r="AI79" i="15"/>
  <c r="AI142" i="15" s="1"/>
  <c r="AI74" i="15"/>
  <c r="AI137" i="15" s="1"/>
  <c r="AI78" i="15"/>
  <c r="AI141" i="15" s="1"/>
  <c r="AI54" i="15"/>
  <c r="AI117" i="15" s="1"/>
  <c r="AI49" i="15"/>
  <c r="AI112" i="15" s="1"/>
  <c r="AI60" i="15"/>
  <c r="AI123" i="15" s="1"/>
  <c r="AI50" i="15"/>
  <c r="AI113" i="15" s="1"/>
  <c r="AI44" i="15"/>
  <c r="AI107" i="15" s="1"/>
  <c r="AI52" i="15"/>
  <c r="AI115" i="15" s="1"/>
  <c r="AI83" i="15"/>
  <c r="AI146" i="15" s="1"/>
  <c r="AI81" i="15"/>
  <c r="AI144" i="15" s="1"/>
  <c r="AI69" i="15"/>
  <c r="AI132" i="15" s="1"/>
  <c r="AI71" i="15"/>
  <c r="AI134" i="15" s="1"/>
  <c r="AI57" i="15"/>
  <c r="AI120" i="15" s="1"/>
  <c r="AI72" i="15"/>
  <c r="AI135" i="15" s="1"/>
  <c r="AI67" i="15"/>
  <c r="AI130" i="15" s="1"/>
  <c r="AI47" i="15"/>
  <c r="AI110" i="15" s="1"/>
  <c r="AI75" i="15"/>
  <c r="AI138" i="15" s="1"/>
  <c r="AI53" i="15"/>
  <c r="AI116" i="15" s="1"/>
  <c r="AI59" i="15"/>
  <c r="AI122" i="15" s="1"/>
  <c r="AI84" i="15"/>
  <c r="AI147" i="15" s="1"/>
  <c r="AI64" i="15"/>
  <c r="AI127" i="15" s="1"/>
  <c r="AI63" i="15"/>
  <c r="AI126" i="15" s="1"/>
  <c r="AI76" i="15"/>
  <c r="AI139" i="15" s="1"/>
  <c r="AI46" i="15"/>
  <c r="AI109" i="15" s="1"/>
  <c r="AI39" i="15"/>
  <c r="AI105" i="15" s="1"/>
  <c r="AK38" i="15"/>
  <c r="AH148" i="15"/>
  <c r="V148" i="15"/>
  <c r="AD148" i="15"/>
  <c r="Z148" i="15"/>
  <c r="AT41" i="8"/>
  <c r="AT42" i="8"/>
  <c r="AT44" i="8"/>
  <c r="AT45" i="8"/>
  <c r="AT43" i="8"/>
  <c r="AT85" i="8"/>
  <c r="AT83" i="8"/>
  <c r="AT82" i="8"/>
  <c r="AT86" i="8"/>
  <c r="AT84" i="8"/>
  <c r="R148" i="15"/>
  <c r="N148" i="15"/>
  <c r="K148" i="15"/>
  <c r="AF148" i="15"/>
  <c r="AB148" i="15"/>
  <c r="X148" i="15"/>
  <c r="T148" i="15"/>
  <c r="P148" i="15"/>
  <c r="F148" i="15"/>
  <c r="AG148" i="15"/>
  <c r="AC148" i="15"/>
  <c r="Y148" i="15"/>
  <c r="U148" i="15"/>
  <c r="Q148" i="15"/>
  <c r="M148" i="15"/>
  <c r="I148" i="15"/>
  <c r="E148" i="15"/>
  <c r="L148" i="15"/>
  <c r="H148" i="15"/>
  <c r="AI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I86" i="15"/>
  <c r="AJ86" i="15"/>
  <c r="B87" i="15"/>
  <c r="AS116" i="8"/>
  <c r="AT126" i="8"/>
  <c r="AT96" i="8"/>
  <c r="AT76" i="8"/>
  <c r="AT66" i="8"/>
  <c r="AT56" i="8"/>
  <c r="AT53" i="8"/>
  <c r="AT55" i="8"/>
  <c r="AT54" i="8"/>
  <c r="AT65" i="8"/>
  <c r="AT64" i="8"/>
  <c r="AT63" i="8"/>
  <c r="AT73" i="8"/>
  <c r="AT75" i="8"/>
  <c r="AT74" i="8"/>
  <c r="AT95" i="8"/>
  <c r="AT94" i="8"/>
  <c r="AT93" i="8"/>
  <c r="AS113" i="8"/>
  <c r="AT124" i="8"/>
  <c r="AT52" i="8"/>
  <c r="AT62" i="8"/>
  <c r="AT92" i="8"/>
  <c r="AT72" i="8"/>
  <c r="AT125" i="8"/>
  <c r="AT123" i="8"/>
  <c r="AT122" i="8"/>
  <c r="AU39" i="8"/>
  <c r="AS114" i="8"/>
  <c r="AS115" i="8"/>
  <c r="AS102" i="8"/>
  <c r="AS112" i="8"/>
  <c r="AU104" i="8" a="1"/>
  <c r="AU110" i="8" a="1"/>
  <c r="AU68" i="8" a="1"/>
  <c r="AU67" i="8" a="1"/>
  <c r="AU130" i="8" a="1"/>
  <c r="AU97" i="8" a="1"/>
  <c r="AU47" i="8" a="1"/>
  <c r="AU57" i="8" a="1"/>
  <c r="AU80" i="8" a="1"/>
  <c r="J67" i="359" a="1"/>
  <c r="T67" i="359" a="1"/>
  <c r="U67" i="359" a="1"/>
  <c r="Z67" i="359" a="1"/>
  <c r="X67" i="359" a="1"/>
  <c r="D67" i="359" a="1"/>
  <c r="I67" i="359" a="1"/>
  <c r="AI87" i="15" a="1"/>
  <c r="AJ43" i="15" a="1"/>
  <c r="AU53" i="8" a="1"/>
  <c r="H87" i="15" a="1"/>
  <c r="AJ59" i="15" a="1"/>
  <c r="I87" i="15" a="1"/>
  <c r="AJ65" i="15" a="1"/>
  <c r="AJ56" i="15" a="1"/>
  <c r="AU65" i="8" a="1"/>
  <c r="AJ64" i="15" a="1"/>
  <c r="AJ54" i="15" a="1"/>
  <c r="AU44" i="8" a="1"/>
  <c r="AJ47" i="15" a="1"/>
  <c r="AU123" i="8" a="1"/>
  <c r="AB87" i="15" a="1"/>
  <c r="AU124" i="8" a="1"/>
  <c r="C87" i="15" a="1"/>
  <c r="AU52" i="8" a="1"/>
  <c r="AJ66" i="15" a="1"/>
  <c r="AJ39" i="15" a="1"/>
  <c r="AJ80" i="15" a="1"/>
  <c r="AJ71" i="15" a="1"/>
  <c r="AJ67" i="15" a="1"/>
  <c r="AU66" i="8" a="1"/>
  <c r="AU105" i="8" a="1"/>
  <c r="AU79" i="8" a="1"/>
  <c r="AU108" i="8" a="1"/>
  <c r="AU99" i="8" a="1"/>
  <c r="AU87" i="8" a="1"/>
  <c r="AU78" i="8" a="1"/>
  <c r="AU48" i="8" a="1"/>
  <c r="AU98" i="8" a="1"/>
  <c r="AU49" i="8" a="1"/>
  <c r="M67" i="359" a="1"/>
  <c r="P67" i="359" a="1"/>
  <c r="Q67" i="359" a="1"/>
  <c r="W67" i="359" a="1"/>
  <c r="AA67" i="359" a="1"/>
  <c r="B67" i="359" a="1"/>
  <c r="F67" i="359" a="1"/>
  <c r="AJ50" i="15" a="1"/>
  <c r="K87" i="15" a="1"/>
  <c r="S87" i="15" a="1"/>
  <c r="F87" i="15" a="1"/>
  <c r="AU92" i="8" a="1"/>
  <c r="E87" i="15" a="1"/>
  <c r="AU95" i="8" a="1"/>
  <c r="AD87" i="15" a="1"/>
  <c r="AA87" i="15" a="1"/>
  <c r="AH87" i="15" a="1"/>
  <c r="AF87" i="15" a="1"/>
  <c r="AJ74" i="15" a="1"/>
  <c r="AJ58" i="15" a="1"/>
  <c r="AJ85" i="15" a="1"/>
  <c r="AJ46" i="15" a="1"/>
  <c r="AU82" i="8" a="1"/>
  <c r="AJ48" i="15" a="1"/>
  <c r="AJ75" i="15" a="1"/>
  <c r="AU75" i="8" a="1"/>
  <c r="AU94" i="8" a="1"/>
  <c r="R87" i="15" a="1"/>
  <c r="AU56" i="8" a="1"/>
  <c r="AJ62" i="15" a="1"/>
  <c r="X87" i="15" a="1"/>
  <c r="AU64" i="8" a="1"/>
  <c r="AJ55" i="15" a="1"/>
  <c r="G87" i="15" a="1"/>
  <c r="AE87" i="15" a="1"/>
  <c r="P87" i="15" a="1"/>
  <c r="AU84" i="8" a="1"/>
  <c r="AK87" i="15" a="1"/>
  <c r="AJ60" i="15" a="1"/>
  <c r="AU76" i="8" a="1"/>
  <c r="AU106" i="8" a="1"/>
  <c r="AU127" i="8" a="1"/>
  <c r="AU100" i="8" a="1"/>
  <c r="AU46" i="8" a="1"/>
  <c r="AU88" i="8" a="1"/>
  <c r="AU59" i="8" a="1"/>
  <c r="AU129" i="8" a="1"/>
  <c r="AU128" i="8" a="1"/>
  <c r="AU60" i="8" a="1"/>
  <c r="L67" i="359" a="1"/>
  <c r="N67" i="359" a="1"/>
  <c r="S67" i="359" a="1"/>
  <c r="V67" i="359" a="1"/>
  <c r="Y67" i="359" a="1"/>
  <c r="C67" i="359" a="1"/>
  <c r="G67" i="359" a="1"/>
  <c r="AJ45" i="15" a="1"/>
  <c r="AJ52" i="15" a="1"/>
  <c r="AU54" i="8" a="1"/>
  <c r="W87" i="15" a="1"/>
  <c r="AJ63" i="15" a="1"/>
  <c r="AG87" i="15" a="1"/>
  <c r="AJ79" i="15" a="1"/>
  <c r="J87" i="15" a="1"/>
  <c r="AU96" i="8" a="1"/>
  <c r="O87" i="15" a="1"/>
  <c r="AU125" i="8" a="1"/>
  <c r="AU86" i="8" a="1"/>
  <c r="AJ76" i="15" a="1"/>
  <c r="AJ53" i="15" a="1"/>
  <c r="AJ61" i="15" a="1"/>
  <c r="D87" i="15" a="1"/>
  <c r="AJ77" i="15" a="1"/>
  <c r="AJ83" i="15" a="1"/>
  <c r="AU93" i="8" a="1"/>
  <c r="AU126" i="8" a="1"/>
  <c r="AU55" i="8" a="1"/>
  <c r="AU72" i="8" a="1"/>
  <c r="M87" i="15" a="1"/>
  <c r="AU62" i="8" a="1"/>
  <c r="Y87" i="15" a="1"/>
  <c r="AU103" i="8" a="1"/>
  <c r="AU58" i="8" a="1"/>
  <c r="AU89" i="8" a="1"/>
  <c r="AU69" i="8" a="1"/>
  <c r="AU90" i="8" a="1"/>
  <c r="AU107" i="8" a="1"/>
  <c r="AU77" i="8" a="1"/>
  <c r="AU70" i="8" a="1"/>
  <c r="AU109" i="8" a="1"/>
  <c r="K67" i="359" a="1"/>
  <c r="O67" i="359" a="1"/>
  <c r="R67" i="359" a="1"/>
  <c r="AC67" i="359" a="1"/>
  <c r="AB67" i="359" a="1"/>
  <c r="E67" i="359" a="1"/>
  <c r="H67" i="359" a="1"/>
  <c r="AJ72" i="15" a="1"/>
  <c r="AJ81" i="15" a="1"/>
  <c r="AU73" i="8" a="1"/>
  <c r="AJ49" i="15" a="1"/>
  <c r="AJ73" i="15" a="1"/>
  <c r="AU63" i="8" a="1"/>
  <c r="AJ82" i="15" a="1"/>
  <c r="AJ78" i="15" a="1"/>
  <c r="AU45" i="8" a="1"/>
  <c r="AJ84" i="15" a="1"/>
  <c r="AJ68" i="15" a="1"/>
  <c r="N87" i="15" a="1"/>
  <c r="AU122" i="8" a="1"/>
  <c r="AU43" i="8" a="1"/>
  <c r="V87" i="15" a="1"/>
  <c r="AU83" i="8" a="1"/>
  <c r="AJ87" i="15" a="1"/>
  <c r="AJ69" i="15" a="1"/>
  <c r="AJ57" i="15" a="1"/>
  <c r="AU74" i="8" a="1"/>
  <c r="AJ51" i="15" a="1"/>
  <c r="AJ70" i="15" a="1"/>
  <c r="AC87" i="15" a="1"/>
  <c r="AU41" i="8" a="1"/>
  <c r="Q87" i="15" a="1"/>
  <c r="AU85" i="8" a="1"/>
  <c r="U87" i="15" a="1"/>
  <c r="T87" i="15" a="1"/>
  <c r="Z87" i="15" a="1"/>
  <c r="AJ44" i="15" a="1"/>
  <c r="AU42" i="8" a="1"/>
  <c r="L87" i="15" a="1"/>
  <c r="AT120" i="8" l="1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AJ66" i="15"/>
  <c r="AJ129" i="15" s="1"/>
  <c r="AJ76" i="15"/>
  <c r="AJ139" i="15" s="1"/>
  <c r="AJ39" i="15"/>
  <c r="AJ105" i="15" s="1"/>
  <c r="AJ60" i="15"/>
  <c r="AJ123" i="15" s="1"/>
  <c r="AJ57" i="15"/>
  <c r="AJ120" i="15" s="1"/>
  <c r="AJ58" i="15"/>
  <c r="AJ121" i="15" s="1"/>
  <c r="AJ69" i="15"/>
  <c r="AJ132" i="15" s="1"/>
  <c r="AJ74" i="15"/>
  <c r="AJ137" i="15" s="1"/>
  <c r="AJ59" i="15"/>
  <c r="AJ122" i="15" s="1"/>
  <c r="AJ55" i="15"/>
  <c r="AJ118" i="15" s="1"/>
  <c r="AJ83" i="15"/>
  <c r="AJ146" i="15" s="1"/>
  <c r="AJ54" i="15"/>
  <c r="AJ117" i="15" s="1"/>
  <c r="AJ73" i="15"/>
  <c r="AJ136" i="15" s="1"/>
  <c r="AJ44" i="15"/>
  <c r="AJ107" i="15" s="1"/>
  <c r="AJ75" i="15"/>
  <c r="AJ138" i="15" s="1"/>
  <c r="AJ68" i="15"/>
  <c r="AJ131" i="15" s="1"/>
  <c r="AJ63" i="15"/>
  <c r="AJ126" i="15" s="1"/>
  <c r="AJ77" i="15"/>
  <c r="AJ140" i="15" s="1"/>
  <c r="AJ64" i="15"/>
  <c r="AJ127" i="15" s="1"/>
  <c r="AJ49" i="15"/>
  <c r="AJ112" i="15" s="1"/>
  <c r="AJ67" i="15"/>
  <c r="AJ130" i="15" s="1"/>
  <c r="AJ48" i="15"/>
  <c r="AJ111" i="15" s="1"/>
  <c r="AJ84" i="15"/>
  <c r="AJ147" i="15" s="1"/>
  <c r="AJ43" i="15"/>
  <c r="AJ106" i="15" s="1"/>
  <c r="AJ62" i="15"/>
  <c r="AJ125" i="15" s="1"/>
  <c r="AJ61" i="15"/>
  <c r="AJ124" i="15" s="1"/>
  <c r="AJ56" i="15"/>
  <c r="AJ119" i="15" s="1"/>
  <c r="AJ81" i="15"/>
  <c r="AJ144" i="15" s="1"/>
  <c r="AJ71" i="15"/>
  <c r="AJ134" i="15" s="1"/>
  <c r="AJ46" i="15"/>
  <c r="AJ109" i="15" s="1"/>
  <c r="AJ78" i="15"/>
  <c r="AJ141" i="15" s="1"/>
  <c r="AJ52" i="15"/>
  <c r="AJ115" i="15" s="1"/>
  <c r="AJ70" i="15"/>
  <c r="AJ133" i="15" s="1"/>
  <c r="AJ53" i="15"/>
  <c r="AJ116" i="15" s="1"/>
  <c r="AJ65" i="15"/>
  <c r="AJ128" i="15" s="1"/>
  <c r="AJ72" i="15"/>
  <c r="AJ135" i="15" s="1"/>
  <c r="AJ80" i="15"/>
  <c r="AJ143" i="15" s="1"/>
  <c r="AJ85" i="15"/>
  <c r="AJ148" i="15" s="1"/>
  <c r="AJ82" i="15"/>
  <c r="AJ145" i="15" s="1"/>
  <c r="AJ45" i="15"/>
  <c r="AJ108" i="15" s="1"/>
  <c r="AJ51" i="15"/>
  <c r="AJ114" i="15" s="1"/>
  <c r="AJ47" i="15"/>
  <c r="AJ110" i="15" s="1"/>
  <c r="AJ79" i="15"/>
  <c r="AJ142" i="15" s="1"/>
  <c r="AJ50" i="15"/>
  <c r="AJ113" i="15" s="1"/>
  <c r="AL38" i="15"/>
  <c r="AH149" i="15"/>
  <c r="Z149" i="15"/>
  <c r="AD149" i="15"/>
  <c r="V149" i="15"/>
  <c r="R149" i="15"/>
  <c r="N149" i="15"/>
  <c r="AU43" i="8"/>
  <c r="AU42" i="8"/>
  <c r="AU41" i="8"/>
  <c r="AU45" i="8"/>
  <c r="AU44" i="8"/>
  <c r="AU83" i="8"/>
  <c r="AU84" i="8"/>
  <c r="AU82" i="8"/>
  <c r="AU85" i="8"/>
  <c r="AU86" i="8"/>
  <c r="K149" i="15"/>
  <c r="F149" i="15"/>
  <c r="AJ149" i="15"/>
  <c r="AF149" i="15"/>
  <c r="AC149" i="15"/>
  <c r="X149" i="15"/>
  <c r="T149" i="15"/>
  <c r="P149" i="15"/>
  <c r="L149" i="15"/>
  <c r="H149" i="15"/>
  <c r="AG149" i="15"/>
  <c r="AB149" i="15"/>
  <c r="Y149" i="15"/>
  <c r="U149" i="15"/>
  <c r="Q149" i="15"/>
  <c r="M149" i="15"/>
  <c r="I149" i="15"/>
  <c r="E149" i="15"/>
  <c r="AI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AV105" i="8" a="1"/>
  <c r="AV46" i="8" a="1"/>
  <c r="AV99" i="8" a="1"/>
  <c r="AV89" i="8" a="1"/>
  <c r="AV88" i="8" a="1"/>
  <c r="AV110" i="8" a="1"/>
  <c r="AV128" i="8" a="1"/>
  <c r="AV107" i="8" a="1"/>
  <c r="AV60" i="8" a="1"/>
  <c r="K68" i="359" a="1"/>
  <c r="P68" i="359" a="1"/>
  <c r="S68" i="359" a="1"/>
  <c r="U68" i="359" a="1"/>
  <c r="AC68" i="359" a="1"/>
  <c r="B68" i="359" a="1"/>
  <c r="F68" i="359" a="1"/>
  <c r="AK70" i="15" a="1"/>
  <c r="I88" i="15" a="1"/>
  <c r="AJ88" i="15" a="1"/>
  <c r="AV65" i="8" a="1"/>
  <c r="AK39" i="15" a="1"/>
  <c r="AV95" i="8" a="1"/>
  <c r="AK69" i="15" a="1"/>
  <c r="AK64" i="15" a="1"/>
  <c r="AV92" i="8" a="1"/>
  <c r="AH88" i="15" a="1"/>
  <c r="S88" i="15" a="1"/>
  <c r="AK81" i="15" a="1"/>
  <c r="L88" i="15" a="1"/>
  <c r="AK62" i="15" a="1"/>
  <c r="AV66" i="8" a="1"/>
  <c r="AC88" i="15" a="1"/>
  <c r="AD88" i="15" a="1"/>
  <c r="AV123" i="8" a="1"/>
  <c r="AK46" i="15" a="1"/>
  <c r="R88" i="15" a="1"/>
  <c r="AK50" i="15" a="1"/>
  <c r="X88" i="15" a="1"/>
  <c r="AK51" i="15" a="1"/>
  <c r="AV94" i="8" a="1"/>
  <c r="AK43" i="15" a="1"/>
  <c r="AV83" i="8" a="1"/>
  <c r="AV73" i="8" a="1"/>
  <c r="AV106" i="8" a="1"/>
  <c r="AV58" i="8" a="1"/>
  <c r="AV79" i="8" a="1"/>
  <c r="AV68" i="8" a="1"/>
  <c r="AV108" i="8" a="1"/>
  <c r="AV70" i="8" a="1"/>
  <c r="AV78" i="8" a="1"/>
  <c r="AV98" i="8" a="1"/>
  <c r="AV109" i="8" a="1"/>
  <c r="M68" i="359" a="1"/>
  <c r="O68" i="359" a="1"/>
  <c r="T68" i="359" a="1"/>
  <c r="W68" i="359" a="1"/>
  <c r="AA68" i="359" a="1"/>
  <c r="C68" i="359" a="1"/>
  <c r="G68" i="359" a="1"/>
  <c r="AK56" i="15" a="1"/>
  <c r="AB88" i="15" a="1"/>
  <c r="AK84" i="15" a="1"/>
  <c r="AV93" i="8" a="1"/>
  <c r="G88" i="15" a="1"/>
  <c r="AV63" i="8" a="1"/>
  <c r="AV96" i="8" a="1"/>
  <c r="AK67" i="15" a="1"/>
  <c r="AA88" i="15" a="1"/>
  <c r="AK52" i="15" a="1"/>
  <c r="Q88" i="15" a="1"/>
  <c r="AK88" i="15" a="1"/>
  <c r="E88" i="15" a="1"/>
  <c r="Z88" i="15" a="1"/>
  <c r="AK75" i="15" a="1"/>
  <c r="AV43" i="8" a="1"/>
  <c r="AK61" i="15" a="1"/>
  <c r="AV53" i="8" a="1"/>
  <c r="AK82" i="15" a="1"/>
  <c r="AV45" i="8" a="1"/>
  <c r="AK86" i="15" a="1"/>
  <c r="AV76" i="8" a="1"/>
  <c r="AV126" i="8" a="1"/>
  <c r="H88" i="15" a="1"/>
  <c r="AK53" i="15" a="1"/>
  <c r="AK73" i="15" a="1"/>
  <c r="U88" i="15" a="1"/>
  <c r="AV103" i="8" a="1"/>
  <c r="AV127" i="8" a="1"/>
  <c r="AV69" i="8" a="1"/>
  <c r="AV77" i="8" a="1"/>
  <c r="AV67" i="8" a="1"/>
  <c r="AV57" i="8" a="1"/>
  <c r="AV97" i="8" a="1"/>
  <c r="AV48" i="8" a="1"/>
  <c r="AV49" i="8" a="1"/>
  <c r="L68" i="359" a="1"/>
  <c r="N68" i="359" a="1"/>
  <c r="Q68" i="359" a="1"/>
  <c r="AB68" i="359" a="1"/>
  <c r="Y68" i="359" a="1"/>
  <c r="E68" i="359" a="1"/>
  <c r="H68" i="359" a="1"/>
  <c r="AK71" i="15" a="1"/>
  <c r="AE88" i="15" a="1"/>
  <c r="AK47" i="15" a="1"/>
  <c r="AG88" i="15" a="1"/>
  <c r="AV54" i="8" a="1"/>
  <c r="AK85" i="15" a="1"/>
  <c r="AV84" i="8" a="1"/>
  <c r="AK68" i="15" a="1"/>
  <c r="AV41" i="8" a="1"/>
  <c r="AK55" i="15" a="1"/>
  <c r="D88" i="15" a="1"/>
  <c r="T88" i="15" a="1"/>
  <c r="AK78" i="15" a="1"/>
  <c r="V88" i="15" a="1"/>
  <c r="AK58" i="15" a="1"/>
  <c r="AV55" i="8" a="1"/>
  <c r="AK66" i="15" a="1"/>
  <c r="AI88" i="15" a="1"/>
  <c r="AV75" i="8" a="1"/>
  <c r="AV74" i="8" a="1"/>
  <c r="AL88" i="15" a="1"/>
  <c r="AK63" i="15" a="1"/>
  <c r="W88" i="15" a="1"/>
  <c r="P88" i="15" a="1"/>
  <c r="AV86" i="8" a="1"/>
  <c r="AK79" i="15" a="1"/>
  <c r="AV62" i="8" a="1"/>
  <c r="AK77" i="15" a="1"/>
  <c r="AV82" i="8" a="1"/>
  <c r="F88" i="15" a="1"/>
  <c r="M88" i="15" a="1"/>
  <c r="AV104" i="8" a="1"/>
  <c r="AV90" i="8" a="1"/>
  <c r="AV130" i="8" a="1"/>
  <c r="AV87" i="8" a="1"/>
  <c r="AV100" i="8" a="1"/>
  <c r="AV47" i="8" a="1"/>
  <c r="AV59" i="8" a="1"/>
  <c r="AV129" i="8" a="1"/>
  <c r="AV80" i="8" a="1"/>
  <c r="J68" i="359" a="1"/>
  <c r="R68" i="359" a="1"/>
  <c r="V68" i="359" a="1"/>
  <c r="Z68" i="359" a="1"/>
  <c r="X68" i="359" a="1"/>
  <c r="D68" i="359" a="1"/>
  <c r="I68" i="359" a="1"/>
  <c r="AF88" i="15" a="1"/>
  <c r="AV64" i="8" a="1"/>
  <c r="AK44" i="15" a="1"/>
  <c r="AK49" i="15" a="1"/>
  <c r="O88" i="15" a="1"/>
  <c r="AK65" i="15" a="1"/>
  <c r="AV72" i="8" a="1"/>
  <c r="AV85" i="8" a="1"/>
  <c r="AV122" i="8" a="1"/>
  <c r="C88" i="15" a="1"/>
  <c r="AK57" i="15" a="1"/>
  <c r="Y88" i="15" a="1"/>
  <c r="AK48" i="15" a="1"/>
  <c r="AV44" i="8" a="1"/>
  <c r="AK72" i="15" a="1"/>
  <c r="AV125" i="8" a="1"/>
  <c r="AK80" i="15" a="1"/>
  <c r="AK60" i="15" a="1"/>
  <c r="N88" i="15" a="1"/>
  <c r="AK54" i="15" a="1"/>
  <c r="AV42" i="8" a="1"/>
  <c r="AK59" i="15" a="1"/>
  <c r="K88" i="15" a="1"/>
  <c r="AK83" i="15" a="1"/>
  <c r="J88" i="15" a="1"/>
  <c r="AK74" i="15" a="1"/>
  <c r="AV124" i="8" a="1"/>
  <c r="AK45" i="15" a="1"/>
  <c r="AV52" i="8" a="1"/>
  <c r="AV56" i="8" a="1"/>
  <c r="AK76" i="15" a="1"/>
  <c r="AU117" i="8" l="1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117" i="8" s="1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K45" i="15"/>
  <c r="AK108" i="15" s="1"/>
  <c r="AK86" i="15"/>
  <c r="AK149" i="15" s="1"/>
  <c r="AK62" i="15"/>
  <c r="AK125" i="15" s="1"/>
  <c r="AK69" i="15"/>
  <c r="AK132" i="15" s="1"/>
  <c r="AK77" i="15"/>
  <c r="AK140" i="15" s="1"/>
  <c r="AK50" i="15"/>
  <c r="AK113" i="15" s="1"/>
  <c r="AK48" i="15"/>
  <c r="AK111" i="15" s="1"/>
  <c r="AK65" i="15"/>
  <c r="AK128" i="15" s="1"/>
  <c r="AK76" i="15"/>
  <c r="AK139" i="15" s="1"/>
  <c r="AK54" i="15"/>
  <c r="AK117" i="15" s="1"/>
  <c r="AK78" i="15"/>
  <c r="AK141" i="15" s="1"/>
  <c r="AK85" i="15"/>
  <c r="AK148" i="15" s="1"/>
  <c r="AK74" i="15"/>
  <c r="AK137" i="15" s="1"/>
  <c r="AK82" i="15"/>
  <c r="AK145" i="15" s="1"/>
  <c r="AK81" i="15"/>
  <c r="AK144" i="15" s="1"/>
  <c r="AK39" i="15"/>
  <c r="AK105" i="15" s="1"/>
  <c r="AK79" i="15"/>
  <c r="AK142" i="15" s="1"/>
  <c r="AK46" i="15"/>
  <c r="AK109" i="15" s="1"/>
  <c r="AK57" i="15"/>
  <c r="AK120" i="15" s="1"/>
  <c r="AK49" i="15"/>
  <c r="AK112" i="15" s="1"/>
  <c r="AK73" i="15"/>
  <c r="AK136" i="15" s="1"/>
  <c r="AK60" i="15"/>
  <c r="AK123" i="15" s="1"/>
  <c r="AK44" i="15"/>
  <c r="AK107" i="15" s="1"/>
  <c r="AK53" i="15"/>
  <c r="AK116" i="15" s="1"/>
  <c r="AK80" i="15"/>
  <c r="AK143" i="15" s="1"/>
  <c r="AK55" i="15"/>
  <c r="AK118" i="15" s="1"/>
  <c r="AK47" i="15"/>
  <c r="AK110" i="15" s="1"/>
  <c r="AK43" i="15"/>
  <c r="AK106" i="15" s="1"/>
  <c r="AK66" i="15"/>
  <c r="AK129" i="15" s="1"/>
  <c r="AK52" i="15"/>
  <c r="AK115" i="15" s="1"/>
  <c r="AK84" i="15"/>
  <c r="AK147" i="15" s="1"/>
  <c r="AK83" i="15"/>
  <c r="AK146" i="15" s="1"/>
  <c r="AK61" i="15"/>
  <c r="AK124" i="15" s="1"/>
  <c r="AK72" i="15"/>
  <c r="AK135" i="15" s="1"/>
  <c r="AK68" i="15"/>
  <c r="AK131" i="15" s="1"/>
  <c r="AK71" i="15"/>
  <c r="AK134" i="15" s="1"/>
  <c r="AK51" i="15"/>
  <c r="AK114" i="15" s="1"/>
  <c r="AK58" i="15"/>
  <c r="AK121" i="15" s="1"/>
  <c r="AK67" i="15"/>
  <c r="AK130" i="15" s="1"/>
  <c r="AK56" i="15"/>
  <c r="AK119" i="15" s="1"/>
  <c r="AK59" i="15"/>
  <c r="AK122" i="15" s="1"/>
  <c r="AK75" i="15"/>
  <c r="AK138" i="15" s="1"/>
  <c r="AK64" i="15"/>
  <c r="AK127" i="15" s="1"/>
  <c r="AK70" i="15"/>
  <c r="AK133" i="15" s="1"/>
  <c r="AK63" i="15"/>
  <c r="AK126" i="15" s="1"/>
  <c r="AM38" i="15"/>
  <c r="AH150" i="15"/>
  <c r="AD150" i="15"/>
  <c r="Z150" i="15"/>
  <c r="V150" i="15"/>
  <c r="R150" i="15"/>
  <c r="N150" i="15"/>
  <c r="AV42" i="8"/>
  <c r="AV45" i="8"/>
  <c r="AV43" i="8"/>
  <c r="AV41" i="8"/>
  <c r="AV44" i="8"/>
  <c r="AV85" i="8"/>
  <c r="AV82" i="8"/>
  <c r="AV86" i="8"/>
  <c r="AV83" i="8"/>
  <c r="AV84" i="8"/>
  <c r="J150" i="15"/>
  <c r="F150" i="15"/>
  <c r="AJ150" i="15"/>
  <c r="AF150" i="15"/>
  <c r="AC150" i="15"/>
  <c r="X150" i="15"/>
  <c r="T150" i="15"/>
  <c r="P150" i="15"/>
  <c r="L150" i="15"/>
  <c r="H150" i="15"/>
  <c r="AI150" i="15"/>
  <c r="AE150" i="15"/>
  <c r="AA150" i="15"/>
  <c r="W150" i="15"/>
  <c r="S150" i="15"/>
  <c r="O150" i="15"/>
  <c r="K150" i="15"/>
  <c r="G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AW103" i="8" a="1"/>
  <c r="AW90" i="8" a="1"/>
  <c r="AW69" i="8" a="1"/>
  <c r="AW58" i="8" a="1"/>
  <c r="AW89" i="8" a="1"/>
  <c r="AW107" i="8" a="1"/>
  <c r="AW129" i="8" a="1"/>
  <c r="AW47" i="8" a="1"/>
  <c r="AW109" i="8" a="1"/>
  <c r="T89" i="15" a="1"/>
  <c r="AL76" i="15" a="1"/>
  <c r="AW44" i="8" a="1"/>
  <c r="C89" i="15" a="1"/>
  <c r="AL56" i="15" a="1"/>
  <c r="AK89" i="15" a="1"/>
  <c r="AL50" i="15" a="1"/>
  <c r="AL64" i="15" a="1"/>
  <c r="AW56" i="8" a="1"/>
  <c r="M89" i="15" a="1"/>
  <c r="AW82" i="8" a="1"/>
  <c r="AW74" i="8" a="1"/>
  <c r="AW84" i="8" a="1"/>
  <c r="AI89" i="15" a="1"/>
  <c r="AL49" i="15" a="1"/>
  <c r="AW63" i="8" a="1"/>
  <c r="AL46" i="15" a="1"/>
  <c r="AL53" i="15" a="1"/>
  <c r="AA89" i="15" a="1"/>
  <c r="AW124" i="8" a="1"/>
  <c r="R89" i="15" a="1"/>
  <c r="AL85" i="15" a="1"/>
  <c r="AL57" i="15" a="1"/>
  <c r="AW43" i="8" a="1"/>
  <c r="AL89" i="15" a="1"/>
  <c r="AE89" i="15" a="1"/>
  <c r="AW126" i="8" a="1"/>
  <c r="AW85" i="8" a="1"/>
  <c r="AW66" i="8" a="1"/>
  <c r="AW104" i="8" a="1"/>
  <c r="AW110" i="8" a="1"/>
  <c r="AW67" i="8" a="1"/>
  <c r="AW100" i="8" a="1"/>
  <c r="AW97" i="8" a="1"/>
  <c r="AW99" i="8" a="1"/>
  <c r="AW70" i="8" a="1"/>
  <c r="AW98" i="8" a="1"/>
  <c r="AW60" i="8" a="1"/>
  <c r="AW125" i="8" a="1"/>
  <c r="AL83" i="15" a="1"/>
  <c r="AW92" i="8" a="1"/>
  <c r="AL77" i="15" a="1"/>
  <c r="AL69" i="15" a="1"/>
  <c r="AW123" i="8" a="1"/>
  <c r="AD89" i="15" a="1"/>
  <c r="AL79" i="15" a="1"/>
  <c r="AG89" i="15" a="1"/>
  <c r="G89" i="15" a="1"/>
  <c r="AL82" i="15" a="1"/>
  <c r="K89" i="15" a="1"/>
  <c r="AL73" i="15" a="1"/>
  <c r="AC89" i="15" a="1"/>
  <c r="AW45" i="8" a="1"/>
  <c r="AL87" i="15" a="1"/>
  <c r="AL81" i="15" a="1"/>
  <c r="AL58" i="15" a="1"/>
  <c r="AW73" i="8" a="1"/>
  <c r="AW42" i="8" a="1"/>
  <c r="AJ89" i="15" a="1"/>
  <c r="AW75" i="8" a="1"/>
  <c r="AL68" i="15" a="1"/>
  <c r="L89" i="15" a="1"/>
  <c r="AW122" i="8" a="1"/>
  <c r="AL59" i="15" a="1"/>
  <c r="N89" i="15" a="1"/>
  <c r="AL74" i="15" a="1"/>
  <c r="AW86" i="8" a="1"/>
  <c r="AW105" i="8" a="1"/>
  <c r="AW46" i="8" a="1"/>
  <c r="AW127" i="8" a="1"/>
  <c r="AW68" i="8" a="1"/>
  <c r="AW108" i="8" a="1"/>
  <c r="AW48" i="8" a="1"/>
  <c r="AW128" i="8" a="1"/>
  <c r="AW57" i="8" a="1"/>
  <c r="AW49" i="8" a="1"/>
  <c r="AL84" i="15" a="1"/>
  <c r="AW72" i="8" a="1"/>
  <c r="J89" i="15" a="1"/>
  <c r="AL61" i="15" a="1"/>
  <c r="AL67" i="15" a="1"/>
  <c r="AL44" i="15" a="1"/>
  <c r="AW52" i="8" a="1"/>
  <c r="H89" i="15" a="1"/>
  <c r="AW65" i="8" a="1"/>
  <c r="F89" i="15" a="1"/>
  <c r="AL60" i="15" a="1"/>
  <c r="AL63" i="15" a="1"/>
  <c r="AW64" i="8" a="1"/>
  <c r="AL51" i="15" a="1"/>
  <c r="AL86" i="15" a="1"/>
  <c r="V89" i="15" a="1"/>
  <c r="AW76" i="8" a="1"/>
  <c r="AL72" i="15" a="1"/>
  <c r="AL39" i="15" a="1"/>
  <c r="AW55" i="8" a="1"/>
  <c r="AW96" i="8" a="1"/>
  <c r="O89" i="15" a="1"/>
  <c r="AH89" i="15" a="1"/>
  <c r="AL70" i="15" a="1"/>
  <c r="AW54" i="8" a="1"/>
  <c r="AL55" i="15" a="1"/>
  <c r="AL62" i="15" a="1"/>
  <c r="X89" i="15" a="1"/>
  <c r="Z89" i="15" a="1"/>
  <c r="AL80" i="15" a="1"/>
  <c r="AW106" i="8" a="1"/>
  <c r="AW79" i="8" a="1"/>
  <c r="AW88" i="8" a="1"/>
  <c r="AW87" i="8" a="1"/>
  <c r="AW130" i="8" a="1"/>
  <c r="AW59" i="8" a="1"/>
  <c r="AW78" i="8" a="1"/>
  <c r="AW77" i="8" a="1"/>
  <c r="AW80" i="8" a="1"/>
  <c r="AL47" i="15" a="1"/>
  <c r="AL65" i="15" a="1"/>
  <c r="W89" i="15" a="1"/>
  <c r="AW93" i="8" a="1"/>
  <c r="I89" i="15" a="1"/>
  <c r="AW83" i="8" a="1"/>
  <c r="AL54" i="15" a="1"/>
  <c r="AW62" i="8" a="1"/>
  <c r="AM89" i="15" a="1"/>
  <c r="P89" i="15" a="1"/>
  <c r="AL71" i="15" a="1"/>
  <c r="AL66" i="15" a="1"/>
  <c r="E89" i="15" a="1"/>
  <c r="AF89" i="15" a="1"/>
  <c r="AL43" i="15" a="1"/>
  <c r="AW95" i="8" a="1"/>
  <c r="AW41" i="8" a="1"/>
  <c r="AW53" i="8" a="1"/>
  <c r="Y89" i="15" a="1"/>
  <c r="AL75" i="15" a="1"/>
  <c r="AB89" i="15" a="1"/>
  <c r="AL78" i="15" a="1"/>
  <c r="Q89" i="15" a="1"/>
  <c r="S89" i="15" a="1"/>
  <c r="AL48" i="15" a="1"/>
  <c r="AL45" i="15" a="1"/>
  <c r="AL52" i="15" a="1"/>
  <c r="AW94" i="8" a="1"/>
  <c r="U89" i="15" a="1"/>
  <c r="D89" i="15" a="1"/>
  <c r="AV120" i="8" l="1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L80" i="15"/>
  <c r="AL143" i="15" s="1"/>
  <c r="AL74" i="15"/>
  <c r="AL137" i="15" s="1"/>
  <c r="AL75" i="15"/>
  <c r="AL138" i="15" s="1"/>
  <c r="AL39" i="15"/>
  <c r="AL105" i="15" s="1"/>
  <c r="AL66" i="15"/>
  <c r="AL129" i="15" s="1"/>
  <c r="AL44" i="15"/>
  <c r="AL107" i="15" s="1"/>
  <c r="AL52" i="15"/>
  <c r="AL115" i="15" s="1"/>
  <c r="AL58" i="15"/>
  <c r="AL121" i="15" s="1"/>
  <c r="AL63" i="15"/>
  <c r="AL126" i="15" s="1"/>
  <c r="AL69" i="15"/>
  <c r="AL132" i="15" s="1"/>
  <c r="AL62" i="15"/>
  <c r="AL125" i="15" s="1"/>
  <c r="AL53" i="15"/>
  <c r="AL116" i="15" s="1"/>
  <c r="AL82" i="15"/>
  <c r="AL145" i="15" s="1"/>
  <c r="AL56" i="15"/>
  <c r="AL119" i="15" s="1"/>
  <c r="AL59" i="15"/>
  <c r="AL122" i="15" s="1"/>
  <c r="AL72" i="15"/>
  <c r="AL135" i="15" s="1"/>
  <c r="AL71" i="15"/>
  <c r="AL134" i="15" s="1"/>
  <c r="AL67" i="15"/>
  <c r="AL130" i="15" s="1"/>
  <c r="AL45" i="15"/>
  <c r="AL108" i="15" s="1"/>
  <c r="AL81" i="15"/>
  <c r="AL144" i="15" s="1"/>
  <c r="AL60" i="15"/>
  <c r="AL123" i="15" s="1"/>
  <c r="AL77" i="15"/>
  <c r="AL140" i="15" s="1"/>
  <c r="AL55" i="15"/>
  <c r="AL118" i="15" s="1"/>
  <c r="AL46" i="15"/>
  <c r="AL109" i="15" s="1"/>
  <c r="AL61" i="15"/>
  <c r="AL124" i="15" s="1"/>
  <c r="AL48" i="15"/>
  <c r="AL111" i="15" s="1"/>
  <c r="AL87" i="15"/>
  <c r="AL150" i="15" s="1"/>
  <c r="AL83" i="15"/>
  <c r="AL146" i="15" s="1"/>
  <c r="AL70" i="15"/>
  <c r="AL133" i="15" s="1"/>
  <c r="AL49" i="15"/>
  <c r="AL112" i="15" s="1"/>
  <c r="AL79" i="15"/>
  <c r="AL142" i="15" s="1"/>
  <c r="AL76" i="15"/>
  <c r="AL139" i="15" s="1"/>
  <c r="AL68" i="15"/>
  <c r="AL131" i="15" s="1"/>
  <c r="AL43" i="15"/>
  <c r="AL106" i="15" s="1"/>
  <c r="AL64" i="15"/>
  <c r="AL127" i="15" s="1"/>
  <c r="AL65" i="15"/>
  <c r="AL128" i="15" s="1"/>
  <c r="AL57" i="15"/>
  <c r="AL120" i="15" s="1"/>
  <c r="AL86" i="15"/>
  <c r="AL149" i="15" s="1"/>
  <c r="AL50" i="15"/>
  <c r="AL113" i="15" s="1"/>
  <c r="AL47" i="15"/>
  <c r="AL110" i="15" s="1"/>
  <c r="AL85" i="15"/>
  <c r="AL148" i="15" s="1"/>
  <c r="AL51" i="15"/>
  <c r="AL114" i="15" s="1"/>
  <c r="AL54" i="15"/>
  <c r="AL117" i="15" s="1"/>
  <c r="AL84" i="15"/>
  <c r="AL147" i="15" s="1"/>
  <c r="AL78" i="15"/>
  <c r="AL141" i="15" s="1"/>
  <c r="AL73" i="15"/>
  <c r="AL136" i="15" s="1"/>
  <c r="AN38" i="15"/>
  <c r="AH151" i="15"/>
  <c r="AL151" i="15"/>
  <c r="AD151" i="15"/>
  <c r="Z151" i="15"/>
  <c r="V151" i="15"/>
  <c r="R151" i="15"/>
  <c r="N151" i="15"/>
  <c r="AW43" i="8"/>
  <c r="AW42" i="8"/>
  <c r="AW41" i="8"/>
  <c r="AW44" i="8"/>
  <c r="AW45" i="8"/>
  <c r="AW83" i="8"/>
  <c r="AW84" i="8"/>
  <c r="AW82" i="8"/>
  <c r="AW86" i="8"/>
  <c r="AW85" i="8"/>
  <c r="K151" i="15"/>
  <c r="F151" i="15"/>
  <c r="AJ151" i="15"/>
  <c r="AF151" i="15"/>
  <c r="AB151" i="15"/>
  <c r="X151" i="15"/>
  <c r="T151" i="15"/>
  <c r="P151" i="15"/>
  <c r="AK151" i="15"/>
  <c r="AG151" i="15"/>
  <c r="AC151" i="15"/>
  <c r="Y151" i="15"/>
  <c r="U151" i="15"/>
  <c r="Q151" i="15"/>
  <c r="M151" i="15"/>
  <c r="I151" i="15"/>
  <c r="E151" i="15"/>
  <c r="L151" i="15"/>
  <c r="H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AX105" i="8" a="1"/>
  <c r="AX46" i="8" a="1"/>
  <c r="AX69" i="8" a="1"/>
  <c r="AX87" i="8" a="1"/>
  <c r="AX110" i="8" a="1"/>
  <c r="AX48" i="8" a="1"/>
  <c r="AX129" i="8" a="1"/>
  <c r="AX97" i="8" a="1"/>
  <c r="AX49" i="8" a="1"/>
  <c r="AM54" i="15" a="1"/>
  <c r="AM70" i="15" a="1"/>
  <c r="AX82" i="8" a="1"/>
  <c r="AX93" i="8" a="1"/>
  <c r="D90" i="15" a="1"/>
  <c r="AG90" i="15" a="1"/>
  <c r="AN90" i="15" a="1"/>
  <c r="AM45" i="15" a="1"/>
  <c r="AB90" i="15" a="1"/>
  <c r="AM55" i="15" a="1"/>
  <c r="AM74" i="15" a="1"/>
  <c r="AM47" i="15" a="1"/>
  <c r="AX43" i="8" a="1"/>
  <c r="AM52" i="15" a="1"/>
  <c r="AM77" i="15" a="1"/>
  <c r="K90" i="15" a="1"/>
  <c r="AX45" i="8" a="1"/>
  <c r="R90" i="15" a="1"/>
  <c r="AM68" i="15" a="1"/>
  <c r="Y90" i="15" a="1"/>
  <c r="AX122" i="8" a="1"/>
  <c r="AJ90" i="15" a="1"/>
  <c r="Q90" i="15" a="1"/>
  <c r="AF90" i="15" a="1"/>
  <c r="L90" i="15" a="1"/>
  <c r="AM87" i="15" a="1"/>
  <c r="AL90" i="15" a="1"/>
  <c r="AA90" i="15" a="1"/>
  <c r="AX106" i="8" a="1"/>
  <c r="AX79" i="8" a="1"/>
  <c r="AX130" i="8" a="1"/>
  <c r="AX90" i="8" a="1"/>
  <c r="AX58" i="8" a="1"/>
  <c r="AX80" i="8" a="1"/>
  <c r="AX70" i="8" a="1"/>
  <c r="AX107" i="8" a="1"/>
  <c r="AX57" i="8" a="1"/>
  <c r="S90" i="15" a="1"/>
  <c r="AM48" i="15" a="1"/>
  <c r="AX52" i="8" a="1"/>
  <c r="AX76" i="8" a="1"/>
  <c r="AM81" i="15" a="1"/>
  <c r="AM90" i="15" a="1"/>
  <c r="AM46" i="15" a="1"/>
  <c r="AM88" i="15" a="1"/>
  <c r="J90" i="15" a="1"/>
  <c r="AX85" i="8" a="1"/>
  <c r="AH90" i="15" a="1"/>
  <c r="AM67" i="15" a="1"/>
  <c r="AX53" i="8" a="1"/>
  <c r="AM49" i="15" a="1"/>
  <c r="AM62" i="15" a="1"/>
  <c r="AX92" i="8" a="1"/>
  <c r="V90" i="15" a="1"/>
  <c r="AX41" i="8" a="1"/>
  <c r="AX84" i="8" a="1"/>
  <c r="AX126" i="8" a="1"/>
  <c r="X90" i="15" a="1"/>
  <c r="AE90" i="15" a="1"/>
  <c r="AM51" i="15" a="1"/>
  <c r="AX54" i="8" a="1"/>
  <c r="AM59" i="15" a="1"/>
  <c r="AM61" i="15" a="1"/>
  <c r="AM57" i="15" a="1"/>
  <c r="AX94" i="8" a="1"/>
  <c r="M90" i="15" a="1"/>
  <c r="AM39" i="15" a="1"/>
  <c r="N90" i="15" a="1"/>
  <c r="AX123" i="8" a="1"/>
  <c r="AX62" i="8" a="1"/>
  <c r="AX103" i="8" a="1"/>
  <c r="AX127" i="8" a="1"/>
  <c r="AX68" i="8" a="1"/>
  <c r="AX100" i="8" a="1"/>
  <c r="AX108" i="8" a="1"/>
  <c r="AX99" i="8" a="1"/>
  <c r="AX47" i="8" a="1"/>
  <c r="AX128" i="8" a="1"/>
  <c r="AX60" i="8" a="1"/>
  <c r="F90" i="15" a="1"/>
  <c r="AX125" i="8" a="1"/>
  <c r="AM85" i="15" a="1"/>
  <c r="AM82" i="15" a="1"/>
  <c r="AM44" i="15" a="1"/>
  <c r="P90" i="15" a="1"/>
  <c r="AM65" i="15" a="1"/>
  <c r="AM43" i="15" a="1"/>
  <c r="G90" i="15" a="1"/>
  <c r="AI90" i="15" a="1"/>
  <c r="AX83" i="8" a="1"/>
  <c r="U90" i="15" a="1"/>
  <c r="AX66" i="8" a="1"/>
  <c r="AX73" i="8" a="1"/>
  <c r="T90" i="15" a="1"/>
  <c r="AX55" i="8" a="1"/>
  <c r="AD90" i="15" a="1"/>
  <c r="AM86" i="15" a="1"/>
  <c r="C90" i="15" a="1"/>
  <c r="AM69" i="15" a="1"/>
  <c r="AX75" i="8" a="1"/>
  <c r="AM73" i="15" a="1"/>
  <c r="AM58" i="15" a="1"/>
  <c r="AX65" i="8" a="1"/>
  <c r="AX44" i="8" a="1"/>
  <c r="AM71" i="15" a="1"/>
  <c r="AC90" i="15" a="1"/>
  <c r="AX104" i="8" a="1"/>
  <c r="AX88" i="8" a="1"/>
  <c r="AX77" i="8" a="1"/>
  <c r="AX89" i="8" a="1"/>
  <c r="AX67" i="8" a="1"/>
  <c r="AX59" i="8" a="1"/>
  <c r="AX98" i="8" a="1"/>
  <c r="AX78" i="8" a="1"/>
  <c r="AX109" i="8" a="1"/>
  <c r="AM60" i="15" a="1"/>
  <c r="E90" i="15" a="1"/>
  <c r="AM75" i="15" a="1"/>
  <c r="AM80" i="15" a="1"/>
  <c r="AM66" i="15" a="1"/>
  <c r="H90" i="15" a="1"/>
  <c r="AX86" i="8" a="1"/>
  <c r="AX63" i="8" a="1"/>
  <c r="W90" i="15" a="1"/>
  <c r="AX96" i="8" a="1"/>
  <c r="AM78" i="15" a="1"/>
  <c r="AX124" i="8" a="1"/>
  <c r="AM56" i="15" a="1"/>
  <c r="AM79" i="15" a="1"/>
  <c r="Z90" i="15" a="1"/>
  <c r="AM72" i="15" a="1"/>
  <c r="AM76" i="15" a="1"/>
  <c r="AM53" i="15" a="1"/>
  <c r="AX95" i="8" a="1"/>
  <c r="AM83" i="15" a="1"/>
  <c r="AK90" i="15" a="1"/>
  <c r="AM64" i="15" a="1"/>
  <c r="AM50" i="15" a="1"/>
  <c r="AX74" i="8" a="1"/>
  <c r="O90" i="15" a="1"/>
  <c r="AX42" i="8" a="1"/>
  <c r="AX56" i="8" a="1"/>
  <c r="AX72" i="8" a="1"/>
  <c r="AX64" i="8" a="1"/>
  <c r="I90" i="15" a="1"/>
  <c r="AM63" i="15" a="1"/>
  <c r="AM84" i="15" a="1"/>
  <c r="AW118" i="8" l="1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120" i="8" s="1"/>
  <c r="AX48" i="8"/>
  <c r="AX67" i="8"/>
  <c r="AX108" i="8"/>
  <c r="AX58" i="8"/>
  <c r="AX110" i="8"/>
  <c r="AX89" i="8"/>
  <c r="AX100" i="8"/>
  <c r="AX90" i="8"/>
  <c r="AX87" i="8"/>
  <c r="AX77" i="8"/>
  <c r="AX117" i="8" s="1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M83" i="15"/>
  <c r="AM146" i="15" s="1"/>
  <c r="AM56" i="15"/>
  <c r="AM119" i="15" s="1"/>
  <c r="AM39" i="15"/>
  <c r="AM105" i="15" s="1"/>
  <c r="AM84" i="15"/>
  <c r="AM147" i="15" s="1"/>
  <c r="AM69" i="15"/>
  <c r="AM132" i="15" s="1"/>
  <c r="AM71" i="15"/>
  <c r="AM134" i="15" s="1"/>
  <c r="AM68" i="15"/>
  <c r="AM131" i="15" s="1"/>
  <c r="AM67" i="15"/>
  <c r="AM130" i="15" s="1"/>
  <c r="AM66" i="15"/>
  <c r="AM129" i="15" s="1"/>
  <c r="AM57" i="15"/>
  <c r="AM120" i="15" s="1"/>
  <c r="AM53" i="15"/>
  <c r="AM116" i="15" s="1"/>
  <c r="AM47" i="15"/>
  <c r="AM110" i="15" s="1"/>
  <c r="AM44" i="15"/>
  <c r="AM107" i="15" s="1"/>
  <c r="AM63" i="15"/>
  <c r="AM126" i="15" s="1"/>
  <c r="AM86" i="15"/>
  <c r="AM149" i="15" s="1"/>
  <c r="AM78" i="15"/>
  <c r="AM141" i="15" s="1"/>
  <c r="AM81" i="15"/>
  <c r="AM144" i="15" s="1"/>
  <c r="AM80" i="15"/>
  <c r="AM143" i="15" s="1"/>
  <c r="AM61" i="15"/>
  <c r="AM124" i="15" s="1"/>
  <c r="AM76" i="15"/>
  <c r="AM139" i="15" s="1"/>
  <c r="AM74" i="15"/>
  <c r="AM137" i="15" s="1"/>
  <c r="AM82" i="15"/>
  <c r="AM145" i="15" s="1"/>
  <c r="AM87" i="15"/>
  <c r="AM150" i="15" s="1"/>
  <c r="AM75" i="15"/>
  <c r="AM138" i="15" s="1"/>
  <c r="AM59" i="15"/>
  <c r="AM122" i="15" s="1"/>
  <c r="AM72" i="15"/>
  <c r="AM135" i="15" s="1"/>
  <c r="AM55" i="15"/>
  <c r="AM118" i="15" s="1"/>
  <c r="AM85" i="15"/>
  <c r="AM148" i="15" s="1"/>
  <c r="AM48" i="15"/>
  <c r="AM111" i="15" s="1"/>
  <c r="AM50" i="15"/>
  <c r="AM113" i="15" s="1"/>
  <c r="AM62" i="15"/>
  <c r="AM125" i="15" s="1"/>
  <c r="AM43" i="15"/>
  <c r="AM106" i="15" s="1"/>
  <c r="AM70" i="15"/>
  <c r="AM133" i="15" s="1"/>
  <c r="AM58" i="15"/>
  <c r="AM121" i="15" s="1"/>
  <c r="AM77" i="15"/>
  <c r="AM140" i="15" s="1"/>
  <c r="AM88" i="15"/>
  <c r="AM151" i="15" s="1"/>
  <c r="AM60" i="15"/>
  <c r="AM123" i="15" s="1"/>
  <c r="AM51" i="15"/>
  <c r="AM114" i="15" s="1"/>
  <c r="AM79" i="15"/>
  <c r="AM142" i="15" s="1"/>
  <c r="AM45" i="15"/>
  <c r="AM108" i="15" s="1"/>
  <c r="AM64" i="15"/>
  <c r="AM127" i="15" s="1"/>
  <c r="AM49" i="15"/>
  <c r="AM112" i="15" s="1"/>
  <c r="AM65" i="15"/>
  <c r="AM128" i="15" s="1"/>
  <c r="AM54" i="15"/>
  <c r="AM117" i="15" s="1"/>
  <c r="AM73" i="15"/>
  <c r="AM136" i="15" s="1"/>
  <c r="AM52" i="15"/>
  <c r="AM115" i="15" s="1"/>
  <c r="AM46" i="15"/>
  <c r="AM109" i="15" s="1"/>
  <c r="AO38" i="15"/>
  <c r="AL152" i="15"/>
  <c r="AD152" i="15"/>
  <c r="V152" i="15"/>
  <c r="AH152" i="15"/>
  <c r="Z152" i="15"/>
  <c r="AX43" i="8"/>
  <c r="AX42" i="8"/>
  <c r="AX44" i="8"/>
  <c r="AX45" i="8"/>
  <c r="AX41" i="8"/>
  <c r="AX82" i="8"/>
  <c r="AX84" i="8"/>
  <c r="AX83" i="8"/>
  <c r="AX85" i="8"/>
  <c r="AX86" i="8"/>
  <c r="R152" i="15"/>
  <c r="N152" i="15"/>
  <c r="K152" i="15"/>
  <c r="F152" i="15"/>
  <c r="AJ152" i="15"/>
  <c r="AF152" i="15"/>
  <c r="AC152" i="15"/>
  <c r="X152" i="15"/>
  <c r="T152" i="15"/>
  <c r="P152" i="15"/>
  <c r="L152" i="15"/>
  <c r="H152" i="15"/>
  <c r="AM152" i="15"/>
  <c r="AI152" i="15"/>
  <c r="AE152" i="15"/>
  <c r="AA152" i="15"/>
  <c r="W152" i="15"/>
  <c r="S152" i="15"/>
  <c r="O152" i="15"/>
  <c r="J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AY105" i="8" a="1"/>
  <c r="AY127" i="8" a="1"/>
  <c r="AY100" i="8" a="1"/>
  <c r="AY99" i="8" a="1"/>
  <c r="AY89" i="8" a="1"/>
  <c r="AY77" i="8" a="1"/>
  <c r="AY128" i="8" a="1"/>
  <c r="AY59" i="8" a="1"/>
  <c r="AY109" i="8" a="1"/>
  <c r="AN75" i="15" a="1"/>
  <c r="AY42" i="8" a="1"/>
  <c r="AY64" i="8" a="1"/>
  <c r="AN46" i="15" a="1"/>
  <c r="AN61" i="15" a="1"/>
  <c r="AN87" i="15" a="1"/>
  <c r="AY43" i="8" a="1"/>
  <c r="AY96" i="8" a="1"/>
  <c r="D91" i="15" a="1"/>
  <c r="AN70" i="15" a="1"/>
  <c r="AK91" i="15" a="1"/>
  <c r="AY92" i="8" a="1"/>
  <c r="O91" i="15" a="1"/>
  <c r="AH91" i="15" a="1"/>
  <c r="AN45" i="15" a="1"/>
  <c r="P91" i="15" a="1"/>
  <c r="AN84" i="15" a="1"/>
  <c r="AY66" i="8" a="1"/>
  <c r="T91" i="15" a="1"/>
  <c r="AY93" i="8" a="1"/>
  <c r="AN67" i="15" a="1"/>
  <c r="M91" i="15" a="1"/>
  <c r="AN52" i="15" a="1"/>
  <c r="G91" i="15" a="1"/>
  <c r="AN58" i="15" a="1"/>
  <c r="AY75" i="8" a="1"/>
  <c r="AY72" i="8" a="1"/>
  <c r="AY82" i="8" a="1"/>
  <c r="AY56" i="8" a="1"/>
  <c r="AY106" i="8" a="1"/>
  <c r="AY87" i="8" a="1"/>
  <c r="AY69" i="8" a="1"/>
  <c r="AY46" i="8" a="1"/>
  <c r="AY79" i="8" a="1"/>
  <c r="AY129" i="8" a="1"/>
  <c r="AY98" i="8" a="1"/>
  <c r="AY47" i="8" a="1"/>
  <c r="AY49" i="8" a="1"/>
  <c r="AN62" i="15" a="1"/>
  <c r="AN68" i="15" a="1"/>
  <c r="E91" i="15" a="1"/>
  <c r="AL91" i="15" a="1"/>
  <c r="AN51" i="15" a="1"/>
  <c r="AN83" i="15" a="1"/>
  <c r="AY85" i="8" a="1"/>
  <c r="AN63" i="15" a="1"/>
  <c r="AY86" i="8" a="1"/>
  <c r="AY53" i="8" a="1"/>
  <c r="AN78" i="15" a="1"/>
  <c r="AN89" i="15" a="1"/>
  <c r="AN49" i="15" a="1"/>
  <c r="C91" i="15" a="1"/>
  <c r="L91" i="15" a="1"/>
  <c r="Y91" i="15" a="1"/>
  <c r="AN44" i="15" a="1"/>
  <c r="U91" i="15" a="1"/>
  <c r="AY73" i="8" a="1"/>
  <c r="AN88" i="15" a="1"/>
  <c r="AY126" i="8" a="1"/>
  <c r="AN53" i="15" a="1"/>
  <c r="AJ91" i="15" a="1"/>
  <c r="AY65" i="8" a="1"/>
  <c r="AY74" i="8" a="1"/>
  <c r="AA91" i="15" a="1"/>
  <c r="AN79" i="15" a="1"/>
  <c r="AN60" i="15" a="1"/>
  <c r="R91" i="15" a="1"/>
  <c r="AY103" i="8" a="1"/>
  <c r="AY58" i="8" a="1"/>
  <c r="AY68" i="8" a="1"/>
  <c r="AY67" i="8" a="1"/>
  <c r="AY88" i="8" a="1"/>
  <c r="AY70" i="8" a="1"/>
  <c r="AY48" i="8" a="1"/>
  <c r="AY97" i="8" a="1"/>
  <c r="AY57" i="8" a="1"/>
  <c r="AY41" i="8" a="1"/>
  <c r="AN73" i="15" a="1"/>
  <c r="AY83" i="8" a="1"/>
  <c r="AM91" i="15" a="1"/>
  <c r="AY125" i="8" a="1"/>
  <c r="AN43" i="15" a="1"/>
  <c r="AF91" i="15" a="1"/>
  <c r="AN72" i="15" a="1"/>
  <c r="AN64" i="15" a="1"/>
  <c r="AY54" i="8" a="1"/>
  <c r="I91" i="15" a="1"/>
  <c r="AN47" i="15" a="1"/>
  <c r="AN81" i="15" a="1"/>
  <c r="S91" i="15" a="1"/>
  <c r="AN77" i="15" a="1"/>
  <c r="Q91" i="15" a="1"/>
  <c r="AG91" i="15" a="1"/>
  <c r="AN80" i="15" a="1"/>
  <c r="AN66" i="15" a="1"/>
  <c r="AN56" i="15" a="1"/>
  <c r="AY94" i="8" a="1"/>
  <c r="Z91" i="15" a="1"/>
  <c r="AN82" i="15" a="1"/>
  <c r="AN85" i="15" a="1"/>
  <c r="AY55" i="8" a="1"/>
  <c r="AN50" i="15" a="1"/>
  <c r="AN65" i="15" a="1"/>
  <c r="AN39" i="15" a="1"/>
  <c r="N91" i="15" a="1"/>
  <c r="AB91" i="15" a="1"/>
  <c r="AI91" i="15" a="1"/>
  <c r="AN55" i="15" a="1"/>
  <c r="AY104" i="8" a="1"/>
  <c r="AY108" i="8" a="1"/>
  <c r="AY110" i="8" a="1"/>
  <c r="AY130" i="8" a="1"/>
  <c r="AY90" i="8" a="1"/>
  <c r="AY107" i="8" a="1"/>
  <c r="AY78" i="8" a="1"/>
  <c r="AY80" i="8" a="1"/>
  <c r="AY60" i="8" a="1"/>
  <c r="AY63" i="8" a="1"/>
  <c r="AN69" i="15" a="1"/>
  <c r="AY45" i="8" a="1"/>
  <c r="AY84" i="8" a="1"/>
  <c r="H91" i="15" a="1"/>
  <c r="AY44" i="8" a="1"/>
  <c r="AO91" i="15" a="1"/>
  <c r="AY122" i="8" a="1"/>
  <c r="AN71" i="15" a="1"/>
  <c r="AE91" i="15" a="1"/>
  <c r="AY124" i="8" a="1"/>
  <c r="V91" i="15" a="1"/>
  <c r="AN57" i="15" a="1"/>
  <c r="AY62" i="8" a="1"/>
  <c r="AN86" i="15" a="1"/>
  <c r="AN48" i="15" a="1"/>
  <c r="AD91" i="15" a="1"/>
  <c r="AC91" i="15" a="1"/>
  <c r="AY76" i="8" a="1"/>
  <c r="AN59" i="15" a="1"/>
  <c r="F91" i="15" a="1"/>
  <c r="AN91" i="15" a="1"/>
  <c r="AN74" i="15" a="1"/>
  <c r="AN76" i="15" a="1"/>
  <c r="X91" i="15" a="1"/>
  <c r="J91" i="15" a="1"/>
  <c r="AY52" i="8" a="1"/>
  <c r="AN54" i="15" a="1"/>
  <c r="W91" i="15" a="1"/>
  <c r="AY123" i="8" a="1"/>
  <c r="K91" i="15" a="1"/>
  <c r="AY95" i="8" a="1"/>
  <c r="AX119" i="8" l="1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N55" i="15"/>
  <c r="AN118" i="15" s="1"/>
  <c r="AN53" i="15"/>
  <c r="AN116" i="15" s="1"/>
  <c r="AN45" i="15"/>
  <c r="AN108" i="15" s="1"/>
  <c r="AN52" i="15"/>
  <c r="AN115" i="15" s="1"/>
  <c r="AN67" i="15"/>
  <c r="AN130" i="15" s="1"/>
  <c r="AN57" i="15"/>
  <c r="AN120" i="15" s="1"/>
  <c r="AN43" i="15"/>
  <c r="AN106" i="15" s="1"/>
  <c r="AN54" i="15"/>
  <c r="AN117" i="15" s="1"/>
  <c r="AN59" i="15"/>
  <c r="AN122" i="15" s="1"/>
  <c r="AN81" i="15"/>
  <c r="AN144" i="15" s="1"/>
  <c r="AN83" i="15"/>
  <c r="AN146" i="15" s="1"/>
  <c r="AN39" i="15"/>
  <c r="AN105" i="15" s="1"/>
  <c r="AN56" i="15"/>
  <c r="AN119" i="15" s="1"/>
  <c r="AN49" i="15"/>
  <c r="AN112" i="15" s="1"/>
  <c r="AN87" i="15"/>
  <c r="AN150" i="15" s="1"/>
  <c r="AN60" i="15"/>
  <c r="AN123" i="15" s="1"/>
  <c r="AN88" i="15"/>
  <c r="AN151" i="15" s="1"/>
  <c r="AN47" i="15"/>
  <c r="AN110" i="15" s="1"/>
  <c r="AN51" i="15"/>
  <c r="AN114" i="15" s="1"/>
  <c r="AN65" i="15"/>
  <c r="AN128" i="15" s="1"/>
  <c r="AN66" i="15"/>
  <c r="AN129" i="15" s="1"/>
  <c r="AN89" i="15"/>
  <c r="AN152" i="15" s="1"/>
  <c r="AN61" i="15"/>
  <c r="AN124" i="15" s="1"/>
  <c r="AN79" i="15"/>
  <c r="AN142" i="15" s="1"/>
  <c r="AN50" i="15"/>
  <c r="AN113" i="15" s="1"/>
  <c r="AN80" i="15"/>
  <c r="AN143" i="15" s="1"/>
  <c r="AN78" i="15"/>
  <c r="AN141" i="15" s="1"/>
  <c r="AN46" i="15"/>
  <c r="AN109" i="15" s="1"/>
  <c r="AN44" i="15"/>
  <c r="AN107" i="15" s="1"/>
  <c r="AN70" i="15"/>
  <c r="AN133" i="15" s="1"/>
  <c r="AN69" i="15"/>
  <c r="AN132" i="15" s="1"/>
  <c r="AN58" i="15"/>
  <c r="AN121" i="15" s="1"/>
  <c r="AN84" i="15"/>
  <c r="AN147" i="15" s="1"/>
  <c r="AN71" i="15"/>
  <c r="AN134" i="15" s="1"/>
  <c r="AN73" i="15"/>
  <c r="AN136" i="15" s="1"/>
  <c r="AN76" i="15"/>
  <c r="AN139" i="15" s="1"/>
  <c r="AN48" i="15"/>
  <c r="AN111" i="15" s="1"/>
  <c r="AN64" i="15"/>
  <c r="AN127" i="15" s="1"/>
  <c r="AN68" i="15"/>
  <c r="AN131" i="15" s="1"/>
  <c r="AN85" i="15"/>
  <c r="AN148" i="15" s="1"/>
  <c r="AN74" i="15"/>
  <c r="AN137" i="15" s="1"/>
  <c r="AN86" i="15"/>
  <c r="AN149" i="15" s="1"/>
  <c r="AN72" i="15"/>
  <c r="AN135" i="15" s="1"/>
  <c r="AN62" i="15"/>
  <c r="AN125" i="15" s="1"/>
  <c r="AN82" i="15"/>
  <c r="AN145" i="15" s="1"/>
  <c r="AN77" i="15"/>
  <c r="AN140" i="15" s="1"/>
  <c r="AN63" i="15"/>
  <c r="AN126" i="15" s="1"/>
  <c r="AN75" i="15"/>
  <c r="AN138" i="15" s="1"/>
  <c r="AP38" i="15"/>
  <c r="AY43" i="8"/>
  <c r="AY41" i="8"/>
  <c r="AY44" i="8"/>
  <c r="AY45" i="8"/>
  <c r="AY42" i="8"/>
  <c r="AY85" i="8"/>
  <c r="AY84" i="8"/>
  <c r="AY82" i="8"/>
  <c r="AY86" i="8"/>
  <c r="AY83" i="8"/>
  <c r="AM153" i="15"/>
  <c r="AI153" i="15"/>
  <c r="AE153" i="15"/>
  <c r="AA153" i="15"/>
  <c r="W153" i="15"/>
  <c r="S153" i="15"/>
  <c r="O153" i="15"/>
  <c r="AL153" i="15"/>
  <c r="AD153" i="15"/>
  <c r="V153" i="15"/>
  <c r="K153" i="15"/>
  <c r="AH153" i="15"/>
  <c r="Z153" i="15"/>
  <c r="R153" i="15"/>
  <c r="N153" i="15"/>
  <c r="AK153" i="15"/>
  <c r="AG153" i="15"/>
  <c r="F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AZ104" i="8" a="1"/>
  <c r="AZ89" i="8" a="1"/>
  <c r="AZ127" i="8" a="1"/>
  <c r="AZ100" i="8" a="1"/>
  <c r="AZ67" i="8" a="1"/>
  <c r="AZ57" i="8" a="1"/>
  <c r="AZ129" i="8" a="1"/>
  <c r="AZ107" i="8" a="1"/>
  <c r="AZ109" i="8" a="1"/>
  <c r="AZ86" i="8" a="1"/>
  <c r="AO52" i="15" a="1"/>
  <c r="AZ123" i="8" a="1"/>
  <c r="AZ42" i="8" a="1"/>
  <c r="AZ82" i="8" a="1"/>
  <c r="AZ122" i="8" a="1"/>
  <c r="W92" i="15" a="1"/>
  <c r="AO55" i="15" a="1"/>
  <c r="AO43" i="15" a="1"/>
  <c r="AA92" i="15" a="1"/>
  <c r="AO65" i="15" a="1"/>
  <c r="AO66" i="15" a="1"/>
  <c r="AO88" i="15" a="1"/>
  <c r="AZ75" i="8" a="1"/>
  <c r="E92" i="15" a="1"/>
  <c r="AO39" i="15" a="1"/>
  <c r="AO84" i="15" a="1"/>
  <c r="AZ94" i="8" a="1"/>
  <c r="AO51" i="15" a="1"/>
  <c r="AO57" i="15" a="1"/>
  <c r="AO87" i="15" a="1"/>
  <c r="AZ56" i="8" a="1"/>
  <c r="AO81" i="15" a="1"/>
  <c r="H92" i="15" a="1"/>
  <c r="AO72" i="15" a="1"/>
  <c r="T92" i="15" a="1"/>
  <c r="AZ105" i="8" a="1"/>
  <c r="AZ88" i="8" a="1"/>
  <c r="AZ110" i="8" a="1"/>
  <c r="AZ87" i="8" a="1"/>
  <c r="AZ77" i="8" a="1"/>
  <c r="AZ98" i="8" a="1"/>
  <c r="AZ99" i="8" a="1"/>
  <c r="AZ47" i="8" a="1"/>
  <c r="AZ80" i="8" a="1"/>
  <c r="AO85" i="15" a="1"/>
  <c r="AI92" i="15" a="1"/>
  <c r="AZ63" i="8" a="1"/>
  <c r="AL92" i="15" a="1"/>
  <c r="AZ93" i="8" a="1"/>
  <c r="AZ52" i="8" a="1"/>
  <c r="AZ96" i="8" a="1"/>
  <c r="L92" i="15" a="1"/>
  <c r="AO77" i="15" a="1"/>
  <c r="AO54" i="15" a="1"/>
  <c r="AZ84" i="8" a="1"/>
  <c r="S92" i="15" a="1"/>
  <c r="AO53" i="15" a="1"/>
  <c r="AO73" i="15" a="1"/>
  <c r="AZ62" i="8" a="1"/>
  <c r="AN92" i="15" a="1"/>
  <c r="C92" i="15" a="1"/>
  <c r="AO70" i="15" a="1"/>
  <c r="Q92" i="15" a="1"/>
  <c r="AZ44" i="8" a="1"/>
  <c r="AO78" i="15" a="1"/>
  <c r="AO80" i="15" a="1"/>
  <c r="AM92" i="15" a="1"/>
  <c r="P92" i="15" a="1"/>
  <c r="AO74" i="15" a="1"/>
  <c r="AO64" i="15" a="1"/>
  <c r="AZ53" i="8" a="1"/>
  <c r="AZ43" i="8" a="1"/>
  <c r="AO62" i="15" a="1"/>
  <c r="AO63" i="15" a="1"/>
  <c r="AZ72" i="8" a="1"/>
  <c r="AP92" i="15" a="1"/>
  <c r="N92" i="15" a="1"/>
  <c r="AO76" i="15" a="1"/>
  <c r="AZ83" i="8" a="1"/>
  <c r="V92" i="15" a="1"/>
  <c r="AZ45" i="8" a="1"/>
  <c r="AZ106" i="8" a="1"/>
  <c r="AZ108" i="8" a="1"/>
  <c r="AZ46" i="8" a="1"/>
  <c r="AZ58" i="8" a="1"/>
  <c r="AZ69" i="8" a="1"/>
  <c r="AZ97" i="8" a="1"/>
  <c r="AZ128" i="8" a="1"/>
  <c r="AZ48" i="8" a="1"/>
  <c r="AZ60" i="8" a="1"/>
  <c r="AO50" i="15" a="1"/>
  <c r="AO44" i="15" a="1"/>
  <c r="AZ73" i="8" a="1"/>
  <c r="X92" i="15" a="1"/>
  <c r="AO48" i="15" a="1"/>
  <c r="AO56" i="15" a="1"/>
  <c r="AC92" i="15" a="1"/>
  <c r="AZ54" i="8" a="1"/>
  <c r="AD92" i="15" a="1"/>
  <c r="AO90" i="15" a="1"/>
  <c r="AZ55" i="8" a="1"/>
  <c r="AO92" i="15" a="1"/>
  <c r="F92" i="15" a="1"/>
  <c r="M92" i="15" a="1"/>
  <c r="O92" i="15" a="1"/>
  <c r="AZ126" i="8" a="1"/>
  <c r="AZ124" i="8" a="1"/>
  <c r="AO69" i="15" a="1"/>
  <c r="AJ92" i="15" a="1"/>
  <c r="J92" i="15" a="1"/>
  <c r="AZ125" i="8" a="1"/>
  <c r="AO58" i="15" a="1"/>
  <c r="AZ76" i="8" a="1"/>
  <c r="AH92" i="15" a="1"/>
  <c r="AO60" i="15" a="1"/>
  <c r="AZ103" i="8" a="1"/>
  <c r="AZ68" i="8" a="1"/>
  <c r="AZ79" i="8" a="1"/>
  <c r="AZ130" i="8" a="1"/>
  <c r="AZ90" i="8" a="1"/>
  <c r="AZ59" i="8" a="1"/>
  <c r="AZ78" i="8" a="1"/>
  <c r="AZ70" i="8" a="1"/>
  <c r="AZ49" i="8" a="1"/>
  <c r="AO68" i="15" a="1"/>
  <c r="AO61" i="15" a="1"/>
  <c r="R92" i="15" a="1"/>
  <c r="AZ66" i="8" a="1"/>
  <c r="AO75" i="15" a="1"/>
  <c r="AO83" i="15" a="1"/>
  <c r="AB92" i="15" a="1"/>
  <c r="AO67" i="15" a="1"/>
  <c r="AZ65" i="8" a="1"/>
  <c r="AE92" i="15" a="1"/>
  <c r="AZ41" i="8" a="1"/>
  <c r="AO86" i="15" a="1"/>
  <c r="AO45" i="15" a="1"/>
  <c r="Y92" i="15" a="1"/>
  <c r="AF92" i="15" a="1"/>
  <c r="AO46" i="15" a="1"/>
  <c r="AZ92" i="8" a="1"/>
  <c r="I92" i="15" a="1"/>
  <c r="AZ95" i="8" a="1"/>
  <c r="AO79" i="15" a="1"/>
  <c r="AO59" i="15" a="1"/>
  <c r="AZ85" i="8" a="1"/>
  <c r="AK92" i="15" a="1"/>
  <c r="AO89" i="15" a="1"/>
  <c r="K92" i="15" a="1"/>
  <c r="AO49" i="15" a="1"/>
  <c r="Z92" i="15" a="1"/>
  <c r="AG92" i="15" a="1"/>
  <c r="AZ74" i="8" a="1"/>
  <c r="G92" i="15" a="1"/>
  <c r="AO82" i="15" a="1"/>
  <c r="AZ64" i="8" a="1"/>
  <c r="AO71" i="15" a="1"/>
  <c r="U92" i="15" a="1"/>
  <c r="AO47" i="15" a="1"/>
  <c r="D92" i="15" a="1"/>
  <c r="AZ109" i="8" l="1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O82" i="15"/>
  <c r="AO145" i="15" s="1"/>
  <c r="AO58" i="15"/>
  <c r="AO121" i="15" s="1"/>
  <c r="AO60" i="15"/>
  <c r="AO123" i="15" s="1"/>
  <c r="AO80" i="15"/>
  <c r="AO143" i="15" s="1"/>
  <c r="AO73" i="15"/>
  <c r="AO136" i="15" s="1"/>
  <c r="AO83" i="15"/>
  <c r="AO146" i="15" s="1"/>
  <c r="AO63" i="15"/>
  <c r="AO126" i="15" s="1"/>
  <c r="AO87" i="15"/>
  <c r="AO150" i="15" s="1"/>
  <c r="AO88" i="15"/>
  <c r="AO151" i="15" s="1"/>
  <c r="AO56" i="15"/>
  <c r="AO119" i="15" s="1"/>
  <c r="AO72" i="15"/>
  <c r="AO135" i="15" s="1"/>
  <c r="AO59" i="15"/>
  <c r="AO122" i="15" s="1"/>
  <c r="AO45" i="15"/>
  <c r="AO108" i="15" s="1"/>
  <c r="AO78" i="15"/>
  <c r="AO141" i="15" s="1"/>
  <c r="AO53" i="15"/>
  <c r="AO116" i="15" s="1"/>
  <c r="AO75" i="15"/>
  <c r="AO138" i="15" s="1"/>
  <c r="AO62" i="15"/>
  <c r="AO125" i="15" s="1"/>
  <c r="AO57" i="15"/>
  <c r="AO120" i="15" s="1"/>
  <c r="AO66" i="15"/>
  <c r="AO129" i="15" s="1"/>
  <c r="AO48" i="15"/>
  <c r="AO111" i="15" s="1"/>
  <c r="AO47" i="15"/>
  <c r="AO110" i="15" s="1"/>
  <c r="AO79" i="15"/>
  <c r="AO142" i="15" s="1"/>
  <c r="AO86" i="15"/>
  <c r="AO149" i="15" s="1"/>
  <c r="AO51" i="15"/>
  <c r="AO114" i="15" s="1"/>
  <c r="AO65" i="15"/>
  <c r="AO128" i="15" s="1"/>
  <c r="AO49" i="15"/>
  <c r="AO112" i="15" s="1"/>
  <c r="AO69" i="15"/>
  <c r="AO132" i="15" s="1"/>
  <c r="AO90" i="15"/>
  <c r="AO153" i="15" s="1"/>
  <c r="AO52" i="15"/>
  <c r="AO115" i="15" s="1"/>
  <c r="AO76" i="15"/>
  <c r="AO139" i="15" s="1"/>
  <c r="AO70" i="15"/>
  <c r="AO133" i="15" s="1"/>
  <c r="AO54" i="15"/>
  <c r="AO117" i="15" s="1"/>
  <c r="AO61" i="15"/>
  <c r="AO124" i="15" s="1"/>
  <c r="AO64" i="15"/>
  <c r="AO127" i="15" s="1"/>
  <c r="AO84" i="15"/>
  <c r="AO147" i="15" s="1"/>
  <c r="AO43" i="15"/>
  <c r="AO106" i="15" s="1"/>
  <c r="AO44" i="15"/>
  <c r="AO107" i="15" s="1"/>
  <c r="AO71" i="15"/>
  <c r="AO134" i="15" s="1"/>
  <c r="AO77" i="15"/>
  <c r="AO140" i="15" s="1"/>
  <c r="AO68" i="15"/>
  <c r="AO131" i="15" s="1"/>
  <c r="AO74" i="15"/>
  <c r="AO137" i="15" s="1"/>
  <c r="AO39" i="15"/>
  <c r="AO105" i="15" s="1"/>
  <c r="AO55" i="15"/>
  <c r="AO118" i="15" s="1"/>
  <c r="AO50" i="15"/>
  <c r="AO113" i="15" s="1"/>
  <c r="AO81" i="15"/>
  <c r="AO144" i="15" s="1"/>
  <c r="AO46" i="15"/>
  <c r="AO109" i="15" s="1"/>
  <c r="AO67" i="15"/>
  <c r="AO130" i="15" s="1"/>
  <c r="AO85" i="15"/>
  <c r="AO148" i="15" s="1"/>
  <c r="AO89" i="15"/>
  <c r="AO152" i="15" s="1"/>
  <c r="AQ38" i="15"/>
  <c r="AL154" i="15"/>
  <c r="AH154" i="15"/>
  <c r="Z154" i="15"/>
  <c r="AD154" i="15"/>
  <c r="V154" i="15"/>
  <c r="R154" i="15"/>
  <c r="AZ43" i="8"/>
  <c r="AZ42" i="8"/>
  <c r="AZ41" i="8"/>
  <c r="AZ44" i="8"/>
  <c r="AZ45" i="8"/>
  <c r="AZ84" i="8"/>
  <c r="AZ85" i="8"/>
  <c r="AZ83" i="8"/>
  <c r="AZ82" i="8"/>
  <c r="AZ86" i="8"/>
  <c r="N154" i="15"/>
  <c r="F154" i="15"/>
  <c r="K154" i="15"/>
  <c r="AM154" i="15"/>
  <c r="AI154" i="15"/>
  <c r="AE154" i="15"/>
  <c r="AA154" i="15"/>
  <c r="W154" i="15"/>
  <c r="S154" i="15"/>
  <c r="O154" i="15"/>
  <c r="J154" i="15"/>
  <c r="AO154" i="15"/>
  <c r="AK154" i="15"/>
  <c r="AG154" i="15"/>
  <c r="AB154" i="15"/>
  <c r="Y154" i="15"/>
  <c r="U154" i="15"/>
  <c r="Q154" i="15"/>
  <c r="M154" i="15"/>
  <c r="I154" i="15"/>
  <c r="E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BA103" i="8" a="1"/>
  <c r="BA127" i="8" a="1"/>
  <c r="BA108" i="8" a="1"/>
  <c r="BA67" i="8" a="1"/>
  <c r="BA87" i="8" a="1"/>
  <c r="BA129" i="8" a="1"/>
  <c r="BA97" i="8" a="1"/>
  <c r="BA107" i="8" a="1"/>
  <c r="BA60" i="8" a="1"/>
  <c r="BA62" i="8" a="1"/>
  <c r="AP69" i="15" a="1"/>
  <c r="O93" i="15" a="1"/>
  <c r="BA95" i="8" a="1"/>
  <c r="AP61" i="15" a="1"/>
  <c r="AP79" i="15" a="1"/>
  <c r="BA66" i="8" a="1"/>
  <c r="J93" i="15" a="1"/>
  <c r="BA73" i="8" a="1"/>
  <c r="AP49" i="15" a="1"/>
  <c r="BA84" i="8" a="1"/>
  <c r="BA86" i="8" a="1"/>
  <c r="BA94" i="8" a="1"/>
  <c r="AP68" i="15" a="1"/>
  <c r="W93" i="15" a="1"/>
  <c r="AP86" i="15" a="1"/>
  <c r="AP56" i="15" a="1"/>
  <c r="AO93" i="15" a="1"/>
  <c r="R93" i="15" a="1"/>
  <c r="AP51" i="15" a="1"/>
  <c r="AF93" i="15" a="1"/>
  <c r="X93" i="15" a="1"/>
  <c r="AP39" i="15" a="1"/>
  <c r="AP87" i="15" a="1"/>
  <c r="AP52" i="15" a="1"/>
  <c r="BA72" i="8" a="1"/>
  <c r="BA42" i="8" a="1"/>
  <c r="AP47" i="15" a="1"/>
  <c r="AP74" i="15" a="1"/>
  <c r="Y93" i="15" a="1"/>
  <c r="BA124" i="8" a="1"/>
  <c r="BA104" i="8" a="1"/>
  <c r="BA68" i="8" a="1"/>
  <c r="BA89" i="8" a="1"/>
  <c r="BA130" i="8" a="1"/>
  <c r="BA58" i="8" a="1"/>
  <c r="BA57" i="8" a="1"/>
  <c r="BA48" i="8" a="1"/>
  <c r="BA78" i="8" a="1"/>
  <c r="BA109" i="8" a="1"/>
  <c r="AI93" i="15" a="1"/>
  <c r="AP57" i="15" a="1"/>
  <c r="BA41" i="8" a="1"/>
  <c r="AN93" i="15" a="1"/>
  <c r="BA44" i="8" a="1"/>
  <c r="AP70" i="15" a="1"/>
  <c r="AA93" i="15" a="1"/>
  <c r="AP89" i="15" a="1"/>
  <c r="AP90" i="15" a="1"/>
  <c r="M93" i="15" a="1"/>
  <c r="BA82" i="8" a="1"/>
  <c r="AP77" i="15" a="1"/>
  <c r="BA76" i="8" a="1"/>
  <c r="BA83" i="8" a="1"/>
  <c r="AP46" i="15" a="1"/>
  <c r="AP91" i="15" a="1"/>
  <c r="AP82" i="15" a="1"/>
  <c r="AJ93" i="15" a="1"/>
  <c r="BA53" i="8" a="1"/>
  <c r="AP88" i="15" a="1"/>
  <c r="AP75" i="15" a="1"/>
  <c r="BA125" i="8" a="1"/>
  <c r="AL93" i="15" a="1"/>
  <c r="AP83" i="15" a="1"/>
  <c r="AP43" i="15" a="1"/>
  <c r="AE93" i="15" a="1"/>
  <c r="BA54" i="8" a="1"/>
  <c r="AP84" i="15" a="1"/>
  <c r="AP76" i="15" a="1"/>
  <c r="Z93" i="15" a="1"/>
  <c r="AG93" i="15" a="1"/>
  <c r="BA105" i="8" a="1"/>
  <c r="BA46" i="8" a="1"/>
  <c r="BA99" i="8" a="1"/>
  <c r="BA88" i="8" a="1"/>
  <c r="BA100" i="8" a="1"/>
  <c r="BA90" i="8" a="1"/>
  <c r="BA47" i="8" a="1"/>
  <c r="BA59" i="8" a="1"/>
  <c r="BA49" i="8" a="1"/>
  <c r="AP81" i="15" a="1"/>
  <c r="BA96" i="8" a="1"/>
  <c r="V93" i="15" a="1"/>
  <c r="BA52" i="8" a="1"/>
  <c r="AP73" i="15" a="1"/>
  <c r="D93" i="15" a="1"/>
  <c r="BA64" i="8" a="1"/>
  <c r="BA43" i="8" a="1"/>
  <c r="AP48" i="15" a="1"/>
  <c r="AP58" i="15" a="1"/>
  <c r="K93" i="15" a="1"/>
  <c r="AP66" i="15" a="1"/>
  <c r="AP60" i="15" a="1"/>
  <c r="AP65" i="15" a="1"/>
  <c r="BA63" i="8" a="1"/>
  <c r="AC93" i="15" a="1"/>
  <c r="AP93" i="15" a="1"/>
  <c r="AP44" i="15" a="1"/>
  <c r="H93" i="15" a="1"/>
  <c r="BA75" i="8" a="1"/>
  <c r="BA56" i="8" a="1"/>
  <c r="AP54" i="15" a="1"/>
  <c r="L93" i="15" a="1"/>
  <c r="T93" i="15" a="1"/>
  <c r="I93" i="15" a="1"/>
  <c r="AP80" i="15" a="1"/>
  <c r="C93" i="15" a="1"/>
  <c r="Q93" i="15" a="1"/>
  <c r="BA92" i="8" a="1"/>
  <c r="AP72" i="15" a="1"/>
  <c r="U93" i="15" a="1"/>
  <c r="BA123" i="8" a="1"/>
  <c r="BA106" i="8" a="1"/>
  <c r="BA79" i="8" a="1"/>
  <c r="BA77" i="8" a="1"/>
  <c r="BA69" i="8" a="1"/>
  <c r="BA110" i="8" a="1"/>
  <c r="BA128" i="8" a="1"/>
  <c r="BA98" i="8" a="1"/>
  <c r="BA70" i="8" a="1"/>
  <c r="BA80" i="8" a="1"/>
  <c r="AP78" i="15" a="1"/>
  <c r="AP55" i="15" a="1"/>
  <c r="AM93" i="15" a="1"/>
  <c r="AP50" i="15" a="1"/>
  <c r="AP67" i="15" a="1"/>
  <c r="AP45" i="15" a="1"/>
  <c r="BA74" i="8" a="1"/>
  <c r="E93" i="15" a="1"/>
  <c r="G93" i="15" a="1"/>
  <c r="AP63" i="15" a="1"/>
  <c r="S93" i="15" a="1"/>
  <c r="BA55" i="8" a="1"/>
  <c r="AP62" i="15" a="1"/>
  <c r="AP59" i="15" a="1"/>
  <c r="BA126" i="8" a="1"/>
  <c r="AP85" i="15" a="1"/>
  <c r="N93" i="15" a="1"/>
  <c r="BA85" i="8" a="1"/>
  <c r="BA65" i="8" a="1"/>
  <c r="AD93" i="15" a="1"/>
  <c r="F93" i="15" a="1"/>
  <c r="AP64" i="15" a="1"/>
  <c r="AK93" i="15" a="1"/>
  <c r="AP71" i="15" a="1"/>
  <c r="P93" i="15" a="1"/>
  <c r="BA45" i="8" a="1"/>
  <c r="AH93" i="15" a="1"/>
  <c r="BA122" i="8" a="1"/>
  <c r="AB93" i="15" a="1"/>
  <c r="AP53" i="15" a="1"/>
  <c r="BA93" i="8" a="1"/>
  <c r="AZ119" i="8" l="1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119" i="8" s="1"/>
  <c r="BA46" i="8"/>
  <c r="BA104" i="8"/>
  <c r="BA103" i="8"/>
  <c r="BA106" i="8"/>
  <c r="BA105" i="8"/>
  <c r="AZ118" i="8"/>
  <c r="AZ117" i="8"/>
  <c r="AZ120" i="8"/>
  <c r="AP39" i="15"/>
  <c r="AP105" i="15" s="1"/>
  <c r="AP46" i="15"/>
  <c r="AP109" i="15" s="1"/>
  <c r="AP53" i="15"/>
  <c r="AP116" i="15" s="1"/>
  <c r="AP64" i="15"/>
  <c r="AP127" i="15" s="1"/>
  <c r="AP68" i="15"/>
  <c r="AP131" i="15" s="1"/>
  <c r="AP70" i="15"/>
  <c r="AP133" i="15" s="1"/>
  <c r="AP72" i="15"/>
  <c r="AP135" i="15" s="1"/>
  <c r="AP54" i="15"/>
  <c r="AP117" i="15" s="1"/>
  <c r="AP59" i="15"/>
  <c r="AP122" i="15" s="1"/>
  <c r="AP79" i="15"/>
  <c r="AP142" i="15" s="1"/>
  <c r="AP76" i="15"/>
  <c r="AP139" i="15" s="1"/>
  <c r="AP75" i="15"/>
  <c r="AP138" i="15" s="1"/>
  <c r="AP65" i="15"/>
  <c r="AP128" i="15" s="1"/>
  <c r="AP45" i="15"/>
  <c r="AP108" i="15" s="1"/>
  <c r="AP74" i="15"/>
  <c r="AP137" i="15" s="1"/>
  <c r="AP62" i="15"/>
  <c r="AP125" i="15" s="1"/>
  <c r="AP61" i="15"/>
  <c r="AP124" i="15" s="1"/>
  <c r="AP84" i="15"/>
  <c r="AP147" i="15" s="1"/>
  <c r="AP88" i="15"/>
  <c r="AP151" i="15" s="1"/>
  <c r="AP60" i="15"/>
  <c r="AP123" i="15" s="1"/>
  <c r="AP67" i="15"/>
  <c r="AP130" i="15" s="1"/>
  <c r="AP47" i="15"/>
  <c r="AP110" i="15" s="1"/>
  <c r="AP51" i="15"/>
  <c r="AP114" i="15" s="1"/>
  <c r="AP77" i="15"/>
  <c r="AP140" i="15" s="1"/>
  <c r="AP73" i="15"/>
  <c r="AP136" i="15" s="1"/>
  <c r="AP66" i="15"/>
  <c r="AP129" i="15" s="1"/>
  <c r="AP50" i="15"/>
  <c r="AP113" i="15" s="1"/>
  <c r="AP49" i="15"/>
  <c r="AP112" i="15" s="1"/>
  <c r="AP57" i="15"/>
  <c r="AP120" i="15" s="1"/>
  <c r="AP80" i="15"/>
  <c r="AP143" i="15" s="1"/>
  <c r="AP44" i="15"/>
  <c r="AP107" i="15" s="1"/>
  <c r="AP63" i="15"/>
  <c r="AP126" i="15" s="1"/>
  <c r="AP69" i="15"/>
  <c r="AP132" i="15" s="1"/>
  <c r="AP43" i="15"/>
  <c r="AP106" i="15" s="1"/>
  <c r="AP82" i="15"/>
  <c r="AP145" i="15" s="1"/>
  <c r="AP58" i="15"/>
  <c r="AP121" i="15" s="1"/>
  <c r="AP55" i="15"/>
  <c r="AP118" i="15" s="1"/>
  <c r="AP52" i="15"/>
  <c r="AP115" i="15" s="1"/>
  <c r="AP56" i="15"/>
  <c r="AP119" i="15" s="1"/>
  <c r="AP90" i="15"/>
  <c r="AP153" i="15" s="1"/>
  <c r="AP83" i="15"/>
  <c r="AP146" i="15" s="1"/>
  <c r="AP91" i="15"/>
  <c r="AP154" i="15" s="1"/>
  <c r="AP48" i="15"/>
  <c r="AP111" i="15" s="1"/>
  <c r="AP78" i="15"/>
  <c r="AP141" i="15" s="1"/>
  <c r="AP87" i="15"/>
  <c r="AP150" i="15" s="1"/>
  <c r="AP86" i="15"/>
  <c r="AP149" i="15" s="1"/>
  <c r="AP89" i="15"/>
  <c r="AP152" i="15" s="1"/>
  <c r="AP81" i="15"/>
  <c r="AP144" i="15" s="1"/>
  <c r="AP71" i="15"/>
  <c r="AP134" i="15" s="1"/>
  <c r="AP85" i="15"/>
  <c r="AP148" i="15" s="1"/>
  <c r="AR38" i="15"/>
  <c r="AP155" i="15"/>
  <c r="AL155" i="15"/>
  <c r="AH155" i="15"/>
  <c r="AD155" i="15"/>
  <c r="BA41" i="8"/>
  <c r="BA44" i="8"/>
  <c r="BA42" i="8"/>
  <c r="BA43" i="8"/>
  <c r="BA45" i="8"/>
  <c r="BA85" i="8"/>
  <c r="BA82" i="8"/>
  <c r="BA84" i="8"/>
  <c r="BA83" i="8"/>
  <c r="BA86" i="8"/>
  <c r="Z155" i="15"/>
  <c r="V155" i="15"/>
  <c r="R155" i="15"/>
  <c r="N155" i="15"/>
  <c r="J155" i="15"/>
  <c r="AN155" i="15"/>
  <c r="AJ155" i="15"/>
  <c r="AF155" i="15"/>
  <c r="AC155" i="15"/>
  <c r="X155" i="15"/>
  <c r="T155" i="15"/>
  <c r="P155" i="15"/>
  <c r="F155" i="15"/>
  <c r="L155" i="15"/>
  <c r="H155" i="15"/>
  <c r="AM155" i="15"/>
  <c r="AI155" i="15"/>
  <c r="AE155" i="15"/>
  <c r="AA155" i="15"/>
  <c r="W155" i="15"/>
  <c r="S155" i="15"/>
  <c r="O155" i="15"/>
  <c r="K155" i="15"/>
  <c r="G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BB105" i="8" a="1"/>
  <c r="BB46" i="8" a="1"/>
  <c r="BB89" i="8" a="1"/>
  <c r="BB108" i="8" a="1"/>
  <c r="BB90" i="8" a="1"/>
  <c r="BB77" i="8" a="1"/>
  <c r="BB129" i="8" a="1"/>
  <c r="BB128" i="8" a="1"/>
  <c r="BB60" i="8" a="1"/>
  <c r="AQ44" i="15" a="1"/>
  <c r="Z94" i="15" a="1"/>
  <c r="AQ56" i="15" a="1"/>
  <c r="BB72" i="8" a="1"/>
  <c r="AQ47" i="15" a="1"/>
  <c r="AQ66" i="15" a="1"/>
  <c r="BB124" i="8" a="1"/>
  <c r="AA94" i="15" a="1"/>
  <c r="J94" i="15" a="1"/>
  <c r="AQ48" i="15" a="1"/>
  <c r="AQ73" i="15" a="1"/>
  <c r="BB75" i="8" a="1"/>
  <c r="BB73" i="8" a="1"/>
  <c r="AQ93" i="15" a="1"/>
  <c r="AQ92" i="15" a="1"/>
  <c r="BB52" i="8" a="1"/>
  <c r="AQ53" i="15" a="1"/>
  <c r="L94" i="15" a="1"/>
  <c r="BB92" i="8" a="1"/>
  <c r="AQ86" i="15" a="1"/>
  <c r="AQ69" i="15" a="1"/>
  <c r="AQ76" i="15" a="1"/>
  <c r="AE94" i="15" a="1"/>
  <c r="BB76" i="8" a="1"/>
  <c r="AQ79" i="15" a="1"/>
  <c r="AQ88" i="15" a="1"/>
  <c r="C94" i="15" a="1"/>
  <c r="BB42" i="8" a="1"/>
  <c r="BB84" i="8" a="1"/>
  <c r="AQ71" i="15" a="1"/>
  <c r="BB64" i="8" a="1"/>
  <c r="BB106" i="8" a="1"/>
  <c r="BB68" i="8" a="1"/>
  <c r="BB79" i="8" a="1"/>
  <c r="BB99" i="8" a="1"/>
  <c r="BB130" i="8" a="1"/>
  <c r="BB98" i="8" a="1"/>
  <c r="BB70" i="8" a="1"/>
  <c r="BB97" i="8" a="1"/>
  <c r="BB49" i="8" a="1"/>
  <c r="AQ51" i="15" a="1"/>
  <c r="AR94" i="15" a="1"/>
  <c r="BB53" i="8" a="1"/>
  <c r="AF94" i="15" a="1"/>
  <c r="AQ81" i="15" a="1"/>
  <c r="AQ82" i="15" a="1"/>
  <c r="AL94" i="15" a="1"/>
  <c r="AQ85" i="15" a="1"/>
  <c r="AI94" i="15" a="1"/>
  <c r="AQ67" i="15" a="1"/>
  <c r="AQ49" i="15" a="1"/>
  <c r="M94" i="15" a="1"/>
  <c r="F94" i="15" a="1"/>
  <c r="V94" i="15" a="1"/>
  <c r="AQ62" i="15" a="1"/>
  <c r="AG94" i="15" a="1"/>
  <c r="AQ52" i="15" a="1"/>
  <c r="AQ83" i="15" a="1"/>
  <c r="N94" i="15" a="1"/>
  <c r="BB62" i="8" a="1"/>
  <c r="Y94" i="15" a="1"/>
  <c r="AQ87" i="15" a="1"/>
  <c r="AD94" i="15" a="1"/>
  <c r="BB125" i="8" a="1"/>
  <c r="BB56" i="8" a="1"/>
  <c r="AQ64" i="15" a="1"/>
  <c r="BB85" i="8" a="1"/>
  <c r="AQ91" i="15" a="1"/>
  <c r="S94" i="15" a="1"/>
  <c r="BB95" i="8" a="1"/>
  <c r="O94" i="15" a="1"/>
  <c r="W94" i="15" a="1"/>
  <c r="E94" i="15" a="1"/>
  <c r="T94" i="15" a="1"/>
  <c r="BB103" i="8" a="1"/>
  <c r="BB87" i="8" a="1"/>
  <c r="BB127" i="8" a="1"/>
  <c r="BB58" i="8" a="1"/>
  <c r="BB100" i="8" a="1"/>
  <c r="BB48" i="8" a="1"/>
  <c r="BB107" i="8" a="1"/>
  <c r="BB78" i="8" a="1"/>
  <c r="BB80" i="8" a="1"/>
  <c r="AQ72" i="15" a="1"/>
  <c r="AQ57" i="15" a="1"/>
  <c r="Q94" i="15" a="1"/>
  <c r="BB94" i="8" a="1"/>
  <c r="AO94" i="15" a="1"/>
  <c r="AQ43" i="15" a="1"/>
  <c r="R94" i="15" a="1"/>
  <c r="AC94" i="15" a="1"/>
  <c r="BB126" i="8" a="1"/>
  <c r="BB43" i="8" a="1"/>
  <c r="AQ39" i="15" a="1"/>
  <c r="AN94" i="15" a="1"/>
  <c r="AQ68" i="15" a="1"/>
  <c r="AK94" i="15" a="1"/>
  <c r="BB96" i="8" a="1"/>
  <c r="BB122" i="8" a="1"/>
  <c r="AQ63" i="15" a="1"/>
  <c r="AQ74" i="15" a="1"/>
  <c r="BB63" i="8" a="1"/>
  <c r="BB123" i="8" a="1"/>
  <c r="BB66" i="8" a="1"/>
  <c r="AQ54" i="15" a="1"/>
  <c r="AJ94" i="15" a="1"/>
  <c r="BB74" i="8" a="1"/>
  <c r="P94" i="15" a="1"/>
  <c r="AQ65" i="15" a="1"/>
  <c r="BB45" i="8" a="1"/>
  <c r="AQ50" i="15" a="1"/>
  <c r="AQ59" i="15" a="1"/>
  <c r="BB86" i="8" a="1"/>
  <c r="AP94" i="15" a="1"/>
  <c r="BB104" i="8" a="1"/>
  <c r="BB67" i="8" a="1"/>
  <c r="BB69" i="8" a="1"/>
  <c r="BB88" i="8" a="1"/>
  <c r="BB110" i="8" a="1"/>
  <c r="BB59" i="8" a="1"/>
  <c r="BB47" i="8" a="1"/>
  <c r="BB57" i="8" a="1"/>
  <c r="BB109" i="8" a="1"/>
  <c r="G94" i="15" a="1"/>
  <c r="AQ45" i="15" a="1"/>
  <c r="AM94" i="15" a="1"/>
  <c r="AQ84" i="15" a="1"/>
  <c r="X94" i="15" a="1"/>
  <c r="I94" i="15" a="1"/>
  <c r="U94" i="15" a="1"/>
  <c r="BB82" i="8" a="1"/>
  <c r="AQ60" i="15" a="1"/>
  <c r="BB41" i="8" a="1"/>
  <c r="AQ70" i="15" a="1"/>
  <c r="AB94" i="15" a="1"/>
  <c r="AQ80" i="15" a="1"/>
  <c r="AQ58" i="15" a="1"/>
  <c r="K94" i="15" a="1"/>
  <c r="AQ94" i="15" a="1"/>
  <c r="BB93" i="8" a="1"/>
  <c r="AQ77" i="15" a="1"/>
  <c r="BB83" i="8" a="1"/>
  <c r="AQ75" i="15" a="1"/>
  <c r="AQ61" i="15" a="1"/>
  <c r="BB65" i="8" a="1"/>
  <c r="BB54" i="8" a="1"/>
  <c r="AQ89" i="15" a="1"/>
  <c r="H94" i="15" a="1"/>
  <c r="D94" i="15" a="1"/>
  <c r="AQ46" i="15" a="1"/>
  <c r="AQ55" i="15" a="1"/>
  <c r="AQ90" i="15" a="1"/>
  <c r="BB55" i="8" a="1"/>
  <c r="AQ78" i="15" a="1"/>
  <c r="AH94" i="15" a="1"/>
  <c r="BB44" i="8" a="1"/>
  <c r="BB109" i="8" l="1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AQ85" i="15"/>
  <c r="AQ148" i="15" s="1"/>
  <c r="AQ78" i="15"/>
  <c r="AQ141" i="15" s="1"/>
  <c r="AQ54" i="15"/>
  <c r="AQ117" i="15" s="1"/>
  <c r="AQ62" i="15"/>
  <c r="AQ125" i="15" s="1"/>
  <c r="AQ43" i="15"/>
  <c r="AQ106" i="15" s="1"/>
  <c r="AQ71" i="15"/>
  <c r="AQ134" i="15" s="1"/>
  <c r="AQ87" i="15"/>
  <c r="AQ150" i="15" s="1"/>
  <c r="AQ92" i="15"/>
  <c r="AQ155" i="15" s="1"/>
  <c r="AQ82" i="15"/>
  <c r="AQ145" i="15" s="1"/>
  <c r="AQ90" i="15"/>
  <c r="AQ153" i="15" s="1"/>
  <c r="AQ76" i="15"/>
  <c r="AQ139" i="15" s="1"/>
  <c r="AQ58" i="15"/>
  <c r="AQ121" i="15" s="1"/>
  <c r="AQ66" i="15"/>
  <c r="AQ129" i="15" s="1"/>
  <c r="AQ59" i="15"/>
  <c r="AQ122" i="15" s="1"/>
  <c r="AQ61" i="15"/>
  <c r="AQ124" i="15" s="1"/>
  <c r="AQ93" i="15"/>
  <c r="AQ156" i="15" s="1"/>
  <c r="AQ81" i="15"/>
  <c r="AQ144" i="15" s="1"/>
  <c r="AQ55" i="15"/>
  <c r="AQ118" i="15" s="1"/>
  <c r="AQ69" i="15"/>
  <c r="AQ132" i="15" s="1"/>
  <c r="AQ80" i="15"/>
  <c r="AQ143" i="15" s="1"/>
  <c r="AQ47" i="15"/>
  <c r="AQ110" i="15" s="1"/>
  <c r="AQ50" i="15"/>
  <c r="AQ113" i="15" s="1"/>
  <c r="AQ75" i="15"/>
  <c r="AQ138" i="15" s="1"/>
  <c r="AQ68" i="15"/>
  <c r="AQ131" i="15" s="1"/>
  <c r="AQ84" i="15"/>
  <c r="AQ147" i="15" s="1"/>
  <c r="AQ91" i="15"/>
  <c r="AQ154" i="15" s="1"/>
  <c r="AQ46" i="15"/>
  <c r="AQ109" i="15" s="1"/>
  <c r="AQ86" i="15"/>
  <c r="AQ149" i="15" s="1"/>
  <c r="AQ70" i="15"/>
  <c r="AQ133" i="15" s="1"/>
  <c r="AQ56" i="15"/>
  <c r="AQ119" i="15" s="1"/>
  <c r="AQ65" i="15"/>
  <c r="AQ128" i="15" s="1"/>
  <c r="AQ77" i="15"/>
  <c r="AQ140" i="15" s="1"/>
  <c r="AQ39" i="15"/>
  <c r="AQ105" i="15" s="1"/>
  <c r="AQ45" i="15"/>
  <c r="AQ108" i="15" s="1"/>
  <c r="AQ64" i="15"/>
  <c r="AQ127" i="15" s="1"/>
  <c r="AQ74" i="15"/>
  <c r="AQ137" i="15" s="1"/>
  <c r="AQ49" i="15"/>
  <c r="AQ112" i="15" s="1"/>
  <c r="AQ57" i="15"/>
  <c r="AQ120" i="15" s="1"/>
  <c r="AQ88" i="15"/>
  <c r="AQ151" i="15" s="1"/>
  <c r="AQ83" i="15"/>
  <c r="AQ146" i="15" s="1"/>
  <c r="AQ73" i="15"/>
  <c r="AQ136" i="15" s="1"/>
  <c r="AQ63" i="15"/>
  <c r="AQ126" i="15" s="1"/>
  <c r="AQ67" i="15"/>
  <c r="AQ130" i="15" s="1"/>
  <c r="AQ72" i="15"/>
  <c r="AQ135" i="15" s="1"/>
  <c r="AQ79" i="15"/>
  <c r="AQ142" i="15" s="1"/>
  <c r="AQ52" i="15"/>
  <c r="AQ115" i="15" s="1"/>
  <c r="AQ48" i="15"/>
  <c r="AQ111" i="15" s="1"/>
  <c r="AQ51" i="15"/>
  <c r="AQ114" i="15" s="1"/>
  <c r="AQ89" i="15"/>
  <c r="AQ152" i="15" s="1"/>
  <c r="AQ53" i="15"/>
  <c r="AQ116" i="15" s="1"/>
  <c r="AQ60" i="15"/>
  <c r="AQ123" i="15" s="1"/>
  <c r="AQ44" i="15"/>
  <c r="AQ107" i="15" s="1"/>
  <c r="AS38" i="15"/>
  <c r="AP156" i="15"/>
  <c r="AH156" i="15"/>
  <c r="AL156" i="15"/>
  <c r="AD156" i="15"/>
  <c r="Z156" i="15"/>
  <c r="BB41" i="8"/>
  <c r="BB43" i="8"/>
  <c r="BB45" i="8"/>
  <c r="BB42" i="8"/>
  <c r="BB44" i="8"/>
  <c r="BB83" i="8"/>
  <c r="BB86" i="8"/>
  <c r="BB85" i="8"/>
  <c r="BB82" i="8"/>
  <c r="BB84" i="8"/>
  <c r="V156" i="15"/>
  <c r="R156" i="15"/>
  <c r="N156" i="15"/>
  <c r="F156" i="15"/>
  <c r="K156" i="15"/>
  <c r="AO156" i="15"/>
  <c r="AG156" i="15"/>
  <c r="AB156" i="15"/>
  <c r="Y156" i="15"/>
  <c r="U156" i="15"/>
  <c r="AN156" i="15"/>
  <c r="AJ156" i="15"/>
  <c r="AF156" i="15"/>
  <c r="AC156" i="15"/>
  <c r="X156" i="15"/>
  <c r="AK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BC106" i="8" a="1"/>
  <c r="BC58" i="8" a="1"/>
  <c r="BC90" i="8" a="1"/>
  <c r="BC87" i="8" a="1"/>
  <c r="BC89" i="8" a="1"/>
  <c r="BC78" i="8" a="1"/>
  <c r="BC77" i="8" a="1"/>
  <c r="BC80" i="8" a="1"/>
  <c r="BC60" i="8" a="1"/>
  <c r="AR71" i="15" a="1"/>
  <c r="AR39" i="15" a="1"/>
  <c r="AR87" i="15" a="1"/>
  <c r="AR57" i="15" a="1"/>
  <c r="AR63" i="15" a="1"/>
  <c r="AR88" i="15" a="1"/>
  <c r="AR65" i="15" a="1"/>
  <c r="AR49" i="15" a="1"/>
  <c r="AR80" i="15" a="1"/>
  <c r="AR72" i="15" a="1"/>
  <c r="AR90" i="15" a="1"/>
  <c r="AR62" i="15" a="1"/>
  <c r="AR47" i="15" a="1"/>
  <c r="AR54" i="15" a="1"/>
  <c r="BC103" i="8" a="1"/>
  <c r="BC130" i="8" a="1"/>
  <c r="BC68" i="8" a="1"/>
  <c r="BC88" i="8" a="1"/>
  <c r="BC110" i="8" a="1"/>
  <c r="BC59" i="8" a="1"/>
  <c r="BC97" i="8" a="1"/>
  <c r="BC47" i="8" a="1"/>
  <c r="BC49" i="8" a="1"/>
  <c r="AR45" i="15" a="1"/>
  <c r="AR73" i="15" a="1"/>
  <c r="AR69" i="15" a="1"/>
  <c r="AR44" i="15" a="1"/>
  <c r="AR85" i="15" a="1"/>
  <c r="AR48" i="15" a="1"/>
  <c r="AR78" i="15" a="1"/>
  <c r="AR91" i="15" a="1"/>
  <c r="AR64" i="15" a="1"/>
  <c r="BC44" i="8" a="1"/>
  <c r="AR86" i="15" a="1"/>
  <c r="BC82" i="8" a="1"/>
  <c r="AR56" i="15" a="1"/>
  <c r="BC41" i="8" a="1"/>
  <c r="AR58" i="15" a="1"/>
  <c r="AR75" i="15" a="1"/>
  <c r="AR76" i="15" a="1"/>
  <c r="BC104" i="8" a="1"/>
  <c r="BC100" i="8" a="1"/>
  <c r="BC108" i="8" a="1"/>
  <c r="BC69" i="8" a="1"/>
  <c r="BC98" i="8" a="1"/>
  <c r="BC129" i="8" a="1"/>
  <c r="BC70" i="8" a="1"/>
  <c r="BC128" i="8" a="1"/>
  <c r="BC109" i="8" a="1"/>
  <c r="AR50" i="15" a="1"/>
  <c r="BC85" i="8" a="1"/>
  <c r="AR61" i="15" a="1"/>
  <c r="AR83" i="15" a="1"/>
  <c r="AR46" i="15" a="1"/>
  <c r="AR67" i="15" a="1"/>
  <c r="AR59" i="15" a="1"/>
  <c r="AR79" i="15" a="1"/>
  <c r="AR82" i="15" a="1"/>
  <c r="AR74" i="15" a="1"/>
  <c r="AR53" i="15" a="1"/>
  <c r="AR43" i="15" a="1"/>
  <c r="BC83" i="8" a="1"/>
  <c r="BC105" i="8" a="1"/>
  <c r="BC46" i="8" a="1"/>
  <c r="BC127" i="8" a="1"/>
  <c r="BC79" i="8" a="1"/>
  <c r="BC67" i="8" a="1"/>
  <c r="BC48" i="8" a="1"/>
  <c r="BC99" i="8" a="1"/>
  <c r="BC107" i="8" a="1"/>
  <c r="BC57" i="8" a="1"/>
  <c r="AR55" i="15" a="1"/>
  <c r="BC42" i="8" a="1"/>
  <c r="BC86" i="8" a="1"/>
  <c r="BC84" i="8" a="1"/>
  <c r="AR70" i="15" a="1"/>
  <c r="AR84" i="15" a="1"/>
  <c r="BC43" i="8" a="1"/>
  <c r="AR92" i="15" a="1"/>
  <c r="BC45" i="8" a="1"/>
  <c r="AR60" i="15" a="1"/>
  <c r="AR93" i="15" a="1"/>
  <c r="AR89" i="15" a="1"/>
  <c r="AR68" i="15" a="1"/>
  <c r="AR66" i="15" a="1"/>
  <c r="AR52" i="15" a="1"/>
  <c r="AR77" i="15" a="1"/>
  <c r="AR81" i="15" a="1"/>
  <c r="AR51" i="15" a="1"/>
  <c r="BB118" i="8" l="1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AR91" i="15"/>
  <c r="AR154" i="15" s="1"/>
  <c r="AR44" i="15"/>
  <c r="AR107" i="15" s="1"/>
  <c r="AR54" i="15"/>
  <c r="AR117" i="15" s="1"/>
  <c r="AR62" i="15"/>
  <c r="AR125" i="15" s="1"/>
  <c r="AR49" i="15"/>
  <c r="AR112" i="15" s="1"/>
  <c r="AR57" i="15"/>
  <c r="AR120" i="15" s="1"/>
  <c r="AR77" i="15"/>
  <c r="AR140" i="15" s="1"/>
  <c r="AR89" i="15"/>
  <c r="AR152" i="15" s="1"/>
  <c r="AR92" i="15"/>
  <c r="AR155" i="15" s="1"/>
  <c r="AR53" i="15"/>
  <c r="AR116" i="15" s="1"/>
  <c r="AR59" i="15"/>
  <c r="AR122" i="15" s="1"/>
  <c r="AR61" i="15"/>
  <c r="AR124" i="15" s="1"/>
  <c r="AR58" i="15"/>
  <c r="AR121" i="15" s="1"/>
  <c r="AR86" i="15"/>
  <c r="AR149" i="15" s="1"/>
  <c r="AR78" i="15"/>
  <c r="AR141" i="15" s="1"/>
  <c r="AR69" i="15"/>
  <c r="AR132" i="15" s="1"/>
  <c r="AR51" i="15"/>
  <c r="AR114" i="15" s="1"/>
  <c r="AR90" i="15"/>
  <c r="AR153" i="15" s="1"/>
  <c r="AR65" i="15"/>
  <c r="AR128" i="15" s="1"/>
  <c r="AR87" i="15"/>
  <c r="AR150" i="15" s="1"/>
  <c r="AR52" i="15"/>
  <c r="AR115" i="15" s="1"/>
  <c r="AR93" i="15"/>
  <c r="AR156" i="15" s="1"/>
  <c r="AR76" i="15"/>
  <c r="AR139" i="15" s="1"/>
  <c r="AR74" i="15"/>
  <c r="AR137" i="15" s="1"/>
  <c r="AR67" i="15"/>
  <c r="AR130" i="15" s="1"/>
  <c r="AR48" i="15"/>
  <c r="AR111" i="15" s="1"/>
  <c r="AR73" i="15"/>
  <c r="AR136" i="15" s="1"/>
  <c r="AR47" i="15"/>
  <c r="AR110" i="15" s="1"/>
  <c r="AR72" i="15"/>
  <c r="AR135" i="15" s="1"/>
  <c r="AR88" i="15"/>
  <c r="AR151" i="15" s="1"/>
  <c r="AR39" i="15"/>
  <c r="AR105" i="15" s="1"/>
  <c r="AR66" i="15"/>
  <c r="AR129" i="15" s="1"/>
  <c r="AR60" i="15"/>
  <c r="AR123" i="15" s="1"/>
  <c r="AR84" i="15"/>
  <c r="AR147" i="15" s="1"/>
  <c r="AR43" i="15"/>
  <c r="AR106" i="15" s="1"/>
  <c r="AR82" i="15"/>
  <c r="AR145" i="15" s="1"/>
  <c r="AR46" i="15"/>
  <c r="AR109" i="15" s="1"/>
  <c r="AR50" i="15"/>
  <c r="AR113" i="15" s="1"/>
  <c r="AR56" i="15"/>
  <c r="AR119" i="15" s="1"/>
  <c r="AR64" i="15"/>
  <c r="AR127" i="15" s="1"/>
  <c r="AR85" i="15"/>
  <c r="AR148" i="15" s="1"/>
  <c r="AR45" i="15"/>
  <c r="AR108" i="15" s="1"/>
  <c r="AR81" i="15"/>
  <c r="AR144" i="15" s="1"/>
  <c r="AR80" i="15"/>
  <c r="AR143" i="15" s="1"/>
  <c r="AR63" i="15"/>
  <c r="AR126" i="15" s="1"/>
  <c r="AR71" i="15"/>
  <c r="AR134" i="15" s="1"/>
  <c r="AR68" i="15"/>
  <c r="AR131" i="15" s="1"/>
  <c r="AR70" i="15"/>
  <c r="AR133" i="15" s="1"/>
  <c r="AR55" i="15"/>
  <c r="AR118" i="15" s="1"/>
  <c r="AR75" i="15"/>
  <c r="AR138" i="15" s="1"/>
  <c r="AR79" i="15"/>
  <c r="AR142" i="15" s="1"/>
  <c r="AR83" i="15"/>
  <c r="AR146" i="15" s="1"/>
  <c r="AT38" i="15"/>
  <c r="AP157" i="15"/>
  <c r="AH157" i="15"/>
  <c r="AD157" i="15"/>
  <c r="AL157" i="15"/>
  <c r="Z157" i="15"/>
  <c r="V157" i="15"/>
  <c r="R157" i="15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AR157" i="15"/>
  <c r="AN157" i="15"/>
  <c r="AJ157" i="15"/>
  <c r="AF157" i="15"/>
  <c r="AB157" i="15"/>
  <c r="X157" i="15"/>
  <c r="T157" i="15"/>
  <c r="P157" i="15"/>
  <c r="L157" i="15"/>
  <c r="H157" i="15"/>
  <c r="AO157" i="15"/>
  <c r="AK157" i="15"/>
  <c r="AG157" i="15"/>
  <c r="AC157" i="15"/>
  <c r="Y157" i="15"/>
  <c r="U157" i="15"/>
  <c r="Q157" i="15"/>
  <c r="M157" i="15"/>
  <c r="I157" i="15"/>
  <c r="E157" i="15"/>
  <c r="AQ157" i="15"/>
  <c r="AM157" i="15"/>
  <c r="AI157" i="15"/>
  <c r="AE157" i="15"/>
  <c r="AA157" i="15"/>
  <c r="W157" i="15"/>
  <c r="S157" i="15"/>
  <c r="O157" i="15"/>
  <c r="K157" i="15"/>
  <c r="G157" i="15"/>
  <c r="B96" i="15"/>
  <c r="BB116" i="8"/>
  <c r="BB115" i="8"/>
  <c r="BB113" i="8"/>
  <c r="BB102" i="8"/>
  <c r="BB112" i="8"/>
  <c r="BD39" i="8"/>
  <c r="BB114" i="8"/>
  <c r="BD106" i="8" a="1"/>
  <c r="BD127" i="8" a="1"/>
  <c r="BD110" i="8" a="1"/>
  <c r="BD100" i="8" a="1"/>
  <c r="BD108" i="8" a="1"/>
  <c r="BD99" i="8" a="1"/>
  <c r="BD70" i="8" a="1"/>
  <c r="BD98" i="8" a="1"/>
  <c r="BD60" i="8" a="1"/>
  <c r="AS53" i="15" a="1"/>
  <c r="BD42" i="8" a="1"/>
  <c r="AS71" i="15" a="1"/>
  <c r="AS64" i="15" a="1"/>
  <c r="AS39" i="15" a="1"/>
  <c r="AS72" i="15" a="1"/>
  <c r="AS46" i="15" a="1"/>
  <c r="AS67" i="15" a="1"/>
  <c r="AS43" i="15" a="1"/>
  <c r="BD45" i="8" a="1"/>
  <c r="AS77" i="15" a="1"/>
  <c r="BD85" i="8" a="1"/>
  <c r="AS51" i="15" a="1"/>
  <c r="AS82" i="15" a="1"/>
  <c r="AS68" i="15" a="1"/>
  <c r="BD103" i="8" a="1"/>
  <c r="BD87" i="8" a="1"/>
  <c r="BD46" i="8" a="1"/>
  <c r="BD89" i="8" a="1"/>
  <c r="BD67" i="8" a="1"/>
  <c r="BD97" i="8" a="1"/>
  <c r="BD128" i="8" a="1"/>
  <c r="BD107" i="8" a="1"/>
  <c r="BD109" i="8" a="1"/>
  <c r="AS74" i="15" a="1"/>
  <c r="AS52" i="15" a="1"/>
  <c r="AS89" i="15" a="1"/>
  <c r="AS76" i="15" a="1"/>
  <c r="AS50" i="15" a="1"/>
  <c r="AS65" i="15" a="1"/>
  <c r="AS92" i="15" a="1"/>
  <c r="AS88" i="15" a="1"/>
  <c r="BD86" i="8" a="1"/>
  <c r="AS66" i="15" a="1"/>
  <c r="AS93" i="15" a="1"/>
  <c r="AS84" i="15" a="1"/>
  <c r="AS69" i="15" a="1"/>
  <c r="AS44" i="15" a="1"/>
  <c r="AS94" i="15" a="1"/>
  <c r="BD43" i="8" a="1"/>
  <c r="AS48" i="15" a="1"/>
  <c r="BD104" i="8" a="1"/>
  <c r="BD90" i="8" a="1"/>
  <c r="BD58" i="8" a="1"/>
  <c r="BD88" i="8" a="1"/>
  <c r="BD47" i="8" a="1"/>
  <c r="BD48" i="8" a="1"/>
  <c r="BD129" i="8" a="1"/>
  <c r="BD80" i="8" a="1"/>
  <c r="BD49" i="8" a="1"/>
  <c r="AS59" i="15" a="1"/>
  <c r="AS60" i="15" a="1"/>
  <c r="AS56" i="15" a="1"/>
  <c r="AS54" i="15" a="1"/>
  <c r="AS62" i="15" a="1"/>
  <c r="AS63" i="15" a="1"/>
  <c r="BD84" i="8" a="1"/>
  <c r="AS45" i="15" a="1"/>
  <c r="AS85" i="15" a="1"/>
  <c r="AS70" i="15" a="1"/>
  <c r="AS49" i="15" a="1"/>
  <c r="BD44" i="8" a="1"/>
  <c r="BD41" i="8" a="1"/>
  <c r="BD83" i="8" a="1"/>
  <c r="BD105" i="8" a="1"/>
  <c r="BD79" i="8" a="1"/>
  <c r="BD68" i="8" a="1"/>
  <c r="BD130" i="8" a="1"/>
  <c r="BD69" i="8" a="1"/>
  <c r="BD78" i="8" a="1"/>
  <c r="BD59" i="8" a="1"/>
  <c r="BD77" i="8" a="1"/>
  <c r="BD57" i="8" a="1"/>
  <c r="AS78" i="15" a="1"/>
  <c r="AS81" i="15" a="1"/>
  <c r="AS86" i="15" a="1"/>
  <c r="AS83" i="15" a="1"/>
  <c r="AS55" i="15" a="1"/>
  <c r="BD82" i="8" a="1"/>
  <c r="AS90" i="15" a="1"/>
  <c r="AS61" i="15" a="1"/>
  <c r="AS73" i="15" a="1"/>
  <c r="AS57" i="15" a="1"/>
  <c r="AS91" i="15" a="1"/>
  <c r="AS58" i="15" a="1"/>
  <c r="AS79" i="15" a="1"/>
  <c r="AS80" i="15" a="1"/>
  <c r="AS47" i="15" a="1"/>
  <c r="AS87" i="15" a="1"/>
  <c r="AS75" i="15" a="1"/>
  <c r="BC117" i="8" l="1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19" i="8" s="1"/>
  <c r="BD104" i="8"/>
  <c r="BD103" i="8"/>
  <c r="BD106" i="8"/>
  <c r="BD105" i="8"/>
  <c r="BC119" i="8"/>
  <c r="BC118" i="8"/>
  <c r="BC120" i="8"/>
  <c r="AS68" i="15"/>
  <c r="AS131" i="15" s="1"/>
  <c r="AS58" i="15"/>
  <c r="AS121" i="15" s="1"/>
  <c r="AS67" i="15"/>
  <c r="AS130" i="15" s="1"/>
  <c r="AS76" i="15"/>
  <c r="AS139" i="15" s="1"/>
  <c r="AS87" i="15"/>
  <c r="AS150" i="15" s="1"/>
  <c r="AS49" i="15"/>
  <c r="AS112" i="15" s="1"/>
  <c r="AS61" i="15"/>
  <c r="AS124" i="15" s="1"/>
  <c r="AS64" i="15"/>
  <c r="AS127" i="15" s="1"/>
  <c r="AS48" i="15"/>
  <c r="AS111" i="15" s="1"/>
  <c r="AS93" i="15"/>
  <c r="AS156" i="15" s="1"/>
  <c r="AS83" i="15"/>
  <c r="AS146" i="15" s="1"/>
  <c r="AS94" i="15"/>
  <c r="AS157" i="15" s="1"/>
  <c r="AS77" i="15"/>
  <c r="AS140" i="15" s="1"/>
  <c r="AS92" i="15"/>
  <c r="AS155" i="15" s="1"/>
  <c r="AS56" i="15"/>
  <c r="AS119" i="15" s="1"/>
  <c r="AS75" i="15"/>
  <c r="AS138" i="15" s="1"/>
  <c r="AS91" i="15"/>
  <c r="AS154" i="15" s="1"/>
  <c r="AS46" i="15"/>
  <c r="AS109" i="15" s="1"/>
  <c r="AS89" i="15"/>
  <c r="AS152" i="15" s="1"/>
  <c r="AS47" i="15"/>
  <c r="AS110" i="15" s="1"/>
  <c r="AS70" i="15"/>
  <c r="AS133" i="15" s="1"/>
  <c r="AS90" i="15"/>
  <c r="AS153" i="15" s="1"/>
  <c r="AS71" i="15"/>
  <c r="AS134" i="15" s="1"/>
  <c r="AS66" i="15"/>
  <c r="AS129" i="15" s="1"/>
  <c r="AS63" i="15"/>
  <c r="AS126" i="15" s="1"/>
  <c r="AS86" i="15"/>
  <c r="AS149" i="15" s="1"/>
  <c r="AS44" i="15"/>
  <c r="AS107" i="15" s="1"/>
  <c r="AS65" i="15"/>
  <c r="AS128" i="15" s="1"/>
  <c r="AS60" i="15"/>
  <c r="AS123" i="15" s="1"/>
  <c r="AS82" i="15"/>
  <c r="AS145" i="15" s="1"/>
  <c r="AS57" i="15"/>
  <c r="AS120" i="15" s="1"/>
  <c r="AS72" i="15"/>
  <c r="AS135" i="15" s="1"/>
  <c r="AS52" i="15"/>
  <c r="AS115" i="15" s="1"/>
  <c r="AS80" i="15"/>
  <c r="AS143" i="15" s="1"/>
  <c r="AS85" i="15"/>
  <c r="AS148" i="15" s="1"/>
  <c r="AS62" i="15"/>
  <c r="AS125" i="15" s="1"/>
  <c r="AS81" i="15"/>
  <c r="AS144" i="15" s="1"/>
  <c r="AS69" i="15"/>
  <c r="AS132" i="15" s="1"/>
  <c r="AS43" i="15"/>
  <c r="AS106" i="15" s="1"/>
  <c r="AS50" i="15"/>
  <c r="AS113" i="15" s="1"/>
  <c r="AS59" i="15"/>
  <c r="AS122" i="15" s="1"/>
  <c r="AS51" i="15"/>
  <c r="AS114" i="15" s="1"/>
  <c r="AS73" i="15"/>
  <c r="AS136" i="15" s="1"/>
  <c r="AS39" i="15"/>
  <c r="AS105" i="15" s="1"/>
  <c r="AS74" i="15"/>
  <c r="AS137" i="15" s="1"/>
  <c r="AS79" i="15"/>
  <c r="AS142" i="15" s="1"/>
  <c r="AS45" i="15"/>
  <c r="AS108" i="15" s="1"/>
  <c r="AS55" i="15"/>
  <c r="AS118" i="15" s="1"/>
  <c r="AS53" i="15"/>
  <c r="AS116" i="15" s="1"/>
  <c r="AS88" i="15"/>
  <c r="AS151" i="15" s="1"/>
  <c r="AS54" i="15"/>
  <c r="AS117" i="15" s="1"/>
  <c r="AS78" i="15"/>
  <c r="AS141" i="15" s="1"/>
  <c r="AS84" i="15"/>
  <c r="AS147" i="15" s="1"/>
  <c r="AU38" i="15"/>
  <c r="BD43" i="8"/>
  <c r="BD44" i="8"/>
  <c r="BD45" i="8"/>
  <c r="BD41" i="8"/>
  <c r="BD42" i="8"/>
  <c r="BD85" i="8"/>
  <c r="BD84" i="8"/>
  <c r="BD82" i="8"/>
  <c r="BD86" i="8"/>
  <c r="BD83" i="8"/>
  <c r="B97" i="15"/>
  <c r="BE39" i="8"/>
  <c r="BE103" i="8" a="1"/>
  <c r="BE100" i="8" a="1"/>
  <c r="BE68" i="8" a="1"/>
  <c r="BE130" i="8" a="1"/>
  <c r="BE108" i="8" a="1"/>
  <c r="BE128" i="8" a="1"/>
  <c r="BE98" i="8" a="1"/>
  <c r="BE129" i="8" a="1"/>
  <c r="BE60" i="8" a="1"/>
  <c r="AT81" i="15" a="1"/>
  <c r="D97" i="15" a="1"/>
  <c r="AT89" i="15" a="1"/>
  <c r="AK96" i="15" a="1"/>
  <c r="H95" i="15" a="1"/>
  <c r="L96" i="15" a="1"/>
  <c r="AM97" i="15" a="1"/>
  <c r="BD55" i="8" a="1"/>
  <c r="AT44" i="15" a="1"/>
  <c r="BE63" i="8" a="1"/>
  <c r="BE123" i="8" a="1"/>
  <c r="BE82" i="8" a="1"/>
  <c r="BE42" i="8" a="1"/>
  <c r="W95" i="15" a="1"/>
  <c r="K96" i="15" a="1"/>
  <c r="AT57" i="15" a="1"/>
  <c r="G95" i="15" a="1"/>
  <c r="AT93" i="15" a="1"/>
  <c r="BC92" i="8" a="1"/>
  <c r="V96" i="15" a="1"/>
  <c r="J97" i="15" a="1"/>
  <c r="BE96" i="8" a="1"/>
  <c r="BC52" i="8" a="1"/>
  <c r="AT77" i="15" a="1"/>
  <c r="Y95" i="15" a="1"/>
  <c r="H96" i="15" a="1"/>
  <c r="AH97" i="15" a="1"/>
  <c r="BD124" i="8" a="1"/>
  <c r="S96" i="15" a="1"/>
  <c r="AO95" i="15" a="1"/>
  <c r="AT88" i="15" a="1"/>
  <c r="BC94" i="8" a="1"/>
  <c r="AQ96" i="15" a="1"/>
  <c r="AT83" i="15" a="1"/>
  <c r="BD93" i="8" a="1"/>
  <c r="J95" i="15" a="1"/>
  <c r="N96" i="15" a="1"/>
  <c r="BE56" i="8" a="1"/>
  <c r="U96" i="15" a="1"/>
  <c r="AT70" i="15" a="1"/>
  <c r="H97" i="15" a="1"/>
  <c r="AT92" i="15" a="1"/>
  <c r="AE95" i="15" a="1"/>
  <c r="BC126" i="8" a="1"/>
  <c r="AK95" i="15" a="1"/>
  <c r="BE92" i="8" a="1"/>
  <c r="P96" i="15" a="1"/>
  <c r="BE83" i="8" a="1"/>
  <c r="AK97" i="15" a="1"/>
  <c r="AT43" i="15" a="1"/>
  <c r="Z95" i="15" a="1"/>
  <c r="AT48" i="15" a="1"/>
  <c r="AT97" i="15" a="1"/>
  <c r="AS95" i="15" a="1"/>
  <c r="BD65" i="8" a="1"/>
  <c r="V97" i="15" a="1"/>
  <c r="AT96" i="15" a="1"/>
  <c r="AT59" i="15" a="1"/>
  <c r="AR95" i="15" a="1"/>
  <c r="AB95" i="15" a="1"/>
  <c r="AT75" i="15" a="1"/>
  <c r="I97" i="15" a="1"/>
  <c r="M97" i="15" a="1"/>
  <c r="E96" i="15" a="1"/>
  <c r="W97" i="15" a="1"/>
  <c r="BE104" i="8" a="1"/>
  <c r="BE69" i="8" a="1"/>
  <c r="BE77" i="8" a="1"/>
  <c r="BE110" i="8" a="1"/>
  <c r="BE67" i="8" a="1"/>
  <c r="BE48" i="8" a="1"/>
  <c r="BE97" i="8" a="1"/>
  <c r="BE109" i="8" a="1"/>
  <c r="BE49" i="8" a="1"/>
  <c r="BE44" i="8" a="1"/>
  <c r="BE122" i="8" a="1"/>
  <c r="AT76" i="15" a="1"/>
  <c r="F97" i="15" a="1"/>
  <c r="BD64" i="8" a="1"/>
  <c r="AJ97" i="15" a="1"/>
  <c r="BD76" i="8" a="1"/>
  <c r="AN96" i="15" a="1"/>
  <c r="AT67" i="15" a="1"/>
  <c r="BD96" i="8" a="1"/>
  <c r="AT56" i="15" a="1"/>
  <c r="AA95" i="15" a="1"/>
  <c r="AH96" i="15" a="1"/>
  <c r="BD56" i="8" a="1"/>
  <c r="AR97" i="15" a="1"/>
  <c r="BC73" i="8" a="1"/>
  <c r="BC54" i="8" a="1"/>
  <c r="AT60" i="15" a="1"/>
  <c r="S97" i="15" a="1"/>
  <c r="AG96" i="15" a="1"/>
  <c r="BD72" i="8" a="1"/>
  <c r="P97" i="15" a="1"/>
  <c r="AQ95" i="15" a="1"/>
  <c r="AT64" i="15" a="1"/>
  <c r="Z97" i="15" a="1"/>
  <c r="AT86" i="15" a="1"/>
  <c r="T97" i="15" a="1"/>
  <c r="BE75" i="8" a="1"/>
  <c r="AQ97" i="15" a="1"/>
  <c r="AU96" i="15" a="1"/>
  <c r="AT39" i="15" a="1"/>
  <c r="BC74" i="8" a="1"/>
  <c r="BD63" i="8" a="1"/>
  <c r="V95" i="15" a="1"/>
  <c r="F96" i="15" a="1"/>
  <c r="AC96" i="15" a="1"/>
  <c r="O95" i="15" a="1"/>
  <c r="BC53" i="8" a="1"/>
  <c r="BE86" i="8" a="1"/>
  <c r="AB96" i="15" a="1"/>
  <c r="AI96" i="15" a="1"/>
  <c r="AT80" i="15" a="1"/>
  <c r="T95" i="15" a="1"/>
  <c r="AD96" i="15" a="1"/>
  <c r="BC93" i="8" a="1"/>
  <c r="X95" i="15" a="1"/>
  <c r="BE62" i="8" a="1"/>
  <c r="AS96" i="15" a="1"/>
  <c r="AT95" i="15" a="1"/>
  <c r="BE94" i="8" a="1"/>
  <c r="X96" i="15" a="1"/>
  <c r="AT47" i="15" a="1"/>
  <c r="AC95" i="15" a="1"/>
  <c r="Q96" i="15" a="1"/>
  <c r="BD92" i="8" a="1"/>
  <c r="AI95" i="15" a="1"/>
  <c r="BE73" i="8" a="1"/>
  <c r="AT54" i="15" a="1"/>
  <c r="BC62" i="8" a="1"/>
  <c r="AT62" i="15" a="1"/>
  <c r="AA96" i="15" a="1"/>
  <c r="BD53" i="8" a="1"/>
  <c r="BD95" i="8" a="1"/>
  <c r="AD97" i="15" a="1"/>
  <c r="I96" i="15" a="1"/>
  <c r="BE105" i="8" a="1"/>
  <c r="BE46" i="8" a="1"/>
  <c r="BE90" i="8" a="1"/>
  <c r="BE79" i="8" a="1"/>
  <c r="BE58" i="8" a="1"/>
  <c r="BE99" i="8" a="1"/>
  <c r="BE70" i="8" a="1"/>
  <c r="BE78" i="8" a="1"/>
  <c r="BE57" i="8" a="1"/>
  <c r="AT63" i="15" a="1"/>
  <c r="BC55" i="8" a="1"/>
  <c r="BC66" i="8" a="1"/>
  <c r="AT78" i="15" a="1"/>
  <c r="BE53" i="8" a="1"/>
  <c r="AL97" i="15" a="1"/>
  <c r="BD66" i="8" a="1"/>
  <c r="Q95" i="15" a="1"/>
  <c r="BC76" i="8" a="1"/>
  <c r="AT50" i="15" a="1"/>
  <c r="BE72" i="8" a="1"/>
  <c r="AT69" i="15" a="1"/>
  <c r="AM95" i="15" a="1"/>
  <c r="BC123" i="8" a="1"/>
  <c r="BC122" i="8" a="1"/>
  <c r="AT91" i="15" a="1"/>
  <c r="AN95" i="15" a="1"/>
  <c r="BE66" i="8" a="1"/>
  <c r="AT58" i="15" a="1"/>
  <c r="AO97" i="15" a="1"/>
  <c r="BE76" i="8" a="1"/>
  <c r="BC75" i="8" a="1"/>
  <c r="BE84" i="8" a="1"/>
  <c r="Q97" i="15" a="1"/>
  <c r="BD122" i="8" a="1"/>
  <c r="E97" i="15" a="1"/>
  <c r="AT66" i="15" a="1"/>
  <c r="BD94" i="8" a="1"/>
  <c r="BE124" i="8" a="1"/>
  <c r="AF95" i="15" a="1"/>
  <c r="BD125" i="8" a="1"/>
  <c r="AT87" i="15" a="1"/>
  <c r="Z96" i="15" a="1"/>
  <c r="AT55" i="15" a="1"/>
  <c r="R97" i="15" a="1"/>
  <c r="W96" i="15" a="1"/>
  <c r="AB97" i="15" a="1"/>
  <c r="U97" i="15" a="1"/>
  <c r="AJ95" i="15" a="1"/>
  <c r="AT74" i="15" a="1"/>
  <c r="BE125" i="8" a="1"/>
  <c r="AS97" i="15" a="1"/>
  <c r="AT72" i="15" a="1"/>
  <c r="AO96" i="15" a="1"/>
  <c r="BE43" i="8" a="1"/>
  <c r="BE95" i="8" a="1"/>
  <c r="BD73" i="8" a="1"/>
  <c r="BC56" i="8" a="1"/>
  <c r="BC65" i="8" a="1"/>
  <c r="AT61" i="15" a="1"/>
  <c r="BE93" i="8" a="1"/>
  <c r="BE45" i="8" a="1"/>
  <c r="AT90" i="15" a="1"/>
  <c r="BD75" i="8" a="1"/>
  <c r="K95" i="15" a="1"/>
  <c r="BC64" i="8" a="1"/>
  <c r="F95" i="15" a="1"/>
  <c r="BC72" i="8" a="1"/>
  <c r="AT71" i="15" a="1"/>
  <c r="BE41" i="8" a="1"/>
  <c r="AT84" i="15" a="1"/>
  <c r="AE97" i="15" a="1"/>
  <c r="E95" i="15" a="1"/>
  <c r="BC96" i="8" a="1"/>
  <c r="AC97" i="15" a="1"/>
  <c r="AF96" i="15" a="1"/>
  <c r="Y97" i="15" a="1"/>
  <c r="AG97" i="15" a="1"/>
  <c r="BE126" i="8" a="1"/>
  <c r="AE96" i="15" a="1"/>
  <c r="BE106" i="8" a="1"/>
  <c r="BE127" i="8" a="1"/>
  <c r="BE89" i="8" a="1"/>
  <c r="BE87" i="8" a="1"/>
  <c r="BE88" i="8" a="1"/>
  <c r="BE47" i="8" a="1"/>
  <c r="BE107" i="8" a="1"/>
  <c r="BE59" i="8" a="1"/>
  <c r="BE80" i="8" a="1"/>
  <c r="AT73" i="15" a="1"/>
  <c r="BC95" i="8" a="1"/>
  <c r="AT94" i="15" a="1"/>
  <c r="BC124" i="8" a="1"/>
  <c r="AP95" i="15" a="1"/>
  <c r="G96" i="15" a="1"/>
  <c r="AM96" i="15" a="1"/>
  <c r="AH95" i="15" a="1"/>
  <c r="AT51" i="15" a="1"/>
  <c r="AL95" i="15" a="1"/>
  <c r="O97" i="15" a="1"/>
  <c r="AT53" i="15" a="1"/>
  <c r="AF97" i="15" a="1"/>
  <c r="AL96" i="15" a="1"/>
  <c r="I95" i="15" a="1"/>
  <c r="AT82" i="15" a="1"/>
  <c r="BE55" i="8" a="1"/>
  <c r="AT46" i="15" a="1"/>
  <c r="BE65" i="8" a="1"/>
  <c r="N97" i="15" a="1"/>
  <c r="Y96" i="15" a="1"/>
  <c r="AJ96" i="15" a="1"/>
  <c r="C95" i="15" a="1"/>
  <c r="AT79" i="15" a="1"/>
  <c r="AN97" i="15" a="1"/>
  <c r="BD74" i="8" a="1"/>
  <c r="AT68" i="15" a="1"/>
  <c r="BE64" i="8" a="1"/>
  <c r="S95" i="15" a="1"/>
  <c r="R96" i="15" a="1"/>
  <c r="AP97" i="15" a="1"/>
  <c r="AT49" i="15" a="1"/>
  <c r="M96" i="15" a="1"/>
  <c r="AT52" i="15" a="1"/>
  <c r="L95" i="15" a="1"/>
  <c r="N95" i="15" a="1"/>
  <c r="J96" i="15" a="1"/>
  <c r="L97" i="15" a="1"/>
  <c r="U95" i="15" a="1"/>
  <c r="AT45" i="15" a="1"/>
  <c r="C96" i="15" a="1"/>
  <c r="BE85" i="8" a="1"/>
  <c r="C97" i="15" a="1"/>
  <c r="AG95" i="15" a="1"/>
  <c r="X97" i="15" a="1"/>
  <c r="R95" i="15" a="1"/>
  <c r="AR96" i="15" a="1"/>
  <c r="BC63" i="8" a="1"/>
  <c r="D96" i="15" a="1"/>
  <c r="AT85" i="15" a="1"/>
  <c r="O96" i="15" a="1"/>
  <c r="BD54" i="8" a="1"/>
  <c r="BD52" i="8" a="1"/>
  <c r="G97" i="15" a="1"/>
  <c r="AP96" i="15" a="1"/>
  <c r="BD62" i="8" a="1"/>
  <c r="BD126" i="8" a="1"/>
  <c r="BC125" i="8" a="1"/>
  <c r="BE52" i="8" a="1"/>
  <c r="M95" i="15" a="1"/>
  <c r="AT65" i="15" a="1"/>
  <c r="BD123" i="8" a="1"/>
  <c r="D95" i="15" a="1"/>
  <c r="BE74" i="8" a="1"/>
  <c r="BE54" i="8" a="1"/>
  <c r="P95" i="15" a="1"/>
  <c r="AA97" i="15" a="1"/>
  <c r="AD95" i="15" a="1"/>
  <c r="AI97" i="15" a="1"/>
  <c r="T96" i="15" a="1"/>
  <c r="K97" i="15" a="1"/>
  <c r="BD120" i="8" l="1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117" i="8" s="1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AT75" i="15"/>
  <c r="AT138" i="15" s="1"/>
  <c r="AT72" i="15"/>
  <c r="AT135" i="15" s="1"/>
  <c r="AT68" i="15"/>
  <c r="AT131" i="15" s="1"/>
  <c r="AT53" i="15"/>
  <c r="AT116" i="15" s="1"/>
  <c r="AT65" i="15"/>
  <c r="AT128" i="15" s="1"/>
  <c r="AT80" i="15"/>
  <c r="AT143" i="15" s="1"/>
  <c r="AT66" i="15"/>
  <c r="AT129" i="15" s="1"/>
  <c r="AT69" i="15"/>
  <c r="AT132" i="15" s="1"/>
  <c r="AT84" i="15"/>
  <c r="AT147" i="15" s="1"/>
  <c r="AT92" i="15"/>
  <c r="AT155" i="15" s="1"/>
  <c r="AT86" i="15"/>
  <c r="AT149" i="15" s="1"/>
  <c r="AT56" i="15"/>
  <c r="AT119" i="15" s="1"/>
  <c r="AT62" i="15"/>
  <c r="AT125" i="15" s="1"/>
  <c r="AT50" i="15"/>
  <c r="AT113" i="15" s="1"/>
  <c r="AT71" i="15"/>
  <c r="AT134" i="15" s="1"/>
  <c r="AT70" i="15"/>
  <c r="AT133" i="15" s="1"/>
  <c r="AT64" i="15"/>
  <c r="AT127" i="15" s="1"/>
  <c r="AT67" i="15"/>
  <c r="AT130" i="15" s="1"/>
  <c r="AT54" i="15"/>
  <c r="AT117" i="15" s="1"/>
  <c r="AT45" i="15"/>
  <c r="AT108" i="15" s="1"/>
  <c r="AT77" i="15"/>
  <c r="AT140" i="15" s="1"/>
  <c r="AT44" i="15"/>
  <c r="AT107" i="15" s="1"/>
  <c r="AT59" i="15"/>
  <c r="AT122" i="15" s="1"/>
  <c r="AT74" i="15"/>
  <c r="AT137" i="15" s="1"/>
  <c r="AT79" i="15"/>
  <c r="AT142" i="15" s="1"/>
  <c r="AT51" i="15"/>
  <c r="AT114" i="15" s="1"/>
  <c r="AT58" i="15"/>
  <c r="AT121" i="15" s="1"/>
  <c r="AT78" i="15"/>
  <c r="AT141" i="15" s="1"/>
  <c r="AT90" i="15"/>
  <c r="AT153" i="15" s="1"/>
  <c r="AT83" i="15"/>
  <c r="AT146" i="15" s="1"/>
  <c r="AT60" i="15"/>
  <c r="AT123" i="15" s="1"/>
  <c r="AT76" i="15"/>
  <c r="AT139" i="15" s="1"/>
  <c r="AT47" i="15"/>
  <c r="AT110" i="15" s="1"/>
  <c r="AT52" i="15"/>
  <c r="AT115" i="15" s="1"/>
  <c r="AT93" i="15"/>
  <c r="AT156" i="15" s="1"/>
  <c r="AT89" i="15"/>
  <c r="AT152" i="15" s="1"/>
  <c r="AT48" i="15"/>
  <c r="AT111" i="15" s="1"/>
  <c r="AT55" i="15"/>
  <c r="AT118" i="15" s="1"/>
  <c r="AT46" i="15"/>
  <c r="AT109" i="15" s="1"/>
  <c r="AT94" i="15"/>
  <c r="AT157" i="15" s="1"/>
  <c r="AT49" i="15"/>
  <c r="AT112" i="15" s="1"/>
  <c r="AT57" i="15"/>
  <c r="AT120" i="15" s="1"/>
  <c r="AT81" i="15"/>
  <c r="AT144" i="15" s="1"/>
  <c r="AT43" i="15"/>
  <c r="AT106" i="15" s="1"/>
  <c r="AT87" i="15"/>
  <c r="AT150" i="15" s="1"/>
  <c r="AT82" i="15"/>
  <c r="AT145" i="15" s="1"/>
  <c r="AT73" i="15"/>
  <c r="AT136" i="15" s="1"/>
  <c r="AT85" i="15"/>
  <c r="AT148" i="15" s="1"/>
  <c r="AT39" i="15"/>
  <c r="AT105" i="15" s="1"/>
  <c r="AT91" i="15"/>
  <c r="AT154" i="15" s="1"/>
  <c r="AT63" i="15"/>
  <c r="AT126" i="15" s="1"/>
  <c r="AT61" i="15"/>
  <c r="AT124" i="15" s="1"/>
  <c r="AT88" i="15"/>
  <c r="AT151" i="15" s="1"/>
  <c r="AV38" i="15"/>
  <c r="BE42" i="8"/>
  <c r="BE43" i="8"/>
  <c r="BE45" i="8"/>
  <c r="BE41" i="8"/>
  <c r="BE44" i="8"/>
  <c r="BE83" i="8"/>
  <c r="BE84" i="8"/>
  <c r="BE82" i="8"/>
  <c r="BE86" i="8"/>
  <c r="BE85" i="8"/>
  <c r="AE96" i="15"/>
  <c r="V95" i="15"/>
  <c r="U95" i="15"/>
  <c r="L96" i="15"/>
  <c r="BD72" i="8"/>
  <c r="G96" i="15"/>
  <c r="X96" i="15"/>
  <c r="AM95" i="15"/>
  <c r="AK96" i="15"/>
  <c r="Q96" i="15"/>
  <c r="BD64" i="8"/>
  <c r="AS95" i="15"/>
  <c r="BC125" i="8"/>
  <c r="AD95" i="15"/>
  <c r="AH96" i="15"/>
  <c r="BD124" i="8"/>
  <c r="AL96" i="15"/>
  <c r="BC122" i="8"/>
  <c r="AC96" i="15"/>
  <c r="BD96" i="8"/>
  <c r="AE95" i="15"/>
  <c r="P95" i="15"/>
  <c r="O95" i="15"/>
  <c r="AB95" i="15"/>
  <c r="BC96" i="8"/>
  <c r="AI96" i="15"/>
  <c r="AS96" i="15"/>
  <c r="BD76" i="8"/>
  <c r="R95" i="15"/>
  <c r="BC92" i="8"/>
  <c r="D96" i="15"/>
  <c r="D159" i="15" s="1"/>
  <c r="C95" i="15"/>
  <c r="C158" i="15" s="1"/>
  <c r="AJ95" i="15"/>
  <c r="W95" i="15"/>
  <c r="BD93" i="8"/>
  <c r="W96" i="15"/>
  <c r="Y96" i="15"/>
  <c r="BC55" i="8"/>
  <c r="BC123" i="8"/>
  <c r="BC74" i="8"/>
  <c r="BD54" i="8"/>
  <c r="U96" i="15"/>
  <c r="AQ96" i="15"/>
  <c r="AU96" i="15"/>
  <c r="AD96" i="15"/>
  <c r="AN95" i="15"/>
  <c r="Q95" i="15"/>
  <c r="Z95" i="15"/>
  <c r="BC65" i="8"/>
  <c r="H95" i="15"/>
  <c r="R96" i="15"/>
  <c r="BD123" i="8"/>
  <c r="BC56" i="8"/>
  <c r="AF95" i="15"/>
  <c r="BC124" i="8"/>
  <c r="V96" i="15"/>
  <c r="J96" i="15"/>
  <c r="N96" i="15"/>
  <c r="BD56" i="8"/>
  <c r="K96" i="15"/>
  <c r="AC95" i="15"/>
  <c r="G95" i="15"/>
  <c r="AT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AG96" i="15"/>
  <c r="Y95" i="15"/>
  <c r="AL95" i="15"/>
  <c r="BD126" i="8"/>
  <c r="BD66" i="8"/>
  <c r="BC62" i="8"/>
  <c r="BD62" i="8"/>
  <c r="BD125" i="8"/>
  <c r="BC95" i="8"/>
  <c r="AG95" i="15"/>
  <c r="O96" i="15"/>
  <c r="AB96" i="15"/>
  <c r="AO96" i="15"/>
  <c r="AJ96" i="15"/>
  <c r="AN96" i="15"/>
  <c r="BD74" i="8"/>
  <c r="E96" i="15"/>
  <c r="J95" i="15"/>
  <c r="I95" i="15"/>
  <c r="T96" i="15"/>
  <c r="BD55" i="8"/>
  <c r="BD53" i="8"/>
  <c r="BD65" i="8"/>
  <c r="AR96" i="15"/>
  <c r="AA95" i="15"/>
  <c r="AR95" i="15"/>
  <c r="BC66" i="8"/>
  <c r="AP95" i="15"/>
  <c r="Z96" i="15"/>
  <c r="BD75" i="8"/>
  <c r="I96" i="15"/>
  <c r="P96" i="15"/>
  <c r="S96" i="15"/>
  <c r="AP96" i="15"/>
  <c r="AI95" i="15"/>
  <c r="BC75" i="8"/>
  <c r="BC126" i="8"/>
  <c r="BD52" i="8"/>
  <c r="BD112" i="8" s="1"/>
  <c r="F96" i="15"/>
  <c r="BD63" i="8"/>
  <c r="AM96" i="15"/>
  <c r="BC64" i="8"/>
  <c r="AH95" i="15"/>
  <c r="BC52" i="8"/>
  <c r="BC112" i="8" s="1"/>
  <c r="X95" i="15"/>
  <c r="AO95" i="15"/>
  <c r="S95" i="15"/>
  <c r="D95" i="15"/>
  <c r="D158" i="15" s="1"/>
  <c r="AF96" i="15"/>
  <c r="AT96" i="15"/>
  <c r="AK95" i="15"/>
  <c r="BC53" i="8"/>
  <c r="AQ95" i="15"/>
  <c r="BC54" i="8"/>
  <c r="BD73" i="8"/>
  <c r="H96" i="15"/>
  <c r="BD95" i="8"/>
  <c r="AA96" i="15"/>
  <c r="K95" i="15"/>
  <c r="T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BF104" i="8" a="1"/>
  <c r="BF130" i="8" a="1"/>
  <c r="BF100" i="8" a="1"/>
  <c r="BF108" i="8" a="1"/>
  <c r="BF99" i="8" a="1"/>
  <c r="BF107" i="8" a="1"/>
  <c r="BF129" i="8" a="1"/>
  <c r="BF78" i="8" a="1"/>
  <c r="BF49" i="8" a="1"/>
  <c r="AL98" i="15" a="1"/>
  <c r="AU64" i="15" a="1"/>
  <c r="AQ98" i="15" a="1"/>
  <c r="BF124" i="8" a="1"/>
  <c r="X98" i="15" a="1"/>
  <c r="AU51" i="15" a="1"/>
  <c r="BF74" i="8" a="1"/>
  <c r="AU72" i="15" a="1"/>
  <c r="E98" i="15" a="1"/>
  <c r="AU59" i="15" a="1"/>
  <c r="T98" i="15" a="1"/>
  <c r="AG98" i="15" a="1"/>
  <c r="AU48" i="15" a="1"/>
  <c r="AU79" i="15" a="1"/>
  <c r="BF64" i="8" a="1"/>
  <c r="O98" i="15" a="1"/>
  <c r="AU69" i="15" a="1"/>
  <c r="H98" i="15" a="1"/>
  <c r="AU57" i="15" a="1"/>
  <c r="BF94" i="8" a="1"/>
  <c r="G98" i="15" a="1"/>
  <c r="AF98" i="15" a="1"/>
  <c r="AU78" i="15" a="1"/>
  <c r="AO98" i="15" a="1"/>
  <c r="M98" i="15" a="1"/>
  <c r="AU46" i="15" a="1"/>
  <c r="AU44" i="15" a="1"/>
  <c r="I98" i="15" a="1"/>
  <c r="AM98" i="15" a="1"/>
  <c r="AU83" i="15" a="1"/>
  <c r="BF45" i="8" a="1"/>
  <c r="AN98" i="15" a="1"/>
  <c r="AK98" i="15" a="1"/>
  <c r="BF82" i="8" a="1"/>
  <c r="BF105" i="8" a="1"/>
  <c r="BF46" i="8" a="1"/>
  <c r="BF87" i="8" a="1"/>
  <c r="BF88" i="8" a="1"/>
  <c r="BF90" i="8" a="1"/>
  <c r="BF77" i="8" a="1"/>
  <c r="BF98" i="8" a="1"/>
  <c r="BF70" i="8" a="1"/>
  <c r="BF80" i="8" a="1"/>
  <c r="AU73" i="15" a="1"/>
  <c r="BF52" i="8" a="1"/>
  <c r="BF125" i="8" a="1"/>
  <c r="AS98" i="15" a="1"/>
  <c r="BF96" i="8" a="1"/>
  <c r="BF43" i="8" a="1"/>
  <c r="AU62" i="15" a="1"/>
  <c r="BF85" i="8" a="1"/>
  <c r="BF65" i="8" a="1"/>
  <c r="BF55" i="8" a="1"/>
  <c r="AU84" i="15" a="1"/>
  <c r="AB98" i="15" a="1"/>
  <c r="D98" i="15" a="1"/>
  <c r="V98" i="15" a="1"/>
  <c r="AU67" i="15" a="1"/>
  <c r="BF56" i="8" a="1"/>
  <c r="AU77" i="15" a="1"/>
  <c r="AU54" i="15" a="1"/>
  <c r="AU58" i="15" a="1"/>
  <c r="BF84" i="8" a="1"/>
  <c r="BF54" i="8" a="1"/>
  <c r="AU56" i="15" a="1"/>
  <c r="BF42" i="8" a="1"/>
  <c r="AU95" i="15" a="1"/>
  <c r="Q98" i="15" a="1"/>
  <c r="P98" i="15" a="1"/>
  <c r="AU97" i="15" a="1"/>
  <c r="AU52" i="15" a="1"/>
  <c r="W98" i="15" a="1"/>
  <c r="AA98" i="15" a="1"/>
  <c r="AU81" i="15" a="1"/>
  <c r="AU39" i="15" a="1"/>
  <c r="AJ98" i="15" a="1"/>
  <c r="BF126" i="8" a="1"/>
  <c r="AU92" i="15" a="1"/>
  <c r="BF106" i="8" a="1"/>
  <c r="BF79" i="8" a="1"/>
  <c r="BF58" i="8" a="1"/>
  <c r="BF67" i="8" a="1"/>
  <c r="BF68" i="8" a="1"/>
  <c r="BF47" i="8" a="1"/>
  <c r="BF97" i="8" a="1"/>
  <c r="BF57" i="8" a="1"/>
  <c r="BF60" i="8" a="1"/>
  <c r="AU76" i="15" a="1"/>
  <c r="AU75" i="15" a="1"/>
  <c r="N98" i="15" a="1"/>
  <c r="AU60" i="15" a="1"/>
  <c r="AU55" i="15" a="1"/>
  <c r="J98" i="15" a="1"/>
  <c r="BF86" i="8" a="1"/>
  <c r="AU98" i="15" a="1"/>
  <c r="AU71" i="15" a="1"/>
  <c r="AU90" i="15" a="1"/>
  <c r="BF73" i="8" a="1"/>
  <c r="AI98" i="15" a="1"/>
  <c r="AU43" i="15" a="1"/>
  <c r="AH98" i="15" a="1"/>
  <c r="AU80" i="15" a="1"/>
  <c r="AR98" i="15" a="1"/>
  <c r="BF66" i="8" a="1"/>
  <c r="AU65" i="15" a="1"/>
  <c r="AU89" i="15" a="1"/>
  <c r="U98" i="15" a="1"/>
  <c r="AU87" i="15" a="1"/>
  <c r="AU91" i="15" a="1"/>
  <c r="AU45" i="15" a="1"/>
  <c r="BF95" i="8" a="1"/>
  <c r="C98" i="15" a="1"/>
  <c r="R98" i="15" a="1"/>
  <c r="BF62" i="8" a="1"/>
  <c r="AU68" i="15" a="1"/>
  <c r="AE98" i="15" a="1"/>
  <c r="AT98" i="15" a="1"/>
  <c r="AU86" i="15" a="1"/>
  <c r="AU49" i="15" a="1"/>
  <c r="BF53" i="8" a="1"/>
  <c r="BF103" i="8" a="1"/>
  <c r="BF127" i="8" a="1"/>
  <c r="BF69" i="8" a="1"/>
  <c r="BF89" i="8" a="1"/>
  <c r="BF110" i="8" a="1"/>
  <c r="BF59" i="8" a="1"/>
  <c r="BF48" i="8" a="1"/>
  <c r="BF128" i="8" a="1"/>
  <c r="BF109" i="8" a="1"/>
  <c r="BF93" i="8" a="1"/>
  <c r="AU93" i="15" a="1"/>
  <c r="Y98" i="15" a="1"/>
  <c r="BF44" i="8" a="1"/>
  <c r="AU47" i="15" a="1"/>
  <c r="AU63" i="15" a="1"/>
  <c r="L98" i="15" a="1"/>
  <c r="BF123" i="8" a="1"/>
  <c r="AU85" i="15" a="1"/>
  <c r="AU53" i="15" a="1"/>
  <c r="Z98" i="15" a="1"/>
  <c r="AU74" i="15" a="1"/>
  <c r="AU66" i="15" a="1"/>
  <c r="AU94" i="15" a="1"/>
  <c r="BF92" i="8" a="1"/>
  <c r="BF63" i="8" a="1"/>
  <c r="AV98" i="15" a="1"/>
  <c r="S98" i="15" a="1"/>
  <c r="AU82" i="15" a="1"/>
  <c r="BF41" i="8" a="1"/>
  <c r="AD98" i="15" a="1"/>
  <c r="AU88" i="15" a="1"/>
  <c r="AU70" i="15" a="1"/>
  <c r="BF122" i="8" a="1"/>
  <c r="AP98" i="15" a="1"/>
  <c r="AU61" i="15" a="1"/>
  <c r="BF75" i="8" a="1"/>
  <c r="AC98" i="15" a="1"/>
  <c r="F98" i="15" a="1"/>
  <c r="BF83" i="8" a="1"/>
  <c r="BF72" i="8" a="1"/>
  <c r="AU50" i="15" a="1"/>
  <c r="K98" i="15" a="1"/>
  <c r="BF76" i="8" a="1"/>
  <c r="BF49" i="8" l="1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AU77" i="15"/>
  <c r="AU140" i="15" s="1"/>
  <c r="AU72" i="15"/>
  <c r="AU135" i="15" s="1"/>
  <c r="AU92" i="15"/>
  <c r="AU155" i="15" s="1"/>
  <c r="AU95" i="15"/>
  <c r="AU158" i="15" s="1"/>
  <c r="AU80" i="15"/>
  <c r="AU143" i="15" s="1"/>
  <c r="AU62" i="15"/>
  <c r="AU125" i="15" s="1"/>
  <c r="AU50" i="15"/>
  <c r="AU113" i="15" s="1"/>
  <c r="AU78" i="15"/>
  <c r="AU141" i="15" s="1"/>
  <c r="AU67" i="15"/>
  <c r="AU130" i="15" s="1"/>
  <c r="AU51" i="15"/>
  <c r="AU114" i="15" s="1"/>
  <c r="AU49" i="15"/>
  <c r="AU112" i="15" s="1"/>
  <c r="AU70" i="15"/>
  <c r="AU133" i="15" s="1"/>
  <c r="AU79" i="15"/>
  <c r="AU142" i="15" s="1"/>
  <c r="AU63" i="15"/>
  <c r="AU126" i="15" s="1"/>
  <c r="AU39" i="15"/>
  <c r="AU105" i="15" s="1"/>
  <c r="AU45" i="15"/>
  <c r="AU108" i="15" s="1"/>
  <c r="AU94" i="15"/>
  <c r="AU157" i="15" s="1"/>
  <c r="AU86" i="15"/>
  <c r="AU149" i="15" s="1"/>
  <c r="AU88" i="15"/>
  <c r="AU151" i="15" s="1"/>
  <c r="AU48" i="15"/>
  <c r="AU111" i="15" s="1"/>
  <c r="AU47" i="15"/>
  <c r="AU110" i="15" s="1"/>
  <c r="AU81" i="15"/>
  <c r="AU144" i="15" s="1"/>
  <c r="AU91" i="15"/>
  <c r="AU154" i="15" s="1"/>
  <c r="AU66" i="15"/>
  <c r="AU129" i="15" s="1"/>
  <c r="AU55" i="15"/>
  <c r="AU118" i="15" s="1"/>
  <c r="AU83" i="15"/>
  <c r="AU146" i="15" s="1"/>
  <c r="AU56" i="15"/>
  <c r="AU119" i="15" s="1"/>
  <c r="AU43" i="15"/>
  <c r="AU106" i="15" s="1"/>
  <c r="AU87" i="15"/>
  <c r="AU150" i="15" s="1"/>
  <c r="AU74" i="15"/>
  <c r="AU137" i="15" s="1"/>
  <c r="AU60" i="15"/>
  <c r="AU123" i="15" s="1"/>
  <c r="AU57" i="15"/>
  <c r="AU120" i="15" s="1"/>
  <c r="AU84" i="15"/>
  <c r="AU147" i="15" s="1"/>
  <c r="AU64" i="15"/>
  <c r="AU127" i="15" s="1"/>
  <c r="AU68" i="15"/>
  <c r="AU131" i="15" s="1"/>
  <c r="AU82" i="15"/>
  <c r="AU145" i="15" s="1"/>
  <c r="AU59" i="15"/>
  <c r="AU122" i="15" s="1"/>
  <c r="AU93" i="15"/>
  <c r="AU156" i="15" s="1"/>
  <c r="AU52" i="15"/>
  <c r="AU115" i="15" s="1"/>
  <c r="AU89" i="15"/>
  <c r="AU152" i="15" s="1"/>
  <c r="AU53" i="15"/>
  <c r="AU116" i="15" s="1"/>
  <c r="AU75" i="15"/>
  <c r="AU138" i="15" s="1"/>
  <c r="AU44" i="15"/>
  <c r="AU107" i="15" s="1"/>
  <c r="AU58" i="15"/>
  <c r="AU121" i="15" s="1"/>
  <c r="AU90" i="15"/>
  <c r="AU153" i="15" s="1"/>
  <c r="AU97" i="15"/>
  <c r="AU160" i="15" s="1"/>
  <c r="AU65" i="15"/>
  <c r="AU128" i="15" s="1"/>
  <c r="AU85" i="15"/>
  <c r="AU148" i="15" s="1"/>
  <c r="AU76" i="15"/>
  <c r="AU139" i="15" s="1"/>
  <c r="AU46" i="15"/>
  <c r="AU109" i="15" s="1"/>
  <c r="AU54" i="15"/>
  <c r="AU117" i="15" s="1"/>
  <c r="AU71" i="15"/>
  <c r="AU134" i="15" s="1"/>
  <c r="AU73" i="15"/>
  <c r="AU136" i="15" s="1"/>
  <c r="AU61" i="15"/>
  <c r="AU124" i="15" s="1"/>
  <c r="AU69" i="15"/>
  <c r="AU132" i="15" s="1"/>
  <c r="AW38" i="15"/>
  <c r="N158" i="15"/>
  <c r="AA159" i="15"/>
  <c r="F159" i="15"/>
  <c r="AT160" i="15"/>
  <c r="B99" i="15"/>
  <c r="AU159" i="15"/>
  <c r="AL160" i="15"/>
  <c r="AP160" i="15"/>
  <c r="AH160" i="15"/>
  <c r="AD160" i="15"/>
  <c r="Z160" i="15"/>
  <c r="V160" i="15"/>
  <c r="N160" i="15"/>
  <c r="R160" i="15"/>
  <c r="BF45" i="8"/>
  <c r="BF43" i="8"/>
  <c r="BF41" i="8"/>
  <c r="BF42" i="8"/>
  <c r="BF44" i="8"/>
  <c r="BF84" i="8"/>
  <c r="BF82" i="8"/>
  <c r="BF86" i="8"/>
  <c r="BF85" i="8"/>
  <c r="BF83" i="8"/>
  <c r="AP159" i="15"/>
  <c r="P159" i="15"/>
  <c r="Z159" i="15"/>
  <c r="E159" i="15"/>
  <c r="AO159" i="15"/>
  <c r="O159" i="15"/>
  <c r="BD113" i="8"/>
  <c r="H158" i="15"/>
  <c r="AN158" i="15"/>
  <c r="AD158" i="15"/>
  <c r="BC102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X158" i="15"/>
  <c r="Q158" i="15"/>
  <c r="K158" i="15"/>
  <c r="S158" i="15"/>
  <c r="BC116" i="8"/>
  <c r="BD115" i="8"/>
  <c r="I158" i="15"/>
  <c r="M159" i="15"/>
  <c r="AS159" i="15"/>
  <c r="AF159" i="15"/>
  <c r="AM159" i="15"/>
  <c r="AT158" i="15"/>
  <c r="AG158" i="15"/>
  <c r="BD102" i="8"/>
  <c r="AA158" i="15"/>
  <c r="Y158" i="15"/>
  <c r="BD116" i="8"/>
  <c r="AB158" i="15"/>
  <c r="AS158" i="15"/>
  <c r="G159" i="15"/>
  <c r="AC158" i="15"/>
  <c r="P158" i="15"/>
  <c r="U158" i="15"/>
  <c r="BC115" i="8"/>
  <c r="R159" i="15"/>
  <c r="AL158" i="15"/>
  <c r="L158" i="15"/>
  <c r="BC114" i="8"/>
  <c r="R158" i="15"/>
  <c r="AE158" i="15"/>
  <c r="BD114" i="8"/>
  <c r="X159" i="15"/>
  <c r="L159" i="15"/>
  <c r="V158" i="15"/>
  <c r="BC113" i="8"/>
  <c r="AH159" i="15"/>
  <c r="T159" i="15"/>
  <c r="AJ159" i="15"/>
  <c r="Q159" i="15"/>
  <c r="AG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T159" i="15"/>
  <c r="AD159" i="15"/>
  <c r="F160" i="15"/>
  <c r="K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R160" i="15"/>
  <c r="AN160" i="15"/>
  <c r="AJ160" i="15"/>
  <c r="AF160" i="15"/>
  <c r="AC160" i="15"/>
  <c r="X160" i="15"/>
  <c r="T160" i="15"/>
  <c r="P160" i="15"/>
  <c r="L160" i="15"/>
  <c r="H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BG104" i="8" a="1"/>
  <c r="BG58" i="8" a="1"/>
  <c r="BG100" i="8" a="1"/>
  <c r="BG130" i="8" a="1"/>
  <c r="BG68" i="8" a="1"/>
  <c r="BG77" i="8" a="1"/>
  <c r="BG78" i="8" a="1"/>
  <c r="BG59" i="8" a="1"/>
  <c r="BG109" i="8" a="1"/>
  <c r="AV95" i="15" a="1"/>
  <c r="AV73" i="15" a="1"/>
  <c r="AC99" i="15" a="1"/>
  <c r="BG126" i="8" a="1"/>
  <c r="AV91" i="15" a="1"/>
  <c r="BG66" i="8" a="1"/>
  <c r="BG55" i="8" a="1"/>
  <c r="U99" i="15" a="1"/>
  <c r="AV46" i="15" a="1"/>
  <c r="AD99" i="15" a="1"/>
  <c r="AV68" i="15" a="1"/>
  <c r="BG86" i="8" a="1"/>
  <c r="N99" i="15" a="1"/>
  <c r="AV86" i="15" a="1"/>
  <c r="AV80" i="15" a="1"/>
  <c r="BG43" i="8" a="1"/>
  <c r="BG125" i="8" a="1"/>
  <c r="AV45" i="15" a="1"/>
  <c r="H99" i="15" a="1"/>
  <c r="AV60" i="15" a="1"/>
  <c r="AT99" i="15" a="1"/>
  <c r="AV67" i="15" a="1"/>
  <c r="BG74" i="8" a="1"/>
  <c r="AV97" i="15" a="1"/>
  <c r="AP99" i="15" a="1"/>
  <c r="BG124" i="8" a="1"/>
  <c r="BG75" i="8" a="1"/>
  <c r="AV93" i="15" a="1"/>
  <c r="BG83" i="8" a="1"/>
  <c r="BG73" i="8" a="1"/>
  <c r="AV89" i="15" a="1"/>
  <c r="AV77" i="15" a="1"/>
  <c r="T99" i="15" a="1"/>
  <c r="BG105" i="8" a="1"/>
  <c r="BG79" i="8" a="1"/>
  <c r="BG69" i="8" a="1"/>
  <c r="BG110" i="8" a="1"/>
  <c r="BG99" i="8" a="1"/>
  <c r="BG128" i="8" a="1"/>
  <c r="BG129" i="8" a="1"/>
  <c r="BG107" i="8" a="1"/>
  <c r="BG60" i="8" a="1"/>
  <c r="AV70" i="15" a="1"/>
  <c r="L99" i="15" a="1"/>
  <c r="AV85" i="15" a="1"/>
  <c r="G99" i="15" a="1"/>
  <c r="BG94" i="8" a="1"/>
  <c r="AV66" i="15" a="1"/>
  <c r="AV59" i="15" a="1"/>
  <c r="BG64" i="8" a="1"/>
  <c r="F99" i="15" a="1"/>
  <c r="AV81" i="15" a="1"/>
  <c r="K99" i="15" a="1"/>
  <c r="AV71" i="15" a="1"/>
  <c r="BG45" i="8" a="1"/>
  <c r="AV47" i="15" a="1"/>
  <c r="AK99" i="15" a="1"/>
  <c r="AV61" i="15" a="1"/>
  <c r="BG84" i="8" a="1"/>
  <c r="BG92" i="8" a="1"/>
  <c r="AV50" i="15" a="1"/>
  <c r="AV90" i="15" a="1"/>
  <c r="AU99" i="15" a="1"/>
  <c r="AO99" i="15" a="1"/>
  <c r="AV87" i="15" a="1"/>
  <c r="BG122" i="8" a="1"/>
  <c r="AV62" i="15" a="1"/>
  <c r="Y99" i="15" a="1"/>
  <c r="AV78" i="15" a="1"/>
  <c r="Q99" i="15" a="1"/>
  <c r="AV64" i="15" a="1"/>
  <c r="BG72" i="8" a="1"/>
  <c r="D99" i="15" a="1"/>
  <c r="X99" i="15" a="1"/>
  <c r="AV48" i="15" a="1"/>
  <c r="AN99" i="15" a="1"/>
  <c r="AW99" i="15" a="1"/>
  <c r="BG93" i="8" a="1"/>
  <c r="BG106" i="8" a="1"/>
  <c r="BG46" i="8" a="1"/>
  <c r="BG88" i="8" a="1"/>
  <c r="BG108" i="8" a="1"/>
  <c r="BG87" i="8" a="1"/>
  <c r="BG97" i="8" a="1"/>
  <c r="BG57" i="8" a="1"/>
  <c r="BG47" i="8" a="1"/>
  <c r="BG49" i="8" a="1"/>
  <c r="AV52" i="15" a="1"/>
  <c r="AV99" i="15" a="1"/>
  <c r="AV53" i="15" a="1"/>
  <c r="M99" i="15" a="1"/>
  <c r="AJ99" i="15" a="1"/>
  <c r="BG65" i="8" a="1"/>
  <c r="AV94" i="15" a="1"/>
  <c r="BG52" i="8" a="1"/>
  <c r="AM99" i="15" a="1"/>
  <c r="AV63" i="15" a="1"/>
  <c r="AV88" i="15" a="1"/>
  <c r="AH99" i="15" a="1"/>
  <c r="BG95" i="8" a="1"/>
  <c r="AV74" i="15" a="1"/>
  <c r="AE99" i="15" a="1"/>
  <c r="AV43" i="15" a="1"/>
  <c r="BG42" i="8" a="1"/>
  <c r="BG123" i="8" a="1"/>
  <c r="AG99" i="15" a="1"/>
  <c r="AV49" i="15" a="1"/>
  <c r="O99" i="15" a="1"/>
  <c r="I99" i="15" a="1"/>
  <c r="AV92" i="15" a="1"/>
  <c r="AV54" i="15" a="1"/>
  <c r="P99" i="15" a="1"/>
  <c r="BG41" i="8" a="1"/>
  <c r="AV58" i="15" a="1"/>
  <c r="BG44" i="8" a="1"/>
  <c r="BG62" i="8" a="1"/>
  <c r="W99" i="15" a="1"/>
  <c r="AV79" i="15" a="1"/>
  <c r="C99" i="15" a="1"/>
  <c r="AV44" i="15" a="1"/>
  <c r="S99" i="15" a="1"/>
  <c r="BG103" i="8" a="1"/>
  <c r="BG127" i="8" a="1"/>
  <c r="BG90" i="8" a="1"/>
  <c r="BG67" i="8" a="1"/>
  <c r="BG89" i="8" a="1"/>
  <c r="BG70" i="8" a="1"/>
  <c r="BG98" i="8" a="1"/>
  <c r="BG48" i="8" a="1"/>
  <c r="BG80" i="8" a="1"/>
  <c r="AV39" i="15" a="1"/>
  <c r="BG82" i="8" a="1"/>
  <c r="AS99" i="15" a="1"/>
  <c r="AL99" i="15" a="1"/>
  <c r="AV56" i="15" a="1"/>
  <c r="AB99" i="15" a="1"/>
  <c r="AV76" i="15" a="1"/>
  <c r="V99" i="15" a="1"/>
  <c r="BG53" i="8" a="1"/>
  <c r="AV96" i="15" a="1"/>
  <c r="AV75" i="15" a="1"/>
  <c r="BG63" i="8" a="1"/>
  <c r="BG76" i="8" a="1"/>
  <c r="AV65" i="15" a="1"/>
  <c r="AV84" i="15" a="1"/>
  <c r="AR99" i="15" a="1"/>
  <c r="AA99" i="15" a="1"/>
  <c r="AV72" i="15" a="1"/>
  <c r="BG56" i="8" a="1"/>
  <c r="AV82" i="15" a="1"/>
  <c r="R99" i="15" a="1"/>
  <c r="BG54" i="8" a="1"/>
  <c r="AV55" i="15" a="1"/>
  <c r="AV51" i="15" a="1"/>
  <c r="AI99" i="15" a="1"/>
  <c r="AQ99" i="15" a="1"/>
  <c r="AV57" i="15" a="1"/>
  <c r="AV69" i="15" a="1"/>
  <c r="E99" i="15" a="1"/>
  <c r="BG96" i="8" a="1"/>
  <c r="AV83" i="15" a="1"/>
  <c r="Z99" i="15" a="1"/>
  <c r="BG85" i="8" a="1"/>
  <c r="AF99" i="15" a="1"/>
  <c r="J99" i="15" a="1"/>
  <c r="BF117" i="8" l="1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19" i="8" s="1"/>
  <c r="BG104" i="8"/>
  <c r="BG103" i="8"/>
  <c r="BG106" i="8"/>
  <c r="BG105" i="8"/>
  <c r="BF120" i="8"/>
  <c r="BF119" i="8"/>
  <c r="AV62" i="15"/>
  <c r="AV125" i="15" s="1"/>
  <c r="AV43" i="15"/>
  <c r="AV106" i="15" s="1"/>
  <c r="AV76" i="15"/>
  <c r="AV139" i="15" s="1"/>
  <c r="AV44" i="15"/>
  <c r="AV107" i="15" s="1"/>
  <c r="AV97" i="15"/>
  <c r="AV160" i="15" s="1"/>
  <c r="AV61" i="15"/>
  <c r="AV124" i="15" s="1"/>
  <c r="AV94" i="15"/>
  <c r="AV157" i="15" s="1"/>
  <c r="AV48" i="15"/>
  <c r="AV111" i="15" s="1"/>
  <c r="AV51" i="15"/>
  <c r="AV114" i="15" s="1"/>
  <c r="AV80" i="15"/>
  <c r="AV143" i="15" s="1"/>
  <c r="AV59" i="15"/>
  <c r="AV122" i="15" s="1"/>
  <c r="AV77" i="15"/>
  <c r="AV140" i="15" s="1"/>
  <c r="AV54" i="15"/>
  <c r="AV117" i="15" s="1"/>
  <c r="AV84" i="15"/>
  <c r="AV147" i="15" s="1"/>
  <c r="AV55" i="15"/>
  <c r="AV118" i="15" s="1"/>
  <c r="AV86" i="15"/>
  <c r="AV149" i="15" s="1"/>
  <c r="AV66" i="15"/>
  <c r="AV129" i="15" s="1"/>
  <c r="AV89" i="15"/>
  <c r="AV152" i="15" s="1"/>
  <c r="AV92" i="15"/>
  <c r="AV155" i="15" s="1"/>
  <c r="AV65" i="15"/>
  <c r="AV128" i="15" s="1"/>
  <c r="AV91" i="15"/>
  <c r="AV154" i="15" s="1"/>
  <c r="AV83" i="15"/>
  <c r="AV146" i="15" s="1"/>
  <c r="AV87" i="15"/>
  <c r="AV150" i="15" s="1"/>
  <c r="AV74" i="15"/>
  <c r="AV137" i="15" s="1"/>
  <c r="AV56" i="15"/>
  <c r="AV119" i="15" s="1"/>
  <c r="AV79" i="15"/>
  <c r="AV142" i="15" s="1"/>
  <c r="AV67" i="15"/>
  <c r="AV130" i="15" s="1"/>
  <c r="AV47" i="15"/>
  <c r="AV110" i="15" s="1"/>
  <c r="AV60" i="15"/>
  <c r="AV123" i="15" s="1"/>
  <c r="AV71" i="15"/>
  <c r="AV134" i="15" s="1"/>
  <c r="AV53" i="15"/>
  <c r="AV116" i="15" s="1"/>
  <c r="AV64" i="15"/>
  <c r="AV127" i="15" s="1"/>
  <c r="AV82" i="15"/>
  <c r="AV145" i="15" s="1"/>
  <c r="AV68" i="15"/>
  <c r="AV131" i="15" s="1"/>
  <c r="AV85" i="15"/>
  <c r="AV148" i="15" s="1"/>
  <c r="AV93" i="15"/>
  <c r="AV156" i="15" s="1"/>
  <c r="AV49" i="15"/>
  <c r="AV112" i="15" s="1"/>
  <c r="AV75" i="15"/>
  <c r="AV138" i="15" s="1"/>
  <c r="AV73" i="15"/>
  <c r="AV136" i="15" s="1"/>
  <c r="AV69" i="15"/>
  <c r="AV132" i="15" s="1"/>
  <c r="AV90" i="15"/>
  <c r="AV153" i="15" s="1"/>
  <c r="AV88" i="15"/>
  <c r="AV151" i="15" s="1"/>
  <c r="AV96" i="15"/>
  <c r="AV159" i="15" s="1"/>
  <c r="AV95" i="15"/>
  <c r="AV158" i="15" s="1"/>
  <c r="AV57" i="15"/>
  <c r="AV120" i="15" s="1"/>
  <c r="AV50" i="15"/>
  <c r="AV113" i="15" s="1"/>
  <c r="AV63" i="15"/>
  <c r="AV126" i="15" s="1"/>
  <c r="AV39" i="15"/>
  <c r="AV105" i="15" s="1"/>
  <c r="AV58" i="15"/>
  <c r="AV121" i="15" s="1"/>
  <c r="AV45" i="15"/>
  <c r="AV108" i="15" s="1"/>
  <c r="AV81" i="15"/>
  <c r="AV144" i="15" s="1"/>
  <c r="AV52" i="15"/>
  <c r="AV115" i="15" s="1"/>
  <c r="AV78" i="15"/>
  <c r="AV141" i="15" s="1"/>
  <c r="AV72" i="15"/>
  <c r="AV135" i="15" s="1"/>
  <c r="AV46" i="15"/>
  <c r="AV109" i="15" s="1"/>
  <c r="AV70" i="15"/>
  <c r="AV133" i="15" s="1"/>
  <c r="AX38" i="15"/>
  <c r="AT161" i="15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BH106" i="8" a="1"/>
  <c r="BH87" i="8" a="1"/>
  <c r="BH99" i="8" a="1"/>
  <c r="BH67" i="8" a="1"/>
  <c r="BH108" i="8" a="1"/>
  <c r="BH78" i="8" a="1"/>
  <c r="BH107" i="8" a="1"/>
  <c r="BH129" i="8" a="1"/>
  <c r="BH60" i="8" a="1"/>
  <c r="AW50" i="15" a="1"/>
  <c r="BH93" i="8" a="1"/>
  <c r="AW93" i="15" a="1"/>
  <c r="K100" i="15" a="1"/>
  <c r="BH95" i="8" a="1"/>
  <c r="AN100" i="15" a="1"/>
  <c r="AW94" i="15" a="1"/>
  <c r="AQ100" i="15" a="1"/>
  <c r="AW98" i="15" a="1"/>
  <c r="AW45" i="15" a="1"/>
  <c r="BH63" i="8" a="1"/>
  <c r="BH52" i="8" a="1"/>
  <c r="AW90" i="15" a="1"/>
  <c r="BH124" i="8" a="1"/>
  <c r="BH64" i="8" a="1"/>
  <c r="Q100" i="15" a="1"/>
  <c r="AW69" i="15" a="1"/>
  <c r="AW62" i="15" a="1"/>
  <c r="BH94" i="8" a="1"/>
  <c r="AW71" i="15" a="1"/>
  <c r="AW59" i="15" a="1"/>
  <c r="AW64" i="15" a="1"/>
  <c r="BH66" i="8" a="1"/>
  <c r="U100" i="15" a="1"/>
  <c r="BH82" i="8" a="1"/>
  <c r="AW97" i="15" a="1"/>
  <c r="AV100" i="15" a="1"/>
  <c r="AW78" i="15" a="1"/>
  <c r="D100" i="15" a="1"/>
  <c r="N100" i="15" a="1"/>
  <c r="BH43" i="8" a="1"/>
  <c r="AC100" i="15" a="1"/>
  <c r="BH103" i="8" a="1"/>
  <c r="BH130" i="8" a="1"/>
  <c r="BH79" i="8" a="1"/>
  <c r="BH110" i="8" a="1"/>
  <c r="BH100" i="8" a="1"/>
  <c r="BH77" i="8" a="1"/>
  <c r="BH47" i="8" a="1"/>
  <c r="BH70" i="8" a="1"/>
  <c r="BH109" i="8" a="1"/>
  <c r="AW85" i="15" a="1"/>
  <c r="AW80" i="15" a="1"/>
  <c r="BH83" i="8" a="1"/>
  <c r="BH42" i="8" a="1"/>
  <c r="AW96" i="15" a="1"/>
  <c r="R100" i="15" a="1"/>
  <c r="BH53" i="8" a="1"/>
  <c r="BH55" i="8" a="1"/>
  <c r="P100" i="15" a="1"/>
  <c r="AW86" i="15" a="1"/>
  <c r="BH45" i="8" a="1"/>
  <c r="AH100" i="15" a="1"/>
  <c r="AW66" i="15" a="1"/>
  <c r="AW48" i="15" a="1"/>
  <c r="AS100" i="15" a="1"/>
  <c r="AW56" i="15" a="1"/>
  <c r="BH85" i="8" a="1"/>
  <c r="AW55" i="15" a="1"/>
  <c r="BH41" i="8" a="1"/>
  <c r="AT100" i="15" a="1"/>
  <c r="AW52" i="15" a="1"/>
  <c r="AW81" i="15" a="1"/>
  <c r="BH125" i="8" a="1"/>
  <c r="Z100" i="15" a="1"/>
  <c r="AA100" i="15" a="1"/>
  <c r="AW63" i="15" a="1"/>
  <c r="AX100" i="15" a="1"/>
  <c r="AW92" i="15" a="1"/>
  <c r="T100" i="15" a="1"/>
  <c r="BH62" i="8" a="1"/>
  <c r="AW76" i="15" a="1"/>
  <c r="AO100" i="15" a="1"/>
  <c r="BH104" i="8" a="1"/>
  <c r="BH89" i="8" a="1"/>
  <c r="BH88" i="8" a="1"/>
  <c r="BH127" i="8" a="1"/>
  <c r="BH68" i="8" a="1"/>
  <c r="BH97" i="8" a="1"/>
  <c r="BH128" i="8" a="1"/>
  <c r="BH57" i="8" a="1"/>
  <c r="BH49" i="8" a="1"/>
  <c r="AG100" i="15" a="1"/>
  <c r="AW67" i="15" a="1"/>
  <c r="AP100" i="15" a="1"/>
  <c r="BH75" i="8" a="1"/>
  <c r="AW70" i="15" a="1"/>
  <c r="AW87" i="15" a="1"/>
  <c r="BH96" i="8" a="1"/>
  <c r="AW49" i="15" a="1"/>
  <c r="L100" i="15" a="1"/>
  <c r="AW89" i="15" a="1"/>
  <c r="O100" i="15" a="1"/>
  <c r="X100" i="15" a="1"/>
  <c r="AW51" i="15" a="1"/>
  <c r="AW73" i="15" a="1"/>
  <c r="BH65" i="8" a="1"/>
  <c r="AW46" i="15" a="1"/>
  <c r="F100" i="15" a="1"/>
  <c r="AW74" i="15" a="1"/>
  <c r="AR100" i="15" a="1"/>
  <c r="AB100" i="15" a="1"/>
  <c r="AW91" i="15" a="1"/>
  <c r="AW57" i="15" a="1"/>
  <c r="AU100" i="15" a="1"/>
  <c r="C100" i="15" a="1"/>
  <c r="BH92" i="8" a="1"/>
  <c r="AW88" i="15" a="1"/>
  <c r="AW77" i="15" a="1"/>
  <c r="H100" i="15" a="1"/>
  <c r="BH86" i="8" a="1"/>
  <c r="E100" i="15" a="1"/>
  <c r="BH123" i="8" a="1"/>
  <c r="AK100" i="15" a="1"/>
  <c r="AI100" i="15" a="1"/>
  <c r="BH54" i="8" a="1"/>
  <c r="BH126" i="8" a="1"/>
  <c r="AW84" i="15" a="1"/>
  <c r="AW44" i="15" a="1"/>
  <c r="W100" i="15" a="1"/>
  <c r="BH105" i="8" a="1"/>
  <c r="BH46" i="8" a="1"/>
  <c r="BH58" i="8" a="1"/>
  <c r="BH90" i="8" a="1"/>
  <c r="BH69" i="8" a="1"/>
  <c r="BH48" i="8" a="1"/>
  <c r="BH59" i="8" a="1"/>
  <c r="BH98" i="8" a="1"/>
  <c r="BH80" i="8" a="1"/>
  <c r="AW53" i="15" a="1"/>
  <c r="V100" i="15" a="1"/>
  <c r="AW83" i="15" a="1"/>
  <c r="G100" i="15" a="1"/>
  <c r="AM100" i="15" a="1"/>
  <c r="AW43" i="15" a="1"/>
  <c r="AW65" i="15" a="1"/>
  <c r="S100" i="15" a="1"/>
  <c r="AW58" i="15" a="1"/>
  <c r="M100" i="15" a="1"/>
  <c r="BH74" i="8" a="1"/>
  <c r="AJ100" i="15" a="1"/>
  <c r="BH56" i="8" a="1"/>
  <c r="J100" i="15" a="1"/>
  <c r="AW54" i="15" a="1"/>
  <c r="AL100" i="15" a="1"/>
  <c r="AW39" i="15" a="1"/>
  <c r="AW95" i="15" a="1"/>
  <c r="AF100" i="15" a="1"/>
  <c r="AE100" i="15" a="1"/>
  <c r="BH122" i="8" a="1"/>
  <c r="BH73" i="8" a="1"/>
  <c r="AW79" i="15" a="1"/>
  <c r="I100" i="15" a="1"/>
  <c r="BH72" i="8" a="1"/>
  <c r="BH44" i="8" a="1"/>
  <c r="AW68" i="15" a="1"/>
  <c r="AW60" i="15" a="1"/>
  <c r="AD100" i="15" a="1"/>
  <c r="AW61" i="15" a="1"/>
  <c r="AW82" i="15" a="1"/>
  <c r="AW72" i="15" a="1"/>
  <c r="BH84" i="8" a="1"/>
  <c r="BH76" i="8" a="1"/>
  <c r="Y100" i="15" a="1"/>
  <c r="AW47" i="15" a="1"/>
  <c r="AW100" i="15" a="1"/>
  <c r="AW75" i="15" a="1"/>
  <c r="BH49" i="8" l="1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AW56" i="15"/>
  <c r="AW119" i="15" s="1"/>
  <c r="AW44" i="15"/>
  <c r="AW107" i="15" s="1"/>
  <c r="AW79" i="15"/>
  <c r="AW142" i="15" s="1"/>
  <c r="AW54" i="15"/>
  <c r="AW117" i="15" s="1"/>
  <c r="AW94" i="15"/>
  <c r="AW157" i="15" s="1"/>
  <c r="AW75" i="15"/>
  <c r="AW138" i="15" s="1"/>
  <c r="AW57" i="15"/>
  <c r="AW120" i="15" s="1"/>
  <c r="AW73" i="15"/>
  <c r="AW136" i="15" s="1"/>
  <c r="AW65" i="15"/>
  <c r="AW128" i="15" s="1"/>
  <c r="AW84" i="15"/>
  <c r="AW147" i="15" s="1"/>
  <c r="AW81" i="15"/>
  <c r="AW144" i="15" s="1"/>
  <c r="AW48" i="15"/>
  <c r="AW111" i="15" s="1"/>
  <c r="AW87" i="15"/>
  <c r="AW150" i="15" s="1"/>
  <c r="AW72" i="15"/>
  <c r="AW135" i="15" s="1"/>
  <c r="AW64" i="15"/>
  <c r="AW127" i="15" s="1"/>
  <c r="AW76" i="15"/>
  <c r="AW139" i="15" s="1"/>
  <c r="AW91" i="15"/>
  <c r="AW154" i="15" s="1"/>
  <c r="AW51" i="15"/>
  <c r="AW114" i="15" s="1"/>
  <c r="AW43" i="15"/>
  <c r="AW106" i="15" s="1"/>
  <c r="AW47" i="15"/>
  <c r="AW110" i="15" s="1"/>
  <c r="AW52" i="15"/>
  <c r="AW115" i="15" s="1"/>
  <c r="AW66" i="15"/>
  <c r="AW129" i="15" s="1"/>
  <c r="AW70" i="15"/>
  <c r="AW133" i="15" s="1"/>
  <c r="AW82" i="15"/>
  <c r="AW145" i="15" s="1"/>
  <c r="AW59" i="15"/>
  <c r="AW122" i="15" s="1"/>
  <c r="AW90" i="15"/>
  <c r="AW153" i="15" s="1"/>
  <c r="AW96" i="15"/>
  <c r="AW159" i="15" s="1"/>
  <c r="AW61" i="15"/>
  <c r="AW124" i="15" s="1"/>
  <c r="AW71" i="15"/>
  <c r="AW134" i="15" s="1"/>
  <c r="AW93" i="15"/>
  <c r="AW156" i="15" s="1"/>
  <c r="AW92" i="15"/>
  <c r="AW155" i="15" s="1"/>
  <c r="AW74" i="15"/>
  <c r="AW137" i="15" s="1"/>
  <c r="AW89" i="15"/>
  <c r="AW152" i="15" s="1"/>
  <c r="AW83" i="15"/>
  <c r="AW146" i="15" s="1"/>
  <c r="AW78" i="15"/>
  <c r="AW141" i="15" s="1"/>
  <c r="AW55" i="15"/>
  <c r="AW118" i="15" s="1"/>
  <c r="AW86" i="15"/>
  <c r="AW149" i="15" s="1"/>
  <c r="AW67" i="15"/>
  <c r="AW130" i="15" s="1"/>
  <c r="AW60" i="15"/>
  <c r="AW123" i="15" s="1"/>
  <c r="AW62" i="15"/>
  <c r="AW125" i="15" s="1"/>
  <c r="AW45" i="15"/>
  <c r="AW108" i="15" s="1"/>
  <c r="AW80" i="15"/>
  <c r="AW143" i="15" s="1"/>
  <c r="AW77" i="15"/>
  <c r="AW140" i="15" s="1"/>
  <c r="AW95" i="15"/>
  <c r="AW158" i="15" s="1"/>
  <c r="AW68" i="15"/>
  <c r="AW131" i="15" s="1"/>
  <c r="AW69" i="15"/>
  <c r="AW132" i="15" s="1"/>
  <c r="AW98" i="15"/>
  <c r="AW161" i="15" s="1"/>
  <c r="AW85" i="15"/>
  <c r="AW148" i="15" s="1"/>
  <c r="AW88" i="15"/>
  <c r="AW151" i="15" s="1"/>
  <c r="AW39" i="15"/>
  <c r="AW105" i="15" s="1"/>
  <c r="AW58" i="15"/>
  <c r="AW121" i="15" s="1"/>
  <c r="AW50" i="15"/>
  <c r="AW113" i="15" s="1"/>
  <c r="AW63" i="15"/>
  <c r="AW126" i="15" s="1"/>
  <c r="AW46" i="15"/>
  <c r="AW109" i="15" s="1"/>
  <c r="AW49" i="15"/>
  <c r="AW112" i="15" s="1"/>
  <c r="AW53" i="15"/>
  <c r="AW116" i="15" s="1"/>
  <c r="AW97" i="15"/>
  <c r="AW160" i="15" s="1"/>
  <c r="AY38" i="15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BI105" i="8" a="1"/>
  <c r="BI46" i="8" a="1"/>
  <c r="BI130" i="8" a="1"/>
  <c r="BI88" i="8" a="1"/>
  <c r="BI87" i="8" a="1"/>
  <c r="BI99" i="8" a="1"/>
  <c r="BI70" i="8" a="1"/>
  <c r="BI129" i="8" a="1"/>
  <c r="BI60" i="8" a="1"/>
  <c r="AX74" i="15" a="1"/>
  <c r="AX55" i="15" a="1"/>
  <c r="BI72" i="8" a="1"/>
  <c r="AX72" i="15" a="1"/>
  <c r="AR101" i="15" a="1"/>
  <c r="BI63" i="8" a="1"/>
  <c r="AX52" i="15" a="1"/>
  <c r="AX62" i="15" a="1"/>
  <c r="AX93" i="15" a="1"/>
  <c r="AX71" i="15" a="1"/>
  <c r="AX59" i="15" a="1"/>
  <c r="Y101" i="15" a="1"/>
  <c r="C101" i="15" a="1"/>
  <c r="AF101" i="15" a="1"/>
  <c r="AX73" i="15" a="1"/>
  <c r="BI122" i="8" a="1"/>
  <c r="AK101" i="15" a="1"/>
  <c r="AX86" i="15" a="1"/>
  <c r="AX64" i="15" a="1"/>
  <c r="M101" i="15" a="1"/>
  <c r="O101" i="15" a="1"/>
  <c r="Z101" i="15" a="1"/>
  <c r="BI62" i="8" a="1"/>
  <c r="AX101" i="15" a="1"/>
  <c r="BI124" i="8" a="1"/>
  <c r="BI55" i="8" a="1"/>
  <c r="H101" i="15" a="1"/>
  <c r="AX99" i="15" a="1"/>
  <c r="AX68" i="15" a="1"/>
  <c r="BI53" i="8" a="1"/>
  <c r="W101" i="15" a="1"/>
  <c r="BI66" i="8" a="1"/>
  <c r="F101" i="15" a="1"/>
  <c r="AT101" i="15" a="1"/>
  <c r="BI84" i="8" a="1"/>
  <c r="BI65" i="8" a="1"/>
  <c r="BI106" i="8" a="1"/>
  <c r="BI67" i="8" a="1"/>
  <c r="BI68" i="8" a="1"/>
  <c r="BI69" i="8" a="1"/>
  <c r="BI58" i="8" a="1"/>
  <c r="BI98" i="8" a="1"/>
  <c r="BI47" i="8" a="1"/>
  <c r="BI128" i="8" a="1"/>
  <c r="BI80" i="8" a="1"/>
  <c r="AX48" i="15" a="1"/>
  <c r="AX65" i="15" a="1"/>
  <c r="AX78" i="15" a="1"/>
  <c r="AC101" i="15" a="1"/>
  <c r="AB101" i="15" a="1"/>
  <c r="AM101" i="15" a="1"/>
  <c r="AX89" i="15" a="1"/>
  <c r="BI42" i="8" a="1"/>
  <c r="R101" i="15" a="1"/>
  <c r="AX75" i="15" a="1"/>
  <c r="AX47" i="15" a="1"/>
  <c r="BI44" i="8" a="1"/>
  <c r="X101" i="15" a="1"/>
  <c r="AX82" i="15" a="1"/>
  <c r="BI85" i="8" a="1"/>
  <c r="AX94" i="15" a="1"/>
  <c r="N101" i="15" a="1"/>
  <c r="AX46" i="15" a="1"/>
  <c r="AX80" i="15" a="1"/>
  <c r="BI41" i="8" a="1"/>
  <c r="AI101" i="15" a="1"/>
  <c r="AX69" i="15" a="1"/>
  <c r="U101" i="15" a="1"/>
  <c r="T101" i="15" a="1"/>
  <c r="BI56" i="8" a="1"/>
  <c r="BI86" i="8" a="1"/>
  <c r="AJ101" i="15" a="1"/>
  <c r="AX85" i="15" a="1"/>
  <c r="AX92" i="15" a="1"/>
  <c r="BI45" i="8" a="1"/>
  <c r="AG101" i="15" a="1"/>
  <c r="AX54" i="15" a="1"/>
  <c r="AO101" i="15" a="1"/>
  <c r="AX95" i="15" a="1"/>
  <c r="L101" i="15" a="1"/>
  <c r="AD101" i="15" a="1"/>
  <c r="BI103" i="8" a="1"/>
  <c r="BI100" i="8" a="1"/>
  <c r="BI77" i="8" a="1"/>
  <c r="BI108" i="8" a="1"/>
  <c r="BI90" i="8" a="1"/>
  <c r="BI48" i="8" a="1"/>
  <c r="BI97" i="8" a="1"/>
  <c r="BI107" i="8" a="1"/>
  <c r="BI109" i="8" a="1"/>
  <c r="J101" i="15" a="1"/>
  <c r="AX53" i="15" a="1"/>
  <c r="AX76" i="15" a="1"/>
  <c r="Q101" i="15" a="1"/>
  <c r="BI64" i="8" a="1"/>
  <c r="AX84" i="15" a="1"/>
  <c r="BI123" i="8" a="1"/>
  <c r="AX43" i="15" a="1"/>
  <c r="AX98" i="15" a="1"/>
  <c r="V101" i="15" a="1"/>
  <c r="AX60" i="15" a="1"/>
  <c r="AN101" i="15" a="1"/>
  <c r="AL101" i="15" a="1"/>
  <c r="AX81" i="15" a="1"/>
  <c r="G101" i="15" a="1"/>
  <c r="AX58" i="15" a="1"/>
  <c r="AX96" i="15" a="1"/>
  <c r="BI54" i="8" a="1"/>
  <c r="AX77" i="15" a="1"/>
  <c r="BI92" i="8" a="1"/>
  <c r="AP101" i="15" a="1"/>
  <c r="AX39" i="15" a="1"/>
  <c r="BI76" i="8" a="1"/>
  <c r="AX66" i="15" a="1"/>
  <c r="AW101" i="15" a="1"/>
  <c r="AX83" i="15" a="1"/>
  <c r="AX51" i="15" a="1"/>
  <c r="BI95" i="8" a="1"/>
  <c r="AX87" i="15" a="1"/>
  <c r="K101" i="15" a="1"/>
  <c r="S101" i="15" a="1"/>
  <c r="AX97" i="15" a="1"/>
  <c r="BI93" i="8" a="1"/>
  <c r="BI75" i="8" a="1"/>
  <c r="AS101" i="15" a="1"/>
  <c r="BI104" i="8" a="1"/>
  <c r="BI89" i="8" a="1"/>
  <c r="BI79" i="8" a="1"/>
  <c r="BI127" i="8" a="1"/>
  <c r="BI110" i="8" a="1"/>
  <c r="BI78" i="8" a="1"/>
  <c r="BI59" i="8" a="1"/>
  <c r="BI57" i="8" a="1"/>
  <c r="BI49" i="8" a="1"/>
  <c r="BI52" i="8" a="1"/>
  <c r="AY101" i="15" a="1"/>
  <c r="AX44" i="15" a="1"/>
  <c r="BI74" i="8" a="1"/>
  <c r="AX49" i="15" a="1"/>
  <c r="AX63" i="15" a="1"/>
  <c r="BI96" i="8" a="1"/>
  <c r="AX45" i="15" a="1"/>
  <c r="AX88" i="15" a="1"/>
  <c r="BI82" i="8" a="1"/>
  <c r="BI126" i="8" a="1"/>
  <c r="BI73" i="8" a="1"/>
  <c r="AE101" i="15" a="1"/>
  <c r="AX70" i="15" a="1"/>
  <c r="P101" i="15" a="1"/>
  <c r="AX79" i="15" a="1"/>
  <c r="AX90" i="15" a="1"/>
  <c r="AX91" i="15" a="1"/>
  <c r="AA101" i="15" a="1"/>
  <c r="D101" i="15" a="1"/>
  <c r="BI94" i="8" a="1"/>
  <c r="AX61" i="15" a="1"/>
  <c r="E101" i="15" a="1"/>
  <c r="AV101" i="15" a="1"/>
  <c r="AQ101" i="15" a="1"/>
  <c r="AX57" i="15" a="1"/>
  <c r="AX67" i="15" a="1"/>
  <c r="AX56" i="15" a="1"/>
  <c r="BI83" i="8" a="1"/>
  <c r="BI43" i="8" a="1"/>
  <c r="AH101" i="15" a="1"/>
  <c r="AX50" i="15" a="1"/>
  <c r="AU101" i="15" a="1"/>
  <c r="I101" i="15" a="1"/>
  <c r="BI125" i="8" a="1"/>
  <c r="BH119" i="8" l="1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AX66" i="15"/>
  <c r="AX129" i="15" s="1"/>
  <c r="AX94" i="15"/>
  <c r="AX157" i="15" s="1"/>
  <c r="AX62" i="15"/>
  <c r="AX125" i="15" s="1"/>
  <c r="AX95" i="15"/>
  <c r="AX158" i="15" s="1"/>
  <c r="AX73" i="15"/>
  <c r="AX136" i="15" s="1"/>
  <c r="AX89" i="15"/>
  <c r="AX152" i="15" s="1"/>
  <c r="AX50" i="15"/>
  <c r="AX113" i="15" s="1"/>
  <c r="AX61" i="15"/>
  <c r="AX124" i="15" s="1"/>
  <c r="AX70" i="15"/>
  <c r="AX133" i="15" s="1"/>
  <c r="AX52" i="15"/>
  <c r="AX115" i="15" s="1"/>
  <c r="AX97" i="15"/>
  <c r="AX160" i="15" s="1"/>
  <c r="AX39" i="15"/>
  <c r="AX105" i="15" s="1"/>
  <c r="AX81" i="15"/>
  <c r="AX144" i="15" s="1"/>
  <c r="AX63" i="15"/>
  <c r="AX126" i="15" s="1"/>
  <c r="AX54" i="15"/>
  <c r="AX117" i="15" s="1"/>
  <c r="AX69" i="15"/>
  <c r="AX132" i="15" s="1"/>
  <c r="AX82" i="15"/>
  <c r="AX145" i="15" s="1"/>
  <c r="AX84" i="15"/>
  <c r="AX147" i="15" s="1"/>
  <c r="AX49" i="15"/>
  <c r="AX112" i="15" s="1"/>
  <c r="AX72" i="15"/>
  <c r="AX135" i="15" s="1"/>
  <c r="AX87" i="15"/>
  <c r="AX150" i="15" s="1"/>
  <c r="AX77" i="15"/>
  <c r="AX140" i="15" s="1"/>
  <c r="AX60" i="15"/>
  <c r="AX123" i="15" s="1"/>
  <c r="AX44" i="15"/>
  <c r="AX107" i="15" s="1"/>
  <c r="AX92" i="15"/>
  <c r="AX155" i="15" s="1"/>
  <c r="AX80" i="15"/>
  <c r="AX143" i="15" s="1"/>
  <c r="AX47" i="15"/>
  <c r="AX110" i="15" s="1"/>
  <c r="AX76" i="15"/>
  <c r="AX139" i="15" s="1"/>
  <c r="AX68" i="15"/>
  <c r="AX131" i="15" s="1"/>
  <c r="AX64" i="15"/>
  <c r="AX127" i="15" s="1"/>
  <c r="AX59" i="15"/>
  <c r="AX122" i="15" s="1"/>
  <c r="AX78" i="15"/>
  <c r="AX141" i="15" s="1"/>
  <c r="AX56" i="15"/>
  <c r="AX119" i="15" s="1"/>
  <c r="AX91" i="15"/>
  <c r="AX154" i="15" s="1"/>
  <c r="AX85" i="15"/>
  <c r="AX148" i="15" s="1"/>
  <c r="AX46" i="15"/>
  <c r="AX109" i="15" s="1"/>
  <c r="AX75" i="15"/>
  <c r="AX138" i="15" s="1"/>
  <c r="AX53" i="15"/>
  <c r="AX116" i="15" s="1"/>
  <c r="AX99" i="15"/>
  <c r="AX86" i="15"/>
  <c r="AX149" i="15" s="1"/>
  <c r="AX71" i="15"/>
  <c r="AX134" i="15" s="1"/>
  <c r="AX65" i="15"/>
  <c r="AX128" i="15" s="1"/>
  <c r="AX67" i="15"/>
  <c r="AX130" i="15" s="1"/>
  <c r="AX90" i="15"/>
  <c r="AX153" i="15" s="1"/>
  <c r="AX88" i="15"/>
  <c r="AX151" i="15" s="1"/>
  <c r="AX55" i="15"/>
  <c r="AX118" i="15" s="1"/>
  <c r="AX51" i="15"/>
  <c r="AX114" i="15" s="1"/>
  <c r="AX96" i="15"/>
  <c r="AX159" i="15" s="1"/>
  <c r="AX98" i="15"/>
  <c r="AX161" i="15" s="1"/>
  <c r="AX93" i="15"/>
  <c r="AX156" i="15" s="1"/>
  <c r="AX48" i="15"/>
  <c r="AX111" i="15" s="1"/>
  <c r="AX57" i="15"/>
  <c r="AX120" i="15" s="1"/>
  <c r="AX79" i="15"/>
  <c r="AX142" i="15" s="1"/>
  <c r="AX45" i="15"/>
  <c r="AX108" i="15" s="1"/>
  <c r="AX74" i="15"/>
  <c r="AX137" i="15" s="1"/>
  <c r="AX83" i="15"/>
  <c r="AX146" i="15" s="1"/>
  <c r="AX58" i="15"/>
  <c r="AX121" i="15" s="1"/>
  <c r="AX43" i="15"/>
  <c r="AX106" i="15" s="1"/>
  <c r="AZ38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BJ106" i="8" a="1"/>
  <c r="BJ79" i="8" a="1"/>
  <c r="BJ69" i="8" a="1"/>
  <c r="BJ68" i="8" a="1"/>
  <c r="BJ130" i="8" a="1"/>
  <c r="BJ59" i="8" a="1"/>
  <c r="BJ98" i="8" a="1"/>
  <c r="BJ97" i="8" a="1"/>
  <c r="BJ49" i="8" a="1"/>
  <c r="AY63" i="15" a="1"/>
  <c r="AY90" i="15" a="1"/>
  <c r="BJ123" i="8" a="1"/>
  <c r="F102" i="15" a="1"/>
  <c r="J102" i="15" a="1"/>
  <c r="BJ43" i="8" a="1"/>
  <c r="AY57" i="15" a="1"/>
  <c r="AI102" i="15" a="1"/>
  <c r="I102" i="15" a="1"/>
  <c r="AY56" i="15" a="1"/>
  <c r="AY75" i="15" a="1"/>
  <c r="AY99" i="15" a="1"/>
  <c r="K102" i="15" a="1"/>
  <c r="W102" i="15" a="1"/>
  <c r="AA102" i="15" a="1"/>
  <c r="AY54" i="15" a="1"/>
  <c r="C102" i="15" a="1"/>
  <c r="BJ95" i="8" a="1"/>
  <c r="AY39" i="15" a="1"/>
  <c r="AY97" i="15" a="1"/>
  <c r="AY80" i="15" a="1"/>
  <c r="BJ76" i="8" a="1"/>
  <c r="BJ42" i="8" a="1"/>
  <c r="O102" i="15" a="1"/>
  <c r="AY86" i="15" a="1"/>
  <c r="AX102" i="15" a="1"/>
  <c r="BJ124" i="8" a="1"/>
  <c r="AY78" i="15" a="1"/>
  <c r="AY53" i="15" a="1"/>
  <c r="BJ93" i="8" a="1"/>
  <c r="AY44" i="15" a="1"/>
  <c r="BJ73" i="8" a="1"/>
  <c r="T102" i="15" a="1"/>
  <c r="AY85" i="15" a="1"/>
  <c r="BJ55" i="8" a="1"/>
  <c r="AY51" i="15" a="1"/>
  <c r="BJ103" i="8" a="1"/>
  <c r="BJ58" i="8" a="1"/>
  <c r="BJ108" i="8" a="1"/>
  <c r="BJ110" i="8" a="1"/>
  <c r="BJ89" i="8" a="1"/>
  <c r="BJ107" i="8" a="1"/>
  <c r="BJ48" i="8" a="1"/>
  <c r="BJ70" i="8" a="1"/>
  <c r="BJ80" i="8" a="1"/>
  <c r="AZ102" i="15" a="1"/>
  <c r="AY81" i="15" a="1"/>
  <c r="AY46" i="15" a="1"/>
  <c r="H102" i="15" a="1"/>
  <c r="BJ44" i="8" a="1"/>
  <c r="BJ84" i="8" a="1"/>
  <c r="AY64" i="15" a="1"/>
  <c r="BJ92" i="8" a="1"/>
  <c r="AK102" i="15" a="1"/>
  <c r="Z102" i="15" a="1"/>
  <c r="AY87" i="15" a="1"/>
  <c r="AY58" i="15" a="1"/>
  <c r="AD102" i="15" a="1"/>
  <c r="BJ54" i="8" a="1"/>
  <c r="P102" i="15" a="1"/>
  <c r="AY76" i="15" a="1"/>
  <c r="AW102" i="15" a="1"/>
  <c r="M102" i="15" a="1"/>
  <c r="BJ85" i="8" a="1"/>
  <c r="AY61" i="15" a="1"/>
  <c r="AY70" i="15" a="1"/>
  <c r="BJ94" i="8" a="1"/>
  <c r="AP102" i="15" a="1"/>
  <c r="BJ74" i="8" a="1"/>
  <c r="AY47" i="15" a="1"/>
  <c r="BJ83" i="8" a="1"/>
  <c r="BJ63" i="8" a="1"/>
  <c r="AL102" i="15" a="1"/>
  <c r="AY95" i="15" a="1"/>
  <c r="AY52" i="15" a="1"/>
  <c r="BJ86" i="8" a="1"/>
  <c r="AE102" i="15" a="1"/>
  <c r="AV102" i="15" a="1"/>
  <c r="AY68" i="15" a="1"/>
  <c r="BJ126" i="8" a="1"/>
  <c r="Q102" i="15" a="1"/>
  <c r="BJ104" i="8" a="1"/>
  <c r="BJ127" i="8" a="1"/>
  <c r="BJ100" i="8" a="1"/>
  <c r="BJ88" i="8" a="1"/>
  <c r="BJ99" i="8" a="1"/>
  <c r="BJ77" i="8" a="1"/>
  <c r="BJ78" i="8" a="1"/>
  <c r="BJ109" i="8" a="1"/>
  <c r="BJ60" i="8" a="1"/>
  <c r="D102" i="15" a="1"/>
  <c r="AY92" i="15" a="1"/>
  <c r="AY65" i="15" a="1"/>
  <c r="L102" i="15" a="1"/>
  <c r="BJ52" i="8" a="1"/>
  <c r="BJ45" i="8" a="1"/>
  <c r="AS102" i="15" a="1"/>
  <c r="BJ122" i="8" a="1"/>
  <c r="AH102" i="15" a="1"/>
  <c r="BJ62" i="8" a="1"/>
  <c r="AY96" i="15" a="1"/>
  <c r="AY55" i="15" a="1"/>
  <c r="BJ66" i="8" a="1"/>
  <c r="V102" i="15" a="1"/>
  <c r="AY77" i="15" a="1"/>
  <c r="N102" i="15" a="1"/>
  <c r="AR102" i="15" a="1"/>
  <c r="AC102" i="15" a="1"/>
  <c r="AN102" i="15" a="1"/>
  <c r="AY73" i="15" a="1"/>
  <c r="AY62" i="15" a="1"/>
  <c r="AG102" i="15" a="1"/>
  <c r="AY93" i="15" a="1"/>
  <c r="AY72" i="15" a="1"/>
  <c r="BJ53" i="8" a="1"/>
  <c r="AQ102" i="15" a="1"/>
  <c r="U102" i="15" a="1"/>
  <c r="BJ82" i="8" a="1"/>
  <c r="AY82" i="15" a="1"/>
  <c r="AY59" i="15" a="1"/>
  <c r="BJ75" i="8" a="1"/>
  <c r="BJ64" i="8" a="1"/>
  <c r="X102" i="15" a="1"/>
  <c r="BJ96" i="8" a="1"/>
  <c r="E102" i="15" a="1"/>
  <c r="BJ105" i="8" a="1"/>
  <c r="BJ46" i="8" a="1"/>
  <c r="BJ87" i="8" a="1"/>
  <c r="BJ67" i="8" a="1"/>
  <c r="BJ90" i="8" a="1"/>
  <c r="BJ128" i="8" a="1"/>
  <c r="BJ129" i="8" a="1"/>
  <c r="BJ47" i="8" a="1"/>
  <c r="BJ57" i="8" a="1"/>
  <c r="AY94" i="15" a="1"/>
  <c r="AY79" i="15" a="1"/>
  <c r="S102" i="15" a="1"/>
  <c r="AY84" i="15" a="1"/>
  <c r="G102" i="15" a="1"/>
  <c r="AY49" i="15" a="1"/>
  <c r="AY67" i="15" a="1"/>
  <c r="BJ56" i="8" a="1"/>
  <c r="AO102" i="15" a="1"/>
  <c r="AY48" i="15" a="1"/>
  <c r="AY60" i="15" a="1"/>
  <c r="AU102" i="15" a="1"/>
  <c r="AY100" i="15" a="1"/>
  <c r="BJ72" i="8" a="1"/>
  <c r="AY69" i="15" a="1"/>
  <c r="AY83" i="15" a="1"/>
  <c r="AM102" i="15" a="1"/>
  <c r="AY45" i="15" a="1"/>
  <c r="AY50" i="15" a="1"/>
  <c r="AY71" i="15" a="1"/>
  <c r="AT102" i="15" a="1"/>
  <c r="AY89" i="15" a="1"/>
  <c r="BJ41" i="8" a="1"/>
  <c r="AY102" i="15" a="1"/>
  <c r="AY91" i="15" a="1"/>
  <c r="AB102" i="15" a="1"/>
  <c r="AY66" i="15" a="1"/>
  <c r="AY74" i="15" a="1"/>
  <c r="R102" i="15" a="1"/>
  <c r="BJ65" i="8" a="1"/>
  <c r="AY88" i="15" a="1"/>
  <c r="AJ102" i="15" a="1"/>
  <c r="AY98" i="15" a="1"/>
  <c r="AY43" i="15" a="1"/>
  <c r="Y102" i="15" a="1"/>
  <c r="AF102" i="15" a="1"/>
  <c r="BJ125" i="8" a="1"/>
  <c r="BI117" i="8" l="1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119" i="8" s="1"/>
  <c r="BJ46" i="8"/>
  <c r="BJ104" i="8"/>
  <c r="BJ103" i="8"/>
  <c r="BJ106" i="8"/>
  <c r="BJ105" i="8"/>
  <c r="AY51" i="15"/>
  <c r="AY114" i="15" s="1"/>
  <c r="AY66" i="15"/>
  <c r="AY129" i="15" s="1"/>
  <c r="AY45" i="15"/>
  <c r="AY108" i="15" s="1"/>
  <c r="AY47" i="15"/>
  <c r="AY110" i="15" s="1"/>
  <c r="AY76" i="15"/>
  <c r="AY139" i="15" s="1"/>
  <c r="AY64" i="15"/>
  <c r="AY127" i="15" s="1"/>
  <c r="AY68" i="15"/>
  <c r="AY131" i="15" s="1"/>
  <c r="AY86" i="15"/>
  <c r="AY149" i="15" s="1"/>
  <c r="AY54" i="15"/>
  <c r="AY117" i="15" s="1"/>
  <c r="AY57" i="15"/>
  <c r="AY120" i="15" s="1"/>
  <c r="AY85" i="15"/>
  <c r="AY148" i="15" s="1"/>
  <c r="AY91" i="15"/>
  <c r="AY154" i="15" s="1"/>
  <c r="AY83" i="15"/>
  <c r="AY146" i="15" s="1"/>
  <c r="AY67" i="15"/>
  <c r="AY130" i="15" s="1"/>
  <c r="AY43" i="15"/>
  <c r="AY106" i="15" s="1"/>
  <c r="AY72" i="15"/>
  <c r="AY135" i="15" s="1"/>
  <c r="AY77" i="15"/>
  <c r="AY140" i="15" s="1"/>
  <c r="AY69" i="15"/>
  <c r="AY132" i="15" s="1"/>
  <c r="AY49" i="15"/>
  <c r="AY112" i="15" s="1"/>
  <c r="AY98" i="15"/>
  <c r="AY161" i="15" s="1"/>
  <c r="AY93" i="15"/>
  <c r="AY156" i="15" s="1"/>
  <c r="AY44" i="15"/>
  <c r="AY107" i="15" s="1"/>
  <c r="AY89" i="15"/>
  <c r="AY152" i="15" s="1"/>
  <c r="AY100" i="15"/>
  <c r="AY84" i="15"/>
  <c r="AY147" i="15" s="1"/>
  <c r="AY88" i="15"/>
  <c r="AY151" i="15" s="1"/>
  <c r="AY62" i="15"/>
  <c r="AY125" i="15" s="1"/>
  <c r="AY55" i="15"/>
  <c r="AY118" i="15" s="1"/>
  <c r="AY65" i="15"/>
  <c r="AY128" i="15" s="1"/>
  <c r="AY59" i="15"/>
  <c r="AY122" i="15" s="1"/>
  <c r="AY70" i="15"/>
  <c r="AY133" i="15" s="1"/>
  <c r="AY58" i="15"/>
  <c r="AY121" i="15" s="1"/>
  <c r="AY46" i="15"/>
  <c r="AY109" i="15" s="1"/>
  <c r="AY52" i="15"/>
  <c r="AY115" i="15" s="1"/>
  <c r="AY80" i="15"/>
  <c r="AY143" i="15" s="1"/>
  <c r="AY99" i="15"/>
  <c r="AY73" i="15"/>
  <c r="AY136" i="15" s="1"/>
  <c r="AY96" i="15"/>
  <c r="AY159" i="15" s="1"/>
  <c r="AY92" i="15"/>
  <c r="AY155" i="15" s="1"/>
  <c r="AY82" i="15"/>
  <c r="AY145" i="15" s="1"/>
  <c r="AY61" i="15"/>
  <c r="AY124" i="15" s="1"/>
  <c r="AY87" i="15"/>
  <c r="AY150" i="15" s="1"/>
  <c r="AY81" i="15"/>
  <c r="AY144" i="15" s="1"/>
  <c r="AY95" i="15"/>
  <c r="AY158" i="15" s="1"/>
  <c r="AY97" i="15"/>
  <c r="AY160" i="15" s="1"/>
  <c r="AY75" i="15"/>
  <c r="AY138" i="15" s="1"/>
  <c r="AY90" i="15"/>
  <c r="AY153" i="15" s="1"/>
  <c r="AY53" i="15"/>
  <c r="AY116" i="15" s="1"/>
  <c r="AY71" i="15"/>
  <c r="AY134" i="15" s="1"/>
  <c r="AY60" i="15"/>
  <c r="AY123" i="15" s="1"/>
  <c r="AY79" i="15"/>
  <c r="AY142" i="15" s="1"/>
  <c r="AY39" i="15"/>
  <c r="AY105" i="15" s="1"/>
  <c r="AY56" i="15"/>
  <c r="AY119" i="15" s="1"/>
  <c r="AY63" i="15"/>
  <c r="AY126" i="15" s="1"/>
  <c r="AY78" i="15"/>
  <c r="AY141" i="15" s="1"/>
  <c r="AY50" i="15"/>
  <c r="AY113" i="15" s="1"/>
  <c r="AY48" i="15"/>
  <c r="AY111" i="15" s="1"/>
  <c r="AY94" i="15"/>
  <c r="AY157" i="15" s="1"/>
  <c r="AY74" i="15"/>
  <c r="AY137" i="15" s="1"/>
  <c r="BA38" i="15"/>
  <c r="S102" i="15"/>
  <c r="AY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O102" i="15"/>
  <c r="AX102" i="15"/>
  <c r="AT102" i="15"/>
  <c r="AZ102" i="15"/>
  <c r="D102" i="15"/>
  <c r="D162" i="15" s="1"/>
  <c r="L102" i="15"/>
  <c r="AJ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BK105" i="8" a="1"/>
  <c r="BK46" i="8" a="1"/>
  <c r="BK69" i="8" a="1"/>
  <c r="BK100" i="8" a="1"/>
  <c r="BK67" i="8" a="1"/>
  <c r="BK47" i="8" a="1"/>
  <c r="BK129" i="8" a="1"/>
  <c r="BK48" i="8" a="1"/>
  <c r="BK109" i="8" a="1"/>
  <c r="AZ63" i="15" a="1"/>
  <c r="AZ93" i="15" a="1"/>
  <c r="AZ75" i="15" a="1"/>
  <c r="AZ54" i="15" a="1"/>
  <c r="AZ44" i="15" a="1"/>
  <c r="BK74" i="8" a="1"/>
  <c r="AZ78" i="15" a="1"/>
  <c r="AZ80" i="15" a="1"/>
  <c r="BK45" i="8" a="1"/>
  <c r="AZ50" i="15" a="1"/>
  <c r="BK54" i="8" a="1"/>
  <c r="AZ87" i="15" a="1"/>
  <c r="AZ88" i="15" a="1"/>
  <c r="BK42" i="8" a="1"/>
  <c r="AZ86" i="15" a="1"/>
  <c r="BK126" i="8" a="1"/>
  <c r="BK95" i="8" a="1"/>
  <c r="AZ84" i="15" a="1"/>
  <c r="BK106" i="8" a="1"/>
  <c r="BK88" i="8" a="1"/>
  <c r="BK108" i="8" a="1"/>
  <c r="BK99" i="8" a="1"/>
  <c r="BK110" i="8" a="1"/>
  <c r="BK97" i="8" a="1"/>
  <c r="BK77" i="8" a="1"/>
  <c r="BK78" i="8" a="1"/>
  <c r="BK80" i="8" a="1"/>
  <c r="BK85" i="8" a="1"/>
  <c r="AZ39" i="15" a="1"/>
  <c r="AZ71" i="15" a="1"/>
  <c r="BK93" i="8" a="1"/>
  <c r="BK62" i="8" a="1"/>
  <c r="BK65" i="8" a="1"/>
  <c r="BK82" i="8" a="1"/>
  <c r="BK56" i="8" a="1"/>
  <c r="AZ46" i="15" a="1"/>
  <c r="BK76" i="8" a="1"/>
  <c r="AZ74" i="15" a="1"/>
  <c r="AZ89" i="15" a="1"/>
  <c r="BK75" i="8" a="1"/>
  <c r="AZ83" i="15" a="1"/>
  <c r="BK52" i="8" a="1"/>
  <c r="BK92" i="8" a="1"/>
  <c r="BK72" i="8" a="1"/>
  <c r="AZ66" i="15" a="1"/>
  <c r="AZ95" i="15" a="1"/>
  <c r="BK43" i="8" a="1"/>
  <c r="AZ68" i="15" a="1"/>
  <c r="BK41" i="8" a="1"/>
  <c r="BK83" i="8" a="1"/>
  <c r="BK63" i="8" a="1"/>
  <c r="BK64" i="8" a="1"/>
  <c r="BK125" i="8" a="1"/>
  <c r="AZ47" i="15" a="1"/>
  <c r="AZ101" i="15" a="1"/>
  <c r="BK73" i="8" a="1"/>
  <c r="BK44" i="8" a="1"/>
  <c r="BK103" i="8" a="1"/>
  <c r="BK79" i="8" a="1"/>
  <c r="BK90" i="8" a="1"/>
  <c r="BK87" i="8" a="1"/>
  <c r="BK89" i="8" a="1"/>
  <c r="BK107" i="8" a="1"/>
  <c r="BK98" i="8" a="1"/>
  <c r="BK59" i="8" a="1"/>
  <c r="BK60" i="8" a="1"/>
  <c r="BK96" i="8" a="1"/>
  <c r="AZ92" i="15" a="1"/>
  <c r="BK123" i="8" a="1"/>
  <c r="AZ100" i="15" a="1"/>
  <c r="BK124" i="8" a="1"/>
  <c r="AZ82" i="15" a="1"/>
  <c r="AZ61" i="15" a="1"/>
  <c r="AZ73" i="15" a="1"/>
  <c r="AZ96" i="15" a="1"/>
  <c r="AZ98" i="15" a="1"/>
  <c r="AZ67" i="15" a="1"/>
  <c r="AZ76" i="15" a="1"/>
  <c r="AZ64" i="15" a="1"/>
  <c r="AZ55" i="15" a="1"/>
  <c r="BK84" i="8" a="1"/>
  <c r="AZ43" i="15" a="1"/>
  <c r="AZ77" i="15" a="1"/>
  <c r="AZ48" i="15" a="1"/>
  <c r="BK104" i="8" a="1"/>
  <c r="BK127" i="8" a="1"/>
  <c r="BK130" i="8" a="1"/>
  <c r="BK58" i="8" a="1"/>
  <c r="BK68" i="8" a="1"/>
  <c r="BK57" i="8" a="1"/>
  <c r="BK128" i="8" a="1"/>
  <c r="BK70" i="8" a="1"/>
  <c r="BK49" i="8" a="1"/>
  <c r="AZ65" i="15" a="1"/>
  <c r="AZ69" i="15" a="1"/>
  <c r="AZ45" i="15" a="1"/>
  <c r="AZ90" i="15" a="1"/>
  <c r="AZ97" i="15" a="1"/>
  <c r="AZ62" i="15" a="1"/>
  <c r="AZ94" i="15" a="1"/>
  <c r="BK55" i="8" a="1"/>
  <c r="AZ70" i="15" a="1"/>
  <c r="AZ49" i="15" a="1"/>
  <c r="AZ72" i="15" a="1"/>
  <c r="AZ91" i="15" a="1"/>
  <c r="BK53" i="8" a="1"/>
  <c r="AZ53" i="15" a="1"/>
  <c r="BK86" i="8" a="1"/>
  <c r="BK66" i="8" a="1"/>
  <c r="AZ79" i="15" a="1"/>
  <c r="AZ60" i="15" a="1"/>
  <c r="AZ56" i="15" a="1"/>
  <c r="BK94" i="8" a="1"/>
  <c r="AZ58" i="15" a="1"/>
  <c r="AZ52" i="15" a="1"/>
  <c r="BK122" i="8" a="1"/>
  <c r="AZ81" i="15" a="1"/>
  <c r="AZ51" i="15" a="1"/>
  <c r="AZ59" i="15" a="1"/>
  <c r="AZ85" i="15" a="1"/>
  <c r="AZ99" i="15" a="1"/>
  <c r="AZ57" i="15" a="1"/>
  <c r="BJ117" i="8" l="1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AZ84" i="15"/>
  <c r="AZ147" i="15" s="1"/>
  <c r="AZ57" i="15"/>
  <c r="AZ120" i="15" s="1"/>
  <c r="AZ86" i="15"/>
  <c r="AZ149" i="15" s="1"/>
  <c r="AZ98" i="15"/>
  <c r="AZ161" i="15" s="1"/>
  <c r="AZ51" i="15"/>
  <c r="AZ114" i="15" s="1"/>
  <c r="AZ52" i="15"/>
  <c r="AZ115" i="15" s="1"/>
  <c r="AZ99" i="15"/>
  <c r="AZ81" i="15"/>
  <c r="AZ144" i="15" s="1"/>
  <c r="AZ50" i="15"/>
  <c r="AZ113" i="15" s="1"/>
  <c r="AZ44" i="15"/>
  <c r="AZ107" i="15" s="1"/>
  <c r="AZ58" i="15"/>
  <c r="AZ121" i="15" s="1"/>
  <c r="AZ53" i="15"/>
  <c r="AZ116" i="15" s="1"/>
  <c r="AZ70" i="15"/>
  <c r="AZ133" i="15" s="1"/>
  <c r="AZ48" i="15"/>
  <c r="AZ111" i="15" s="1"/>
  <c r="AZ101" i="15"/>
  <c r="AZ55" i="15"/>
  <c r="AZ118" i="15" s="1"/>
  <c r="AZ96" i="15"/>
  <c r="AZ159" i="15" s="1"/>
  <c r="AZ90" i="15"/>
  <c r="AZ153" i="15" s="1"/>
  <c r="AZ68" i="15"/>
  <c r="AZ131" i="15" s="1"/>
  <c r="AZ83" i="15"/>
  <c r="AZ146" i="15" s="1"/>
  <c r="AZ46" i="15"/>
  <c r="AZ109" i="15" s="1"/>
  <c r="AZ100" i="15"/>
  <c r="AZ54" i="15"/>
  <c r="AZ117" i="15" s="1"/>
  <c r="AZ77" i="15"/>
  <c r="AZ140" i="15" s="1"/>
  <c r="AZ64" i="15"/>
  <c r="AZ127" i="15" s="1"/>
  <c r="AZ73" i="15"/>
  <c r="AZ136" i="15" s="1"/>
  <c r="AZ45" i="15"/>
  <c r="AZ108" i="15" s="1"/>
  <c r="AZ85" i="15"/>
  <c r="AZ148" i="15" s="1"/>
  <c r="AZ88" i="15"/>
  <c r="AZ151" i="15" s="1"/>
  <c r="AZ80" i="15"/>
  <c r="AZ143" i="15" s="1"/>
  <c r="AZ71" i="15"/>
  <c r="AZ134" i="15" s="1"/>
  <c r="AZ56" i="15"/>
  <c r="AZ119" i="15" s="1"/>
  <c r="AZ91" i="15"/>
  <c r="AZ154" i="15" s="1"/>
  <c r="AZ94" i="15"/>
  <c r="AZ157" i="15" s="1"/>
  <c r="AZ75" i="15"/>
  <c r="AZ138" i="15" s="1"/>
  <c r="AZ47" i="15"/>
  <c r="AZ110" i="15" s="1"/>
  <c r="AZ76" i="15"/>
  <c r="AZ139" i="15" s="1"/>
  <c r="AZ61" i="15"/>
  <c r="AZ124" i="15" s="1"/>
  <c r="AZ69" i="15"/>
  <c r="AZ132" i="15" s="1"/>
  <c r="AZ95" i="15"/>
  <c r="AZ158" i="15" s="1"/>
  <c r="AZ89" i="15"/>
  <c r="AZ152" i="15" s="1"/>
  <c r="AZ92" i="15"/>
  <c r="AZ155" i="15" s="1"/>
  <c r="AZ59" i="15"/>
  <c r="AZ122" i="15" s="1"/>
  <c r="AZ87" i="15"/>
  <c r="AZ150" i="15" s="1"/>
  <c r="AZ78" i="15"/>
  <c r="AZ141" i="15" s="1"/>
  <c r="AZ39" i="15"/>
  <c r="AZ105" i="15" s="1"/>
  <c r="AZ60" i="15"/>
  <c r="AZ123" i="15" s="1"/>
  <c r="AZ72" i="15"/>
  <c r="AZ135" i="15" s="1"/>
  <c r="AZ62" i="15"/>
  <c r="AZ125" i="15" s="1"/>
  <c r="AZ93" i="15"/>
  <c r="AZ156" i="15" s="1"/>
  <c r="AZ43" i="15"/>
  <c r="AZ106" i="15" s="1"/>
  <c r="AZ67" i="15"/>
  <c r="AZ130" i="15" s="1"/>
  <c r="AZ82" i="15"/>
  <c r="AZ145" i="15" s="1"/>
  <c r="AZ65" i="15"/>
  <c r="AZ128" i="15" s="1"/>
  <c r="AZ66" i="15"/>
  <c r="AZ129" i="15" s="1"/>
  <c r="AZ74" i="15"/>
  <c r="AZ137" i="15" s="1"/>
  <c r="AZ79" i="15"/>
  <c r="AZ142" i="15" s="1"/>
  <c r="AZ49" i="15"/>
  <c r="AZ112" i="15" s="1"/>
  <c r="AZ97" i="15"/>
  <c r="AZ160" i="15" s="1"/>
  <c r="AZ63" i="15"/>
  <c r="AZ126" i="15" s="1"/>
  <c r="BB38" i="15"/>
  <c r="T162" i="15"/>
  <c r="AJ162" i="15"/>
  <c r="AT162" i="15"/>
  <c r="O162" i="15"/>
  <c r="M162" i="15"/>
  <c r="N162" i="15"/>
  <c r="AL162" i="15"/>
  <c r="F162" i="15"/>
  <c r="AZ162" i="15"/>
  <c r="G162" i="15"/>
  <c r="AM162" i="15"/>
  <c r="AV162" i="15"/>
  <c r="W162" i="15"/>
  <c r="R162" i="15"/>
  <c r="L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BL103" i="8" a="1"/>
  <c r="BL108" i="8" a="1"/>
  <c r="BL88" i="8" a="1"/>
  <c r="BL110" i="8" a="1"/>
  <c r="BL68" i="8" a="1"/>
  <c r="BL97" i="8" a="1"/>
  <c r="BL48" i="8" a="1"/>
  <c r="BL99" i="8" a="1"/>
  <c r="BL49" i="8" a="1"/>
  <c r="BA73" i="15" a="1"/>
  <c r="BL83" i="8" a="1"/>
  <c r="BA60" i="15" a="1"/>
  <c r="BL73" i="8" a="1"/>
  <c r="BA97" i="15" a="1"/>
  <c r="BA66" i="15" a="1"/>
  <c r="BA39" i="15" a="1"/>
  <c r="BL94" i="8" a="1"/>
  <c r="BA65" i="15" a="1"/>
  <c r="BA57" i="15" a="1"/>
  <c r="BL62" i="8" a="1"/>
  <c r="BA44" i="15" a="1"/>
  <c r="BA91" i="15" a="1"/>
  <c r="BA45" i="15" a="1"/>
  <c r="BA61" i="15" a="1"/>
  <c r="BL54" i="8" a="1"/>
  <c r="BL86" i="8" a="1"/>
  <c r="BA46" i="15" a="1"/>
  <c r="BA77" i="15" a="1"/>
  <c r="BL124" i="8" a="1"/>
  <c r="BL85" i="8" a="1"/>
  <c r="BA69" i="15" a="1"/>
  <c r="BA79" i="15" a="1"/>
  <c r="BL104" i="8" a="1"/>
  <c r="BL130" i="8" a="1"/>
  <c r="BL90" i="8" a="1"/>
  <c r="BL79" i="8" a="1"/>
  <c r="BL47" i="8" a="1"/>
  <c r="BL59" i="8" a="1"/>
  <c r="BL78" i="8" a="1"/>
  <c r="BL129" i="8" a="1"/>
  <c r="BL80" i="8" a="1"/>
  <c r="BA81" i="15" a="1"/>
  <c r="BA92" i="15" a="1"/>
  <c r="BA68" i="15" a="1"/>
  <c r="BL122" i="8" a="1"/>
  <c r="BL125" i="8" a="1"/>
  <c r="BL52" i="8" a="1"/>
  <c r="BA48" i="15" a="1"/>
  <c r="BL42" i="8" a="1"/>
  <c r="BA51" i="15" a="1"/>
  <c r="BL95" i="8" a="1"/>
  <c r="BA67" i="15" a="1"/>
  <c r="BA96" i="15" a="1"/>
  <c r="BA49" i="15" a="1"/>
  <c r="BA99" i="15" a="1"/>
  <c r="BA88" i="15" a="1"/>
  <c r="BL76" i="8" a="1"/>
  <c r="BA78" i="15" a="1"/>
  <c r="BL53" i="8" a="1"/>
  <c r="BA87" i="15" a="1"/>
  <c r="BL72" i="8" a="1"/>
  <c r="BA62" i="15" a="1"/>
  <c r="BL43" i="8" a="1"/>
  <c r="BA63" i="15" a="1"/>
  <c r="BL105" i="8" a="1"/>
  <c r="BL58" i="8" a="1"/>
  <c r="BL46" i="8" a="1"/>
  <c r="BL67" i="8" a="1"/>
  <c r="BL87" i="8" a="1"/>
  <c r="BL98" i="8" a="1"/>
  <c r="BL70" i="8" a="1"/>
  <c r="BL107" i="8" a="1"/>
  <c r="BL57" i="8" a="1"/>
  <c r="BA84" i="15" a="1"/>
  <c r="BL56" i="8" a="1"/>
  <c r="BA82" i="15" a="1"/>
  <c r="BA50" i="15" a="1"/>
  <c r="BL84" i="8" a="1"/>
  <c r="BA89" i="15" a="1"/>
  <c r="BA102" i="15" a="1"/>
  <c r="BA72" i="15" a="1"/>
  <c r="BL123" i="8" a="1"/>
  <c r="BA85" i="15" a="1"/>
  <c r="BL75" i="8" a="1"/>
  <c r="BL66" i="8" a="1"/>
  <c r="BA75" i="15" a="1"/>
  <c r="BL64" i="8" a="1"/>
  <c r="BL63" i="8" a="1"/>
  <c r="BA83" i="15" a="1"/>
  <c r="BA56" i="15" a="1"/>
  <c r="BA74" i="15" a="1"/>
  <c r="BA54" i="15" a="1"/>
  <c r="BA90" i="15" a="1"/>
  <c r="BA86" i="15" a="1"/>
  <c r="BA58" i="15" a="1"/>
  <c r="BL65" i="8" a="1"/>
  <c r="BL44" i="8" a="1"/>
  <c r="BA71" i="15" a="1"/>
  <c r="BL106" i="8" a="1"/>
  <c r="BL69" i="8" a="1"/>
  <c r="BL127" i="8" a="1"/>
  <c r="BL100" i="8" a="1"/>
  <c r="BL89" i="8" a="1"/>
  <c r="BL128" i="8" a="1"/>
  <c r="BL60" i="8" a="1"/>
  <c r="BL77" i="8" a="1"/>
  <c r="BL109" i="8" a="1"/>
  <c r="BA94" i="15" a="1"/>
  <c r="BL74" i="8" a="1"/>
  <c r="BA76" i="15" a="1"/>
  <c r="BL126" i="8" a="1"/>
  <c r="BA80" i="15" a="1"/>
  <c r="BA43" i="15" a="1"/>
  <c r="BL92" i="8" a="1"/>
  <c r="BA70" i="15" a="1"/>
  <c r="BA47" i="15" a="1"/>
  <c r="BA100" i="15" a="1"/>
  <c r="BL93" i="8" a="1"/>
  <c r="BL82" i="8" a="1"/>
  <c r="BA53" i="15" a="1"/>
  <c r="BL55" i="8" a="1"/>
  <c r="BA93" i="15" a="1"/>
  <c r="BL45" i="8" a="1"/>
  <c r="BA98" i="15" a="1"/>
  <c r="BA95" i="15" a="1"/>
  <c r="BA101" i="15" a="1"/>
  <c r="BL96" i="8" a="1"/>
  <c r="BA59" i="15" a="1"/>
  <c r="BA55" i="15" a="1"/>
  <c r="BL41" i="8" a="1"/>
  <c r="BA52" i="15" a="1"/>
  <c r="BA64" i="15" a="1"/>
  <c r="BK119" i="8" l="1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A54" i="15"/>
  <c r="BA117" i="15" s="1"/>
  <c r="BA46" i="15"/>
  <c r="BA109" i="15" s="1"/>
  <c r="BA96" i="15"/>
  <c r="BA159" i="15" s="1"/>
  <c r="BA66" i="15"/>
  <c r="BA129" i="15" s="1"/>
  <c r="BA63" i="15"/>
  <c r="BA126" i="15" s="1"/>
  <c r="BA95" i="15"/>
  <c r="BA158" i="15" s="1"/>
  <c r="BA102" i="15"/>
  <c r="BA162" i="15" s="1"/>
  <c r="BA43" i="15"/>
  <c r="BA106" i="15" s="1"/>
  <c r="BA64" i="15"/>
  <c r="BA127" i="15" s="1"/>
  <c r="BA74" i="15"/>
  <c r="BA137" i="15" s="1"/>
  <c r="BA44" i="15"/>
  <c r="BA107" i="15" s="1"/>
  <c r="BA89" i="15"/>
  <c r="BA152" i="15" s="1"/>
  <c r="BA52" i="15"/>
  <c r="BA115" i="15" s="1"/>
  <c r="BA78" i="15"/>
  <c r="BA141" i="15" s="1"/>
  <c r="BA97" i="15"/>
  <c r="BA160" i="15" s="1"/>
  <c r="BA71" i="15"/>
  <c r="BA134" i="15" s="1"/>
  <c r="BA98" i="15"/>
  <c r="BA161" i="15" s="1"/>
  <c r="BA67" i="15"/>
  <c r="BA130" i="15" s="1"/>
  <c r="BA80" i="15"/>
  <c r="BA143" i="15" s="1"/>
  <c r="BA79" i="15"/>
  <c r="BA142" i="15" s="1"/>
  <c r="BA56" i="15"/>
  <c r="BA119" i="15" s="1"/>
  <c r="BA69" i="15"/>
  <c r="BA132" i="15" s="1"/>
  <c r="BA83" i="15"/>
  <c r="BA146" i="15" s="1"/>
  <c r="BA57" i="15"/>
  <c r="BA120" i="15" s="1"/>
  <c r="BA50" i="15"/>
  <c r="BA113" i="15" s="1"/>
  <c r="BA55" i="15"/>
  <c r="BA118" i="15" s="1"/>
  <c r="BA88" i="15"/>
  <c r="BA151" i="15" s="1"/>
  <c r="BA100" i="15"/>
  <c r="BA68" i="15"/>
  <c r="BA131" i="15" s="1"/>
  <c r="BA58" i="15"/>
  <c r="BA121" i="15" s="1"/>
  <c r="BA61" i="15"/>
  <c r="BA124" i="15" s="1"/>
  <c r="BA85" i="15"/>
  <c r="BA148" i="15" s="1"/>
  <c r="BA60" i="15"/>
  <c r="BA123" i="15" s="1"/>
  <c r="BA62" i="15"/>
  <c r="BA125" i="15" s="1"/>
  <c r="BA93" i="15"/>
  <c r="BA156" i="15" s="1"/>
  <c r="BA51" i="15"/>
  <c r="BA114" i="15" s="1"/>
  <c r="BA76" i="15"/>
  <c r="BA139" i="15" s="1"/>
  <c r="BA65" i="15"/>
  <c r="BA128" i="15" s="1"/>
  <c r="BA82" i="15"/>
  <c r="BA145" i="15" s="1"/>
  <c r="BA59" i="15"/>
  <c r="BA122" i="15" s="1"/>
  <c r="BA99" i="15"/>
  <c r="BA47" i="15"/>
  <c r="BA110" i="15" s="1"/>
  <c r="BA92" i="15"/>
  <c r="BA155" i="15" s="1"/>
  <c r="BA86" i="15"/>
  <c r="BA149" i="15" s="1"/>
  <c r="BA45" i="15"/>
  <c r="BA108" i="15" s="1"/>
  <c r="BA49" i="15"/>
  <c r="BA112" i="15" s="1"/>
  <c r="BA70" i="15"/>
  <c r="BA133" i="15" s="1"/>
  <c r="BA81" i="15"/>
  <c r="BA144" i="15" s="1"/>
  <c r="BA90" i="15"/>
  <c r="BA153" i="15" s="1"/>
  <c r="BA91" i="15"/>
  <c r="BA154" i="15" s="1"/>
  <c r="BA72" i="15"/>
  <c r="BA135" i="15" s="1"/>
  <c r="BA73" i="15"/>
  <c r="BA136" i="15" s="1"/>
  <c r="BA87" i="15"/>
  <c r="BA150" i="15" s="1"/>
  <c r="BA53" i="15"/>
  <c r="BA116" i="15" s="1"/>
  <c r="BA48" i="15"/>
  <c r="BA111" i="15" s="1"/>
  <c r="BA94" i="15"/>
  <c r="BA157" i="15" s="1"/>
  <c r="BA77" i="15"/>
  <c r="BA140" i="15" s="1"/>
  <c r="BA75" i="15"/>
  <c r="BA138" i="15" s="1"/>
  <c r="BA39" i="15"/>
  <c r="BA105" i="15" s="1"/>
  <c r="BA84" i="15"/>
  <c r="BA147" i="15" s="1"/>
  <c r="BA101" i="15"/>
  <c r="BC38" i="15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BM105" i="8" a="1"/>
  <c r="BM79" i="8" a="1"/>
  <c r="BM130" i="8" a="1"/>
  <c r="BM110" i="8" a="1"/>
  <c r="BM100" i="8" a="1"/>
  <c r="BM48" i="8" a="1"/>
  <c r="BM97" i="8" a="1"/>
  <c r="BM129" i="8" a="1"/>
  <c r="BM49" i="8" a="1"/>
  <c r="BB79" i="15" a="1"/>
  <c r="BB64" i="15" a="1"/>
  <c r="BM84" i="8" a="1"/>
  <c r="BM124" i="8" a="1"/>
  <c r="BB48" i="15" a="1"/>
  <c r="BB83" i="15" a="1"/>
  <c r="BB69" i="15" a="1"/>
  <c r="BM62" i="8" a="1"/>
  <c r="BB86" i="15" a="1"/>
  <c r="BB59" i="15" a="1"/>
  <c r="BM92" i="8" a="1"/>
  <c r="BB57" i="15" a="1"/>
  <c r="BB61" i="15" a="1"/>
  <c r="BB97" i="15" a="1"/>
  <c r="BB73" i="15" a="1"/>
  <c r="BB46" i="15" a="1"/>
  <c r="BB87" i="15" a="1"/>
  <c r="BB50" i="15" a="1"/>
  <c r="BB95" i="15" a="1"/>
  <c r="BM63" i="8" a="1"/>
  <c r="BB70" i="15" a="1"/>
  <c r="BB66" i="15" a="1"/>
  <c r="BM93" i="8" a="1"/>
  <c r="BM95" i="8" a="1"/>
  <c r="BB39" i="15" a="1"/>
  <c r="BM72" i="8" a="1"/>
  <c r="BB101" i="15" a="1"/>
  <c r="BB54" i="15" a="1"/>
  <c r="BM41" i="8" a="1"/>
  <c r="BB63" i="15" a="1"/>
  <c r="BM43" i="8" a="1"/>
  <c r="BM67" i="8" a="1"/>
  <c r="BM108" i="8" a="1"/>
  <c r="BM59" i="8" a="1"/>
  <c r="BM60" i="8" a="1"/>
  <c r="BM56" i="8" a="1"/>
  <c r="BM55" i="8" a="1"/>
  <c r="BB88" i="15" a="1"/>
  <c r="BB55" i="15" a="1"/>
  <c r="BB58" i="15" a="1"/>
  <c r="BB44" i="15" a="1"/>
  <c r="BB81" i="15" a="1"/>
  <c r="BM106" i="8" a="1"/>
  <c r="BM58" i="8" a="1"/>
  <c r="BM46" i="8" a="1"/>
  <c r="BM87" i="8" a="1"/>
  <c r="BM89" i="8" a="1"/>
  <c r="BM99" i="8" a="1"/>
  <c r="BM128" i="8" a="1"/>
  <c r="BM70" i="8" a="1"/>
  <c r="BM80" i="8" a="1"/>
  <c r="BB78" i="15" a="1"/>
  <c r="BB76" i="15" a="1"/>
  <c r="BB90" i="15" a="1"/>
  <c r="BB47" i="15" a="1"/>
  <c r="BB65" i="15" a="1"/>
  <c r="BM54" i="8" a="1"/>
  <c r="BB85" i="15" a="1"/>
  <c r="BM85" i="8" a="1"/>
  <c r="BM96" i="8" a="1"/>
  <c r="BB94" i="15" a="1"/>
  <c r="BM64" i="8" a="1"/>
  <c r="BM76" i="8" a="1"/>
  <c r="BB80" i="15" a="1"/>
  <c r="BB53" i="15" a="1"/>
  <c r="BM125" i="8" a="1"/>
  <c r="BM66" i="8" a="1"/>
  <c r="BB93" i="15" a="1"/>
  <c r="BM98" i="8" a="1"/>
  <c r="BB82" i="15" a="1"/>
  <c r="BB49" i="15" a="1"/>
  <c r="BB92" i="15" a="1"/>
  <c r="BM42" i="8" a="1"/>
  <c r="BM65" i="8" a="1"/>
  <c r="BM103" i="8" a="1"/>
  <c r="BM127" i="8" a="1"/>
  <c r="BM88" i="8" a="1"/>
  <c r="BM69" i="8" a="1"/>
  <c r="BM68" i="8" a="1"/>
  <c r="BM77" i="8" a="1"/>
  <c r="BM78" i="8" a="1"/>
  <c r="BM107" i="8" a="1"/>
  <c r="BM57" i="8" a="1"/>
  <c r="BB102" i="15" a="1"/>
  <c r="BM74" i="8" a="1"/>
  <c r="BB75" i="15" a="1"/>
  <c r="BM126" i="8" a="1"/>
  <c r="BM52" i="8" a="1"/>
  <c r="BB98" i="15" a="1"/>
  <c r="BB72" i="15" a="1"/>
  <c r="BB89" i="15" a="1"/>
  <c r="BB43" i="15" a="1"/>
  <c r="BB96" i="15" a="1"/>
  <c r="BB91" i="15" a="1"/>
  <c r="BB60" i="15" a="1"/>
  <c r="BM73" i="8" a="1"/>
  <c r="BB45" i="15" a="1"/>
  <c r="BB52" i="15" a="1"/>
  <c r="BM53" i="8" a="1"/>
  <c r="BM86" i="8" a="1"/>
  <c r="BB56" i="15" a="1"/>
  <c r="BB74" i="15" a="1"/>
  <c r="BB68" i="15" a="1"/>
  <c r="BB62" i="15" a="1"/>
  <c r="BB71" i="15" a="1"/>
  <c r="BB99" i="15" a="1"/>
  <c r="BB84" i="15" a="1"/>
  <c r="BM90" i="8" a="1"/>
  <c r="BM47" i="8" a="1"/>
  <c r="BM109" i="8" a="1"/>
  <c r="BB100" i="15" a="1"/>
  <c r="BM45" i="8" a="1"/>
  <c r="BM44" i="8" a="1"/>
  <c r="BB77" i="15" a="1"/>
  <c r="BM75" i="8" a="1"/>
  <c r="BM94" i="8" a="1"/>
  <c r="BB51" i="15" a="1"/>
  <c r="BM123" i="8" a="1"/>
  <c r="BM104" i="8" a="1"/>
  <c r="BB67" i="15" a="1"/>
  <c r="BM83" i="8" a="1"/>
  <c r="BM82" i="8" a="1"/>
  <c r="BM122" i="8" a="1"/>
  <c r="BL117" i="8" l="1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B50" i="15"/>
  <c r="BB113" i="15" s="1"/>
  <c r="BB81" i="15"/>
  <c r="BB144" i="15" s="1"/>
  <c r="BB101" i="15"/>
  <c r="BB55" i="15"/>
  <c r="BB118" i="15" s="1"/>
  <c r="BB84" i="15"/>
  <c r="BB147" i="15" s="1"/>
  <c r="BB99" i="15"/>
  <c r="BB87" i="15"/>
  <c r="BB150" i="15" s="1"/>
  <c r="BB91" i="15"/>
  <c r="BB154" i="15" s="1"/>
  <c r="BB83" i="15"/>
  <c r="BB146" i="15" s="1"/>
  <c r="BB93" i="15"/>
  <c r="BB156" i="15" s="1"/>
  <c r="BB53" i="15"/>
  <c r="BB116" i="15" s="1"/>
  <c r="BB77" i="15"/>
  <c r="BB140" i="15" s="1"/>
  <c r="BB65" i="15"/>
  <c r="BB128" i="15" s="1"/>
  <c r="BB71" i="15"/>
  <c r="BB134" i="15" s="1"/>
  <c r="BB46" i="15"/>
  <c r="BB109" i="15" s="1"/>
  <c r="BB96" i="15"/>
  <c r="BB159" i="15" s="1"/>
  <c r="BB48" i="15"/>
  <c r="BB111" i="15" s="1"/>
  <c r="BB63" i="15"/>
  <c r="BB126" i="15" s="1"/>
  <c r="BB58" i="15"/>
  <c r="BB121" i="15" s="1"/>
  <c r="BB94" i="15"/>
  <c r="BB157" i="15" s="1"/>
  <c r="BB82" i="15"/>
  <c r="BB145" i="15" s="1"/>
  <c r="BB66" i="15"/>
  <c r="BB129" i="15" s="1"/>
  <c r="BB52" i="15"/>
  <c r="BB115" i="15" s="1"/>
  <c r="BB59" i="15"/>
  <c r="BB122" i="15" s="1"/>
  <c r="BB88" i="15"/>
  <c r="BB151" i="15" s="1"/>
  <c r="BB47" i="15"/>
  <c r="BB110" i="15" s="1"/>
  <c r="BB62" i="15"/>
  <c r="BB125" i="15" s="1"/>
  <c r="BB73" i="15"/>
  <c r="BB136" i="15" s="1"/>
  <c r="BB43" i="15"/>
  <c r="BB106" i="15" s="1"/>
  <c r="BB70" i="15"/>
  <c r="BB133" i="15" s="1"/>
  <c r="BB45" i="15"/>
  <c r="BB108" i="15" s="1"/>
  <c r="BB86" i="15"/>
  <c r="BB149" i="15" s="1"/>
  <c r="BB75" i="15"/>
  <c r="BB138" i="15" s="1"/>
  <c r="BB51" i="15"/>
  <c r="BB114" i="15" s="1"/>
  <c r="BB80" i="15"/>
  <c r="BB143" i="15" s="1"/>
  <c r="BB49" i="15"/>
  <c r="BB112" i="15" s="1"/>
  <c r="BB90" i="15"/>
  <c r="BB153" i="15" s="1"/>
  <c r="BB68" i="15"/>
  <c r="BB131" i="15" s="1"/>
  <c r="BB97" i="15"/>
  <c r="BB160" i="15" s="1"/>
  <c r="BB89" i="15"/>
  <c r="BB152" i="15" s="1"/>
  <c r="BB44" i="15"/>
  <c r="BB107" i="15" s="1"/>
  <c r="BB39" i="15"/>
  <c r="BB105" i="15" s="1"/>
  <c r="BB67" i="15"/>
  <c r="BB130" i="15" s="1"/>
  <c r="BB76" i="15"/>
  <c r="BB139" i="15" s="1"/>
  <c r="BB74" i="15"/>
  <c r="BB137" i="15" s="1"/>
  <c r="BB61" i="15"/>
  <c r="BB124" i="15" s="1"/>
  <c r="BB72" i="15"/>
  <c r="BB135" i="15" s="1"/>
  <c r="BB64" i="15"/>
  <c r="BB127" i="15" s="1"/>
  <c r="BB54" i="15"/>
  <c r="BB117" i="15" s="1"/>
  <c r="BB92" i="15"/>
  <c r="BB155" i="15" s="1"/>
  <c r="BB85" i="15"/>
  <c r="BB148" i="15" s="1"/>
  <c r="BB100" i="15"/>
  <c r="BB95" i="15"/>
  <c r="BB158" i="15" s="1"/>
  <c r="BB60" i="15"/>
  <c r="BB123" i="15" s="1"/>
  <c r="BB69" i="15"/>
  <c r="BB132" i="15" s="1"/>
  <c r="BB102" i="15"/>
  <c r="BB162" i="15" s="1"/>
  <c r="BB78" i="15"/>
  <c r="BB141" i="15" s="1"/>
  <c r="BB56" i="15"/>
  <c r="BB119" i="15" s="1"/>
  <c r="BB57" i="15"/>
  <c r="BB120" i="15" s="1"/>
  <c r="BB98" i="15"/>
  <c r="BB161" i="15" s="1"/>
  <c r="BB79" i="15"/>
  <c r="BB142" i="15" s="1"/>
  <c r="BD38" i="15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BN105" i="8" a="1"/>
  <c r="BN79" i="8" a="1"/>
  <c r="BN110" i="8" a="1"/>
  <c r="BN89" i="8" a="1"/>
  <c r="BN67" i="8" a="1"/>
  <c r="BN98" i="8" a="1"/>
  <c r="BN47" i="8" a="1"/>
  <c r="BN60" i="8" a="1"/>
  <c r="BN49" i="8" a="1"/>
  <c r="BC61" i="15" a="1"/>
  <c r="BC51" i="15" a="1"/>
  <c r="BN64" i="8" a="1"/>
  <c r="BN76" i="8" a="1"/>
  <c r="BC88" i="15" a="1"/>
  <c r="BC91" i="15" a="1"/>
  <c r="BC94" i="15" a="1"/>
  <c r="BN82" i="8" a="1"/>
  <c r="BC77" i="15" a="1"/>
  <c r="BC60" i="15" a="1"/>
  <c r="BC76" i="15" a="1"/>
  <c r="BC46" i="15" a="1"/>
  <c r="BC99" i="15" a="1"/>
  <c r="BC57" i="15" a="1"/>
  <c r="BC97" i="15" a="1"/>
  <c r="BC68" i="15" a="1"/>
  <c r="BC66" i="15" a="1"/>
  <c r="BC80" i="15" a="1"/>
  <c r="BC102" i="15" a="1"/>
  <c r="BN63" i="8" a="1"/>
  <c r="BN42" i="8" a="1"/>
  <c r="BN106" i="8" a="1"/>
  <c r="BN127" i="8" a="1"/>
  <c r="BN87" i="8" a="1"/>
  <c r="BN68" i="8" a="1"/>
  <c r="BN130" i="8" a="1"/>
  <c r="BN97" i="8" a="1"/>
  <c r="BN128" i="8" a="1"/>
  <c r="BN99" i="8" a="1"/>
  <c r="BN57" i="8" a="1"/>
  <c r="BC90" i="15" a="1"/>
  <c r="BC45" i="15" a="1"/>
  <c r="BC84" i="15" a="1"/>
  <c r="BC70" i="15" a="1"/>
  <c r="BC47" i="15" a="1"/>
  <c r="BC69" i="15" a="1"/>
  <c r="BN75" i="8" a="1"/>
  <c r="BN66" i="8" a="1"/>
  <c r="BC95" i="15" a="1"/>
  <c r="BC71" i="15" a="1"/>
  <c r="BC83" i="15" a="1"/>
  <c r="BN95" i="8" a="1"/>
  <c r="BN85" i="8" a="1"/>
  <c r="BC81" i="15" a="1"/>
  <c r="BC72" i="15" a="1"/>
  <c r="BC87" i="15" a="1"/>
  <c r="BC49" i="15" a="1"/>
  <c r="BC39" i="15" a="1"/>
  <c r="BC73" i="15" a="1"/>
  <c r="BN96" i="8" a="1"/>
  <c r="BN54" i="8" a="1"/>
  <c r="BC98" i="15" a="1"/>
  <c r="BN56" i="8" a="1"/>
  <c r="BN93" i="8" a="1"/>
  <c r="BC43" i="15" a="1"/>
  <c r="BC54" i="15" a="1"/>
  <c r="BC59" i="15" a="1"/>
  <c r="BC86" i="15" a="1"/>
  <c r="BN103" i="8" a="1"/>
  <c r="BN69" i="8" a="1"/>
  <c r="BN88" i="8" a="1"/>
  <c r="BN46" i="8" a="1"/>
  <c r="BN100" i="8" a="1"/>
  <c r="BN78" i="8" a="1"/>
  <c r="BN59" i="8" a="1"/>
  <c r="BN48" i="8" a="1"/>
  <c r="BN109" i="8" a="1"/>
  <c r="BN62" i="8" a="1"/>
  <c r="BC44" i="15" a="1"/>
  <c r="BC82" i="15" a="1"/>
  <c r="BN126" i="8" a="1"/>
  <c r="BN65" i="8" a="1"/>
  <c r="BC64" i="15" a="1"/>
  <c r="BN73" i="8" a="1"/>
  <c r="BC85" i="15" a="1"/>
  <c r="BN45" i="8" a="1"/>
  <c r="BN123" i="8" a="1"/>
  <c r="BC50" i="15" a="1"/>
  <c r="BN94" i="8" a="1"/>
  <c r="BN74" i="8" a="1"/>
  <c r="BC75" i="15" a="1"/>
  <c r="BC79" i="15" a="1"/>
  <c r="BC65" i="15" a="1"/>
  <c r="BN41" i="8" a="1"/>
  <c r="BC48" i="15" a="1"/>
  <c r="BC101" i="15" a="1"/>
  <c r="BC63" i="15" a="1"/>
  <c r="BN104" i="8" a="1"/>
  <c r="BN90" i="8" a="1"/>
  <c r="BN108" i="8" a="1"/>
  <c r="BN58" i="8" a="1"/>
  <c r="BN77" i="8" a="1"/>
  <c r="BN70" i="8" a="1"/>
  <c r="BN129" i="8" a="1"/>
  <c r="BN107" i="8" a="1"/>
  <c r="BN80" i="8" a="1"/>
  <c r="BC74" i="15" a="1"/>
  <c r="BN86" i="8" a="1"/>
  <c r="BN53" i="8" a="1"/>
  <c r="BC96" i="15" a="1"/>
  <c r="BN125" i="8" a="1"/>
  <c r="BN72" i="8" a="1"/>
  <c r="BC62" i="15" a="1"/>
  <c r="BC78" i="15" a="1"/>
  <c r="BN55" i="8" a="1"/>
  <c r="BC55" i="15" a="1"/>
  <c r="BC53" i="15" a="1"/>
  <c r="BC58" i="15" a="1"/>
  <c r="BC100" i="15" a="1"/>
  <c r="BN44" i="8" a="1"/>
  <c r="BN92" i="8" a="1"/>
  <c r="BC93" i="15" a="1"/>
  <c r="BN84" i="8" a="1"/>
  <c r="BN122" i="8" a="1"/>
  <c r="BC67" i="15" a="1"/>
  <c r="BC89" i="15" a="1"/>
  <c r="BN43" i="8" a="1"/>
  <c r="BN83" i="8" a="1"/>
  <c r="BC52" i="15" a="1"/>
  <c r="BN124" i="8" a="1"/>
  <c r="BC56" i="15" a="1"/>
  <c r="BC92" i="15" a="1"/>
  <c r="BN52" i="8" a="1"/>
  <c r="BM117" i="8" l="1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C86" i="15"/>
  <c r="BC149" i="15" s="1"/>
  <c r="BC64" i="15"/>
  <c r="BC127" i="15" s="1"/>
  <c r="BC52" i="15"/>
  <c r="BC115" i="15" s="1"/>
  <c r="BC39" i="15"/>
  <c r="BC105" i="15" s="1"/>
  <c r="BC58" i="15"/>
  <c r="BC121" i="15" s="1"/>
  <c r="BC69" i="15"/>
  <c r="BC132" i="15" s="1"/>
  <c r="BC63" i="15"/>
  <c r="BC126" i="15" s="1"/>
  <c r="BC80" i="15"/>
  <c r="BC143" i="15" s="1"/>
  <c r="BC94" i="15"/>
  <c r="BC157" i="15" s="1"/>
  <c r="BC91" i="15"/>
  <c r="BC154" i="15" s="1"/>
  <c r="BC49" i="15"/>
  <c r="BC112" i="15" s="1"/>
  <c r="BC46" i="15"/>
  <c r="BC109" i="15" s="1"/>
  <c r="BC47" i="15"/>
  <c r="BC110" i="15" s="1"/>
  <c r="BC59" i="15"/>
  <c r="BC122" i="15" s="1"/>
  <c r="BC66" i="15"/>
  <c r="BC129" i="15" s="1"/>
  <c r="BC53" i="15"/>
  <c r="BC116" i="15" s="1"/>
  <c r="BC88" i="15"/>
  <c r="BC151" i="15" s="1"/>
  <c r="BC98" i="15"/>
  <c r="BC161" i="15" s="1"/>
  <c r="BC93" i="15"/>
  <c r="BC156" i="15" s="1"/>
  <c r="BC50" i="15"/>
  <c r="BC113" i="15" s="1"/>
  <c r="BC96" i="15"/>
  <c r="BC159" i="15" s="1"/>
  <c r="BC92" i="15"/>
  <c r="BC155" i="15" s="1"/>
  <c r="BC65" i="15"/>
  <c r="BC128" i="15" s="1"/>
  <c r="BC83" i="15"/>
  <c r="BC146" i="15" s="1"/>
  <c r="BC87" i="15"/>
  <c r="BC150" i="15" s="1"/>
  <c r="BC76" i="15"/>
  <c r="BC139" i="15" s="1"/>
  <c r="BC70" i="15"/>
  <c r="BC133" i="15" s="1"/>
  <c r="BC101" i="15"/>
  <c r="BC68" i="15"/>
  <c r="BC131" i="15" s="1"/>
  <c r="BC55" i="15"/>
  <c r="BC118" i="15" s="1"/>
  <c r="BC56" i="15"/>
  <c r="BC119" i="15" s="1"/>
  <c r="BC79" i="15"/>
  <c r="BC142" i="15" s="1"/>
  <c r="BC71" i="15"/>
  <c r="BC134" i="15" s="1"/>
  <c r="BC82" i="15"/>
  <c r="BC145" i="15" s="1"/>
  <c r="BC89" i="15"/>
  <c r="BC152" i="15" s="1"/>
  <c r="BC72" i="15"/>
  <c r="BC135" i="15" s="1"/>
  <c r="BC60" i="15"/>
  <c r="BC123" i="15" s="1"/>
  <c r="BC84" i="15"/>
  <c r="BC147" i="15" s="1"/>
  <c r="BC54" i="15"/>
  <c r="BC117" i="15" s="1"/>
  <c r="BC97" i="15"/>
  <c r="BC160" i="15" s="1"/>
  <c r="BC75" i="15"/>
  <c r="BC138" i="15" s="1"/>
  <c r="BC95" i="15"/>
  <c r="BC158" i="15" s="1"/>
  <c r="BC44" i="15"/>
  <c r="BC107" i="15" s="1"/>
  <c r="BC67" i="15"/>
  <c r="BC130" i="15" s="1"/>
  <c r="BC81" i="15"/>
  <c r="BC144" i="15" s="1"/>
  <c r="BC77" i="15"/>
  <c r="BC140" i="15" s="1"/>
  <c r="BC45" i="15"/>
  <c r="BC108" i="15" s="1"/>
  <c r="BC48" i="15"/>
  <c r="BC111" i="15" s="1"/>
  <c r="BC57" i="15"/>
  <c r="BC120" i="15" s="1"/>
  <c r="BC78" i="15"/>
  <c r="BC141" i="15" s="1"/>
  <c r="BC51" i="15"/>
  <c r="BC114" i="15" s="1"/>
  <c r="BC73" i="15"/>
  <c r="BC136" i="15" s="1"/>
  <c r="BC100" i="15"/>
  <c r="BC85" i="15"/>
  <c r="BC148" i="15" s="1"/>
  <c r="BC74" i="15"/>
  <c r="BC137" i="15" s="1"/>
  <c r="BC102" i="15"/>
  <c r="BC162" i="15" s="1"/>
  <c r="BC90" i="15"/>
  <c r="BC153" i="15" s="1"/>
  <c r="BC43" i="15"/>
  <c r="BC106" i="15" s="1"/>
  <c r="BC99" i="15"/>
  <c r="BC62" i="15"/>
  <c r="BC125" i="15" s="1"/>
  <c r="BC61" i="15"/>
  <c r="BC124" i="15" s="1"/>
  <c r="BE38" i="15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BO105" i="8" a="1"/>
  <c r="BO46" i="8" a="1"/>
  <c r="BO79" i="8" a="1"/>
  <c r="BO67" i="8" a="1"/>
  <c r="BO88" i="8" a="1"/>
  <c r="BO110" i="8" a="1"/>
  <c r="BO128" i="8" a="1"/>
  <c r="BO98" i="8" a="1"/>
  <c r="BO49" i="8" a="1"/>
  <c r="BD53" i="15" a="1"/>
  <c r="BD95" i="15" a="1"/>
  <c r="BD99" i="15" a="1"/>
  <c r="BO44" i="8" a="1"/>
  <c r="BD45" i="15" a="1"/>
  <c r="BD47" i="15" a="1"/>
  <c r="BO56" i="8" a="1"/>
  <c r="BD39" i="15" a="1"/>
  <c r="BO94" i="8" a="1"/>
  <c r="BO42" i="8" a="1"/>
  <c r="BD52" i="15" a="1"/>
  <c r="BD87" i="15" a="1"/>
  <c r="BD75" i="15" a="1"/>
  <c r="BD60" i="15" a="1"/>
  <c r="BD76" i="15" a="1"/>
  <c r="BD88" i="15" a="1"/>
  <c r="BO66" i="8" a="1"/>
  <c r="BO83" i="8" a="1"/>
  <c r="BD78" i="15" a="1"/>
  <c r="BD86" i="15" a="1"/>
  <c r="BO64" i="8" a="1"/>
  <c r="BD48" i="15" a="1"/>
  <c r="BO96" i="8" a="1"/>
  <c r="BO106" i="8" a="1"/>
  <c r="BO58" i="8" a="1"/>
  <c r="BO87" i="8" a="1"/>
  <c r="BO89" i="8" a="1"/>
  <c r="BO130" i="8" a="1"/>
  <c r="BO70" i="8" a="1"/>
  <c r="BO97" i="8" a="1"/>
  <c r="BO48" i="8" a="1"/>
  <c r="BO60" i="8" a="1"/>
  <c r="BO122" i="8" a="1"/>
  <c r="BD96" i="15" a="1"/>
  <c r="BO82" i="8" a="1"/>
  <c r="BD46" i="15" a="1"/>
  <c r="BO86" i="8" a="1"/>
  <c r="BD79" i="15" a="1"/>
  <c r="BD69" i="15" a="1"/>
  <c r="BD98" i="15" a="1"/>
  <c r="BO93" i="8" a="1"/>
  <c r="BD97" i="15" a="1"/>
  <c r="BD100" i="15" a="1"/>
  <c r="BD66" i="15" a="1"/>
  <c r="BD70" i="15" a="1"/>
  <c r="BD73" i="15" a="1"/>
  <c r="BD61" i="15" a="1"/>
  <c r="BD89" i="15" a="1"/>
  <c r="BO62" i="8" a="1"/>
  <c r="BD64" i="15" a="1"/>
  <c r="BO55" i="8" a="1"/>
  <c r="BO53" i="8" a="1"/>
  <c r="BD85" i="15" a="1"/>
  <c r="BD80" i="15" a="1"/>
  <c r="BD93" i="15" a="1"/>
  <c r="BO103" i="8" a="1"/>
  <c r="BO90" i="8" a="1"/>
  <c r="BO69" i="8" a="1"/>
  <c r="BO99" i="8" a="1"/>
  <c r="BO100" i="8" a="1"/>
  <c r="BO107" i="8" a="1"/>
  <c r="BO78" i="8" a="1"/>
  <c r="BO129" i="8" a="1"/>
  <c r="BO57" i="8" a="1"/>
  <c r="BO126" i="8" a="1"/>
  <c r="BO52" i="8" a="1"/>
  <c r="BO124" i="8" a="1"/>
  <c r="BD63" i="15" a="1"/>
  <c r="BD84" i="15" a="1"/>
  <c r="BO85" i="8" a="1"/>
  <c r="BO95" i="8" a="1"/>
  <c r="BD57" i="15" a="1"/>
  <c r="BD56" i="15" a="1"/>
  <c r="BD82" i="15" a="1"/>
  <c r="BO92" i="8" a="1"/>
  <c r="BO43" i="8" a="1"/>
  <c r="BD74" i="15" a="1"/>
  <c r="BD102" i="15" a="1"/>
  <c r="BO73" i="8" a="1"/>
  <c r="BD91" i="15" a="1"/>
  <c r="BD81" i="15" a="1"/>
  <c r="BD44" i="15" a="1"/>
  <c r="BO65" i="8" a="1"/>
  <c r="BO125" i="8" a="1"/>
  <c r="BD55" i="15" a="1"/>
  <c r="BD90" i="15" a="1"/>
  <c r="BO41" i="8" a="1"/>
  <c r="BD49" i="15" a="1"/>
  <c r="BO84" i="8" a="1"/>
  <c r="BO104" i="8" a="1"/>
  <c r="BO77" i="8" a="1"/>
  <c r="BO108" i="8" a="1"/>
  <c r="BO127" i="8" a="1"/>
  <c r="BO68" i="8" a="1"/>
  <c r="BO47" i="8" a="1"/>
  <c r="BO59" i="8" a="1"/>
  <c r="BO109" i="8" a="1"/>
  <c r="BO80" i="8" a="1"/>
  <c r="BD59" i="15" a="1"/>
  <c r="BO76" i="8" a="1"/>
  <c r="BD71" i="15" a="1"/>
  <c r="BD65" i="15" a="1"/>
  <c r="BD62" i="15" a="1"/>
  <c r="BO72" i="8" a="1"/>
  <c r="BD101" i="15" a="1"/>
  <c r="BO45" i="8" a="1"/>
  <c r="BD68" i="15" a="1"/>
  <c r="BO123" i="8" a="1"/>
  <c r="BD92" i="15" a="1"/>
  <c r="BD94" i="15" a="1"/>
  <c r="BO63" i="8" a="1"/>
  <c r="BD72" i="15" a="1"/>
  <c r="BO54" i="8" a="1"/>
  <c r="BD43" i="15" a="1"/>
  <c r="BD58" i="15" a="1"/>
  <c r="BD67" i="15" a="1"/>
  <c r="BD54" i="15" a="1"/>
  <c r="BD51" i="15" a="1"/>
  <c r="BO75" i="8" a="1"/>
  <c r="BO74" i="8" a="1"/>
  <c r="BD83" i="15" a="1"/>
  <c r="BD50" i="15" a="1"/>
  <c r="BD77" i="15" a="1"/>
  <c r="BN118" i="8" l="1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D68" i="15"/>
  <c r="BD131" i="15" s="1"/>
  <c r="BD50" i="15"/>
  <c r="BD113" i="15" s="1"/>
  <c r="BD94" i="15"/>
  <c r="BD157" i="15" s="1"/>
  <c r="BD86" i="15"/>
  <c r="BD149" i="15" s="1"/>
  <c r="BD56" i="15"/>
  <c r="BD119" i="15" s="1"/>
  <c r="BD102" i="15"/>
  <c r="BD162" i="15" s="1"/>
  <c r="BD77" i="15"/>
  <c r="BD140" i="15" s="1"/>
  <c r="BD54" i="15"/>
  <c r="BD117" i="15" s="1"/>
  <c r="BD49" i="15"/>
  <c r="BD112" i="15" s="1"/>
  <c r="BD66" i="15"/>
  <c r="BD129" i="15" s="1"/>
  <c r="BD78" i="15"/>
  <c r="BD141" i="15" s="1"/>
  <c r="BD57" i="15"/>
  <c r="BD120" i="15" s="1"/>
  <c r="BD73" i="15"/>
  <c r="BD136" i="15" s="1"/>
  <c r="BD90" i="15"/>
  <c r="BD153" i="15" s="1"/>
  <c r="BD67" i="15"/>
  <c r="BD130" i="15" s="1"/>
  <c r="BD98" i="15"/>
  <c r="BD161" i="15" s="1"/>
  <c r="BD96" i="15"/>
  <c r="BD159" i="15" s="1"/>
  <c r="BD80" i="15"/>
  <c r="BD143" i="15" s="1"/>
  <c r="BD44" i="15"/>
  <c r="BD107" i="15" s="1"/>
  <c r="BD39" i="15"/>
  <c r="BD105" i="15" s="1"/>
  <c r="BD71" i="15"/>
  <c r="BD134" i="15" s="1"/>
  <c r="BD87" i="15"/>
  <c r="BD150" i="15" s="1"/>
  <c r="BD64" i="15"/>
  <c r="BD127" i="15" s="1"/>
  <c r="BD101" i="15"/>
  <c r="BD60" i="15"/>
  <c r="BD123" i="15" s="1"/>
  <c r="BD48" i="15"/>
  <c r="BD111" i="15" s="1"/>
  <c r="BD58" i="15"/>
  <c r="BD121" i="15" s="1"/>
  <c r="BD69" i="15"/>
  <c r="BD132" i="15" s="1"/>
  <c r="BD95" i="15"/>
  <c r="BD158" i="15" s="1"/>
  <c r="BD92" i="15"/>
  <c r="BD155" i="15" s="1"/>
  <c r="BD81" i="15"/>
  <c r="BD144" i="15" s="1"/>
  <c r="BD100" i="15"/>
  <c r="BD43" i="15"/>
  <c r="BD106" i="15" s="1"/>
  <c r="BD79" i="15"/>
  <c r="BD142" i="15" s="1"/>
  <c r="BD83" i="15"/>
  <c r="BD146" i="15" s="1"/>
  <c r="BD55" i="15"/>
  <c r="BD118" i="15" s="1"/>
  <c r="BD91" i="15"/>
  <c r="BD154" i="15" s="1"/>
  <c r="BD47" i="15"/>
  <c r="BD110" i="15" s="1"/>
  <c r="BD74" i="15"/>
  <c r="BD137" i="15" s="1"/>
  <c r="BD52" i="15"/>
  <c r="BD115" i="15" s="1"/>
  <c r="BD89" i="15"/>
  <c r="BD152" i="15" s="1"/>
  <c r="BD62" i="15"/>
  <c r="BD125" i="15" s="1"/>
  <c r="BD59" i="15"/>
  <c r="BD122" i="15" s="1"/>
  <c r="BD85" i="15"/>
  <c r="BD148" i="15" s="1"/>
  <c r="BD88" i="15"/>
  <c r="BD151" i="15" s="1"/>
  <c r="BD84" i="15"/>
  <c r="BD147" i="15" s="1"/>
  <c r="BD45" i="15"/>
  <c r="BD108" i="15" s="1"/>
  <c r="BD70" i="15"/>
  <c r="BD133" i="15" s="1"/>
  <c r="BD82" i="15"/>
  <c r="BD145" i="15" s="1"/>
  <c r="BD61" i="15"/>
  <c r="BD124" i="15" s="1"/>
  <c r="BD65" i="15"/>
  <c r="BD128" i="15" s="1"/>
  <c r="BD75" i="15"/>
  <c r="BD138" i="15" s="1"/>
  <c r="BD51" i="15"/>
  <c r="BD114" i="15" s="1"/>
  <c r="BD76" i="15"/>
  <c r="BD139" i="15" s="1"/>
  <c r="BD63" i="15"/>
  <c r="BD126" i="15" s="1"/>
  <c r="BD99" i="15"/>
  <c r="BD53" i="15"/>
  <c r="BD116" i="15" s="1"/>
  <c r="BD72" i="15"/>
  <c r="BD135" i="15" s="1"/>
  <c r="BD46" i="15"/>
  <c r="BD109" i="15" s="1"/>
  <c r="BD93" i="15"/>
  <c r="BD156" i="15" s="1"/>
  <c r="BD97" i="15"/>
  <c r="BD160" i="15" s="1"/>
  <c r="BF38" i="15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BP105" i="8" a="1"/>
  <c r="BP46" i="8" a="1"/>
  <c r="BP77" i="8" a="1"/>
  <c r="BP100" i="8" a="1"/>
  <c r="BP108" i="8" a="1"/>
  <c r="BP97" i="8" a="1"/>
  <c r="BP129" i="8" a="1"/>
  <c r="BP59" i="8" a="1"/>
  <c r="BP57" i="8" a="1"/>
  <c r="BE89" i="15" a="1"/>
  <c r="BP82" i="8" a="1"/>
  <c r="BE97" i="15" a="1"/>
  <c r="BP93" i="8" a="1"/>
  <c r="BP53" i="8" a="1"/>
  <c r="BE90" i="15" a="1"/>
  <c r="BE98" i="15" a="1"/>
  <c r="BP84" i="8" a="1"/>
  <c r="BE76" i="15" a="1"/>
  <c r="BE95" i="15" a="1"/>
  <c r="BE99" i="15" a="1"/>
  <c r="BE50" i="15" a="1"/>
  <c r="BE46" i="15" a="1"/>
  <c r="BE92" i="15" a="1"/>
  <c r="BP75" i="8" a="1"/>
  <c r="BE88" i="15" a="1"/>
  <c r="BE80" i="15" a="1"/>
  <c r="BE62" i="15" a="1"/>
  <c r="BE61" i="15" a="1"/>
  <c r="BP55" i="8" a="1"/>
  <c r="BP56" i="8" a="1"/>
  <c r="BE68" i="15" a="1"/>
  <c r="BP106" i="8" a="1"/>
  <c r="BP127" i="8" a="1"/>
  <c r="BP69" i="8" a="1"/>
  <c r="BP89" i="8" a="1"/>
  <c r="BP87" i="8" a="1"/>
  <c r="BP47" i="8" a="1"/>
  <c r="BP70" i="8" a="1"/>
  <c r="BP107" i="8" a="1"/>
  <c r="BP109" i="8" a="1"/>
  <c r="BE67" i="15" a="1"/>
  <c r="BP62" i="8" a="1"/>
  <c r="BE70" i="15" a="1"/>
  <c r="BE85" i="15" a="1"/>
  <c r="BE71" i="15" a="1"/>
  <c r="BP94" i="8" a="1"/>
  <c r="BE56" i="15" a="1"/>
  <c r="BP126" i="8" a="1"/>
  <c r="BE83" i="15" a="1"/>
  <c r="BE69" i="15" a="1"/>
  <c r="BP65" i="8" a="1"/>
  <c r="BP44" i="8" a="1"/>
  <c r="BP66" i="8" a="1"/>
  <c r="BE44" i="15" a="1"/>
  <c r="BE49" i="15" a="1"/>
  <c r="BE82" i="15" a="1"/>
  <c r="BP73" i="8" a="1"/>
  <c r="BP52" i="8" a="1"/>
  <c r="BE78" i="15" a="1"/>
  <c r="BP86" i="8" a="1"/>
  <c r="BE52" i="15" a="1"/>
  <c r="BP43" i="8" a="1"/>
  <c r="BP41" i="8" a="1"/>
  <c r="BE63" i="15" a="1"/>
  <c r="BP125" i="8" a="1"/>
  <c r="BE93" i="15" a="1"/>
  <c r="BE51" i="15" a="1"/>
  <c r="BE66" i="15" a="1"/>
  <c r="BE100" i="15" a="1"/>
  <c r="BE57" i="15" a="1"/>
  <c r="BP103" i="8" a="1"/>
  <c r="BP58" i="8" a="1"/>
  <c r="BP90" i="8" a="1"/>
  <c r="BP79" i="8" a="1"/>
  <c r="BP68" i="8" a="1"/>
  <c r="BP48" i="8" a="1"/>
  <c r="BP60" i="8" a="1"/>
  <c r="BP99" i="8" a="1"/>
  <c r="BP80" i="8" a="1"/>
  <c r="BE55" i="15" a="1"/>
  <c r="BP54" i="8" a="1"/>
  <c r="BE54" i="15" a="1"/>
  <c r="BP85" i="8" a="1"/>
  <c r="BE74" i="15" a="1"/>
  <c r="BE73" i="15" a="1"/>
  <c r="BE47" i="15" a="1"/>
  <c r="BE91" i="15" a="1"/>
  <c r="BE39" i="15" a="1"/>
  <c r="BE75" i="15" a="1"/>
  <c r="BE43" i="15" a="1"/>
  <c r="BP123" i="8" a="1"/>
  <c r="BE53" i="15" a="1"/>
  <c r="BP96" i="8" a="1"/>
  <c r="BP45" i="8" a="1"/>
  <c r="BP42" i="8" a="1"/>
  <c r="BE72" i="15" a="1"/>
  <c r="BP95" i="8" a="1"/>
  <c r="BE59" i="15" a="1"/>
  <c r="BE77" i="15" a="1"/>
  <c r="BE102" i="15" a="1"/>
  <c r="BP76" i="8" a="1"/>
  <c r="BE84" i="15" a="1"/>
  <c r="BE86" i="15" a="1"/>
  <c r="BE79" i="15" a="1"/>
  <c r="BP64" i="8" a="1"/>
  <c r="BE81" i="15" a="1"/>
  <c r="BE64" i="15" a="1"/>
  <c r="BP74" i="8" a="1"/>
  <c r="BP104" i="8" a="1"/>
  <c r="BP67" i="8" a="1"/>
  <c r="BP130" i="8" a="1"/>
  <c r="BP88" i="8" a="1"/>
  <c r="BP110" i="8" a="1"/>
  <c r="BP78" i="8" a="1"/>
  <c r="BP98" i="8" a="1"/>
  <c r="BP128" i="8" a="1"/>
  <c r="BP49" i="8" a="1"/>
  <c r="BE48" i="15" a="1"/>
  <c r="BE87" i="15" a="1"/>
  <c r="BP72" i="8" a="1"/>
  <c r="BP124" i="8" a="1"/>
  <c r="BE58" i="15" a="1"/>
  <c r="BP63" i="8" a="1"/>
  <c r="BE45" i="15" a="1"/>
  <c r="BP83" i="8" a="1"/>
  <c r="BE94" i="15" a="1"/>
  <c r="BP122" i="8" a="1"/>
  <c r="BE96" i="15" a="1"/>
  <c r="BE65" i="15" a="1"/>
  <c r="BE60" i="15" a="1"/>
  <c r="BE101" i="15" a="1"/>
  <c r="BP92" i="8" a="1"/>
  <c r="BO117" i="8" l="1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E65" i="15"/>
  <c r="BE128" i="15" s="1"/>
  <c r="BE57" i="15"/>
  <c r="BE120" i="15" s="1"/>
  <c r="BE49" i="15"/>
  <c r="BE112" i="15" s="1"/>
  <c r="BE39" i="15"/>
  <c r="BE105" i="15" s="1"/>
  <c r="BE63" i="15"/>
  <c r="BE126" i="15" s="1"/>
  <c r="BE101" i="15"/>
  <c r="BE68" i="15"/>
  <c r="BE131" i="15" s="1"/>
  <c r="BE44" i="15"/>
  <c r="BE107" i="15" s="1"/>
  <c r="BE83" i="15"/>
  <c r="BE146" i="15" s="1"/>
  <c r="BE82" i="15"/>
  <c r="BE145" i="15" s="1"/>
  <c r="BE64" i="15"/>
  <c r="BE127" i="15" s="1"/>
  <c r="BE92" i="15"/>
  <c r="BE155" i="15" s="1"/>
  <c r="BE80" i="15"/>
  <c r="BE143" i="15" s="1"/>
  <c r="BE100" i="15"/>
  <c r="BE102" i="15"/>
  <c r="BE162" i="15" s="1"/>
  <c r="BE96" i="15"/>
  <c r="BE159" i="15" s="1"/>
  <c r="BE86" i="15"/>
  <c r="BE149" i="15" s="1"/>
  <c r="BE88" i="15"/>
  <c r="BE151" i="15" s="1"/>
  <c r="BE52" i="15"/>
  <c r="BE115" i="15" s="1"/>
  <c r="BE53" i="15"/>
  <c r="BE116" i="15" s="1"/>
  <c r="BE76" i="15"/>
  <c r="BE139" i="15" s="1"/>
  <c r="BE85" i="15"/>
  <c r="BE148" i="15" s="1"/>
  <c r="BE93" i="15"/>
  <c r="BE156" i="15" s="1"/>
  <c r="BE66" i="15"/>
  <c r="BE129" i="15" s="1"/>
  <c r="BE46" i="15"/>
  <c r="BE109" i="15" s="1"/>
  <c r="BE91" i="15"/>
  <c r="BE154" i="15" s="1"/>
  <c r="BE84" i="15"/>
  <c r="BE147" i="15" s="1"/>
  <c r="BE77" i="15"/>
  <c r="BE140" i="15" s="1"/>
  <c r="BE45" i="15"/>
  <c r="BE108" i="15" s="1"/>
  <c r="BE54" i="15"/>
  <c r="BE117" i="15" s="1"/>
  <c r="BE60" i="15"/>
  <c r="BE123" i="15" s="1"/>
  <c r="BE50" i="15"/>
  <c r="BE113" i="15" s="1"/>
  <c r="BE47" i="15"/>
  <c r="BE110" i="15" s="1"/>
  <c r="BE70" i="15"/>
  <c r="BE133" i="15" s="1"/>
  <c r="BE59" i="15"/>
  <c r="BE122" i="15" s="1"/>
  <c r="BE79" i="15"/>
  <c r="BE142" i="15" s="1"/>
  <c r="BE56" i="15"/>
  <c r="BE119" i="15" s="1"/>
  <c r="BE97" i="15"/>
  <c r="BE160" i="15" s="1"/>
  <c r="BE78" i="15"/>
  <c r="BE141" i="15" s="1"/>
  <c r="BE43" i="15"/>
  <c r="BE106" i="15" s="1"/>
  <c r="BE98" i="15"/>
  <c r="BE161" i="15" s="1"/>
  <c r="BE87" i="15"/>
  <c r="BE150" i="15" s="1"/>
  <c r="BE61" i="15"/>
  <c r="BE124" i="15" s="1"/>
  <c r="BE51" i="15"/>
  <c r="BE114" i="15" s="1"/>
  <c r="BE99" i="15"/>
  <c r="BE73" i="15"/>
  <c r="BE136" i="15" s="1"/>
  <c r="BE75" i="15"/>
  <c r="BE138" i="15" s="1"/>
  <c r="BE90" i="15"/>
  <c r="BE153" i="15" s="1"/>
  <c r="BE48" i="15"/>
  <c r="BE111" i="15" s="1"/>
  <c r="BE62" i="15"/>
  <c r="BE125" i="15" s="1"/>
  <c r="BE69" i="15"/>
  <c r="BE132" i="15" s="1"/>
  <c r="BE58" i="15"/>
  <c r="BE121" i="15" s="1"/>
  <c r="BE55" i="15"/>
  <c r="BE118" i="15" s="1"/>
  <c r="BE81" i="15"/>
  <c r="BE144" i="15" s="1"/>
  <c r="BE95" i="15"/>
  <c r="BE158" i="15" s="1"/>
  <c r="BE74" i="15"/>
  <c r="BE137" i="15" s="1"/>
  <c r="BE67" i="15"/>
  <c r="BE130" i="15" s="1"/>
  <c r="BE72" i="15"/>
  <c r="BE135" i="15" s="1"/>
  <c r="BE94" i="15"/>
  <c r="BE157" i="15" s="1"/>
  <c r="BE71" i="15"/>
  <c r="BE134" i="15" s="1"/>
  <c r="BE89" i="15"/>
  <c r="BE152" i="15" s="1"/>
  <c r="BG38" i="15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BQ105" i="8" a="1"/>
  <c r="BQ79" i="8" a="1"/>
  <c r="BQ110" i="8" a="1"/>
  <c r="BQ99" i="8" a="1"/>
  <c r="BQ68" i="8" a="1"/>
  <c r="BQ89" i="8" a="1"/>
  <c r="BQ107" i="8" a="1"/>
  <c r="BQ78" i="8" a="1"/>
  <c r="BQ49" i="8" a="1"/>
  <c r="BF50" i="15" a="1"/>
  <c r="BQ84" i="8" a="1"/>
  <c r="BF82" i="15" a="1"/>
  <c r="BQ124" i="8" a="1"/>
  <c r="BF67" i="15" a="1"/>
  <c r="BQ45" i="8" a="1"/>
  <c r="BF64" i="15" a="1"/>
  <c r="BQ64" i="8" a="1"/>
  <c r="BF44" i="15" a="1"/>
  <c r="BQ83" i="8" a="1"/>
  <c r="BF47" i="15" a="1"/>
  <c r="BQ92" i="8" a="1"/>
  <c r="BF96" i="15" a="1"/>
  <c r="BQ125" i="8" a="1"/>
  <c r="BF62" i="15" a="1"/>
  <c r="BQ93" i="8" a="1"/>
  <c r="BF98" i="15" a="1"/>
  <c r="BQ123" i="8" a="1"/>
  <c r="BF46" i="15" a="1"/>
  <c r="BQ96" i="8" a="1"/>
  <c r="BF52" i="15" a="1"/>
  <c r="BQ42" i="8" a="1"/>
  <c r="BF91" i="15" a="1"/>
  <c r="BQ106" i="8" a="1"/>
  <c r="BQ46" i="8" a="1"/>
  <c r="BQ127" i="8" a="1"/>
  <c r="BQ108" i="8" a="1"/>
  <c r="BQ77" i="8" a="1"/>
  <c r="BQ47" i="8" a="1"/>
  <c r="BQ70" i="8" a="1"/>
  <c r="BQ128" i="8" a="1"/>
  <c r="BQ60" i="8" a="1"/>
  <c r="BF71" i="15" a="1"/>
  <c r="BQ54" i="8" a="1"/>
  <c r="BF88" i="15" a="1"/>
  <c r="BQ73" i="8" a="1"/>
  <c r="BF101" i="15" a="1"/>
  <c r="BQ56" i="8" a="1"/>
  <c r="BF61" i="15" a="1"/>
  <c r="BQ94" i="8" a="1"/>
  <c r="BF59" i="15" a="1"/>
  <c r="BQ55" i="8" a="1"/>
  <c r="BF66" i="15" a="1"/>
  <c r="BQ74" i="8" a="1"/>
  <c r="BF80" i="15" a="1"/>
  <c r="BF81" i="15" a="1"/>
  <c r="BF77" i="15" a="1"/>
  <c r="BF39" i="15" a="1"/>
  <c r="BF90" i="15" a="1"/>
  <c r="BF68" i="15" a="1"/>
  <c r="BF63" i="15" a="1"/>
  <c r="BF45" i="15" a="1"/>
  <c r="BF94" i="15" a="1"/>
  <c r="BF100" i="15" a="1"/>
  <c r="BF65" i="15" a="1"/>
  <c r="BF69" i="15" a="1"/>
  <c r="BF99" i="15" a="1"/>
  <c r="BQ103" i="8" a="1"/>
  <c r="BQ69" i="8" a="1"/>
  <c r="BQ58" i="8" a="1"/>
  <c r="BQ90" i="8" a="1"/>
  <c r="BQ87" i="8" a="1"/>
  <c r="BQ98" i="8" a="1"/>
  <c r="BQ80" i="8" a="1"/>
  <c r="BQ97" i="8" a="1"/>
  <c r="BQ57" i="8" a="1"/>
  <c r="BF56" i="15" a="1"/>
  <c r="BQ63" i="8" a="1"/>
  <c r="BF57" i="15" a="1"/>
  <c r="BF75" i="15" a="1"/>
  <c r="BF49" i="15" a="1"/>
  <c r="BF55" i="15" a="1"/>
  <c r="BF72" i="15" a="1"/>
  <c r="BQ95" i="8" a="1"/>
  <c r="BF70" i="15" a="1"/>
  <c r="BF93" i="15" a="1"/>
  <c r="BF48" i="15" a="1"/>
  <c r="BF76" i="15" a="1"/>
  <c r="BF85" i="15" a="1"/>
  <c r="BQ122" i="8" a="1"/>
  <c r="BF73" i="15" a="1"/>
  <c r="BF60" i="15" a="1"/>
  <c r="BF83" i="15" a="1"/>
  <c r="BF54" i="15" a="1"/>
  <c r="BF84" i="15" a="1"/>
  <c r="BQ53" i="8" a="1"/>
  <c r="BQ62" i="8" a="1"/>
  <c r="BF58" i="15" a="1"/>
  <c r="BF86" i="15" a="1"/>
  <c r="BQ104" i="8" a="1"/>
  <c r="BQ100" i="8" a="1"/>
  <c r="BQ88" i="8" a="1"/>
  <c r="BQ67" i="8" a="1"/>
  <c r="BQ130" i="8" a="1"/>
  <c r="BQ59" i="8" a="1"/>
  <c r="BQ48" i="8" a="1"/>
  <c r="BQ129" i="8" a="1"/>
  <c r="BQ109" i="8" a="1"/>
  <c r="BF43" i="15" a="1"/>
  <c r="BF95" i="15" a="1"/>
  <c r="BQ43" i="8" a="1"/>
  <c r="BQ72" i="8" a="1"/>
  <c r="BF97" i="15" a="1"/>
  <c r="BF51" i="15" a="1"/>
  <c r="BF87" i="15" a="1"/>
  <c r="BF79" i="15" a="1"/>
  <c r="BQ85" i="8" a="1"/>
  <c r="BQ76" i="8" a="1"/>
  <c r="BF92" i="15" a="1"/>
  <c r="BQ44" i="8" a="1"/>
  <c r="BF89" i="15" a="1"/>
  <c r="BF78" i="15" a="1"/>
  <c r="BQ82" i="8" a="1"/>
  <c r="BF74" i="15" a="1"/>
  <c r="BQ86" i="8" a="1"/>
  <c r="BQ65" i="8" a="1"/>
  <c r="BQ75" i="8" a="1"/>
  <c r="BF53" i="15" a="1"/>
  <c r="BQ66" i="8" a="1"/>
  <c r="BF102" i="15" a="1"/>
  <c r="BQ52" i="8" a="1"/>
  <c r="BQ126" i="8" a="1"/>
  <c r="BQ41" i="8" a="1"/>
  <c r="BP119" i="8" l="1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F51" i="15"/>
  <c r="BF114" i="15" s="1"/>
  <c r="BF86" i="15"/>
  <c r="BF149" i="15" s="1"/>
  <c r="BF54" i="15"/>
  <c r="BF117" i="15" s="1"/>
  <c r="BF76" i="15"/>
  <c r="BF139" i="15" s="1"/>
  <c r="BF55" i="15"/>
  <c r="BF118" i="15" s="1"/>
  <c r="BF69" i="15"/>
  <c r="BF132" i="15" s="1"/>
  <c r="BF68" i="15"/>
  <c r="BF131" i="15" s="1"/>
  <c r="BF92" i="15"/>
  <c r="BF155" i="15" s="1"/>
  <c r="BF97" i="15"/>
  <c r="BF160" i="15" s="1"/>
  <c r="BF99" i="15"/>
  <c r="BF83" i="15"/>
  <c r="BF146" i="15" s="1"/>
  <c r="BF48" i="15"/>
  <c r="BF111" i="15" s="1"/>
  <c r="BF49" i="15"/>
  <c r="BF112" i="15" s="1"/>
  <c r="BF65" i="15"/>
  <c r="BF128" i="15" s="1"/>
  <c r="BF90" i="15"/>
  <c r="BF153" i="15" s="1"/>
  <c r="BF66" i="15"/>
  <c r="BF129" i="15" s="1"/>
  <c r="BF101" i="15"/>
  <c r="BF91" i="15"/>
  <c r="BF154" i="15" s="1"/>
  <c r="BF98" i="15"/>
  <c r="BF161" i="15" s="1"/>
  <c r="BF47" i="15"/>
  <c r="BF110" i="15" s="1"/>
  <c r="BF67" i="15"/>
  <c r="BF130" i="15" s="1"/>
  <c r="BF102" i="15"/>
  <c r="BF162" i="15" s="1"/>
  <c r="BF74" i="15"/>
  <c r="BF137" i="15" s="1"/>
  <c r="BF58" i="15"/>
  <c r="BF121" i="15" s="1"/>
  <c r="BF60" i="15"/>
  <c r="BF123" i="15" s="1"/>
  <c r="BF93" i="15"/>
  <c r="BF156" i="15" s="1"/>
  <c r="BF75" i="15"/>
  <c r="BF138" i="15" s="1"/>
  <c r="BF100" i="15"/>
  <c r="BF39" i="15"/>
  <c r="BF105" i="15" s="1"/>
  <c r="BF73" i="15"/>
  <c r="BF136" i="15" s="1"/>
  <c r="BF70" i="15"/>
  <c r="BF133" i="15" s="1"/>
  <c r="BF57" i="15"/>
  <c r="BF120" i="15" s="1"/>
  <c r="BF94" i="15"/>
  <c r="BF157" i="15" s="1"/>
  <c r="BF77" i="15"/>
  <c r="BF140" i="15" s="1"/>
  <c r="BF59" i="15"/>
  <c r="BF122" i="15" s="1"/>
  <c r="BF88" i="15"/>
  <c r="BF151" i="15" s="1"/>
  <c r="BF52" i="15"/>
  <c r="BF115" i="15" s="1"/>
  <c r="BF62" i="15"/>
  <c r="BF125" i="15" s="1"/>
  <c r="BF44" i="15"/>
  <c r="BF107" i="15" s="1"/>
  <c r="BF82" i="15"/>
  <c r="BF145" i="15" s="1"/>
  <c r="BF53" i="15"/>
  <c r="BF116" i="15" s="1"/>
  <c r="BF78" i="15"/>
  <c r="BF141" i="15" s="1"/>
  <c r="BF79" i="15"/>
  <c r="BF142" i="15" s="1"/>
  <c r="BF95" i="15"/>
  <c r="BF158" i="15" s="1"/>
  <c r="BF45" i="15"/>
  <c r="BF108" i="15" s="1"/>
  <c r="BF81" i="15"/>
  <c r="BF144" i="15" s="1"/>
  <c r="BF89" i="15"/>
  <c r="BF152" i="15" s="1"/>
  <c r="BF87" i="15"/>
  <c r="BF150" i="15" s="1"/>
  <c r="BF43" i="15"/>
  <c r="BF106" i="15" s="1"/>
  <c r="BF84" i="15"/>
  <c r="BF147" i="15" s="1"/>
  <c r="BF85" i="15"/>
  <c r="BF148" i="15" s="1"/>
  <c r="BF72" i="15"/>
  <c r="BF135" i="15" s="1"/>
  <c r="BF56" i="15"/>
  <c r="BF119" i="15" s="1"/>
  <c r="BF63" i="15"/>
  <c r="BF126" i="15" s="1"/>
  <c r="BF80" i="15"/>
  <c r="BF143" i="15" s="1"/>
  <c r="BF61" i="15"/>
  <c r="BF124" i="15" s="1"/>
  <c r="BF71" i="15"/>
  <c r="BF134" i="15" s="1"/>
  <c r="BF46" i="15"/>
  <c r="BF109" i="15" s="1"/>
  <c r="BF96" i="15"/>
  <c r="BF159" i="15" s="1"/>
  <c r="BF64" i="15"/>
  <c r="BF127" i="15" s="1"/>
  <c r="BF50" i="15"/>
  <c r="BF113" i="15" s="1"/>
  <c r="BH38" i="15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BR105" i="8" a="1"/>
  <c r="BR46" i="8" a="1"/>
  <c r="BR89" i="8" a="1"/>
  <c r="BR100" i="8" a="1"/>
  <c r="BR130" i="8" a="1"/>
  <c r="BR129" i="8" a="1"/>
  <c r="BR47" i="8" a="1"/>
  <c r="BR107" i="8" a="1"/>
  <c r="BR109" i="8" a="1"/>
  <c r="BG61" i="15" a="1"/>
  <c r="BR54" i="8" a="1"/>
  <c r="BG62" i="15" a="1"/>
  <c r="BR123" i="8" a="1"/>
  <c r="BG82" i="15" a="1"/>
  <c r="BR93" i="8" a="1"/>
  <c r="BG90" i="15" a="1"/>
  <c r="BR122" i="8" a="1"/>
  <c r="BG58" i="15" a="1"/>
  <c r="BR41" i="8" a="1"/>
  <c r="BG77" i="15" a="1"/>
  <c r="BR62" i="8" a="1"/>
  <c r="BR42" i="8" a="1"/>
  <c r="BG80" i="15" a="1"/>
  <c r="BR53" i="8" a="1"/>
  <c r="BR92" i="8" a="1"/>
  <c r="BR74" i="8" a="1"/>
  <c r="BG64" i="15" a="1"/>
  <c r="BR86" i="8" a="1"/>
  <c r="BR55" i="8" a="1"/>
  <c r="BG51" i="15" a="1"/>
  <c r="BR125" i="8" a="1"/>
  <c r="BG73" i="15" a="1"/>
  <c r="BR73" i="8" a="1"/>
  <c r="BR78" i="8" a="1"/>
  <c r="BG53" i="15" a="1"/>
  <c r="BR63" i="8" a="1"/>
  <c r="BG95" i="15" a="1"/>
  <c r="BR83" i="8" a="1"/>
  <c r="BG98" i="15" a="1"/>
  <c r="BR44" i="8" a="1"/>
  <c r="BG99" i="15" a="1"/>
  <c r="BR45" i="8" a="1"/>
  <c r="BR106" i="8" a="1"/>
  <c r="BR67" i="8" a="1"/>
  <c r="BR127" i="8" a="1"/>
  <c r="BR88" i="8" a="1"/>
  <c r="BR68" i="8" a="1"/>
  <c r="BR57" i="8" a="1"/>
  <c r="BR98" i="8" a="1"/>
  <c r="BR128" i="8" a="1"/>
  <c r="BR80" i="8" a="1"/>
  <c r="BG43" i="15" a="1"/>
  <c r="BR56" i="8" a="1"/>
  <c r="BG46" i="15" a="1"/>
  <c r="BG89" i="15" a="1"/>
  <c r="BG83" i="15" a="1"/>
  <c r="BR85" i="8" a="1"/>
  <c r="BG96" i="15" a="1"/>
  <c r="BR96" i="8" a="1"/>
  <c r="BG97" i="15" a="1"/>
  <c r="BG78" i="15" a="1"/>
  <c r="BG55" i="15" a="1"/>
  <c r="BR65" i="8" a="1"/>
  <c r="BG102" i="15" a="1"/>
  <c r="BR72" i="8" a="1"/>
  <c r="BG91" i="15" a="1"/>
  <c r="BR66" i="8" a="1"/>
  <c r="BG76" i="15" a="1"/>
  <c r="BR95" i="8" a="1"/>
  <c r="BG87" i="15" a="1"/>
  <c r="BR94" i="8" a="1"/>
  <c r="BG48" i="15" a="1"/>
  <c r="BR126" i="8" a="1"/>
  <c r="BG69" i="15" a="1"/>
  <c r="BR43" i="8" a="1"/>
  <c r="BR104" i="8" a="1"/>
  <c r="BR108" i="8" a="1"/>
  <c r="BR99" i="8" a="1"/>
  <c r="BR70" i="8" a="1"/>
  <c r="BR64" i="8" a="1"/>
  <c r="BG50" i="15" a="1"/>
  <c r="BR52" i="8" a="1"/>
  <c r="BG81" i="15" a="1"/>
  <c r="BG56" i="15" a="1"/>
  <c r="BG63" i="15" a="1"/>
  <c r="BG68" i="15" a="1"/>
  <c r="BG74" i="15" a="1"/>
  <c r="BR103" i="8" a="1"/>
  <c r="BR79" i="8" a="1"/>
  <c r="BR58" i="8" a="1"/>
  <c r="BR69" i="8" a="1"/>
  <c r="BR77" i="8" a="1"/>
  <c r="BR110" i="8" a="1"/>
  <c r="BR97" i="8" a="1"/>
  <c r="BR59" i="8" a="1"/>
  <c r="BR60" i="8" a="1"/>
  <c r="BG59" i="15" a="1"/>
  <c r="BR84" i="8" a="1"/>
  <c r="BG72" i="15" a="1"/>
  <c r="BG101" i="15" a="1"/>
  <c r="BG47" i="15" a="1"/>
  <c r="BG86" i="15" a="1"/>
  <c r="BG79" i="15" a="1"/>
  <c r="BR124" i="8" a="1"/>
  <c r="BG85" i="15" a="1"/>
  <c r="BG67" i="15" a="1"/>
  <c r="BG54" i="15" a="1"/>
  <c r="BG57" i="15" a="1"/>
  <c r="BG49" i="15" a="1"/>
  <c r="BR76" i="8" a="1"/>
  <c r="BG70" i="15" a="1"/>
  <c r="BG65" i="15" a="1"/>
  <c r="BG44" i="15" a="1"/>
  <c r="BR82" i="8" a="1"/>
  <c r="BG71" i="15" a="1"/>
  <c r="BR75" i="8" a="1"/>
  <c r="BG60" i="15" a="1"/>
  <c r="BG92" i="15" a="1"/>
  <c r="BG84" i="15" a="1"/>
  <c r="BG100" i="15" a="1"/>
  <c r="BR87" i="8" a="1"/>
  <c r="BR90" i="8" a="1"/>
  <c r="BR48" i="8" a="1"/>
  <c r="BR49" i="8" a="1"/>
  <c r="BG45" i="15" a="1"/>
  <c r="BG93" i="15" a="1"/>
  <c r="BG39" i="15" a="1"/>
  <c r="BG66" i="15" a="1"/>
  <c r="BG88" i="15" a="1"/>
  <c r="BG75" i="15" a="1"/>
  <c r="BG94" i="15" a="1"/>
  <c r="BG52" i="15" a="1"/>
  <c r="BQ120" i="8" l="1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119" i="8" s="1"/>
  <c r="BR67" i="8"/>
  <c r="BR46" i="8"/>
  <c r="BR104" i="8"/>
  <c r="BR103" i="8"/>
  <c r="BR106" i="8"/>
  <c r="BR105" i="8"/>
  <c r="BQ119" i="8"/>
  <c r="BQ118" i="8"/>
  <c r="BQ117" i="8"/>
  <c r="BG81" i="15"/>
  <c r="BG144" i="15" s="1"/>
  <c r="BG93" i="15"/>
  <c r="BG156" i="15" s="1"/>
  <c r="BG74" i="15"/>
  <c r="BG137" i="15" s="1"/>
  <c r="BG63" i="15"/>
  <c r="BG126" i="15" s="1"/>
  <c r="BG57" i="15"/>
  <c r="BG120" i="15" s="1"/>
  <c r="BG86" i="15"/>
  <c r="BG149" i="15" s="1"/>
  <c r="BG100" i="15"/>
  <c r="BG64" i="15"/>
  <c r="BG127" i="15" s="1"/>
  <c r="BG66" i="15"/>
  <c r="BG129" i="15" s="1"/>
  <c r="BG50" i="15"/>
  <c r="BG113" i="15" s="1"/>
  <c r="BG52" i="15"/>
  <c r="BG115" i="15" s="1"/>
  <c r="BG75" i="15"/>
  <c r="BG138" i="15" s="1"/>
  <c r="BG54" i="15"/>
  <c r="BG117" i="15" s="1"/>
  <c r="BG47" i="15"/>
  <c r="BG110" i="15" s="1"/>
  <c r="BG84" i="15"/>
  <c r="BG147" i="15" s="1"/>
  <c r="BG44" i="15"/>
  <c r="BG107" i="15" s="1"/>
  <c r="BG55" i="15"/>
  <c r="BG118" i="15" s="1"/>
  <c r="BG83" i="15"/>
  <c r="BG146" i="15" s="1"/>
  <c r="BG69" i="15"/>
  <c r="BG132" i="15" s="1"/>
  <c r="BG76" i="15"/>
  <c r="BG139" i="15" s="1"/>
  <c r="BG77" i="15"/>
  <c r="BG140" i="15" s="1"/>
  <c r="BG82" i="15"/>
  <c r="BG145" i="15" s="1"/>
  <c r="BG73" i="15"/>
  <c r="BG136" i="15" s="1"/>
  <c r="BG67" i="15"/>
  <c r="BG130" i="15" s="1"/>
  <c r="BG101" i="15"/>
  <c r="BG92" i="15"/>
  <c r="BG155" i="15" s="1"/>
  <c r="BG65" i="15"/>
  <c r="BG128" i="15" s="1"/>
  <c r="BG78" i="15"/>
  <c r="BG141" i="15" s="1"/>
  <c r="BG89" i="15"/>
  <c r="BG152" i="15" s="1"/>
  <c r="BG39" i="15"/>
  <c r="BG105" i="15" s="1"/>
  <c r="BG45" i="15"/>
  <c r="BG108" i="15" s="1"/>
  <c r="BG68" i="15"/>
  <c r="BG131" i="15" s="1"/>
  <c r="BG56" i="15"/>
  <c r="BG119" i="15" s="1"/>
  <c r="BG85" i="15"/>
  <c r="BG148" i="15" s="1"/>
  <c r="BG72" i="15"/>
  <c r="BG135" i="15" s="1"/>
  <c r="BG60" i="15"/>
  <c r="BG123" i="15" s="1"/>
  <c r="BG70" i="15"/>
  <c r="BG133" i="15" s="1"/>
  <c r="BG97" i="15"/>
  <c r="BG160" i="15" s="1"/>
  <c r="BG46" i="15"/>
  <c r="BG109" i="15" s="1"/>
  <c r="BG48" i="15"/>
  <c r="BG111" i="15" s="1"/>
  <c r="BG91" i="15"/>
  <c r="BG154" i="15" s="1"/>
  <c r="BG58" i="15"/>
  <c r="BG121" i="15" s="1"/>
  <c r="BG62" i="15"/>
  <c r="BG125" i="15" s="1"/>
  <c r="BG51" i="15"/>
  <c r="BG114" i="15" s="1"/>
  <c r="BG94" i="15"/>
  <c r="BG157" i="15" s="1"/>
  <c r="BG88" i="15"/>
  <c r="BG151" i="15" s="1"/>
  <c r="BG80" i="15"/>
  <c r="BG143" i="15" s="1"/>
  <c r="BG95" i="15"/>
  <c r="BG158" i="15" s="1"/>
  <c r="BG53" i="15"/>
  <c r="BG116" i="15" s="1"/>
  <c r="BG99" i="15"/>
  <c r="BG98" i="15"/>
  <c r="BG161" i="15" s="1"/>
  <c r="BG79" i="15"/>
  <c r="BG142" i="15" s="1"/>
  <c r="BG59" i="15"/>
  <c r="BG122" i="15" s="1"/>
  <c r="BG71" i="15"/>
  <c r="BG134" i="15" s="1"/>
  <c r="BG49" i="15"/>
  <c r="BG112" i="15" s="1"/>
  <c r="BG96" i="15"/>
  <c r="BG159" i="15" s="1"/>
  <c r="BG43" i="15"/>
  <c r="BG106" i="15" s="1"/>
  <c r="BG87" i="15"/>
  <c r="BG150" i="15" s="1"/>
  <c r="BG102" i="15"/>
  <c r="BG162" i="15" s="1"/>
  <c r="BG90" i="15"/>
  <c r="BG153" i="15" s="1"/>
  <c r="BG61" i="15"/>
  <c r="BG124" i="15" s="1"/>
  <c r="BI38" i="15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BS105" i="8" a="1"/>
  <c r="BS46" i="8" a="1"/>
  <c r="BS68" i="8" a="1"/>
  <c r="BS88" i="8" a="1"/>
  <c r="BS127" i="8" a="1"/>
  <c r="BS57" i="8" a="1"/>
  <c r="BS129" i="8" a="1"/>
  <c r="BS78" i="8" a="1"/>
  <c r="BS109" i="8" a="1"/>
  <c r="BH59" i="15" a="1"/>
  <c r="BS73" i="8" a="1"/>
  <c r="BH55" i="15" a="1"/>
  <c r="BS124" i="8" a="1"/>
  <c r="BS42" i="8" a="1"/>
  <c r="BH93" i="15" a="1"/>
  <c r="BH95" i="15" a="1"/>
  <c r="BS74" i="8" a="1"/>
  <c r="BH85" i="15" a="1"/>
  <c r="BS93" i="8" a="1"/>
  <c r="BS72" i="8" a="1"/>
  <c r="BH102" i="15" a="1"/>
  <c r="BS66" i="8" a="1"/>
  <c r="BH52" i="15" a="1"/>
  <c r="BS65" i="8" a="1"/>
  <c r="BH99" i="15" a="1"/>
  <c r="BS62" i="8" a="1"/>
  <c r="BH79" i="15" a="1"/>
  <c r="BH71" i="15" a="1"/>
  <c r="BS94" i="8" a="1"/>
  <c r="BS63" i="8" a="1"/>
  <c r="BS123" i="8" a="1"/>
  <c r="BS106" i="8" a="1"/>
  <c r="BS79" i="8" a="1"/>
  <c r="BS110" i="8" a="1"/>
  <c r="BS69" i="8" a="1"/>
  <c r="BS67" i="8" a="1"/>
  <c r="BS99" i="8" a="1"/>
  <c r="BS128" i="8" a="1"/>
  <c r="BS70" i="8" a="1"/>
  <c r="BS80" i="8" a="1"/>
  <c r="BH39" i="15" a="1"/>
  <c r="BS83" i="8" a="1"/>
  <c r="BH49" i="15" a="1"/>
  <c r="BS43" i="8" a="1"/>
  <c r="BH64" i="15" a="1"/>
  <c r="BS44" i="8" a="1"/>
  <c r="BH98" i="15" a="1"/>
  <c r="BS125" i="8" a="1"/>
  <c r="BH80" i="15" a="1"/>
  <c r="BS82" i="8" a="1"/>
  <c r="BH72" i="15" a="1"/>
  <c r="BS96" i="8" a="1"/>
  <c r="BH97" i="15" a="1"/>
  <c r="BS64" i="8" a="1"/>
  <c r="BH74" i="15" a="1"/>
  <c r="BS52" i="8" a="1"/>
  <c r="BH70" i="15" a="1"/>
  <c r="BS84" i="8" a="1"/>
  <c r="BH62" i="15" a="1"/>
  <c r="BS76" i="8" a="1"/>
  <c r="BH69" i="15" a="1"/>
  <c r="BS86" i="8" a="1"/>
  <c r="BH75" i="15" a="1"/>
  <c r="BS92" i="8" a="1"/>
  <c r="BH78" i="15" a="1"/>
  <c r="BH48" i="15" a="1"/>
  <c r="BS103" i="8" a="1"/>
  <c r="BS90" i="8" a="1"/>
  <c r="BS87" i="8" a="1"/>
  <c r="BS108" i="8" a="1"/>
  <c r="BS100" i="8" a="1"/>
  <c r="BS77" i="8" a="1"/>
  <c r="BS97" i="8" a="1"/>
  <c r="BS107" i="8" a="1"/>
  <c r="BS60" i="8" a="1"/>
  <c r="BH50" i="15" a="1"/>
  <c r="BS122" i="8" a="1"/>
  <c r="BH57" i="15" a="1"/>
  <c r="BH88" i="15" a="1"/>
  <c r="BH60" i="15" a="1"/>
  <c r="BS126" i="8" a="1"/>
  <c r="BH47" i="15" a="1"/>
  <c r="BS95" i="8" a="1"/>
  <c r="BH77" i="15" a="1"/>
  <c r="BH56" i="15" a="1"/>
  <c r="BH53" i="15" a="1"/>
  <c r="BH76" i="15" a="1"/>
  <c r="BH51" i="15" a="1"/>
  <c r="BS41" i="8" a="1"/>
  <c r="BH45" i="15" a="1"/>
  <c r="BS53" i="8" a="1"/>
  <c r="BH46" i="15" a="1"/>
  <c r="BS85" i="8" a="1"/>
  <c r="BH65" i="15" a="1"/>
  <c r="BS55" i="8" a="1"/>
  <c r="BS56" i="8" a="1"/>
  <c r="BS54" i="8" a="1"/>
  <c r="BS104" i="8" a="1"/>
  <c r="BS89" i="8" a="1"/>
  <c r="BS58" i="8" a="1"/>
  <c r="BS130" i="8" a="1"/>
  <c r="BS98" i="8" a="1"/>
  <c r="BS47" i="8" a="1"/>
  <c r="BS48" i="8" a="1"/>
  <c r="BS59" i="8" a="1"/>
  <c r="BS49" i="8" a="1"/>
  <c r="BH43" i="15" a="1"/>
  <c r="BH89" i="15" a="1"/>
  <c r="BH58" i="15" a="1"/>
  <c r="BH94" i="15" a="1"/>
  <c r="BH90" i="15" a="1"/>
  <c r="BH82" i="15" a="1"/>
  <c r="BH73" i="15" a="1"/>
  <c r="BS45" i="8" a="1"/>
  <c r="BH87" i="15" a="1"/>
  <c r="BH54" i="15" a="1"/>
  <c r="BH84" i="15" a="1"/>
  <c r="BH67" i="15" a="1"/>
  <c r="BH44" i="15" a="1"/>
  <c r="BH92" i="15" a="1"/>
  <c r="BH86" i="15" a="1"/>
  <c r="BH101" i="15" a="1"/>
  <c r="BH66" i="15" a="1"/>
  <c r="BH61" i="15" a="1"/>
  <c r="BH83" i="15" a="1"/>
  <c r="BH68" i="15" a="1"/>
  <c r="BH63" i="15" a="1"/>
  <c r="BH100" i="15" a="1"/>
  <c r="BH96" i="15" a="1"/>
  <c r="BH91" i="15" a="1"/>
  <c r="BS75" i="8" a="1"/>
  <c r="BH81" i="15" a="1"/>
  <c r="BR118" i="8" l="1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119" i="8" s="1"/>
  <c r="BS46" i="8"/>
  <c r="BS104" i="8"/>
  <c r="BS103" i="8"/>
  <c r="BS106" i="8"/>
  <c r="BS105" i="8"/>
  <c r="BR120" i="8"/>
  <c r="BH71" i="15"/>
  <c r="BH134" i="15" s="1"/>
  <c r="BH67" i="15"/>
  <c r="BH130" i="15" s="1"/>
  <c r="BH82" i="15"/>
  <c r="BH145" i="15" s="1"/>
  <c r="BH91" i="15"/>
  <c r="BH154" i="15" s="1"/>
  <c r="BH61" i="15"/>
  <c r="BH124" i="15" s="1"/>
  <c r="BH76" i="15"/>
  <c r="BH139" i="15" s="1"/>
  <c r="BH102" i="15"/>
  <c r="BH162" i="15" s="1"/>
  <c r="BH93" i="15"/>
  <c r="BH156" i="15" s="1"/>
  <c r="BH81" i="15"/>
  <c r="BH144" i="15" s="1"/>
  <c r="BH79" i="15"/>
  <c r="BH142" i="15" s="1"/>
  <c r="BH84" i="15"/>
  <c r="BH147" i="15" s="1"/>
  <c r="BH90" i="15"/>
  <c r="BH153" i="15" s="1"/>
  <c r="BH96" i="15"/>
  <c r="BH159" i="15" s="1"/>
  <c r="BH66" i="15"/>
  <c r="BH129" i="15" s="1"/>
  <c r="BH53" i="15"/>
  <c r="BH116" i="15" s="1"/>
  <c r="BH60" i="15"/>
  <c r="BH123" i="15" s="1"/>
  <c r="BH48" i="15"/>
  <c r="BH111" i="15" s="1"/>
  <c r="BH46" i="15"/>
  <c r="BH109" i="15" s="1"/>
  <c r="BH72" i="15"/>
  <c r="BH135" i="15" s="1"/>
  <c r="BH64" i="15"/>
  <c r="BH127" i="15" s="1"/>
  <c r="BH75" i="15"/>
  <c r="BH138" i="15" s="1"/>
  <c r="BH70" i="15"/>
  <c r="BH133" i="15" s="1"/>
  <c r="BH54" i="15"/>
  <c r="BH117" i="15" s="1"/>
  <c r="BH94" i="15"/>
  <c r="BH157" i="15" s="1"/>
  <c r="BH100" i="15"/>
  <c r="BH101" i="15"/>
  <c r="BH56" i="15"/>
  <c r="BH119" i="15" s="1"/>
  <c r="BH88" i="15"/>
  <c r="BH151" i="15" s="1"/>
  <c r="BH99" i="15"/>
  <c r="BH87" i="15"/>
  <c r="BH150" i="15" s="1"/>
  <c r="BH58" i="15"/>
  <c r="BH121" i="15" s="1"/>
  <c r="BH63" i="15"/>
  <c r="BH126" i="15" s="1"/>
  <c r="BH86" i="15"/>
  <c r="BH149" i="15" s="1"/>
  <c r="BH77" i="15"/>
  <c r="BH140" i="15" s="1"/>
  <c r="BH57" i="15"/>
  <c r="BH120" i="15" s="1"/>
  <c r="BH78" i="15"/>
  <c r="BH141" i="15" s="1"/>
  <c r="BH45" i="15"/>
  <c r="BH108" i="15" s="1"/>
  <c r="BH80" i="15"/>
  <c r="BH143" i="15" s="1"/>
  <c r="BH49" i="15"/>
  <c r="BH112" i="15" s="1"/>
  <c r="BH69" i="15"/>
  <c r="BH132" i="15" s="1"/>
  <c r="BH74" i="15"/>
  <c r="BH137" i="15" s="1"/>
  <c r="BH85" i="15"/>
  <c r="BH148" i="15" s="1"/>
  <c r="BH55" i="15"/>
  <c r="BH118" i="15" s="1"/>
  <c r="BH89" i="15"/>
  <c r="BH152" i="15" s="1"/>
  <c r="BH68" i="15"/>
  <c r="BH131" i="15" s="1"/>
  <c r="BH92" i="15"/>
  <c r="BH155" i="15" s="1"/>
  <c r="BH52" i="15"/>
  <c r="BH115" i="15" s="1"/>
  <c r="BH73" i="15"/>
  <c r="BH136" i="15" s="1"/>
  <c r="BH43" i="15"/>
  <c r="BH106" i="15" s="1"/>
  <c r="BH83" i="15"/>
  <c r="BH146" i="15" s="1"/>
  <c r="BH44" i="15"/>
  <c r="BH107" i="15" s="1"/>
  <c r="BH47" i="15"/>
  <c r="BH110" i="15" s="1"/>
  <c r="BH50" i="15"/>
  <c r="BH113" i="15" s="1"/>
  <c r="BH65" i="15"/>
  <c r="BH128" i="15" s="1"/>
  <c r="BH51" i="15"/>
  <c r="BH114" i="15" s="1"/>
  <c r="BH98" i="15"/>
  <c r="BH161" i="15" s="1"/>
  <c r="BH39" i="15"/>
  <c r="BH105" i="15" s="1"/>
  <c r="BH62" i="15"/>
  <c r="BH125" i="15" s="1"/>
  <c r="BH97" i="15"/>
  <c r="BH160" i="15" s="1"/>
  <c r="BH95" i="15"/>
  <c r="BH158" i="15" s="1"/>
  <c r="BH59" i="15"/>
  <c r="BH122" i="15" s="1"/>
  <c r="BJ38" i="15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BT106" i="8" a="1"/>
  <c r="BT100" i="8" a="1"/>
  <c r="BT108" i="8" a="1"/>
  <c r="BT87" i="8" a="1"/>
  <c r="BT88" i="8" a="1"/>
  <c r="BT97" i="8" a="1"/>
  <c r="BT78" i="8" a="1"/>
  <c r="BT107" i="8" a="1"/>
  <c r="BT109" i="8" a="1"/>
  <c r="BI100" i="15" a="1"/>
  <c r="BT45" i="8" a="1"/>
  <c r="BI81" i="15" a="1"/>
  <c r="BI99" i="15" a="1"/>
  <c r="BI78" i="15" a="1"/>
  <c r="BT75" i="8" a="1"/>
  <c r="BI51" i="15" a="1"/>
  <c r="BI86" i="15" a="1"/>
  <c r="BI50" i="15" a="1"/>
  <c r="BI62" i="15" a="1"/>
  <c r="BI65" i="15" a="1"/>
  <c r="BI57" i="15" a="1"/>
  <c r="BI58" i="15" a="1"/>
  <c r="BT52" i="8" a="1"/>
  <c r="BI80" i="15" a="1"/>
  <c r="BI97" i="15" a="1"/>
  <c r="BI92" i="15" a="1"/>
  <c r="BT63" i="8" a="1"/>
  <c r="BT54" i="8" a="1"/>
  <c r="BI91" i="15" a="1"/>
  <c r="BT103" i="8" a="1"/>
  <c r="BT89" i="8" a="1"/>
  <c r="BT46" i="8" a="1"/>
  <c r="BT69" i="8" a="1"/>
  <c r="BT67" i="8" a="1"/>
  <c r="BT129" i="8" a="1"/>
  <c r="BT59" i="8" a="1"/>
  <c r="BT98" i="8" a="1"/>
  <c r="BT49" i="8" a="1"/>
  <c r="BI63" i="15" a="1"/>
  <c r="BI71" i="15" a="1"/>
  <c r="BI77" i="15" a="1"/>
  <c r="BI49" i="15" a="1"/>
  <c r="BI68" i="15" a="1"/>
  <c r="BI94" i="15" a="1"/>
  <c r="BI55" i="15" a="1"/>
  <c r="BI101" i="15" a="1"/>
  <c r="BT53" i="8" a="1"/>
  <c r="BI39" i="15" a="1"/>
  <c r="BT96" i="8" a="1"/>
  <c r="BT73" i="8" a="1"/>
  <c r="BI90" i="15" a="1"/>
  <c r="BT76" i="8" a="1"/>
  <c r="BI70" i="15" a="1"/>
  <c r="BT123" i="8" a="1"/>
  <c r="BI45" i="15" a="1"/>
  <c r="BT55" i="8" a="1"/>
  <c r="BT122" i="8" a="1"/>
  <c r="BI88" i="15" a="1"/>
  <c r="BT86" i="8" a="1"/>
  <c r="BI83" i="15" a="1"/>
  <c r="BT62" i="8" a="1"/>
  <c r="BT84" i="8" a="1"/>
  <c r="BT83" i="8" a="1"/>
  <c r="BT64" i="8" a="1"/>
  <c r="BT72" i="8" a="1"/>
  <c r="BT74" i="8" a="1"/>
  <c r="BT104" i="8" a="1"/>
  <c r="BT110" i="8" a="1"/>
  <c r="BT79" i="8" a="1"/>
  <c r="BT90" i="8" a="1"/>
  <c r="BT77" i="8" a="1"/>
  <c r="BT99" i="8" a="1"/>
  <c r="BT57" i="8" a="1"/>
  <c r="BT70" i="8" a="1"/>
  <c r="BT60" i="8" a="1"/>
  <c r="BI93" i="15" a="1"/>
  <c r="BI102" i="15" a="1"/>
  <c r="BT93" i="8" a="1"/>
  <c r="BI89" i="15" a="1"/>
  <c r="BT94" i="8" a="1"/>
  <c r="BI73" i="15" a="1"/>
  <c r="BT66" i="8" a="1"/>
  <c r="BI43" i="15" a="1"/>
  <c r="BT43" i="8" a="1"/>
  <c r="BI95" i="15" a="1"/>
  <c r="BT65" i="8" a="1"/>
  <c r="BI64" i="15" a="1"/>
  <c r="BI53" i="15" a="1"/>
  <c r="BI54" i="15" a="1"/>
  <c r="BT41" i="8" a="1"/>
  <c r="BI46" i="15" a="1"/>
  <c r="BI84" i="15" a="1"/>
  <c r="BI87" i="15" a="1"/>
  <c r="BI72" i="15" a="1"/>
  <c r="BT105" i="8" a="1"/>
  <c r="BT130" i="8" a="1"/>
  <c r="BT58" i="8" a="1"/>
  <c r="BT127" i="8" a="1"/>
  <c r="BT68" i="8" a="1"/>
  <c r="BT128" i="8" a="1"/>
  <c r="BT48" i="8" a="1"/>
  <c r="BT47" i="8" a="1"/>
  <c r="BT80" i="8" a="1"/>
  <c r="BI48" i="15" a="1"/>
  <c r="BT56" i="8" a="1"/>
  <c r="BI96" i="15" a="1"/>
  <c r="BT44" i="8" a="1"/>
  <c r="BI67" i="15" a="1"/>
  <c r="BT92" i="8" a="1"/>
  <c r="BI76" i="15" a="1"/>
  <c r="BT85" i="8" a="1"/>
  <c r="BI52" i="15" a="1"/>
  <c r="BI75" i="15" a="1"/>
  <c r="BI47" i="15" a="1"/>
  <c r="BI56" i="15" a="1"/>
  <c r="BI60" i="15" a="1"/>
  <c r="BT95" i="8" a="1"/>
  <c r="BI82" i="15" a="1"/>
  <c r="BT126" i="8" a="1"/>
  <c r="BI74" i="15" a="1"/>
  <c r="BT125" i="8" a="1"/>
  <c r="BI44" i="15" a="1"/>
  <c r="BT82" i="8" a="1"/>
  <c r="BI66" i="15" a="1"/>
  <c r="BI79" i="15" a="1"/>
  <c r="BI61" i="15" a="1"/>
  <c r="BI69" i="15" a="1"/>
  <c r="BI59" i="15" a="1"/>
  <c r="BI85" i="15" a="1"/>
  <c r="BT42" i="8" a="1"/>
  <c r="BI98" i="15" a="1"/>
  <c r="BT124" i="8" a="1"/>
  <c r="BS117" i="8" l="1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I91" i="15"/>
  <c r="BI154" i="15" s="1"/>
  <c r="BI64" i="15"/>
  <c r="BI127" i="15" s="1"/>
  <c r="BI57" i="15"/>
  <c r="BI120" i="15" s="1"/>
  <c r="BI94" i="15"/>
  <c r="BI157" i="15" s="1"/>
  <c r="BI69" i="15"/>
  <c r="BI132" i="15" s="1"/>
  <c r="BI92" i="15"/>
  <c r="BI155" i="15" s="1"/>
  <c r="BI56" i="15"/>
  <c r="BI119" i="15" s="1"/>
  <c r="BI98" i="15"/>
  <c r="BI161" i="15" s="1"/>
  <c r="BI45" i="15"/>
  <c r="BI108" i="15" s="1"/>
  <c r="BI65" i="15"/>
  <c r="BI128" i="15" s="1"/>
  <c r="BI68" i="15"/>
  <c r="BI131" i="15" s="1"/>
  <c r="BI61" i="15"/>
  <c r="BI124" i="15" s="1"/>
  <c r="BI59" i="15"/>
  <c r="BI122" i="15" s="1"/>
  <c r="BI47" i="15"/>
  <c r="BI110" i="15" s="1"/>
  <c r="BI78" i="15"/>
  <c r="BI141" i="15" s="1"/>
  <c r="BI72" i="15"/>
  <c r="BI135" i="15" s="1"/>
  <c r="BI74" i="15"/>
  <c r="BI137" i="15" s="1"/>
  <c r="BI95" i="15"/>
  <c r="BI158" i="15" s="1"/>
  <c r="BI67" i="15"/>
  <c r="BI130" i="15" s="1"/>
  <c r="BI83" i="15"/>
  <c r="BI146" i="15" s="1"/>
  <c r="BI46" i="15"/>
  <c r="BI109" i="15" s="1"/>
  <c r="BI39" i="15"/>
  <c r="BI105" i="15" s="1"/>
  <c r="BI89" i="15"/>
  <c r="BI152" i="15" s="1"/>
  <c r="BI62" i="15"/>
  <c r="BI125" i="15" s="1"/>
  <c r="BI49" i="15"/>
  <c r="BI112" i="15" s="1"/>
  <c r="BI79" i="15"/>
  <c r="BI142" i="15" s="1"/>
  <c r="BI97" i="15"/>
  <c r="BI160" i="15" s="1"/>
  <c r="BI75" i="15"/>
  <c r="BI138" i="15" s="1"/>
  <c r="BI99" i="15"/>
  <c r="BI70" i="15"/>
  <c r="BI133" i="15" s="1"/>
  <c r="BI50" i="15"/>
  <c r="BI113" i="15" s="1"/>
  <c r="BI77" i="15"/>
  <c r="BI140" i="15" s="1"/>
  <c r="BI66" i="15"/>
  <c r="BI129" i="15" s="1"/>
  <c r="BI80" i="15"/>
  <c r="BI143" i="15" s="1"/>
  <c r="BI52" i="15"/>
  <c r="BI115" i="15" s="1"/>
  <c r="BI81" i="15"/>
  <c r="BI144" i="15" s="1"/>
  <c r="BI87" i="15"/>
  <c r="BI150" i="15" s="1"/>
  <c r="BI82" i="15"/>
  <c r="BI145" i="15" s="1"/>
  <c r="BI43" i="15"/>
  <c r="BI106" i="15" s="1"/>
  <c r="BI96" i="15"/>
  <c r="BI159" i="15" s="1"/>
  <c r="BI88" i="15"/>
  <c r="BI151" i="15" s="1"/>
  <c r="BI54" i="15"/>
  <c r="BI117" i="15" s="1"/>
  <c r="BI101" i="15"/>
  <c r="BI102" i="15"/>
  <c r="BI162" i="15" s="1"/>
  <c r="BI86" i="15"/>
  <c r="BI149" i="15" s="1"/>
  <c r="BI71" i="15"/>
  <c r="BI134" i="15" s="1"/>
  <c r="BI53" i="15"/>
  <c r="BI116" i="15" s="1"/>
  <c r="BI55" i="15"/>
  <c r="BI118" i="15" s="1"/>
  <c r="BI93" i="15"/>
  <c r="BI156" i="15" s="1"/>
  <c r="BI85" i="15"/>
  <c r="BI148" i="15" s="1"/>
  <c r="BI90" i="15"/>
  <c r="BI153" i="15" s="1"/>
  <c r="BI51" i="15"/>
  <c r="BI114" i="15" s="1"/>
  <c r="BI63" i="15"/>
  <c r="BI126" i="15" s="1"/>
  <c r="BI44" i="15"/>
  <c r="BI107" i="15" s="1"/>
  <c r="BI58" i="15"/>
  <c r="BI121" i="15" s="1"/>
  <c r="BI76" i="15"/>
  <c r="BI139" i="15" s="1"/>
  <c r="BI100" i="15"/>
  <c r="BI84" i="15"/>
  <c r="BI147" i="15" s="1"/>
  <c r="BI60" i="15"/>
  <c r="BI123" i="15" s="1"/>
  <c r="BI73" i="15"/>
  <c r="BI136" i="15" s="1"/>
  <c r="BI48" i="15"/>
  <c r="BI111" i="15" s="1"/>
  <c r="BK38" i="15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BU106" i="8" a="1"/>
  <c r="BU46" i="8" a="1"/>
  <c r="BU130" i="8" a="1"/>
  <c r="BU108" i="8" a="1"/>
  <c r="BU99" i="8" a="1"/>
  <c r="BU80" i="8" a="1"/>
  <c r="BU48" i="8" a="1"/>
  <c r="BU59" i="8" a="1"/>
  <c r="BU60" i="8" a="1"/>
  <c r="BJ73" i="15" a="1"/>
  <c r="BU82" i="8" a="1"/>
  <c r="BJ71" i="15" a="1"/>
  <c r="BU55" i="8" a="1"/>
  <c r="BJ97" i="15" a="1"/>
  <c r="BJ58" i="15" a="1"/>
  <c r="BJ98" i="15" a="1"/>
  <c r="BU72" i="8" a="1"/>
  <c r="BJ101" i="15" a="1"/>
  <c r="BU54" i="8" a="1"/>
  <c r="BJ54" i="15" a="1"/>
  <c r="BJ92" i="15" a="1"/>
  <c r="BJ50" i="15" a="1"/>
  <c r="BU62" i="8" a="1"/>
  <c r="BJ99" i="15" a="1"/>
  <c r="BU86" i="8" a="1"/>
  <c r="BJ39" i="15" a="1"/>
  <c r="BJ60" i="15" a="1"/>
  <c r="BJ76" i="15" a="1"/>
  <c r="BU85" i="8" a="1"/>
  <c r="BJ59" i="15" a="1"/>
  <c r="BU124" i="8" a="1"/>
  <c r="BJ81" i="15" a="1"/>
  <c r="BJ84" i="15" a="1"/>
  <c r="BU110" i="8" a="1"/>
  <c r="BJ45" i="15" a="1"/>
  <c r="BJ87" i="15" a="1"/>
  <c r="BU96" i="8" a="1"/>
  <c r="BJ75" i="15" a="1"/>
  <c r="BU83" i="8" a="1"/>
  <c r="BJ61" i="15" a="1"/>
  <c r="BJ44" i="15" a="1"/>
  <c r="BU123" i="8" a="1"/>
  <c r="BU103" i="8" a="1"/>
  <c r="BU87" i="8" a="1"/>
  <c r="BU89" i="8" a="1"/>
  <c r="BU90" i="8" a="1"/>
  <c r="BU58" i="8" a="1"/>
  <c r="BU47" i="8" a="1"/>
  <c r="BU128" i="8" a="1"/>
  <c r="BU70" i="8" a="1"/>
  <c r="BU109" i="8" a="1"/>
  <c r="BJ66" i="15" a="1"/>
  <c r="BU64" i="8" a="1"/>
  <c r="BJ82" i="15" a="1"/>
  <c r="BJ57" i="15" a="1"/>
  <c r="BJ55" i="15" a="1"/>
  <c r="BJ91" i="15" a="1"/>
  <c r="BJ67" i="15" a="1"/>
  <c r="BJ69" i="15" a="1"/>
  <c r="BJ53" i="15" a="1"/>
  <c r="BJ77" i="15" a="1"/>
  <c r="BJ95" i="15" a="1"/>
  <c r="BJ80" i="15" a="1"/>
  <c r="BJ62" i="15" a="1"/>
  <c r="BJ43" i="15" a="1"/>
  <c r="BJ102" i="15" a="1"/>
  <c r="BJ52" i="15" a="1"/>
  <c r="BJ93" i="15" a="1"/>
  <c r="BJ90" i="15" a="1"/>
  <c r="BJ88" i="15" a="1"/>
  <c r="BU41" i="8" a="1"/>
  <c r="BJ86" i="15" a="1"/>
  <c r="BJ47" i="15" a="1"/>
  <c r="BJ48" i="15" a="1"/>
  <c r="BU45" i="8" a="1"/>
  <c r="BU105" i="8" a="1"/>
  <c r="BU79" i="8" a="1"/>
  <c r="BU67" i="8" a="1"/>
  <c r="BU77" i="8" a="1"/>
  <c r="BU129" i="8" a="1"/>
  <c r="BU65" i="8" a="1"/>
  <c r="BU44" i="8" a="1"/>
  <c r="BJ89" i="15" a="1"/>
  <c r="BU92" i="8" a="1"/>
  <c r="BJ79" i="15" a="1"/>
  <c r="BU125" i="8" a="1"/>
  <c r="BU76" i="8" a="1"/>
  <c r="BJ70" i="15" a="1"/>
  <c r="BU104" i="8" a="1"/>
  <c r="BU88" i="8" a="1"/>
  <c r="BU68" i="8" a="1"/>
  <c r="BU100" i="8" a="1"/>
  <c r="BU69" i="8" a="1"/>
  <c r="BU98" i="8" a="1"/>
  <c r="BU78" i="8" a="1"/>
  <c r="BU107" i="8" a="1"/>
  <c r="BU57" i="8" a="1"/>
  <c r="BJ68" i="15" a="1"/>
  <c r="BU126" i="8" a="1"/>
  <c r="BU94" i="8" a="1"/>
  <c r="BJ51" i="15" a="1"/>
  <c r="BJ78" i="15" a="1"/>
  <c r="BU63" i="8" a="1"/>
  <c r="BJ83" i="15" a="1"/>
  <c r="BJ56" i="15" a="1"/>
  <c r="BU75" i="8" a="1"/>
  <c r="BJ72" i="15" a="1"/>
  <c r="BJ63" i="15" a="1"/>
  <c r="BU95" i="8" a="1"/>
  <c r="BJ100" i="15" a="1"/>
  <c r="BJ94" i="15" a="1"/>
  <c r="BU43" i="8" a="1"/>
  <c r="BU66" i="8" a="1"/>
  <c r="BJ96" i="15" a="1"/>
  <c r="BU74" i="8" a="1"/>
  <c r="BU53" i="8" a="1"/>
  <c r="BJ85" i="15" a="1"/>
  <c r="BU84" i="8" a="1"/>
  <c r="BU93" i="8" a="1"/>
  <c r="BJ64" i="15" a="1"/>
  <c r="BU56" i="8" a="1"/>
  <c r="BU127" i="8" a="1"/>
  <c r="BU97" i="8" a="1"/>
  <c r="BU49" i="8" a="1"/>
  <c r="BJ49" i="15" a="1"/>
  <c r="BU42" i="8" a="1"/>
  <c r="BJ74" i="15" a="1"/>
  <c r="BU52" i="8" a="1"/>
  <c r="BJ65" i="15" a="1"/>
  <c r="BU122" i="8" a="1"/>
  <c r="BJ46" i="15" a="1"/>
  <c r="BU73" i="8" a="1"/>
  <c r="BT120" i="8" l="1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J90" i="15"/>
  <c r="BJ153" i="15" s="1"/>
  <c r="BJ80" i="15"/>
  <c r="BJ143" i="15" s="1"/>
  <c r="BJ91" i="15"/>
  <c r="BJ154" i="15" s="1"/>
  <c r="BJ84" i="15"/>
  <c r="BJ147" i="15" s="1"/>
  <c r="BJ60" i="15"/>
  <c r="BJ123" i="15" s="1"/>
  <c r="BJ92" i="15"/>
  <c r="BJ155" i="15" s="1"/>
  <c r="BJ58" i="15"/>
  <c r="BJ121" i="15" s="1"/>
  <c r="BJ64" i="15"/>
  <c r="BJ127" i="15" s="1"/>
  <c r="BJ96" i="15"/>
  <c r="BJ159" i="15" s="1"/>
  <c r="BJ63" i="15"/>
  <c r="BJ126" i="15" s="1"/>
  <c r="BJ78" i="15"/>
  <c r="BJ141" i="15" s="1"/>
  <c r="BJ48" i="15"/>
  <c r="BJ111" i="15" s="1"/>
  <c r="BJ93" i="15"/>
  <c r="BJ156" i="15" s="1"/>
  <c r="BJ95" i="15"/>
  <c r="BJ158" i="15" s="1"/>
  <c r="BJ55" i="15"/>
  <c r="BJ118" i="15" s="1"/>
  <c r="BJ81" i="15"/>
  <c r="BJ144" i="15" s="1"/>
  <c r="BJ39" i="15"/>
  <c r="BJ105" i="15" s="1"/>
  <c r="BJ54" i="15"/>
  <c r="BJ117" i="15" s="1"/>
  <c r="BJ97" i="15"/>
  <c r="BJ160" i="15" s="1"/>
  <c r="BJ70" i="15"/>
  <c r="BJ133" i="15" s="1"/>
  <c r="BJ61" i="15"/>
  <c r="BJ124" i="15" s="1"/>
  <c r="BJ75" i="15"/>
  <c r="BJ138" i="15" s="1"/>
  <c r="BJ87" i="15"/>
  <c r="BJ150" i="15" s="1"/>
  <c r="BJ72" i="15"/>
  <c r="BJ135" i="15" s="1"/>
  <c r="BJ51" i="15"/>
  <c r="BJ114" i="15" s="1"/>
  <c r="BJ47" i="15"/>
  <c r="BJ110" i="15" s="1"/>
  <c r="BJ52" i="15"/>
  <c r="BJ115" i="15" s="1"/>
  <c r="BJ77" i="15"/>
  <c r="BJ140" i="15" s="1"/>
  <c r="BJ57" i="15"/>
  <c r="BJ120" i="15" s="1"/>
  <c r="BJ86" i="15"/>
  <c r="BJ149" i="15" s="1"/>
  <c r="BJ102" i="15"/>
  <c r="BJ162" i="15" s="1"/>
  <c r="BJ53" i="15"/>
  <c r="BJ116" i="15" s="1"/>
  <c r="BJ82" i="15"/>
  <c r="BJ145" i="15" s="1"/>
  <c r="BJ59" i="15"/>
  <c r="BJ122" i="15" s="1"/>
  <c r="BJ99" i="15"/>
  <c r="BJ101" i="15"/>
  <c r="BJ71" i="15"/>
  <c r="BJ134" i="15" s="1"/>
  <c r="BJ46" i="15"/>
  <c r="BJ109" i="15" s="1"/>
  <c r="BJ65" i="15"/>
  <c r="BJ128" i="15" s="1"/>
  <c r="BJ74" i="15"/>
  <c r="BJ137" i="15" s="1"/>
  <c r="BJ49" i="15"/>
  <c r="BJ112" i="15" s="1"/>
  <c r="BJ85" i="15"/>
  <c r="BJ148" i="15" s="1"/>
  <c r="BJ94" i="15"/>
  <c r="BJ157" i="15" s="1"/>
  <c r="BJ56" i="15"/>
  <c r="BJ119" i="15" s="1"/>
  <c r="BJ43" i="15"/>
  <c r="BJ106" i="15" s="1"/>
  <c r="BJ69" i="15"/>
  <c r="BJ132" i="15" s="1"/>
  <c r="BJ100" i="15"/>
  <c r="BJ83" i="15"/>
  <c r="BJ146" i="15" s="1"/>
  <c r="BJ68" i="15"/>
  <c r="BJ131" i="15" s="1"/>
  <c r="BJ88" i="15"/>
  <c r="BJ151" i="15" s="1"/>
  <c r="BJ62" i="15"/>
  <c r="BJ125" i="15" s="1"/>
  <c r="BJ67" i="15"/>
  <c r="BJ130" i="15" s="1"/>
  <c r="BJ66" i="15"/>
  <c r="BJ129" i="15" s="1"/>
  <c r="BJ76" i="15"/>
  <c r="BJ139" i="15" s="1"/>
  <c r="BJ50" i="15"/>
  <c r="BJ113" i="15" s="1"/>
  <c r="BJ98" i="15"/>
  <c r="BJ161" i="15" s="1"/>
  <c r="BJ73" i="15"/>
  <c r="BJ136" i="15" s="1"/>
  <c r="BJ44" i="15"/>
  <c r="BJ107" i="15" s="1"/>
  <c r="BJ79" i="15"/>
  <c r="BJ142" i="15" s="1"/>
  <c r="BJ89" i="15"/>
  <c r="BJ152" i="15" s="1"/>
  <c r="BJ45" i="15"/>
  <c r="BJ108" i="15" s="1"/>
  <c r="BL38" i="15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BV84" i="8" a="1"/>
  <c r="BV122" i="8" a="1"/>
  <c r="BV94" i="8" a="1"/>
  <c r="BV125" i="8" a="1"/>
  <c r="BV85" i="8" a="1"/>
  <c r="BV65" i="8" a="1"/>
  <c r="BV64" i="8" a="1"/>
  <c r="BV52" i="8" a="1"/>
  <c r="BV55" i="8" a="1"/>
  <c r="BV106" i="8" a="1"/>
  <c r="BV46" i="8" a="1"/>
  <c r="BV68" i="8" a="1"/>
  <c r="BV110" i="8" a="1"/>
  <c r="BV130" i="8" a="1"/>
  <c r="BV129" i="8" a="1"/>
  <c r="BV47" i="8" a="1"/>
  <c r="BV59" i="8" a="1"/>
  <c r="BV60" i="8" a="1"/>
  <c r="BK74" i="15" a="1"/>
  <c r="BK45" i="15" a="1"/>
  <c r="BK76" i="15" a="1"/>
  <c r="BK80" i="15" a="1"/>
  <c r="BK66" i="15" a="1"/>
  <c r="BK102" i="15" a="1"/>
  <c r="BK44" i="15" a="1"/>
  <c r="BK88" i="15" a="1"/>
  <c r="BK64" i="15" a="1"/>
  <c r="BK92" i="15" a="1"/>
  <c r="BK94" i="15" a="1"/>
  <c r="BK97" i="15" a="1"/>
  <c r="BK71" i="15" a="1"/>
  <c r="BK78" i="15" a="1"/>
  <c r="BK73" i="15" a="1"/>
  <c r="BV42" i="8" a="1"/>
  <c r="BV76" i="8" a="1"/>
  <c r="BV54" i="8" a="1"/>
  <c r="BV73" i="8" a="1"/>
  <c r="BV126" i="8" a="1"/>
  <c r="BV83" i="8" a="1"/>
  <c r="BV86" i="8" a="1"/>
  <c r="BV41" i="8" a="1"/>
  <c r="BV95" i="8" a="1"/>
  <c r="BV103" i="8" a="1"/>
  <c r="BV88" i="8" a="1"/>
  <c r="BV58" i="8" a="1"/>
  <c r="BV108" i="8" a="1"/>
  <c r="BV89" i="8" a="1"/>
  <c r="BV70" i="8" a="1"/>
  <c r="BV98" i="8" a="1"/>
  <c r="BV107" i="8" a="1"/>
  <c r="BV109" i="8" a="1"/>
  <c r="BK47" i="15" a="1"/>
  <c r="BK96" i="15" a="1"/>
  <c r="BK83" i="15" a="1"/>
  <c r="BK68" i="15" a="1"/>
  <c r="BK67" i="15" a="1"/>
  <c r="BK51" i="15" a="1"/>
  <c r="BK59" i="15" a="1"/>
  <c r="BK65" i="15" a="1"/>
  <c r="BK39" i="15" a="1"/>
  <c r="BK56" i="15" a="1"/>
  <c r="BK60" i="15" a="1"/>
  <c r="BK77" i="15" a="1"/>
  <c r="BK93" i="15" a="1"/>
  <c r="BK86" i="15" a="1"/>
  <c r="BK95" i="15" a="1"/>
  <c r="BK54" i="15" a="1"/>
  <c r="BV96" i="8" a="1"/>
  <c r="BV62" i="8" a="1"/>
  <c r="BV123" i="8" a="1"/>
  <c r="BV43" i="8" a="1"/>
  <c r="BV45" i="8" a="1"/>
  <c r="BV56" i="8" a="1"/>
  <c r="BV124" i="8" a="1"/>
  <c r="BV72" i="8" a="1"/>
  <c r="BV92" i="8" a="1"/>
  <c r="BV104" i="8" a="1"/>
  <c r="BV69" i="8" a="1"/>
  <c r="BV90" i="8" a="1"/>
  <c r="BV127" i="8" a="1"/>
  <c r="BV99" i="8" a="1"/>
  <c r="BV77" i="8" a="1"/>
  <c r="BV128" i="8" a="1"/>
  <c r="BV57" i="8" a="1"/>
  <c r="BV49" i="8" a="1"/>
  <c r="BK72" i="15" a="1"/>
  <c r="BK57" i="15" a="1"/>
  <c r="BK63" i="15" a="1"/>
  <c r="BK49" i="15" a="1"/>
  <c r="BK75" i="15" a="1"/>
  <c r="BK48" i="15" a="1"/>
  <c r="BK55" i="15" a="1"/>
  <c r="BK98" i="15" a="1"/>
  <c r="BK61" i="15" a="1"/>
  <c r="BK79" i="15" a="1"/>
  <c r="BK87" i="15" a="1"/>
  <c r="BK43" i="15" a="1"/>
  <c r="BK100" i="15" a="1"/>
  <c r="BK69" i="15" a="1"/>
  <c r="BK91" i="15" a="1"/>
  <c r="BK90" i="15" a="1"/>
  <c r="BV93" i="8" a="1"/>
  <c r="BV74" i="8" a="1"/>
  <c r="BV63" i="8" a="1"/>
  <c r="BV44" i="8" a="1"/>
  <c r="BV75" i="8" a="1"/>
  <c r="BV66" i="8" a="1"/>
  <c r="BV82" i="8" a="1"/>
  <c r="BV53" i="8" a="1"/>
  <c r="BV105" i="8" a="1"/>
  <c r="BV79" i="8" a="1"/>
  <c r="BV67" i="8" a="1"/>
  <c r="BV100" i="8" a="1"/>
  <c r="BV87" i="8" a="1"/>
  <c r="BV78" i="8" a="1"/>
  <c r="BV97" i="8" a="1"/>
  <c r="BV48" i="8" a="1"/>
  <c r="BV80" i="8" a="1"/>
  <c r="BK82" i="15" a="1"/>
  <c r="BK58" i="15" a="1"/>
  <c r="BK62" i="15" a="1"/>
  <c r="BK81" i="15" a="1"/>
  <c r="BK52" i="15" a="1"/>
  <c r="BK99" i="15" a="1"/>
  <c r="BK85" i="15" a="1"/>
  <c r="BK89" i="15" a="1"/>
  <c r="BK50" i="15" a="1"/>
  <c r="BK53" i="15" a="1"/>
  <c r="BK101" i="15" a="1"/>
  <c r="BK84" i="15" a="1"/>
  <c r="BK70" i="15" a="1"/>
  <c r="BK46" i="15" a="1"/>
  <c r="BU120" i="8" l="1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K97" i="15"/>
  <c r="BK160" i="15" s="1"/>
  <c r="BK84" i="15"/>
  <c r="BK147" i="15" s="1"/>
  <c r="BK88" i="15"/>
  <c r="BK151" i="15" s="1"/>
  <c r="BK68" i="15"/>
  <c r="BK131" i="15" s="1"/>
  <c r="BK46" i="15"/>
  <c r="BK109" i="15" s="1"/>
  <c r="BK87" i="15"/>
  <c r="BK150" i="15" s="1"/>
  <c r="BK89" i="15"/>
  <c r="BK152" i="15" s="1"/>
  <c r="BK80" i="15"/>
  <c r="BK143" i="15" s="1"/>
  <c r="BK91" i="15"/>
  <c r="BK154" i="15" s="1"/>
  <c r="BK60" i="15"/>
  <c r="BK123" i="15" s="1"/>
  <c r="BK55" i="15"/>
  <c r="BK118" i="15" s="1"/>
  <c r="BK81" i="15"/>
  <c r="BK144" i="15" s="1"/>
  <c r="BK95" i="15"/>
  <c r="BK158" i="15" s="1"/>
  <c r="BK94" i="15"/>
  <c r="BK157" i="15" s="1"/>
  <c r="BK59" i="15"/>
  <c r="BK122" i="15" s="1"/>
  <c r="BK63" i="15"/>
  <c r="BK126" i="15" s="1"/>
  <c r="BK73" i="15"/>
  <c r="BK136" i="15" s="1"/>
  <c r="BK101" i="15"/>
  <c r="BK44" i="15"/>
  <c r="BK107" i="15" s="1"/>
  <c r="BK83" i="15"/>
  <c r="BK146" i="15" s="1"/>
  <c r="BK54" i="15"/>
  <c r="BK117" i="15" s="1"/>
  <c r="BK79" i="15"/>
  <c r="BK142" i="15" s="1"/>
  <c r="BK85" i="15"/>
  <c r="BK148" i="15" s="1"/>
  <c r="BK76" i="15"/>
  <c r="BK139" i="15" s="1"/>
  <c r="BK69" i="15"/>
  <c r="BK132" i="15" s="1"/>
  <c r="BK56" i="15"/>
  <c r="BK119" i="15" s="1"/>
  <c r="BK48" i="15"/>
  <c r="BK111" i="15" s="1"/>
  <c r="BK62" i="15"/>
  <c r="BK125" i="15" s="1"/>
  <c r="BK86" i="15"/>
  <c r="BK149" i="15" s="1"/>
  <c r="BK92" i="15"/>
  <c r="BK155" i="15" s="1"/>
  <c r="BK51" i="15"/>
  <c r="BK114" i="15" s="1"/>
  <c r="BK57" i="15"/>
  <c r="BK120" i="15" s="1"/>
  <c r="BK78" i="15"/>
  <c r="BK141" i="15" s="1"/>
  <c r="BK53" i="15"/>
  <c r="BK116" i="15" s="1"/>
  <c r="BK102" i="15"/>
  <c r="BK162" i="15" s="1"/>
  <c r="BK96" i="15"/>
  <c r="BK159" i="15" s="1"/>
  <c r="BK90" i="15"/>
  <c r="BK153" i="15" s="1"/>
  <c r="BK61" i="15"/>
  <c r="BK124" i="15" s="1"/>
  <c r="BK99" i="15"/>
  <c r="BK45" i="15"/>
  <c r="BK108" i="15" s="1"/>
  <c r="BK100" i="15"/>
  <c r="BK39" i="15"/>
  <c r="BK105" i="15" s="1"/>
  <c r="BK75" i="15"/>
  <c r="BK138" i="15" s="1"/>
  <c r="BK58" i="15"/>
  <c r="BK121" i="15" s="1"/>
  <c r="BK93" i="15"/>
  <c r="BK156" i="15" s="1"/>
  <c r="BK64" i="15"/>
  <c r="BK127" i="15" s="1"/>
  <c r="BK67" i="15"/>
  <c r="BK130" i="15" s="1"/>
  <c r="BK72" i="15"/>
  <c r="BK135" i="15" s="1"/>
  <c r="BK71" i="15"/>
  <c r="BK134" i="15" s="1"/>
  <c r="BK50" i="15"/>
  <c r="BK113" i="15" s="1"/>
  <c r="BK66" i="15"/>
  <c r="BK129" i="15" s="1"/>
  <c r="BK47" i="15"/>
  <c r="BK110" i="15" s="1"/>
  <c r="BK70" i="15"/>
  <c r="BK133" i="15" s="1"/>
  <c r="BK98" i="15"/>
  <c r="BK161" i="15" s="1"/>
  <c r="BK52" i="15"/>
  <c r="BK115" i="15" s="1"/>
  <c r="BK74" i="15"/>
  <c r="BK137" i="15" s="1"/>
  <c r="BK43" i="15"/>
  <c r="BK106" i="15" s="1"/>
  <c r="BK65" i="15"/>
  <c r="BK128" i="15" s="1"/>
  <c r="BK49" i="15"/>
  <c r="BK112" i="15" s="1"/>
  <c r="BK82" i="15"/>
  <c r="BK145" i="15" s="1"/>
  <c r="BK77" i="15"/>
  <c r="BK140" i="15" s="1"/>
  <c r="BM38" i="15"/>
  <c r="BU116" i="8"/>
  <c r="BU114" i="8"/>
  <c r="BU113" i="8"/>
  <c r="BU102" i="8"/>
  <c r="BU112" i="8"/>
  <c r="BU115" i="8"/>
  <c r="BW95" i="8" a="1"/>
  <c r="BW125" i="8" a="1"/>
  <c r="BW86" i="8" a="1"/>
  <c r="BW63" i="8" a="1"/>
  <c r="BW73" i="8" a="1"/>
  <c r="BW43" i="8" a="1"/>
  <c r="BW75" i="8" a="1"/>
  <c r="BW42" i="8" a="1"/>
  <c r="BW65" i="8" a="1"/>
  <c r="BW106" i="8" a="1"/>
  <c r="BW90" i="8" a="1"/>
  <c r="BW69" i="8" a="1"/>
  <c r="BW79" i="8" a="1"/>
  <c r="BW99" i="8" a="1"/>
  <c r="BW128" i="8" a="1"/>
  <c r="BW78" i="8" a="1"/>
  <c r="BW97" i="8" a="1"/>
  <c r="BW49" i="8" a="1"/>
  <c r="BL39" i="15" a="1"/>
  <c r="BL100" i="15" a="1"/>
  <c r="BL50" i="15" a="1"/>
  <c r="BL70" i="15" a="1"/>
  <c r="BL78" i="15" a="1"/>
  <c r="BL51" i="15" a="1"/>
  <c r="BL89" i="15" a="1"/>
  <c r="BL97" i="15" a="1"/>
  <c r="BL52" i="15" a="1"/>
  <c r="BL80" i="15" a="1"/>
  <c r="BL95" i="15" a="1"/>
  <c r="BL64" i="15" a="1"/>
  <c r="BW83" i="8" a="1"/>
  <c r="BW44" i="8" a="1"/>
  <c r="BW53" i="8" a="1"/>
  <c r="BW52" i="8" a="1"/>
  <c r="BW122" i="8" a="1"/>
  <c r="BW94" i="8" a="1"/>
  <c r="BW66" i="8" a="1"/>
  <c r="BW74" i="8" a="1"/>
  <c r="BW92" i="8" a="1"/>
  <c r="BW103" i="8" a="1"/>
  <c r="BW67" i="8" a="1"/>
  <c r="BW100" i="8" a="1"/>
  <c r="BW58" i="8" a="1"/>
  <c r="BW127" i="8" a="1"/>
  <c r="BW48" i="8" a="1"/>
  <c r="BW98" i="8" a="1"/>
  <c r="BW59" i="8" a="1"/>
  <c r="BW80" i="8" a="1"/>
  <c r="BL49" i="15" a="1"/>
  <c r="BL69" i="15" a="1"/>
  <c r="BL43" i="15" a="1"/>
  <c r="BL83" i="15" a="1"/>
  <c r="BL65" i="15" a="1"/>
  <c r="BL68" i="15" a="1"/>
  <c r="BL55" i="15" a="1"/>
  <c r="BL54" i="15" a="1"/>
  <c r="BL77" i="15" a="1"/>
  <c r="BL62" i="15" a="1"/>
  <c r="BL71" i="15" a="1"/>
  <c r="BL85" i="15" a="1"/>
  <c r="BL53" i="15" a="1"/>
  <c r="BL73" i="15" a="1"/>
  <c r="BL102" i="15" a="1"/>
  <c r="BL87" i="15" a="1"/>
  <c r="BL48" i="15" a="1"/>
  <c r="BL92" i="15" a="1"/>
  <c r="BL94" i="15" a="1"/>
  <c r="BW56" i="8" a="1"/>
  <c r="BW96" i="8" a="1"/>
  <c r="BW41" i="8" a="1"/>
  <c r="BW45" i="8" a="1"/>
  <c r="BW123" i="8" a="1"/>
  <c r="BW54" i="8" a="1"/>
  <c r="BW72" i="8" a="1"/>
  <c r="BW126" i="8" a="1"/>
  <c r="BW55" i="8" a="1"/>
  <c r="BW104" i="8" a="1"/>
  <c r="BW89" i="8" a="1"/>
  <c r="BW110" i="8" a="1"/>
  <c r="BW108" i="8" a="1"/>
  <c r="BW68" i="8" a="1"/>
  <c r="BW107" i="8" a="1"/>
  <c r="BW129" i="8" a="1"/>
  <c r="BW57" i="8" a="1"/>
  <c r="BW60" i="8" a="1"/>
  <c r="BL47" i="15" a="1"/>
  <c r="BL96" i="15" a="1"/>
  <c r="BL84" i="15" a="1"/>
  <c r="BL98" i="15" a="1"/>
  <c r="BL82" i="15" a="1"/>
  <c r="BL72" i="15" a="1"/>
  <c r="BL60" i="15" a="1"/>
  <c r="BL56" i="15" a="1"/>
  <c r="BL99" i="15" a="1"/>
  <c r="BL45" i="15" a="1"/>
  <c r="BL79" i="15" a="1"/>
  <c r="BW76" i="8" a="1"/>
  <c r="BW82" i="8" a="1"/>
  <c r="BW84" i="8" a="1"/>
  <c r="BW93" i="8" a="1"/>
  <c r="BW62" i="8" a="1"/>
  <c r="BW85" i="8" a="1"/>
  <c r="BW64" i="8" a="1"/>
  <c r="BW124" i="8" a="1"/>
  <c r="BW105" i="8" a="1"/>
  <c r="BW87" i="8" a="1"/>
  <c r="BW88" i="8" a="1"/>
  <c r="BW46" i="8" a="1"/>
  <c r="BW130" i="8" a="1"/>
  <c r="BW47" i="8" a="1"/>
  <c r="BW77" i="8" a="1"/>
  <c r="BW70" i="8" a="1"/>
  <c r="BW109" i="8" a="1"/>
  <c r="BL59" i="15" a="1"/>
  <c r="BL66" i="15" a="1"/>
  <c r="BL58" i="15" a="1"/>
  <c r="BL61" i="15" a="1"/>
  <c r="BL75" i="15" a="1"/>
  <c r="BL74" i="15" a="1"/>
  <c r="BL86" i="15" a="1"/>
  <c r="BL93" i="15" a="1"/>
  <c r="BL57" i="15" a="1"/>
  <c r="BL63" i="15" a="1"/>
  <c r="BL67" i="15" a="1"/>
  <c r="BL46" i="15" a="1"/>
  <c r="BL44" i="15" a="1"/>
  <c r="BL90" i="15" a="1"/>
  <c r="BL101" i="15" a="1"/>
  <c r="BL81" i="15" a="1"/>
  <c r="BL76" i="15" a="1"/>
  <c r="BL91" i="15" a="1"/>
  <c r="BL88" i="15" a="1"/>
  <c r="BV120" i="8" l="1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115" i="8" s="1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BL54" i="15"/>
  <c r="BL117" i="15" s="1"/>
  <c r="BL81" i="15"/>
  <c r="BL144" i="15" s="1"/>
  <c r="BL91" i="15"/>
  <c r="BL154" i="15" s="1"/>
  <c r="BL97" i="15"/>
  <c r="BL160" i="15" s="1"/>
  <c r="BL83" i="15"/>
  <c r="BL146" i="15" s="1"/>
  <c r="BL94" i="15"/>
  <c r="BL157" i="15" s="1"/>
  <c r="BL46" i="15"/>
  <c r="BL109" i="15" s="1"/>
  <c r="BL93" i="15"/>
  <c r="BL156" i="15" s="1"/>
  <c r="BL70" i="15"/>
  <c r="BL133" i="15" s="1"/>
  <c r="BL102" i="15"/>
  <c r="BL162" i="15" s="1"/>
  <c r="BL48" i="15"/>
  <c r="BL111" i="15" s="1"/>
  <c r="BL60" i="15"/>
  <c r="BL123" i="15" s="1"/>
  <c r="BL61" i="15"/>
  <c r="BL124" i="15" s="1"/>
  <c r="BL64" i="15"/>
  <c r="BL127" i="15" s="1"/>
  <c r="BL71" i="15"/>
  <c r="BL134" i="15" s="1"/>
  <c r="BL55" i="15"/>
  <c r="BL118" i="15" s="1"/>
  <c r="BL84" i="15"/>
  <c r="BL147" i="15" s="1"/>
  <c r="BL101" i="15"/>
  <c r="BL80" i="15"/>
  <c r="BL143" i="15" s="1"/>
  <c r="BL89" i="15"/>
  <c r="BL152" i="15" s="1"/>
  <c r="BL43" i="15"/>
  <c r="BL106" i="15" s="1"/>
  <c r="BL79" i="15"/>
  <c r="BL142" i="15" s="1"/>
  <c r="BL67" i="15"/>
  <c r="BL130" i="15" s="1"/>
  <c r="BL86" i="15"/>
  <c r="BL149" i="15" s="1"/>
  <c r="BL50" i="15"/>
  <c r="BL113" i="15" s="1"/>
  <c r="BL73" i="15"/>
  <c r="BL136" i="15" s="1"/>
  <c r="BL99" i="15"/>
  <c r="BL72" i="15"/>
  <c r="BL135" i="15" s="1"/>
  <c r="BL58" i="15"/>
  <c r="BL121" i="15" s="1"/>
  <c r="BL88" i="15"/>
  <c r="BL151" i="15" s="1"/>
  <c r="BL62" i="15"/>
  <c r="BL125" i="15" s="1"/>
  <c r="BL68" i="15"/>
  <c r="BL131" i="15" s="1"/>
  <c r="BL96" i="15"/>
  <c r="BL159" i="15" s="1"/>
  <c r="BL90" i="15"/>
  <c r="BL153" i="15" s="1"/>
  <c r="BL76" i="15"/>
  <c r="BL139" i="15" s="1"/>
  <c r="BL51" i="15"/>
  <c r="BL114" i="15" s="1"/>
  <c r="BL69" i="15"/>
  <c r="BL132" i="15" s="1"/>
  <c r="BL92" i="15"/>
  <c r="BL155" i="15" s="1"/>
  <c r="BL63" i="15"/>
  <c r="BL126" i="15" s="1"/>
  <c r="BL74" i="15"/>
  <c r="BL137" i="15" s="1"/>
  <c r="BL100" i="15"/>
  <c r="BL53" i="15"/>
  <c r="BL116" i="15" s="1"/>
  <c r="BL87" i="15"/>
  <c r="BL150" i="15" s="1"/>
  <c r="BL82" i="15"/>
  <c r="BL145" i="15" s="1"/>
  <c r="BL66" i="15"/>
  <c r="BL129" i="15" s="1"/>
  <c r="BL95" i="15"/>
  <c r="BL158" i="15" s="1"/>
  <c r="BL77" i="15"/>
  <c r="BL140" i="15" s="1"/>
  <c r="BL65" i="15"/>
  <c r="BL128" i="15" s="1"/>
  <c r="BL47" i="15"/>
  <c r="BL110" i="15" s="1"/>
  <c r="BL44" i="15"/>
  <c r="BL107" i="15" s="1"/>
  <c r="BL52" i="15"/>
  <c r="BL115" i="15" s="1"/>
  <c r="BL78" i="15"/>
  <c r="BL141" i="15" s="1"/>
  <c r="BL49" i="15"/>
  <c r="BL112" i="15" s="1"/>
  <c r="BL45" i="15"/>
  <c r="BL108" i="15" s="1"/>
  <c r="BL57" i="15"/>
  <c r="BL120" i="15" s="1"/>
  <c r="BL75" i="15"/>
  <c r="BL138" i="15" s="1"/>
  <c r="BL39" i="15"/>
  <c r="BL105" i="15" s="1"/>
  <c r="BL85" i="15"/>
  <c r="BL148" i="15" s="1"/>
  <c r="BL56" i="15"/>
  <c r="BL119" i="15" s="1"/>
  <c r="BL98" i="15"/>
  <c r="BL161" i="15" s="1"/>
  <c r="BL59" i="15"/>
  <c r="BL122" i="15" s="1"/>
  <c r="BN38" i="15"/>
  <c r="BX43" i="8" a="1"/>
  <c r="BX76" i="8" a="1"/>
  <c r="BX54" i="8" a="1"/>
  <c r="BX45" i="8" a="1"/>
  <c r="BX85" i="8" a="1"/>
  <c r="BX72" i="8" a="1"/>
  <c r="BX92" i="8" a="1"/>
  <c r="BX42" i="8" a="1"/>
  <c r="BX53" i="8" a="1"/>
  <c r="BX106" i="8" a="1"/>
  <c r="BX88" i="8" a="1"/>
  <c r="BX58" i="8" a="1"/>
  <c r="BX89" i="8" a="1"/>
  <c r="BX68" i="8" a="1"/>
  <c r="BX59" i="8" a="1"/>
  <c r="BX129" i="8" a="1"/>
  <c r="BX99" i="8" a="1"/>
  <c r="BX49" i="8" a="1"/>
  <c r="BM71" i="15" a="1"/>
  <c r="BM64" i="15" a="1"/>
  <c r="BM91" i="15" a="1"/>
  <c r="BM82" i="15" a="1"/>
  <c r="BM75" i="15" a="1"/>
  <c r="BM99" i="15" a="1"/>
  <c r="BM87" i="15" a="1"/>
  <c r="BM43" i="15" a="1"/>
  <c r="BM49" i="15" a="1"/>
  <c r="BM61" i="15" a="1"/>
  <c r="BM55" i="15" a="1"/>
  <c r="BM86" i="15" a="1"/>
  <c r="BM57" i="15" a="1"/>
  <c r="BM53" i="15" a="1"/>
  <c r="BM78" i="15" a="1"/>
  <c r="BX122" i="8" a="1"/>
  <c r="BX95" i="8" a="1"/>
  <c r="BX127" i="8" a="1"/>
  <c r="BX78" i="8" a="1"/>
  <c r="BX109" i="8" a="1"/>
  <c r="BM79" i="15" a="1"/>
  <c r="BM65" i="15" a="1"/>
  <c r="BM52" i="15" a="1"/>
  <c r="BM72" i="15" a="1"/>
  <c r="BX73" i="8" a="1"/>
  <c r="BX123" i="8" a="1"/>
  <c r="BX75" i="8" a="1"/>
  <c r="BX93" i="8" a="1"/>
  <c r="BX125" i="8" a="1"/>
  <c r="BX65" i="8" a="1"/>
  <c r="BX56" i="8" a="1"/>
  <c r="BX63" i="8" a="1"/>
  <c r="BX94" i="8" a="1"/>
  <c r="BX103" i="8" a="1"/>
  <c r="BX108" i="8" a="1"/>
  <c r="BX69" i="8" a="1"/>
  <c r="BX79" i="8" a="1"/>
  <c r="BX110" i="8" a="1"/>
  <c r="BX47" i="8" a="1"/>
  <c r="BX97" i="8" a="1"/>
  <c r="BX77" i="8" a="1"/>
  <c r="BX57" i="8" a="1"/>
  <c r="BM95" i="15" a="1"/>
  <c r="BM85" i="15" a="1"/>
  <c r="BM56" i="15" a="1"/>
  <c r="BM81" i="15" a="1"/>
  <c r="BM77" i="15" a="1"/>
  <c r="BM58" i="15" a="1"/>
  <c r="BM46" i="15" a="1"/>
  <c r="BM51" i="15" a="1"/>
  <c r="BM48" i="15" a="1"/>
  <c r="BM39" i="15" a="1"/>
  <c r="BM69" i="15" a="1"/>
  <c r="BM96" i="15" a="1"/>
  <c r="BM66" i="15" a="1"/>
  <c r="BM97" i="15" a="1"/>
  <c r="BM100" i="15" a="1"/>
  <c r="BX126" i="8" a="1"/>
  <c r="BX74" i="8" a="1"/>
  <c r="BX82" i="8" a="1"/>
  <c r="BX46" i="8" a="1"/>
  <c r="BX100" i="8" a="1"/>
  <c r="BX60" i="8" a="1"/>
  <c r="BM60" i="15" a="1"/>
  <c r="BM89" i="15" a="1"/>
  <c r="BM67" i="15" a="1"/>
  <c r="BM92" i="15" a="1"/>
  <c r="BM88" i="15" a="1"/>
  <c r="BM45" i="15" a="1"/>
  <c r="BX55" i="8" a="1"/>
  <c r="BX84" i="8" a="1"/>
  <c r="BX52" i="8" a="1"/>
  <c r="BX86" i="8" a="1"/>
  <c r="BX83" i="8" a="1"/>
  <c r="BX41" i="8" a="1"/>
  <c r="BX124" i="8" a="1"/>
  <c r="BX44" i="8" a="1"/>
  <c r="BX64" i="8" a="1"/>
  <c r="BX104" i="8" a="1"/>
  <c r="BX130" i="8" a="1"/>
  <c r="BX90" i="8" a="1"/>
  <c r="BX87" i="8" a="1"/>
  <c r="BX48" i="8" a="1"/>
  <c r="BX98" i="8" a="1"/>
  <c r="BX107" i="8" a="1"/>
  <c r="BX70" i="8" a="1"/>
  <c r="BX80" i="8" a="1"/>
  <c r="BM73" i="15" a="1"/>
  <c r="BM83" i="15" a="1"/>
  <c r="BM94" i="15" a="1"/>
  <c r="BM90" i="15" a="1"/>
  <c r="BM101" i="15" a="1"/>
  <c r="BM98" i="15" a="1"/>
  <c r="BM84" i="15" a="1"/>
  <c r="BM54" i="15" a="1"/>
  <c r="BM44" i="15" a="1"/>
  <c r="BM74" i="15" a="1"/>
  <c r="BM68" i="15" a="1"/>
  <c r="BM102" i="15" a="1"/>
  <c r="BM50" i="15" a="1"/>
  <c r="BM62" i="15" a="1"/>
  <c r="BM80" i="15" a="1"/>
  <c r="BX66" i="8" a="1"/>
  <c r="BX96" i="8" a="1"/>
  <c r="BX62" i="8" a="1"/>
  <c r="BX105" i="8" a="1"/>
  <c r="BX67" i="8" a="1"/>
  <c r="BX128" i="8" a="1"/>
  <c r="BM59" i="15" a="1"/>
  <c r="BM70" i="15" a="1"/>
  <c r="BM47" i="15" a="1"/>
  <c r="BM63" i="15" a="1"/>
  <c r="BM93" i="15" a="1"/>
  <c r="BM76" i="15" a="1"/>
  <c r="BW118" i="8" l="1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115" i="8" s="1"/>
  <c r="BX54" i="8"/>
  <c r="BX66" i="8"/>
  <c r="BX84" i="8"/>
  <c r="BX123" i="8"/>
  <c r="BX76" i="8"/>
  <c r="BX122" i="8"/>
  <c r="BX55" i="8"/>
  <c r="BX73" i="8"/>
  <c r="BX113" i="8" s="1"/>
  <c r="BX43" i="8"/>
  <c r="BY39" i="8"/>
  <c r="BW116" i="8"/>
  <c r="BW117" i="8"/>
  <c r="BW113" i="8"/>
  <c r="BW119" i="8"/>
  <c r="BW102" i="8"/>
  <c r="BW112" i="8"/>
  <c r="BW120" i="8"/>
  <c r="BM86" i="15"/>
  <c r="BM149" i="15" s="1"/>
  <c r="BM43" i="15"/>
  <c r="BM106" i="15" s="1"/>
  <c r="BM81" i="15"/>
  <c r="BM144" i="15" s="1"/>
  <c r="BM72" i="15"/>
  <c r="BM135" i="15" s="1"/>
  <c r="BM88" i="15"/>
  <c r="BM151" i="15" s="1"/>
  <c r="BM65" i="15"/>
  <c r="BM128" i="15" s="1"/>
  <c r="BM82" i="15"/>
  <c r="BM145" i="15" s="1"/>
  <c r="BM80" i="15"/>
  <c r="BM143" i="15" s="1"/>
  <c r="BM68" i="15"/>
  <c r="BM131" i="15" s="1"/>
  <c r="BM84" i="15"/>
  <c r="BM147" i="15" s="1"/>
  <c r="BM79" i="15"/>
  <c r="BM142" i="15" s="1"/>
  <c r="BM100" i="15"/>
  <c r="BM69" i="15"/>
  <c r="BM132" i="15" s="1"/>
  <c r="BM46" i="15"/>
  <c r="BM109" i="15" s="1"/>
  <c r="BM94" i="15"/>
  <c r="BM157" i="15" s="1"/>
  <c r="BM78" i="15"/>
  <c r="BM141" i="15" s="1"/>
  <c r="BM55" i="15"/>
  <c r="BM118" i="15" s="1"/>
  <c r="BM87" i="15"/>
  <c r="BM150" i="15" s="1"/>
  <c r="BM56" i="15"/>
  <c r="BM119" i="15" s="1"/>
  <c r="BM45" i="15"/>
  <c r="BM108" i="15" s="1"/>
  <c r="BM93" i="15"/>
  <c r="BM156" i="15" s="1"/>
  <c r="BM67" i="15"/>
  <c r="BM130" i="15" s="1"/>
  <c r="BM91" i="15"/>
  <c r="BM154" i="15" s="1"/>
  <c r="BM62" i="15"/>
  <c r="BM125" i="15" s="1"/>
  <c r="BM74" i="15"/>
  <c r="BM137" i="15" s="1"/>
  <c r="BM98" i="15"/>
  <c r="BM161" i="15" s="1"/>
  <c r="BM70" i="15"/>
  <c r="BM133" i="15" s="1"/>
  <c r="BM97" i="15"/>
  <c r="BM160" i="15" s="1"/>
  <c r="BM39" i="15"/>
  <c r="BM105" i="15" s="1"/>
  <c r="BM58" i="15"/>
  <c r="BM121" i="15" s="1"/>
  <c r="BM83" i="15"/>
  <c r="BM146" i="15" s="1"/>
  <c r="BM53" i="15"/>
  <c r="BM116" i="15" s="1"/>
  <c r="BM61" i="15"/>
  <c r="BM124" i="15" s="1"/>
  <c r="BM99" i="15"/>
  <c r="BM85" i="15"/>
  <c r="BM148" i="15" s="1"/>
  <c r="BM76" i="15"/>
  <c r="BM139" i="15" s="1"/>
  <c r="BM92" i="15"/>
  <c r="BM155" i="15" s="1"/>
  <c r="BM47" i="15"/>
  <c r="BM110" i="15" s="1"/>
  <c r="BM64" i="15"/>
  <c r="BM127" i="15" s="1"/>
  <c r="BM50" i="15"/>
  <c r="BM113" i="15" s="1"/>
  <c r="BM44" i="15"/>
  <c r="BM107" i="15" s="1"/>
  <c r="BM101" i="15"/>
  <c r="BM60" i="15"/>
  <c r="BM123" i="15" s="1"/>
  <c r="BM66" i="15"/>
  <c r="BM129" i="15" s="1"/>
  <c r="BM48" i="15"/>
  <c r="BM111" i="15" s="1"/>
  <c r="BM77" i="15"/>
  <c r="BM140" i="15" s="1"/>
  <c r="BM73" i="15"/>
  <c r="BM136" i="15" s="1"/>
  <c r="BM57" i="15"/>
  <c r="BM120" i="15" s="1"/>
  <c r="BM49" i="15"/>
  <c r="BM112" i="15" s="1"/>
  <c r="BM75" i="15"/>
  <c r="BM138" i="15" s="1"/>
  <c r="BM95" i="15"/>
  <c r="BM158" i="15" s="1"/>
  <c r="BM52" i="15"/>
  <c r="BM115" i="15" s="1"/>
  <c r="BM63" i="15"/>
  <c r="BM126" i="15" s="1"/>
  <c r="BM89" i="15"/>
  <c r="BM152" i="15" s="1"/>
  <c r="BM71" i="15"/>
  <c r="BM134" i="15" s="1"/>
  <c r="BM102" i="15"/>
  <c r="BM162" i="15" s="1"/>
  <c r="BM54" i="15"/>
  <c r="BM117" i="15" s="1"/>
  <c r="BM90" i="15"/>
  <c r="BM153" i="15" s="1"/>
  <c r="BM59" i="15"/>
  <c r="BM122" i="15" s="1"/>
  <c r="BM96" i="15"/>
  <c r="BM159" i="15" s="1"/>
  <c r="BM51" i="15"/>
  <c r="BM114" i="15" s="1"/>
  <c r="BO38" i="15"/>
  <c r="BY96" i="8" a="1"/>
  <c r="BY123" i="8" a="1"/>
  <c r="BY56" i="8" a="1"/>
  <c r="BY122" i="8" a="1"/>
  <c r="BY45" i="8" a="1"/>
  <c r="BY126" i="8" a="1"/>
  <c r="BY62" i="8" a="1"/>
  <c r="BY125" i="8" a="1"/>
  <c r="BY95" i="8" a="1"/>
  <c r="BY103" i="8" a="1"/>
  <c r="BY68" i="8" a="1"/>
  <c r="BY108" i="8" a="1"/>
  <c r="BY67" i="8" a="1"/>
  <c r="BY130" i="8" a="1"/>
  <c r="BY70" i="8" a="1"/>
  <c r="BY128" i="8" a="1"/>
  <c r="BY48" i="8" a="1"/>
  <c r="BY80" i="8" a="1"/>
  <c r="BN76" i="15" a="1"/>
  <c r="BN75" i="15" a="1"/>
  <c r="BN91" i="15" a="1"/>
  <c r="BN84" i="15" a="1"/>
  <c r="BN49" i="15" a="1"/>
  <c r="BN51" i="15" a="1"/>
  <c r="BN81" i="15" a="1"/>
  <c r="BN62" i="15" a="1"/>
  <c r="BN90" i="15" a="1"/>
  <c r="BN72" i="15" a="1"/>
  <c r="BN77" i="15" a="1"/>
  <c r="BN69" i="15" a="1"/>
  <c r="BN55" i="15" a="1"/>
  <c r="BN54" i="15" a="1"/>
  <c r="BY76" i="8" a="1"/>
  <c r="BY72" i="8" a="1"/>
  <c r="BY92" i="8" a="1"/>
  <c r="BY83" i="8" a="1"/>
  <c r="BY84" i="8" a="1"/>
  <c r="BY63" i="8" a="1"/>
  <c r="BY66" i="8" a="1"/>
  <c r="BY75" i="8" a="1"/>
  <c r="BY65" i="8" a="1"/>
  <c r="BY104" i="8" a="1"/>
  <c r="BY110" i="8" a="1"/>
  <c r="BY90" i="8" a="1"/>
  <c r="BY89" i="8" a="1"/>
  <c r="BY77" i="8" a="1"/>
  <c r="BY107" i="8" a="1"/>
  <c r="BY78" i="8" a="1"/>
  <c r="BY59" i="8" a="1"/>
  <c r="BY49" i="8" a="1"/>
  <c r="BN48" i="15" a="1"/>
  <c r="BN60" i="15" a="1"/>
  <c r="BN79" i="15" a="1"/>
  <c r="BN63" i="15" a="1"/>
  <c r="BN47" i="15" a="1"/>
  <c r="BN43" i="15" a="1"/>
  <c r="BN92" i="15" a="1"/>
  <c r="BN78" i="15" a="1"/>
  <c r="BN80" i="15" a="1"/>
  <c r="BN86" i="15" a="1"/>
  <c r="BN46" i="15" a="1"/>
  <c r="BN70" i="15" a="1"/>
  <c r="BN73" i="15" a="1"/>
  <c r="BN68" i="15" a="1"/>
  <c r="BN89" i="15" a="1"/>
  <c r="BY54" i="8" a="1"/>
  <c r="BY124" i="8" a="1"/>
  <c r="BY73" i="8" a="1"/>
  <c r="BY53" i="8" a="1"/>
  <c r="BY85" i="8" a="1"/>
  <c r="BY64" i="8" a="1"/>
  <c r="BY44" i="8" a="1"/>
  <c r="BY94" i="8" a="1"/>
  <c r="BY105" i="8" a="1"/>
  <c r="BY79" i="8" a="1"/>
  <c r="BY88" i="8" a="1"/>
  <c r="BY100" i="8" a="1"/>
  <c r="BY87" i="8" a="1"/>
  <c r="BY47" i="8" a="1"/>
  <c r="BY60" i="8" a="1"/>
  <c r="BY129" i="8" a="1"/>
  <c r="BY109" i="8" a="1"/>
  <c r="BN71" i="15" a="1"/>
  <c r="BN53" i="15" a="1"/>
  <c r="BN65" i="15" a="1"/>
  <c r="BN66" i="15" a="1"/>
  <c r="BN99" i="15" a="1"/>
  <c r="BN95" i="15" a="1"/>
  <c r="BN50" i="15" a="1"/>
  <c r="BN45" i="15" a="1"/>
  <c r="BN93" i="15" a="1"/>
  <c r="BN101" i="15" a="1"/>
  <c r="BN87" i="15" a="1"/>
  <c r="BN58" i="15" a="1"/>
  <c r="BN56" i="15" a="1"/>
  <c r="BN98" i="15" a="1"/>
  <c r="BN82" i="15" a="1"/>
  <c r="BN59" i="15" a="1"/>
  <c r="BY86" i="8" a="1"/>
  <c r="BY74" i="8" a="1"/>
  <c r="BY55" i="8" a="1"/>
  <c r="BY93" i="8" a="1"/>
  <c r="BY52" i="8" a="1"/>
  <c r="BY82" i="8" a="1"/>
  <c r="BY42" i="8" a="1"/>
  <c r="BY41" i="8" a="1"/>
  <c r="BY43" i="8" a="1"/>
  <c r="BY106" i="8" a="1"/>
  <c r="BY46" i="8" a="1"/>
  <c r="BY69" i="8" a="1"/>
  <c r="BY127" i="8" a="1"/>
  <c r="BY58" i="8" a="1"/>
  <c r="BY97" i="8" a="1"/>
  <c r="BY98" i="8" a="1"/>
  <c r="BY99" i="8" a="1"/>
  <c r="BY57" i="8" a="1"/>
  <c r="BN94" i="15" a="1"/>
  <c r="BN61" i="15" a="1"/>
  <c r="BN88" i="15" a="1"/>
  <c r="BN100" i="15" a="1"/>
  <c r="BN74" i="15" a="1"/>
  <c r="BN39" i="15" a="1"/>
  <c r="BN64" i="15" a="1"/>
  <c r="BN97" i="15" a="1"/>
  <c r="BN85" i="15" a="1"/>
  <c r="BN96" i="15" a="1"/>
  <c r="BN83" i="15" a="1"/>
  <c r="BN102" i="15" a="1"/>
  <c r="BN44" i="15" a="1"/>
  <c r="BN57" i="15" a="1"/>
  <c r="BN52" i="15" a="1"/>
  <c r="BN67" i="15" a="1"/>
  <c r="BX116" i="8" l="1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15" i="8" s="1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116" i="8" s="1"/>
  <c r="BY96" i="8"/>
  <c r="BY86" i="8"/>
  <c r="BX112" i="8"/>
  <c r="BX102" i="8"/>
  <c r="BX120" i="8"/>
  <c r="BZ39" i="8"/>
  <c r="BX114" i="8"/>
  <c r="BX118" i="8"/>
  <c r="BX119" i="8"/>
  <c r="BX117" i="8"/>
  <c r="BN102" i="15"/>
  <c r="BN162" i="15" s="1"/>
  <c r="BN97" i="15"/>
  <c r="BN160" i="15" s="1"/>
  <c r="BN84" i="15"/>
  <c r="BN147" i="15" s="1"/>
  <c r="BN59" i="15"/>
  <c r="BN122" i="15" s="1"/>
  <c r="BN58" i="15"/>
  <c r="BN121" i="15" s="1"/>
  <c r="BN45" i="15"/>
  <c r="BN108" i="15" s="1"/>
  <c r="BN100" i="15"/>
  <c r="BN89" i="15"/>
  <c r="BN152" i="15" s="1"/>
  <c r="BN46" i="15"/>
  <c r="BN109" i="15" s="1"/>
  <c r="BN92" i="15"/>
  <c r="BN155" i="15" s="1"/>
  <c r="BN66" i="15"/>
  <c r="BN129" i="15" s="1"/>
  <c r="BN67" i="15"/>
  <c r="BN130" i="15" s="1"/>
  <c r="BN77" i="15"/>
  <c r="BN140" i="15" s="1"/>
  <c r="BN81" i="15"/>
  <c r="BN144" i="15" s="1"/>
  <c r="BN79" i="15"/>
  <c r="BN142" i="15" s="1"/>
  <c r="BN52" i="15"/>
  <c r="BN115" i="15" s="1"/>
  <c r="BN83" i="15"/>
  <c r="BN146" i="15" s="1"/>
  <c r="BN64" i="15"/>
  <c r="BN127" i="15" s="1"/>
  <c r="BN91" i="15"/>
  <c r="BN154" i="15" s="1"/>
  <c r="BN82" i="15"/>
  <c r="BN145" i="15" s="1"/>
  <c r="BN87" i="15"/>
  <c r="BN150" i="15" s="1"/>
  <c r="BN50" i="15"/>
  <c r="BN113" i="15" s="1"/>
  <c r="BN88" i="15"/>
  <c r="BN151" i="15" s="1"/>
  <c r="BN68" i="15"/>
  <c r="BN131" i="15" s="1"/>
  <c r="BN86" i="15"/>
  <c r="BN149" i="15" s="1"/>
  <c r="BN43" i="15"/>
  <c r="BN106" i="15" s="1"/>
  <c r="BN65" i="15"/>
  <c r="BN128" i="15" s="1"/>
  <c r="BN54" i="15"/>
  <c r="BN117" i="15" s="1"/>
  <c r="BN72" i="15"/>
  <c r="BN135" i="15" s="1"/>
  <c r="BN51" i="15"/>
  <c r="BN114" i="15" s="1"/>
  <c r="BN60" i="15"/>
  <c r="BN123" i="15" s="1"/>
  <c r="BN57" i="15"/>
  <c r="BN120" i="15" s="1"/>
  <c r="BN96" i="15"/>
  <c r="BN159" i="15" s="1"/>
  <c r="BN39" i="15"/>
  <c r="BN105" i="15" s="1"/>
  <c r="BN75" i="15"/>
  <c r="BN138" i="15" s="1"/>
  <c r="BN98" i="15"/>
  <c r="BN161" i="15" s="1"/>
  <c r="BN101" i="15"/>
  <c r="BN95" i="15"/>
  <c r="BN158" i="15" s="1"/>
  <c r="BN61" i="15"/>
  <c r="BN124" i="15" s="1"/>
  <c r="BN73" i="15"/>
  <c r="BN136" i="15" s="1"/>
  <c r="BN80" i="15"/>
  <c r="BN143" i="15" s="1"/>
  <c r="BN47" i="15"/>
  <c r="BN110" i="15" s="1"/>
  <c r="BN53" i="15"/>
  <c r="BN116" i="15" s="1"/>
  <c r="BN55" i="15"/>
  <c r="BN118" i="15" s="1"/>
  <c r="BN90" i="15"/>
  <c r="BN153" i="15" s="1"/>
  <c r="BN49" i="15"/>
  <c r="BN112" i="15" s="1"/>
  <c r="BN48" i="15"/>
  <c r="BN111" i="15" s="1"/>
  <c r="BN44" i="15"/>
  <c r="BN107" i="15" s="1"/>
  <c r="BN85" i="15"/>
  <c r="BN148" i="15" s="1"/>
  <c r="BN74" i="15"/>
  <c r="BN137" i="15" s="1"/>
  <c r="BN76" i="15"/>
  <c r="BN139" i="15" s="1"/>
  <c r="BN56" i="15"/>
  <c r="BN119" i="15" s="1"/>
  <c r="BN93" i="15"/>
  <c r="BN156" i="15" s="1"/>
  <c r="BN99" i="15"/>
  <c r="BN94" i="15"/>
  <c r="BN157" i="15" s="1"/>
  <c r="BN70" i="15"/>
  <c r="BN133" i="15" s="1"/>
  <c r="BN78" i="15"/>
  <c r="BN141" i="15" s="1"/>
  <c r="BN63" i="15"/>
  <c r="BN126" i="15" s="1"/>
  <c r="BN71" i="15"/>
  <c r="BN134" i="15" s="1"/>
  <c r="BN69" i="15"/>
  <c r="BN132" i="15" s="1"/>
  <c r="BN62" i="15"/>
  <c r="BN125" i="15" s="1"/>
  <c r="BP38" i="15"/>
  <c r="BZ63" i="8" a="1"/>
  <c r="BZ52" i="8" a="1"/>
  <c r="BZ42" i="8" a="1"/>
  <c r="BZ65" i="8" a="1"/>
  <c r="BZ45" i="8" a="1"/>
  <c r="BZ55" i="8" a="1"/>
  <c r="BZ93" i="8" a="1"/>
  <c r="BZ96" i="8" a="1"/>
  <c r="BZ126" i="8" a="1"/>
  <c r="BZ104" i="8" a="1"/>
  <c r="BZ87" i="8" a="1"/>
  <c r="BZ79" i="8" a="1"/>
  <c r="BZ69" i="8" a="1"/>
  <c r="BZ77" i="8" a="1"/>
  <c r="BZ128" i="8" a="1"/>
  <c r="BZ99" i="8" a="1"/>
  <c r="BZ57" i="8" a="1"/>
  <c r="BZ49" i="8" a="1"/>
  <c r="BO89" i="15" a="1"/>
  <c r="BO59" i="15" a="1"/>
  <c r="BO95" i="15" a="1"/>
  <c r="BO86" i="15" a="1"/>
  <c r="BO50" i="15" a="1"/>
  <c r="BO48" i="15" a="1"/>
  <c r="BO54" i="15" a="1"/>
  <c r="BO81" i="15" a="1"/>
  <c r="BO76" i="15" a="1"/>
  <c r="BO66" i="15" a="1"/>
  <c r="BO39" i="15" a="1"/>
  <c r="BO68" i="15" a="1"/>
  <c r="BO92" i="15" a="1"/>
  <c r="BO96" i="15" a="1"/>
  <c r="BO93" i="15" a="1"/>
  <c r="BZ56" i="8" a="1"/>
  <c r="BZ94" i="8" a="1"/>
  <c r="BZ74" i="8" a="1"/>
  <c r="BZ62" i="8" a="1"/>
  <c r="BZ72" i="8" a="1"/>
  <c r="BZ82" i="8" a="1"/>
  <c r="BZ123" i="8" a="1"/>
  <c r="BZ86" i="8" a="1"/>
  <c r="BZ105" i="8" a="1"/>
  <c r="BZ46" i="8" a="1"/>
  <c r="BZ58" i="8" a="1"/>
  <c r="BZ127" i="8" a="1"/>
  <c r="BZ108" i="8" a="1"/>
  <c r="BZ47" i="8" a="1"/>
  <c r="BZ48" i="8" a="1"/>
  <c r="BZ98" i="8" a="1"/>
  <c r="BZ80" i="8" a="1"/>
  <c r="BO78" i="15" a="1"/>
  <c r="BO49" i="15" a="1"/>
  <c r="BO63" i="15" a="1"/>
  <c r="BO55" i="15" a="1"/>
  <c r="BO84" i="15" a="1"/>
  <c r="BO97" i="15" a="1"/>
  <c r="BO77" i="15" a="1"/>
  <c r="BO69" i="15" a="1"/>
  <c r="BO85" i="15" a="1"/>
  <c r="BO75" i="15" a="1"/>
  <c r="BO71" i="15" a="1"/>
  <c r="BO53" i="15" a="1"/>
  <c r="BO72" i="15" a="1"/>
  <c r="BO100" i="15" a="1"/>
  <c r="BO58" i="15" a="1"/>
  <c r="BO45" i="15" a="1"/>
  <c r="BZ84" i="8" a="1"/>
  <c r="BZ125" i="8" a="1"/>
  <c r="BZ44" i="8" a="1"/>
  <c r="BZ75" i="8" a="1"/>
  <c r="BZ54" i="8" a="1"/>
  <c r="BZ41" i="8" a="1"/>
  <c r="BZ95" i="8" a="1"/>
  <c r="BZ85" i="8" a="1"/>
  <c r="BZ64" i="8" a="1"/>
  <c r="BZ106" i="8" a="1"/>
  <c r="BZ130" i="8" a="1"/>
  <c r="BZ100" i="8" a="1"/>
  <c r="BZ90" i="8" a="1"/>
  <c r="BZ67" i="8" a="1"/>
  <c r="BZ97" i="8" a="1"/>
  <c r="BZ59" i="8" a="1"/>
  <c r="BZ78" i="8" a="1"/>
  <c r="BZ60" i="8" a="1"/>
  <c r="BO60" i="15" a="1"/>
  <c r="BO61" i="15" a="1"/>
  <c r="BO101" i="15" a="1"/>
  <c r="BO74" i="15" a="1"/>
  <c r="BO73" i="15" a="1"/>
  <c r="BO57" i="15" a="1"/>
  <c r="BO65" i="15" a="1"/>
  <c r="BO51" i="15" a="1"/>
  <c r="BO91" i="15" a="1"/>
  <c r="BO99" i="15" a="1"/>
  <c r="BO70" i="15" a="1"/>
  <c r="BO88" i="15" a="1"/>
  <c r="BO80" i="15" a="1"/>
  <c r="BO102" i="15" a="1"/>
  <c r="BO67" i="15" a="1"/>
  <c r="BZ43" i="8" a="1"/>
  <c r="BZ73" i="8" a="1"/>
  <c r="BZ53" i="8" a="1"/>
  <c r="BZ124" i="8" a="1"/>
  <c r="BZ92" i="8" a="1"/>
  <c r="BZ66" i="8" a="1"/>
  <c r="BZ83" i="8" a="1"/>
  <c r="BZ122" i="8" a="1"/>
  <c r="BZ76" i="8" a="1"/>
  <c r="BZ103" i="8" a="1"/>
  <c r="BZ89" i="8" a="1"/>
  <c r="BZ68" i="8" a="1"/>
  <c r="BZ88" i="8" a="1"/>
  <c r="BZ110" i="8" a="1"/>
  <c r="BZ107" i="8" a="1"/>
  <c r="BZ129" i="8" a="1"/>
  <c r="BZ70" i="8" a="1"/>
  <c r="BZ109" i="8" a="1"/>
  <c r="BO94" i="15" a="1"/>
  <c r="BO90" i="15" a="1"/>
  <c r="BO64" i="15" a="1"/>
  <c r="BO79" i="15" a="1"/>
  <c r="BO52" i="15" a="1"/>
  <c r="BO56" i="15" a="1"/>
  <c r="BO47" i="15" a="1"/>
  <c r="BO43" i="15" a="1"/>
  <c r="BO87" i="15" a="1"/>
  <c r="BO44" i="15" a="1"/>
  <c r="BO62" i="15" a="1"/>
  <c r="BO82" i="15" a="1"/>
  <c r="BO46" i="15" a="1"/>
  <c r="BO98" i="15" a="1"/>
  <c r="BO83" i="15" a="1"/>
  <c r="BY114" i="8" l="1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119" i="8" s="1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BO88" i="15"/>
  <c r="BO151" i="15" s="1"/>
  <c r="BO51" i="15"/>
  <c r="BO114" i="15" s="1"/>
  <c r="BO79" i="15"/>
  <c r="BO142" i="15" s="1"/>
  <c r="BO45" i="15"/>
  <c r="BO108" i="15" s="1"/>
  <c r="BO53" i="15"/>
  <c r="BO116" i="15" s="1"/>
  <c r="BO69" i="15"/>
  <c r="BO132" i="15" s="1"/>
  <c r="BO74" i="15"/>
  <c r="BO137" i="15" s="1"/>
  <c r="BO93" i="15"/>
  <c r="BO156" i="15" s="1"/>
  <c r="BO39" i="15"/>
  <c r="BO105" i="15" s="1"/>
  <c r="BO54" i="15"/>
  <c r="BO117" i="15" s="1"/>
  <c r="BO55" i="15"/>
  <c r="BO118" i="15" s="1"/>
  <c r="BO83" i="15"/>
  <c r="BO146" i="15" s="1"/>
  <c r="BO62" i="15"/>
  <c r="BO125" i="15" s="1"/>
  <c r="BO47" i="15"/>
  <c r="BO110" i="15" s="1"/>
  <c r="BO95" i="15"/>
  <c r="BO158" i="15" s="1"/>
  <c r="BO67" i="15"/>
  <c r="BO130" i="15" s="1"/>
  <c r="BO70" i="15"/>
  <c r="BO133" i="15" s="1"/>
  <c r="BO65" i="15"/>
  <c r="BO128" i="15" s="1"/>
  <c r="BO64" i="15"/>
  <c r="BO127" i="15" s="1"/>
  <c r="BO58" i="15"/>
  <c r="BO121" i="15" s="1"/>
  <c r="BO71" i="15"/>
  <c r="BO134" i="15" s="1"/>
  <c r="BO77" i="15"/>
  <c r="BO140" i="15" s="1"/>
  <c r="BO101" i="15"/>
  <c r="BO96" i="15"/>
  <c r="BO159" i="15" s="1"/>
  <c r="BO66" i="15"/>
  <c r="BO129" i="15" s="1"/>
  <c r="BO48" i="15"/>
  <c r="BO111" i="15" s="1"/>
  <c r="BO63" i="15"/>
  <c r="BO126" i="15" s="1"/>
  <c r="BO98" i="15"/>
  <c r="BO161" i="15" s="1"/>
  <c r="BO44" i="15"/>
  <c r="BO107" i="15" s="1"/>
  <c r="BO56" i="15"/>
  <c r="BO119" i="15" s="1"/>
  <c r="BO59" i="15"/>
  <c r="BO122" i="15" s="1"/>
  <c r="BO102" i="15"/>
  <c r="BO162" i="15" s="1"/>
  <c r="BO99" i="15"/>
  <c r="BO57" i="15"/>
  <c r="BO120" i="15" s="1"/>
  <c r="BO90" i="15"/>
  <c r="BO153" i="15" s="1"/>
  <c r="BO100" i="15"/>
  <c r="BO75" i="15"/>
  <c r="BO138" i="15" s="1"/>
  <c r="BO97" i="15"/>
  <c r="BO160" i="15" s="1"/>
  <c r="BO61" i="15"/>
  <c r="BO124" i="15" s="1"/>
  <c r="BO92" i="15"/>
  <c r="BO155" i="15" s="1"/>
  <c r="BO76" i="15"/>
  <c r="BO139" i="15" s="1"/>
  <c r="BO50" i="15"/>
  <c r="BO113" i="15" s="1"/>
  <c r="BO49" i="15"/>
  <c r="BO112" i="15" s="1"/>
  <c r="BO46" i="15"/>
  <c r="BO109" i="15" s="1"/>
  <c r="BO87" i="15"/>
  <c r="BO150" i="15" s="1"/>
  <c r="BO52" i="15"/>
  <c r="BO115" i="15" s="1"/>
  <c r="BO89" i="15"/>
  <c r="BO152" i="15" s="1"/>
  <c r="BO80" i="15"/>
  <c r="BO143" i="15" s="1"/>
  <c r="BO91" i="15"/>
  <c r="BO154" i="15" s="1"/>
  <c r="BO73" i="15"/>
  <c r="BO136" i="15" s="1"/>
  <c r="BO94" i="15"/>
  <c r="BO157" i="15" s="1"/>
  <c r="BO72" i="15"/>
  <c r="BO135" i="15" s="1"/>
  <c r="BO85" i="15"/>
  <c r="BO148" i="15" s="1"/>
  <c r="BO84" i="15"/>
  <c r="BO147" i="15" s="1"/>
  <c r="BO60" i="15"/>
  <c r="BO123" i="15" s="1"/>
  <c r="BO68" i="15"/>
  <c r="BO131" i="15" s="1"/>
  <c r="BO81" i="15"/>
  <c r="BO144" i="15" s="1"/>
  <c r="BO86" i="15"/>
  <c r="BO149" i="15" s="1"/>
  <c r="BO78" i="15"/>
  <c r="BO141" i="15" s="1"/>
  <c r="BO82" i="15"/>
  <c r="BO145" i="15" s="1"/>
  <c r="BO43" i="15"/>
  <c r="BO106" i="15" s="1"/>
  <c r="BQ38" i="15"/>
  <c r="CA66" i="8" a="1"/>
  <c r="CA124" i="8" a="1"/>
  <c r="CA54" i="8" a="1"/>
  <c r="CA86" i="8" a="1"/>
  <c r="CA123" i="8" a="1"/>
  <c r="CA125" i="8" a="1"/>
  <c r="CA76" i="8" a="1"/>
  <c r="CA53" i="8" a="1"/>
  <c r="CA45" i="8" a="1"/>
  <c r="CA104" i="8" a="1"/>
  <c r="CA68" i="8" a="1"/>
  <c r="CA108" i="8" a="1"/>
  <c r="CA99" i="8" a="1"/>
  <c r="CA100" i="8" a="1"/>
  <c r="CA98" i="8" a="1"/>
  <c r="CA77" i="8" a="1"/>
  <c r="CA80" i="8" a="1"/>
  <c r="CA60" i="8" a="1"/>
  <c r="BP62" i="15" a="1"/>
  <c r="BP52" i="15" a="1"/>
  <c r="BP43" i="15" a="1"/>
  <c r="BP54" i="15" a="1"/>
  <c r="BP71" i="15" a="1"/>
  <c r="BP77" i="15" a="1"/>
  <c r="BP87" i="15" a="1"/>
  <c r="BP78" i="15" a="1"/>
  <c r="BP72" i="15" a="1"/>
  <c r="BP80" i="15" a="1"/>
  <c r="BP56" i="15" a="1"/>
  <c r="BP94" i="15" a="1"/>
  <c r="BP44" i="15" a="1"/>
  <c r="BP91" i="15" a="1"/>
  <c r="CA63" i="8" a="1"/>
  <c r="CA55" i="8" a="1"/>
  <c r="CA126" i="8" a="1"/>
  <c r="CA44" i="8" a="1"/>
  <c r="CA73" i="8" a="1"/>
  <c r="CA93" i="8" a="1"/>
  <c r="CA74" i="8" a="1"/>
  <c r="CA52" i="8" a="1"/>
  <c r="CA105" i="8" a="1"/>
  <c r="CA46" i="8" a="1"/>
  <c r="CA127" i="8" a="1"/>
  <c r="CA90" i="8" a="1"/>
  <c r="CA58" i="8" a="1"/>
  <c r="CA48" i="8" a="1"/>
  <c r="CA128" i="8" a="1"/>
  <c r="CA47" i="8" a="1"/>
  <c r="CA57" i="8" a="1"/>
  <c r="BP81" i="15" a="1"/>
  <c r="BP99" i="15" a="1"/>
  <c r="BP55" i="15" a="1"/>
  <c r="BP90" i="15" a="1"/>
  <c r="BP69" i="15" a="1"/>
  <c r="BP67" i="15" a="1"/>
  <c r="BP101" i="15" a="1"/>
  <c r="BP53" i="15" a="1"/>
  <c r="BP102" i="15" a="1"/>
  <c r="BP76" i="15" a="1"/>
  <c r="BP83" i="15" a="1"/>
  <c r="BP46" i="15" a="1"/>
  <c r="BP70" i="15" a="1"/>
  <c r="BP89" i="15" a="1"/>
  <c r="BP74" i="15" a="1"/>
  <c r="CA56" i="8" a="1"/>
  <c r="CA65" i="8" a="1"/>
  <c r="CA95" i="8" a="1"/>
  <c r="CA96" i="8" a="1"/>
  <c r="CA75" i="8" a="1"/>
  <c r="CA82" i="8" a="1"/>
  <c r="CA85" i="8" a="1"/>
  <c r="CA43" i="8" a="1"/>
  <c r="CA94" i="8" a="1"/>
  <c r="CA106" i="8" a="1"/>
  <c r="CA79" i="8" a="1"/>
  <c r="CA87" i="8" a="1"/>
  <c r="CA67" i="8" a="1"/>
  <c r="CA69" i="8" a="1"/>
  <c r="CA59" i="8" a="1"/>
  <c r="CA97" i="8" a="1"/>
  <c r="CA78" i="8" a="1"/>
  <c r="CA49" i="8" a="1"/>
  <c r="BP58" i="15" a="1"/>
  <c r="BP59" i="15" a="1"/>
  <c r="BP48" i="15" a="1"/>
  <c r="BP92" i="15" a="1"/>
  <c r="BP75" i="15" a="1"/>
  <c r="BP39" i="15" a="1"/>
  <c r="BP60" i="15" a="1"/>
  <c r="BP51" i="15" a="1"/>
  <c r="BP66" i="15" a="1"/>
  <c r="BP96" i="15" a="1"/>
  <c r="BP95" i="15" a="1"/>
  <c r="BP65" i="15" a="1"/>
  <c r="BP50" i="15" a="1"/>
  <c r="BP68" i="15" a="1"/>
  <c r="BP73" i="15" a="1"/>
  <c r="BP47" i="15" a="1"/>
  <c r="CA72" i="8" a="1"/>
  <c r="CA122" i="8" a="1"/>
  <c r="CA64" i="8" a="1"/>
  <c r="CA83" i="8" a="1"/>
  <c r="CA92" i="8" a="1"/>
  <c r="CA84" i="8" a="1"/>
  <c r="CA42" i="8" a="1"/>
  <c r="CA41" i="8" a="1"/>
  <c r="CA62" i="8" a="1"/>
  <c r="CA103" i="8" a="1"/>
  <c r="CA89" i="8" a="1"/>
  <c r="CA88" i="8" a="1"/>
  <c r="CA110" i="8" a="1"/>
  <c r="CA130" i="8" a="1"/>
  <c r="CA70" i="8" a="1"/>
  <c r="CA129" i="8" a="1"/>
  <c r="CA107" i="8" a="1"/>
  <c r="CA109" i="8" a="1"/>
  <c r="BP88" i="15" a="1"/>
  <c r="BP79" i="15" a="1"/>
  <c r="BP82" i="15" a="1"/>
  <c r="BP97" i="15" a="1"/>
  <c r="BP63" i="15" a="1"/>
  <c r="BP93" i="15" a="1"/>
  <c r="BP98" i="15" a="1"/>
  <c r="BP86" i="15" a="1"/>
  <c r="BP49" i="15" a="1"/>
  <c r="BP57" i="15" a="1"/>
  <c r="BP85" i="15" a="1"/>
  <c r="BP84" i="15" a="1"/>
  <c r="BP64" i="15" a="1"/>
  <c r="BP61" i="15" a="1"/>
  <c r="BP45" i="15" a="1"/>
  <c r="BP100" i="15" a="1"/>
  <c r="BZ115" i="8" l="1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119" i="8" s="1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BP65" i="15"/>
  <c r="BP128" i="15" s="1"/>
  <c r="BP53" i="15"/>
  <c r="BP116" i="15" s="1"/>
  <c r="BP51" i="15"/>
  <c r="BP114" i="15" s="1"/>
  <c r="BP74" i="15"/>
  <c r="BP137" i="15" s="1"/>
  <c r="BP46" i="15"/>
  <c r="BP109" i="15" s="1"/>
  <c r="BP87" i="15"/>
  <c r="BP150" i="15" s="1"/>
  <c r="BP92" i="15"/>
  <c r="BP155" i="15" s="1"/>
  <c r="BP100" i="15"/>
  <c r="BP56" i="15"/>
  <c r="BP119" i="15" s="1"/>
  <c r="BP98" i="15"/>
  <c r="BP161" i="15" s="1"/>
  <c r="BP90" i="15"/>
  <c r="BP153" i="15" s="1"/>
  <c r="BP45" i="15"/>
  <c r="BP108" i="15" s="1"/>
  <c r="BP85" i="15"/>
  <c r="BP148" i="15" s="1"/>
  <c r="BP60" i="15"/>
  <c r="BP123" i="15" s="1"/>
  <c r="BP43" i="15"/>
  <c r="BP106" i="15" s="1"/>
  <c r="BP73" i="15"/>
  <c r="BP136" i="15" s="1"/>
  <c r="BP95" i="15"/>
  <c r="BP158" i="15" s="1"/>
  <c r="BP101" i="15"/>
  <c r="BP82" i="15"/>
  <c r="BP145" i="15" s="1"/>
  <c r="BP91" i="15"/>
  <c r="BP154" i="15" s="1"/>
  <c r="BP83" i="15"/>
  <c r="BP146" i="15" s="1"/>
  <c r="BP77" i="15"/>
  <c r="BP140" i="15" s="1"/>
  <c r="BP48" i="15"/>
  <c r="BP111" i="15" s="1"/>
  <c r="BP47" i="15"/>
  <c r="BP110" i="15" s="1"/>
  <c r="BP80" i="15"/>
  <c r="BP143" i="15" s="1"/>
  <c r="BP93" i="15"/>
  <c r="BP156" i="15" s="1"/>
  <c r="BP55" i="15"/>
  <c r="BP118" i="15" s="1"/>
  <c r="BP61" i="15"/>
  <c r="BP124" i="15" s="1"/>
  <c r="BP57" i="15"/>
  <c r="BP120" i="15" s="1"/>
  <c r="BP39" i="15"/>
  <c r="BP105" i="15" s="1"/>
  <c r="BP52" i="15"/>
  <c r="BP115" i="15" s="1"/>
  <c r="BP68" i="15"/>
  <c r="BP131" i="15" s="1"/>
  <c r="BP96" i="15"/>
  <c r="BP159" i="15" s="1"/>
  <c r="BP67" i="15"/>
  <c r="BP130" i="15" s="1"/>
  <c r="BP79" i="15"/>
  <c r="BP142" i="15" s="1"/>
  <c r="BP89" i="15"/>
  <c r="BP152" i="15" s="1"/>
  <c r="BP76" i="15"/>
  <c r="BP139" i="15" s="1"/>
  <c r="BP71" i="15"/>
  <c r="BP134" i="15" s="1"/>
  <c r="BP59" i="15"/>
  <c r="BP122" i="15" s="1"/>
  <c r="BP44" i="15"/>
  <c r="BP107" i="15" s="1"/>
  <c r="BP72" i="15"/>
  <c r="BP135" i="15" s="1"/>
  <c r="BP63" i="15"/>
  <c r="BP126" i="15" s="1"/>
  <c r="BP99" i="15"/>
  <c r="BP64" i="15"/>
  <c r="BP127" i="15" s="1"/>
  <c r="BP49" i="15"/>
  <c r="BP112" i="15" s="1"/>
  <c r="BP75" i="15"/>
  <c r="BP138" i="15" s="1"/>
  <c r="BP62" i="15"/>
  <c r="BP125" i="15" s="1"/>
  <c r="BP50" i="15"/>
  <c r="BP113" i="15" s="1"/>
  <c r="BP66" i="15"/>
  <c r="BP129" i="15" s="1"/>
  <c r="BP69" i="15"/>
  <c r="BP132" i="15" s="1"/>
  <c r="BP88" i="15"/>
  <c r="BP151" i="15" s="1"/>
  <c r="BP70" i="15"/>
  <c r="BP133" i="15" s="1"/>
  <c r="BP102" i="15"/>
  <c r="BP162" i="15" s="1"/>
  <c r="BP54" i="15"/>
  <c r="BP117" i="15" s="1"/>
  <c r="BP58" i="15"/>
  <c r="BP121" i="15" s="1"/>
  <c r="BP94" i="15"/>
  <c r="BP157" i="15" s="1"/>
  <c r="BP78" i="15"/>
  <c r="BP141" i="15" s="1"/>
  <c r="BP97" i="15"/>
  <c r="BP160" i="15" s="1"/>
  <c r="BP81" i="15"/>
  <c r="BP144" i="15" s="1"/>
  <c r="BP84" i="15"/>
  <c r="BP147" i="15" s="1"/>
  <c r="BP86" i="15"/>
  <c r="BP149" i="15" s="1"/>
  <c r="BR38" i="15"/>
  <c r="CB44" i="8" a="1"/>
  <c r="CB122" i="8" a="1"/>
  <c r="CB62" i="8" a="1"/>
  <c r="CB75" i="8" a="1"/>
  <c r="CB83" i="8" a="1"/>
  <c r="CB45" i="8" a="1"/>
  <c r="CB53" i="8" a="1"/>
  <c r="CB54" i="8" a="1"/>
  <c r="CB55" i="8" a="1"/>
  <c r="CB103" i="8" a="1"/>
  <c r="CB100" i="8" a="1"/>
  <c r="CB69" i="8" a="1"/>
  <c r="CB67" i="8" a="1"/>
  <c r="CB89" i="8" a="1"/>
  <c r="CB78" i="8" a="1"/>
  <c r="CB129" i="8" a="1"/>
  <c r="CB70" i="8" a="1"/>
  <c r="CB80" i="8" a="1"/>
  <c r="BQ49" i="15" a="1"/>
  <c r="BQ39" i="15" a="1"/>
  <c r="BQ54" i="15" a="1"/>
  <c r="BQ83" i="15" a="1"/>
  <c r="BQ55" i="15" a="1"/>
  <c r="BQ68" i="15" a="1"/>
  <c r="BQ98" i="15" a="1"/>
  <c r="BQ48" i="15" a="1"/>
  <c r="BQ61" i="15" a="1"/>
  <c r="BQ82" i="15" a="1"/>
  <c r="BQ74" i="15" a="1"/>
  <c r="BQ47" i="15" a="1"/>
  <c r="BQ99" i="15" a="1"/>
  <c r="BQ75" i="15" a="1"/>
  <c r="BQ90" i="15" a="1"/>
  <c r="BQ96" i="15" a="1"/>
  <c r="CB93" i="8" a="1"/>
  <c r="CB96" i="8" a="1"/>
  <c r="CB72" i="8" a="1"/>
  <c r="CB94" i="8" a="1"/>
  <c r="CB42" i="8" a="1"/>
  <c r="CB95" i="8" a="1"/>
  <c r="CB65" i="8" a="1"/>
  <c r="CB56" i="8" a="1"/>
  <c r="CB74" i="8" a="1"/>
  <c r="CB104" i="8" a="1"/>
  <c r="CB110" i="8" a="1"/>
  <c r="CB87" i="8" a="1"/>
  <c r="CB68" i="8" a="1"/>
  <c r="CB99" i="8" a="1"/>
  <c r="CB59" i="8" a="1"/>
  <c r="CB47" i="8" a="1"/>
  <c r="CB109" i="8" a="1"/>
  <c r="CB60" i="8" a="1"/>
  <c r="BQ89" i="15" a="1"/>
  <c r="BQ94" i="15" a="1"/>
  <c r="BQ67" i="15" a="1"/>
  <c r="BQ97" i="15" a="1"/>
  <c r="BQ66" i="15" a="1"/>
  <c r="BQ46" i="15" a="1"/>
  <c r="BQ93" i="15" a="1"/>
  <c r="BQ45" i="15" a="1"/>
  <c r="BQ76" i="15" a="1"/>
  <c r="BQ87" i="15" a="1"/>
  <c r="BQ86" i="15" a="1"/>
  <c r="BQ80" i="15" a="1"/>
  <c r="BQ95" i="15" a="1"/>
  <c r="BQ77" i="15" a="1"/>
  <c r="BQ81" i="15" a="1"/>
  <c r="BQ52" i="15" a="1"/>
  <c r="CB86" i="8" a="1"/>
  <c r="CB64" i="8" a="1"/>
  <c r="CB125" i="8" a="1"/>
  <c r="CB123" i="8" a="1"/>
  <c r="CB124" i="8" a="1"/>
  <c r="CB126" i="8" a="1"/>
  <c r="CB85" i="8" a="1"/>
  <c r="CB84" i="8" a="1"/>
  <c r="CB105" i="8" a="1"/>
  <c r="CB46" i="8" a="1"/>
  <c r="CB127" i="8" a="1"/>
  <c r="CB58" i="8" a="1"/>
  <c r="CB108" i="8" a="1"/>
  <c r="CB128" i="8" a="1"/>
  <c r="CB107" i="8" a="1"/>
  <c r="CB98" i="8" a="1"/>
  <c r="CB49" i="8" a="1"/>
  <c r="BQ50" i="15" a="1"/>
  <c r="BQ57" i="15" a="1"/>
  <c r="BQ69" i="15" a="1"/>
  <c r="BQ100" i="15" a="1"/>
  <c r="BQ88" i="15" a="1"/>
  <c r="BQ72" i="15" a="1"/>
  <c r="BQ73" i="15" a="1"/>
  <c r="BQ63" i="15" a="1"/>
  <c r="BQ62" i="15" a="1"/>
  <c r="BQ78" i="15" a="1"/>
  <c r="BQ92" i="15" a="1"/>
  <c r="BQ43" i="15" a="1"/>
  <c r="BQ101" i="15" a="1"/>
  <c r="BQ44" i="15" a="1"/>
  <c r="CB52" i="8" a="1"/>
  <c r="CB92" i="8" a="1"/>
  <c r="CB82" i="8" a="1"/>
  <c r="CB41" i="8" a="1"/>
  <c r="CB73" i="8" a="1"/>
  <c r="CB76" i="8" a="1"/>
  <c r="CB43" i="8" a="1"/>
  <c r="CB66" i="8" a="1"/>
  <c r="CB63" i="8" a="1"/>
  <c r="CB106" i="8" a="1"/>
  <c r="CB79" i="8" a="1"/>
  <c r="CB88" i="8" a="1"/>
  <c r="CB90" i="8" a="1"/>
  <c r="CB130" i="8" a="1"/>
  <c r="CB48" i="8" a="1"/>
  <c r="CB77" i="8" a="1"/>
  <c r="CB97" i="8" a="1"/>
  <c r="CB57" i="8" a="1"/>
  <c r="BQ59" i="15" a="1"/>
  <c r="BQ64" i="15" a="1"/>
  <c r="BQ91" i="15" a="1"/>
  <c r="BQ51" i="15" a="1"/>
  <c r="BQ60" i="15" a="1"/>
  <c r="BQ71" i="15" a="1"/>
  <c r="BQ79" i="15" a="1"/>
  <c r="BQ58" i="15" a="1"/>
  <c r="BQ102" i="15" a="1"/>
  <c r="BQ84" i="15" a="1"/>
  <c r="BQ56" i="15" a="1"/>
  <c r="BQ53" i="15" a="1"/>
  <c r="BQ65" i="15" a="1"/>
  <c r="BQ85" i="15" a="1"/>
  <c r="BQ70" i="15" a="1"/>
  <c r="CA117" i="8" l="1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16" i="8" s="1"/>
  <c r="CB124" i="8"/>
  <c r="CB42" i="8"/>
  <c r="CB83" i="8"/>
  <c r="CB73" i="8"/>
  <c r="CB113" i="8" s="1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BQ53" i="15"/>
  <c r="BQ116" i="15" s="1"/>
  <c r="BQ58" i="15"/>
  <c r="BQ121" i="15" s="1"/>
  <c r="BQ83" i="15"/>
  <c r="BQ146" i="15" s="1"/>
  <c r="BQ96" i="15"/>
  <c r="BQ159" i="15" s="1"/>
  <c r="BQ43" i="15"/>
  <c r="BQ106" i="15" s="1"/>
  <c r="BQ63" i="15"/>
  <c r="BQ126" i="15" s="1"/>
  <c r="BQ51" i="15"/>
  <c r="BQ114" i="15" s="1"/>
  <c r="BQ81" i="15"/>
  <c r="BQ144" i="15" s="1"/>
  <c r="BQ86" i="15"/>
  <c r="BQ149" i="15" s="1"/>
  <c r="BQ93" i="15"/>
  <c r="BQ156" i="15" s="1"/>
  <c r="BQ100" i="15"/>
  <c r="BQ90" i="15"/>
  <c r="BQ153" i="15" s="1"/>
  <c r="BQ74" i="15"/>
  <c r="BQ137" i="15" s="1"/>
  <c r="BQ98" i="15"/>
  <c r="BQ161" i="15" s="1"/>
  <c r="BQ67" i="15"/>
  <c r="BQ130" i="15" s="1"/>
  <c r="BQ70" i="15"/>
  <c r="BQ133" i="15" s="1"/>
  <c r="BQ56" i="15"/>
  <c r="BQ119" i="15" s="1"/>
  <c r="BQ79" i="15"/>
  <c r="BQ142" i="15" s="1"/>
  <c r="BQ54" i="15"/>
  <c r="BQ117" i="15" s="1"/>
  <c r="BQ52" i="15"/>
  <c r="BQ115" i="15" s="1"/>
  <c r="BQ92" i="15"/>
  <c r="BQ155" i="15" s="1"/>
  <c r="BQ73" i="15"/>
  <c r="BQ136" i="15" s="1"/>
  <c r="BQ91" i="15"/>
  <c r="BQ154" i="15" s="1"/>
  <c r="BQ77" i="15"/>
  <c r="BQ140" i="15" s="1"/>
  <c r="BQ87" i="15"/>
  <c r="BQ150" i="15" s="1"/>
  <c r="BQ46" i="15"/>
  <c r="BQ109" i="15" s="1"/>
  <c r="BQ69" i="15"/>
  <c r="BQ132" i="15" s="1"/>
  <c r="BQ75" i="15"/>
  <c r="BQ138" i="15" s="1"/>
  <c r="BQ82" i="15"/>
  <c r="BQ145" i="15" s="1"/>
  <c r="BQ68" i="15"/>
  <c r="BQ131" i="15" s="1"/>
  <c r="BQ94" i="15"/>
  <c r="BQ157" i="15" s="1"/>
  <c r="BQ85" i="15"/>
  <c r="BQ148" i="15" s="1"/>
  <c r="BQ84" i="15"/>
  <c r="BQ147" i="15" s="1"/>
  <c r="BQ71" i="15"/>
  <c r="BQ134" i="15" s="1"/>
  <c r="BQ39" i="15"/>
  <c r="BQ105" i="15" s="1"/>
  <c r="BQ44" i="15"/>
  <c r="BQ107" i="15" s="1"/>
  <c r="BQ78" i="15"/>
  <c r="BQ141" i="15" s="1"/>
  <c r="BQ72" i="15"/>
  <c r="BQ135" i="15" s="1"/>
  <c r="BQ64" i="15"/>
  <c r="BQ127" i="15" s="1"/>
  <c r="BQ95" i="15"/>
  <c r="BQ158" i="15" s="1"/>
  <c r="BQ76" i="15"/>
  <c r="BQ139" i="15" s="1"/>
  <c r="BQ66" i="15"/>
  <c r="BQ129" i="15" s="1"/>
  <c r="BQ57" i="15"/>
  <c r="BQ120" i="15" s="1"/>
  <c r="BQ99" i="15"/>
  <c r="BQ61" i="15"/>
  <c r="BQ124" i="15" s="1"/>
  <c r="BQ55" i="15"/>
  <c r="BQ118" i="15" s="1"/>
  <c r="BQ89" i="15"/>
  <c r="BQ152" i="15" s="1"/>
  <c r="BQ65" i="15"/>
  <c r="BQ128" i="15" s="1"/>
  <c r="BQ102" i="15"/>
  <c r="BQ162" i="15" s="1"/>
  <c r="BQ60" i="15"/>
  <c r="BQ123" i="15" s="1"/>
  <c r="BQ49" i="15"/>
  <c r="BQ112" i="15" s="1"/>
  <c r="BQ101" i="15"/>
  <c r="BQ62" i="15"/>
  <c r="BQ125" i="15" s="1"/>
  <c r="BQ88" i="15"/>
  <c r="BQ151" i="15" s="1"/>
  <c r="BQ59" i="15"/>
  <c r="BQ122" i="15" s="1"/>
  <c r="BQ80" i="15"/>
  <c r="BQ143" i="15" s="1"/>
  <c r="BQ45" i="15"/>
  <c r="BQ108" i="15" s="1"/>
  <c r="BQ97" i="15"/>
  <c r="BQ160" i="15" s="1"/>
  <c r="BQ50" i="15"/>
  <c r="BQ113" i="15" s="1"/>
  <c r="BQ47" i="15"/>
  <c r="BQ110" i="15" s="1"/>
  <c r="BQ48" i="15"/>
  <c r="BQ111" i="15" s="1"/>
  <c r="BS38" i="15"/>
  <c r="CC73" i="8" a="1"/>
  <c r="CC86" i="8" a="1"/>
  <c r="CC72" i="8" a="1"/>
  <c r="CC64" i="8" a="1"/>
  <c r="CC94" i="8" a="1"/>
  <c r="CC75" i="8" a="1"/>
  <c r="CC45" i="8" a="1"/>
  <c r="CC56" i="8" a="1"/>
  <c r="CC124" i="8" a="1"/>
  <c r="CC103" i="8" a="1"/>
  <c r="CC130" i="8" a="1"/>
  <c r="CC127" i="8" a="1"/>
  <c r="CC79" i="8" a="1"/>
  <c r="CC100" i="8" a="1"/>
  <c r="CC128" i="8" a="1"/>
  <c r="CC47" i="8" a="1"/>
  <c r="CC78" i="8" a="1"/>
  <c r="CC109" i="8" a="1"/>
  <c r="BR53" i="15" a="1"/>
  <c r="BR56" i="15" a="1"/>
  <c r="BR87" i="15" a="1"/>
  <c r="BR79" i="15" a="1"/>
  <c r="BR43" i="15" a="1"/>
  <c r="BR55" i="15" a="1"/>
  <c r="BR101" i="15" a="1"/>
  <c r="BR63" i="15" a="1"/>
  <c r="BR59" i="15" a="1"/>
  <c r="BR102" i="15" a="1"/>
  <c r="BR95" i="15" a="1"/>
  <c r="CC74" i="8" a="1"/>
  <c r="CC95" i="8" a="1"/>
  <c r="CC125" i="8" a="1"/>
  <c r="CC123" i="8" a="1"/>
  <c r="CC62" i="8" a="1"/>
  <c r="CC55" i="8" a="1"/>
  <c r="CC82" i="8" a="1"/>
  <c r="CC84" i="8" a="1"/>
  <c r="CC44" i="8" a="1"/>
  <c r="CC104" i="8" a="1"/>
  <c r="CC89" i="8" a="1"/>
  <c r="CC87" i="8" a="1"/>
  <c r="CC69" i="8" a="1"/>
  <c r="CC99" i="8" a="1"/>
  <c r="CC48" i="8" a="1"/>
  <c r="CC107" i="8" a="1"/>
  <c r="CC129" i="8" a="1"/>
  <c r="CC49" i="8" a="1"/>
  <c r="BR80" i="15" a="1"/>
  <c r="BR74" i="15" a="1"/>
  <c r="BR47" i="15" a="1"/>
  <c r="BR50" i="15" a="1"/>
  <c r="BR72" i="15" a="1"/>
  <c r="BR66" i="15" a="1"/>
  <c r="BR71" i="15" a="1"/>
  <c r="BR77" i="15" a="1"/>
  <c r="BR89" i="15" a="1"/>
  <c r="BR51" i="15" a="1"/>
  <c r="BR91" i="15" a="1"/>
  <c r="BR73" i="15" a="1"/>
  <c r="BR46" i="15" a="1"/>
  <c r="BR75" i="15" a="1"/>
  <c r="BR85" i="15" a="1"/>
  <c r="BR70" i="15" a="1"/>
  <c r="BR69" i="15" a="1"/>
  <c r="BR96" i="15" a="1"/>
  <c r="BR78" i="15" a="1"/>
  <c r="CC126" i="8" a="1"/>
  <c r="CC66" i="8" a="1"/>
  <c r="CC122" i="8" a="1"/>
  <c r="CC43" i="8" a="1"/>
  <c r="CC42" i="8" a="1"/>
  <c r="CC54" i="8" a="1"/>
  <c r="CC63" i="8" a="1"/>
  <c r="CC93" i="8" a="1"/>
  <c r="CC105" i="8" a="1"/>
  <c r="CC58" i="8" a="1"/>
  <c r="CC68" i="8" a="1"/>
  <c r="CC88" i="8" a="1"/>
  <c r="CC108" i="8" a="1"/>
  <c r="CC77" i="8" a="1"/>
  <c r="CC60" i="8" a="1"/>
  <c r="CC57" i="8" a="1"/>
  <c r="CC70" i="8" a="1"/>
  <c r="BR98" i="15" a="1"/>
  <c r="BR60" i="15" a="1"/>
  <c r="BR39" i="15" a="1"/>
  <c r="BR83" i="15" a="1"/>
  <c r="BR68" i="15" a="1"/>
  <c r="BR52" i="15" a="1"/>
  <c r="BR97" i="15" a="1"/>
  <c r="BR90" i="15" a="1"/>
  <c r="BR82" i="15" a="1"/>
  <c r="BR49" i="15" a="1"/>
  <c r="BR86" i="15" a="1"/>
  <c r="BR48" i="15" a="1"/>
  <c r="CC85" i="8" a="1"/>
  <c r="CC41" i="8" a="1"/>
  <c r="CC76" i="8" a="1"/>
  <c r="CC65" i="8" a="1"/>
  <c r="CC53" i="8" a="1"/>
  <c r="CC96" i="8" a="1"/>
  <c r="CC92" i="8" a="1"/>
  <c r="CC83" i="8" a="1"/>
  <c r="CC52" i="8" a="1"/>
  <c r="CC106" i="8" a="1"/>
  <c r="CC67" i="8" a="1"/>
  <c r="CC110" i="8" a="1"/>
  <c r="CC46" i="8" a="1"/>
  <c r="CC90" i="8" a="1"/>
  <c r="CC98" i="8" a="1"/>
  <c r="CC59" i="8" a="1"/>
  <c r="CC97" i="8" a="1"/>
  <c r="CC80" i="8" a="1"/>
  <c r="BR58" i="15" a="1"/>
  <c r="BR76" i="15" a="1"/>
  <c r="BR81" i="15" a="1"/>
  <c r="BR100" i="15" a="1"/>
  <c r="BR92" i="15" a="1"/>
  <c r="BR62" i="15" a="1"/>
  <c r="BR94" i="15" a="1"/>
  <c r="BR67" i="15" a="1"/>
  <c r="BR99" i="15" a="1"/>
  <c r="BR88" i="15" a="1"/>
  <c r="BR44" i="15" a="1"/>
  <c r="BR84" i="15" a="1"/>
  <c r="BR93" i="15" a="1"/>
  <c r="BR57" i="15" a="1"/>
  <c r="BR45" i="15" a="1"/>
  <c r="BR54" i="15" a="1"/>
  <c r="BR64" i="15" a="1"/>
  <c r="BR65" i="15" a="1"/>
  <c r="BR61" i="15" a="1"/>
  <c r="CB119" i="8" l="1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BR50" i="15"/>
  <c r="BR113" i="15" s="1"/>
  <c r="BR48" i="15"/>
  <c r="BR111" i="15" s="1"/>
  <c r="BR79" i="15"/>
  <c r="BR142" i="15" s="1"/>
  <c r="BR85" i="15"/>
  <c r="BR148" i="15" s="1"/>
  <c r="BR69" i="15"/>
  <c r="BR132" i="15" s="1"/>
  <c r="BR67" i="15"/>
  <c r="BR130" i="15" s="1"/>
  <c r="BR100" i="15"/>
  <c r="BR61" i="15"/>
  <c r="BR124" i="15" s="1"/>
  <c r="BR91" i="15"/>
  <c r="BR154" i="15" s="1"/>
  <c r="BR90" i="15"/>
  <c r="BR153" i="15" s="1"/>
  <c r="BR83" i="15"/>
  <c r="BR146" i="15" s="1"/>
  <c r="BR45" i="15"/>
  <c r="BR108" i="15" s="1"/>
  <c r="BR102" i="15"/>
  <c r="BR162" i="15" s="1"/>
  <c r="BR71" i="15"/>
  <c r="BR134" i="15" s="1"/>
  <c r="BR47" i="15"/>
  <c r="BR110" i="15" s="1"/>
  <c r="BR78" i="15"/>
  <c r="BR141" i="15" s="1"/>
  <c r="BR44" i="15"/>
  <c r="BR107" i="15" s="1"/>
  <c r="BR101" i="15"/>
  <c r="BR87" i="15"/>
  <c r="BR150" i="15" s="1"/>
  <c r="BR75" i="15"/>
  <c r="BR138" i="15" s="1"/>
  <c r="BR49" i="15"/>
  <c r="BR112" i="15" s="1"/>
  <c r="BR94" i="15"/>
  <c r="BR157" i="15" s="1"/>
  <c r="BR81" i="15"/>
  <c r="BR144" i="15" s="1"/>
  <c r="BR65" i="15"/>
  <c r="BR128" i="15" s="1"/>
  <c r="BR51" i="15"/>
  <c r="BR114" i="15" s="1"/>
  <c r="BR97" i="15"/>
  <c r="BR160" i="15" s="1"/>
  <c r="BR39" i="15"/>
  <c r="BR105" i="15" s="1"/>
  <c r="BR57" i="15"/>
  <c r="BR120" i="15" s="1"/>
  <c r="BR54" i="15"/>
  <c r="BR117" i="15" s="1"/>
  <c r="BR66" i="15"/>
  <c r="BR129" i="15" s="1"/>
  <c r="BR74" i="15"/>
  <c r="BR137" i="15" s="1"/>
  <c r="BR96" i="15"/>
  <c r="BR159" i="15" s="1"/>
  <c r="BR88" i="15"/>
  <c r="BR151" i="15" s="1"/>
  <c r="BR55" i="15"/>
  <c r="BR118" i="15" s="1"/>
  <c r="BR56" i="15"/>
  <c r="BR119" i="15" s="1"/>
  <c r="BR46" i="15"/>
  <c r="BR109" i="15" s="1"/>
  <c r="BR70" i="15"/>
  <c r="BR133" i="15" s="1"/>
  <c r="BR62" i="15"/>
  <c r="BR125" i="15" s="1"/>
  <c r="BR76" i="15"/>
  <c r="BR139" i="15" s="1"/>
  <c r="BR95" i="15"/>
  <c r="BR158" i="15" s="1"/>
  <c r="BR89" i="15"/>
  <c r="BR152" i="15" s="1"/>
  <c r="BR52" i="15"/>
  <c r="BR115" i="15" s="1"/>
  <c r="BR60" i="15"/>
  <c r="BR123" i="15" s="1"/>
  <c r="BR93" i="15"/>
  <c r="BR156" i="15" s="1"/>
  <c r="BR59" i="15"/>
  <c r="BR122" i="15" s="1"/>
  <c r="BR72" i="15"/>
  <c r="BR135" i="15" s="1"/>
  <c r="BR80" i="15"/>
  <c r="BR143" i="15" s="1"/>
  <c r="BR86" i="15"/>
  <c r="BR149" i="15" s="1"/>
  <c r="BR99" i="15"/>
  <c r="BR43" i="15"/>
  <c r="BR106" i="15" s="1"/>
  <c r="BR53" i="15"/>
  <c r="BR116" i="15" s="1"/>
  <c r="BR73" i="15"/>
  <c r="BR136" i="15" s="1"/>
  <c r="BR82" i="15"/>
  <c r="BR145" i="15" s="1"/>
  <c r="BR92" i="15"/>
  <c r="BR155" i="15" s="1"/>
  <c r="BR58" i="15"/>
  <c r="BR121" i="15" s="1"/>
  <c r="BR64" i="15"/>
  <c r="BR127" i="15" s="1"/>
  <c r="BR77" i="15"/>
  <c r="BR140" i="15" s="1"/>
  <c r="BR68" i="15"/>
  <c r="BR131" i="15" s="1"/>
  <c r="BR98" i="15"/>
  <c r="BR161" i="15" s="1"/>
  <c r="BR84" i="15"/>
  <c r="BR147" i="15" s="1"/>
  <c r="BR63" i="15"/>
  <c r="BR126" i="15" s="1"/>
  <c r="BT38" i="15"/>
  <c r="CD125" i="8" a="1"/>
  <c r="CD62" i="8" a="1"/>
  <c r="CD52" i="8" a="1"/>
  <c r="CD94" i="8" a="1"/>
  <c r="CD55" i="8" a="1"/>
  <c r="CD41" i="8" a="1"/>
  <c r="CD53" i="8" a="1"/>
  <c r="CD73" i="8" a="1"/>
  <c r="CD82" i="8" a="1"/>
  <c r="CD104" i="8" a="1"/>
  <c r="CD68" i="8" a="1"/>
  <c r="CD130" i="8" a="1"/>
  <c r="CD88" i="8" a="1"/>
  <c r="CD99" i="8" a="1"/>
  <c r="CD47" i="8" a="1"/>
  <c r="CD98" i="8" a="1"/>
  <c r="CD80" i="8" a="1"/>
  <c r="CD49" i="8" a="1"/>
  <c r="BS91" i="15" a="1"/>
  <c r="BS88" i="15" a="1"/>
  <c r="BS64" i="15" a="1"/>
  <c r="BS54" i="15" a="1"/>
  <c r="BS94" i="15" a="1"/>
  <c r="BS49" i="15" a="1"/>
  <c r="BS48" i="15" a="1"/>
  <c r="BS74" i="15" a="1"/>
  <c r="BS73" i="15" a="1"/>
  <c r="BS102" i="15" a="1"/>
  <c r="CD86" i="8" a="1"/>
  <c r="CD45" i="8" a="1"/>
  <c r="CD85" i="8" a="1"/>
  <c r="CD83" i="8" a="1"/>
  <c r="CD65" i="8" a="1"/>
  <c r="CD74" i="8" a="1"/>
  <c r="CD75" i="8" a="1"/>
  <c r="CD123" i="8" a="1"/>
  <c r="CD105" i="8" a="1"/>
  <c r="CD46" i="8" a="1"/>
  <c r="CD67" i="8" a="1"/>
  <c r="CD100" i="8" a="1"/>
  <c r="CD90" i="8" a="1"/>
  <c r="CD77" i="8" a="1"/>
  <c r="CD97" i="8" a="1"/>
  <c r="CD128" i="8" a="1"/>
  <c r="CD129" i="8" a="1"/>
  <c r="BS96" i="15" a="1"/>
  <c r="BS76" i="15" a="1"/>
  <c r="BS99" i="15" a="1"/>
  <c r="BS61" i="15" a="1"/>
  <c r="BS78" i="15" a="1"/>
  <c r="BS89" i="15" a="1"/>
  <c r="BS72" i="15" a="1"/>
  <c r="BS75" i="15" a="1"/>
  <c r="BS90" i="15" a="1"/>
  <c r="BS81" i="15" a="1"/>
  <c r="BS92" i="15" a="1"/>
  <c r="BS98" i="15" a="1"/>
  <c r="BS68" i="15" a="1"/>
  <c r="BS79" i="15" a="1"/>
  <c r="BS77" i="15" a="1"/>
  <c r="BS46" i="15" a="1"/>
  <c r="BS39" i="15" a="1"/>
  <c r="BS63" i="15" a="1"/>
  <c r="BS95" i="15" a="1"/>
  <c r="BS83" i="15" a="1"/>
  <c r="BS67" i="15" a="1"/>
  <c r="CD63" i="8" a="1"/>
  <c r="CD64" i="8" a="1"/>
  <c r="CD43" i="8" a="1"/>
  <c r="CD54" i="8" a="1"/>
  <c r="CD122" i="8" a="1"/>
  <c r="CD93" i="8" a="1"/>
  <c r="CD44" i="8" a="1"/>
  <c r="CD76" i="8" a="1"/>
  <c r="CD72" i="8" a="1"/>
  <c r="CD106" i="8" a="1"/>
  <c r="CD79" i="8" a="1"/>
  <c r="CD127" i="8" a="1"/>
  <c r="CD87" i="8" a="1"/>
  <c r="CD89" i="8" a="1"/>
  <c r="CD59" i="8" a="1"/>
  <c r="CD78" i="8" a="1"/>
  <c r="CD48" i="8" a="1"/>
  <c r="CD60" i="8" a="1"/>
  <c r="BS101" i="15" a="1"/>
  <c r="BS100" i="15" a="1"/>
  <c r="BS71" i="15" a="1"/>
  <c r="BS85" i="15" a="1"/>
  <c r="BS70" i="15" a="1"/>
  <c r="BS80" i="15" a="1"/>
  <c r="BS47" i="15" a="1"/>
  <c r="BS58" i="15" a="1"/>
  <c r="BS69" i="15" a="1"/>
  <c r="BS45" i="15" a="1"/>
  <c r="CD126" i="8" a="1"/>
  <c r="CD42" i="8" a="1"/>
  <c r="CD95" i="8" a="1"/>
  <c r="CD84" i="8" a="1"/>
  <c r="CD96" i="8" a="1"/>
  <c r="CD66" i="8" a="1"/>
  <c r="CD56" i="8" a="1"/>
  <c r="CD92" i="8" a="1"/>
  <c r="CD124" i="8" a="1"/>
  <c r="CD103" i="8" a="1"/>
  <c r="CD108" i="8" a="1"/>
  <c r="CD69" i="8" a="1"/>
  <c r="CD58" i="8" a="1"/>
  <c r="CD110" i="8" a="1"/>
  <c r="CD107" i="8" a="1"/>
  <c r="CD57" i="8" a="1"/>
  <c r="CD70" i="8" a="1"/>
  <c r="CD109" i="8" a="1"/>
  <c r="BS44" i="15" a="1"/>
  <c r="BS52" i="15" a="1"/>
  <c r="BS55" i="15" a="1"/>
  <c r="BS87" i="15" a="1"/>
  <c r="BS53" i="15" a="1"/>
  <c r="BS65" i="15" a="1"/>
  <c r="BS43" i="15" a="1"/>
  <c r="BS59" i="15" a="1"/>
  <c r="BS84" i="15" a="1"/>
  <c r="BS97" i="15" a="1"/>
  <c r="BS93" i="15" a="1"/>
  <c r="BS60" i="15" a="1"/>
  <c r="BS66" i="15" a="1"/>
  <c r="BS50" i="15" a="1"/>
  <c r="BS57" i="15" a="1"/>
  <c r="BS62" i="15" a="1"/>
  <c r="BS86" i="15" a="1"/>
  <c r="BS56" i="15" a="1"/>
  <c r="BS51" i="15" a="1"/>
  <c r="BS82" i="15" a="1"/>
  <c r="CC113" i="8" l="1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BS93" i="15"/>
  <c r="BS156" i="15" s="1"/>
  <c r="BS43" i="15"/>
  <c r="BS106" i="15" s="1"/>
  <c r="BS46" i="15"/>
  <c r="BS109" i="15" s="1"/>
  <c r="BS57" i="15"/>
  <c r="BS120" i="15" s="1"/>
  <c r="BS69" i="15"/>
  <c r="BS132" i="15" s="1"/>
  <c r="BS56" i="15"/>
  <c r="BS119" i="15" s="1"/>
  <c r="BS82" i="15"/>
  <c r="BS145" i="15" s="1"/>
  <c r="BS67" i="15"/>
  <c r="BS130" i="15" s="1"/>
  <c r="BS92" i="15"/>
  <c r="BS155" i="15" s="1"/>
  <c r="BS47" i="15"/>
  <c r="BS110" i="15" s="1"/>
  <c r="BS61" i="15"/>
  <c r="BS124" i="15" s="1"/>
  <c r="BS77" i="15"/>
  <c r="BS140" i="15" s="1"/>
  <c r="BS74" i="15"/>
  <c r="BS137" i="15" s="1"/>
  <c r="BS72" i="15"/>
  <c r="BS135" i="15" s="1"/>
  <c r="BS64" i="15"/>
  <c r="BS127" i="15" s="1"/>
  <c r="BS102" i="15"/>
  <c r="BS162" i="15" s="1"/>
  <c r="BS97" i="15"/>
  <c r="BS160" i="15" s="1"/>
  <c r="BS49" i="15"/>
  <c r="BS112" i="15" s="1"/>
  <c r="BS55" i="15"/>
  <c r="BS118" i="15" s="1"/>
  <c r="BS50" i="15"/>
  <c r="BS113" i="15" s="1"/>
  <c r="BS63" i="15"/>
  <c r="BS126" i="15" s="1"/>
  <c r="BS65" i="15"/>
  <c r="BS128" i="15" s="1"/>
  <c r="BS71" i="15"/>
  <c r="BS134" i="15" s="1"/>
  <c r="BS45" i="15"/>
  <c r="BS108" i="15" s="1"/>
  <c r="BS81" i="15"/>
  <c r="BS144" i="15" s="1"/>
  <c r="BS80" i="15"/>
  <c r="BS143" i="15" s="1"/>
  <c r="BS99" i="15"/>
  <c r="BS79" i="15"/>
  <c r="BS142" i="15" s="1"/>
  <c r="BS86" i="15"/>
  <c r="BS149" i="15" s="1"/>
  <c r="BS89" i="15"/>
  <c r="BS152" i="15" s="1"/>
  <c r="BS88" i="15"/>
  <c r="BS151" i="15" s="1"/>
  <c r="BS51" i="15"/>
  <c r="BS114" i="15" s="1"/>
  <c r="BS84" i="15"/>
  <c r="BS147" i="15" s="1"/>
  <c r="BS94" i="15"/>
  <c r="BS157" i="15" s="1"/>
  <c r="BS52" i="15"/>
  <c r="BS115" i="15" s="1"/>
  <c r="BS66" i="15"/>
  <c r="BS129" i="15" s="1"/>
  <c r="BS58" i="15"/>
  <c r="BS121" i="15" s="1"/>
  <c r="BS53" i="15"/>
  <c r="BS116" i="15" s="1"/>
  <c r="BS100" i="15"/>
  <c r="BS83" i="15"/>
  <c r="BS146" i="15" s="1"/>
  <c r="BS90" i="15"/>
  <c r="BS153" i="15" s="1"/>
  <c r="BS70" i="15"/>
  <c r="BS133" i="15" s="1"/>
  <c r="BS76" i="15"/>
  <c r="BS139" i="15" s="1"/>
  <c r="BS68" i="15"/>
  <c r="BS131" i="15" s="1"/>
  <c r="BS62" i="15"/>
  <c r="BS125" i="15" s="1"/>
  <c r="BS78" i="15"/>
  <c r="BS141" i="15" s="1"/>
  <c r="BS91" i="15"/>
  <c r="BS154" i="15" s="1"/>
  <c r="BS73" i="15"/>
  <c r="BS136" i="15" s="1"/>
  <c r="BS59" i="15"/>
  <c r="BS122" i="15" s="1"/>
  <c r="BS54" i="15"/>
  <c r="BS117" i="15" s="1"/>
  <c r="BS44" i="15"/>
  <c r="BS107" i="15" s="1"/>
  <c r="BS60" i="15"/>
  <c r="BS123" i="15" s="1"/>
  <c r="BS39" i="15"/>
  <c r="BS105" i="15" s="1"/>
  <c r="BS87" i="15"/>
  <c r="BS150" i="15" s="1"/>
  <c r="BS101" i="15"/>
  <c r="BS95" i="15"/>
  <c r="BS158" i="15" s="1"/>
  <c r="BS75" i="15"/>
  <c r="BS138" i="15" s="1"/>
  <c r="BS85" i="15"/>
  <c r="BS148" i="15" s="1"/>
  <c r="BS96" i="15"/>
  <c r="BS159" i="15" s="1"/>
  <c r="BS98" i="15"/>
  <c r="BS161" i="15" s="1"/>
  <c r="BS48" i="15"/>
  <c r="BS111" i="15" s="1"/>
  <c r="BU38" i="15"/>
  <c r="CE41" i="8" a="1"/>
  <c r="CE92" i="8" a="1"/>
  <c r="CE83" i="8" a="1"/>
  <c r="CE52" i="8" a="1"/>
  <c r="CE93" i="8" a="1"/>
  <c r="CE63" i="8" a="1"/>
  <c r="CE55" i="8" a="1"/>
  <c r="CE54" i="8" a="1"/>
  <c r="CE124" i="8" a="1"/>
  <c r="CE106" i="8" a="1"/>
  <c r="CE79" i="8" a="1"/>
  <c r="CE68" i="8" a="1"/>
  <c r="CE88" i="8" a="1"/>
  <c r="CE89" i="8" a="1"/>
  <c r="CE77" i="8" a="1"/>
  <c r="CE70" i="8" a="1"/>
  <c r="CE48" i="8" a="1"/>
  <c r="CE60" i="8" a="1"/>
  <c r="BT43" i="15" a="1"/>
  <c r="BT78" i="15" a="1"/>
  <c r="BT92" i="15" a="1"/>
  <c r="BT46" i="15" a="1"/>
  <c r="BT98" i="15" a="1"/>
  <c r="BT80" i="15" a="1"/>
  <c r="BT81" i="15" a="1"/>
  <c r="BT64" i="15" a="1"/>
  <c r="BT68" i="15" a="1"/>
  <c r="BT90" i="15" a="1"/>
  <c r="BT47" i="15" a="1"/>
  <c r="BT49" i="15" a="1"/>
  <c r="BT84" i="15" a="1"/>
  <c r="BT75" i="15" a="1"/>
  <c r="BT56" i="15" a="1"/>
  <c r="BT85" i="15" a="1"/>
  <c r="BT55" i="15" a="1"/>
  <c r="CE72" i="8" a="1"/>
  <c r="CE84" i="8" a="1"/>
  <c r="CE126" i="8" a="1"/>
  <c r="CE94" i="8" a="1"/>
  <c r="CE82" i="8" a="1"/>
  <c r="CE76" i="8" a="1"/>
  <c r="CE62" i="8" a="1"/>
  <c r="CE86" i="8" a="1"/>
  <c r="CE65" i="8" a="1"/>
  <c r="CE103" i="8" a="1"/>
  <c r="CE127" i="8" a="1"/>
  <c r="CE110" i="8" a="1"/>
  <c r="CE90" i="8" a="1"/>
  <c r="CE108" i="8" a="1"/>
  <c r="CE98" i="8" a="1"/>
  <c r="CE80" i="8" a="1"/>
  <c r="CE78" i="8" a="1"/>
  <c r="CE109" i="8" a="1"/>
  <c r="BT53" i="15" a="1"/>
  <c r="BT57" i="15" a="1"/>
  <c r="BT62" i="15" a="1"/>
  <c r="BT63" i="15" a="1"/>
  <c r="BT58" i="15" a="1"/>
  <c r="BT77" i="15" a="1"/>
  <c r="BT76" i="15" a="1"/>
  <c r="BT50" i="15" a="1"/>
  <c r="BT71" i="15" a="1"/>
  <c r="BT79" i="15" a="1"/>
  <c r="BT51" i="15" a="1"/>
  <c r="BT61" i="15" a="1"/>
  <c r="BT72" i="15" a="1"/>
  <c r="BT88" i="15" a="1"/>
  <c r="BT96" i="15" a="1"/>
  <c r="BT99" i="15" a="1"/>
  <c r="BT101" i="15" a="1"/>
  <c r="CE53" i="8" a="1"/>
  <c r="CE75" i="8" a="1"/>
  <c r="CE45" i="8" a="1"/>
  <c r="CE42" i="8" a="1"/>
  <c r="CE66" i="8" a="1"/>
  <c r="CE123" i="8" a="1"/>
  <c r="CE73" i="8" a="1"/>
  <c r="CE95" i="8" a="1"/>
  <c r="CE96" i="8" a="1"/>
  <c r="CE104" i="8" a="1"/>
  <c r="CE87" i="8" a="1"/>
  <c r="CE58" i="8" a="1"/>
  <c r="CE130" i="8" a="1"/>
  <c r="CE47" i="8" a="1"/>
  <c r="CE59" i="8" a="1"/>
  <c r="CE128" i="8" a="1"/>
  <c r="CE107" i="8" a="1"/>
  <c r="CE49" i="8" a="1"/>
  <c r="BT97" i="15" a="1"/>
  <c r="BT67" i="15" a="1"/>
  <c r="BT100" i="15" a="1"/>
  <c r="BT93" i="15" a="1"/>
  <c r="BT102" i="15" a="1"/>
  <c r="BT39" i="15" a="1"/>
  <c r="BT89" i="15" a="1"/>
  <c r="BT48" i="15" a="1"/>
  <c r="BT83" i="15" a="1"/>
  <c r="BT73" i="15" a="1"/>
  <c r="BT59" i="15" a="1"/>
  <c r="BT86" i="15" a="1"/>
  <c r="BT82" i="15" a="1"/>
  <c r="CE64" i="8" a="1"/>
  <c r="CE44" i="8" a="1"/>
  <c r="CE85" i="8" a="1"/>
  <c r="CE74" i="8" a="1"/>
  <c r="CE56" i="8" a="1"/>
  <c r="CE43" i="8" a="1"/>
  <c r="CE122" i="8" a="1"/>
  <c r="CE125" i="8" a="1"/>
  <c r="CE105" i="8" a="1"/>
  <c r="CE46" i="8" a="1"/>
  <c r="CE69" i="8" a="1"/>
  <c r="CE67" i="8" a="1"/>
  <c r="CE100" i="8" a="1"/>
  <c r="CE99" i="8" a="1"/>
  <c r="CE129" i="8" a="1"/>
  <c r="CE97" i="8" a="1"/>
  <c r="CE57" i="8" a="1"/>
  <c r="BT69" i="15" a="1"/>
  <c r="BT44" i="15" a="1"/>
  <c r="BT95" i="15" a="1"/>
  <c r="BT91" i="15" a="1"/>
  <c r="BT52" i="15" a="1"/>
  <c r="BT94" i="15" a="1"/>
  <c r="BT54" i="15" a="1"/>
  <c r="BT60" i="15" a="1"/>
  <c r="BT65" i="15" a="1"/>
  <c r="BT70" i="15" a="1"/>
  <c r="BT66" i="15" a="1"/>
  <c r="BT74" i="15" a="1"/>
  <c r="BT45" i="15" a="1"/>
  <c r="BT87" i="15" a="1"/>
  <c r="CD120" i="8" l="1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BT60" i="15"/>
  <c r="BT123" i="15" s="1"/>
  <c r="BT89" i="15"/>
  <c r="BT152" i="15" s="1"/>
  <c r="BT101" i="15"/>
  <c r="BT96" i="15"/>
  <c r="BT159" i="15" s="1"/>
  <c r="BT59" i="15"/>
  <c r="BT122" i="15" s="1"/>
  <c r="BT76" i="15"/>
  <c r="BT139" i="15" s="1"/>
  <c r="BT91" i="15"/>
  <c r="BT154" i="15" s="1"/>
  <c r="BT56" i="15"/>
  <c r="BT119" i="15" s="1"/>
  <c r="BT51" i="15"/>
  <c r="BT114" i="15" s="1"/>
  <c r="BT81" i="15"/>
  <c r="BT144" i="15" s="1"/>
  <c r="BT82" i="15"/>
  <c r="BT145" i="15" s="1"/>
  <c r="BT55" i="15"/>
  <c r="BT118" i="15" s="1"/>
  <c r="BT47" i="15"/>
  <c r="BT110" i="15" s="1"/>
  <c r="BT54" i="15"/>
  <c r="BT117" i="15" s="1"/>
  <c r="BT100" i="15"/>
  <c r="BT85" i="15"/>
  <c r="BT148" i="15" s="1"/>
  <c r="BT66" i="15"/>
  <c r="BT129" i="15" s="1"/>
  <c r="BT39" i="15"/>
  <c r="BT105" i="15" s="1"/>
  <c r="BT62" i="15"/>
  <c r="BT125" i="15" s="1"/>
  <c r="BT88" i="15"/>
  <c r="BT151" i="15" s="1"/>
  <c r="BT73" i="15"/>
  <c r="BT136" i="15" s="1"/>
  <c r="BT77" i="15"/>
  <c r="BT140" i="15" s="1"/>
  <c r="BT92" i="15"/>
  <c r="BT155" i="15" s="1"/>
  <c r="BT75" i="15"/>
  <c r="BT138" i="15" s="1"/>
  <c r="BT79" i="15"/>
  <c r="BT142" i="15" s="1"/>
  <c r="BT80" i="15"/>
  <c r="BT143" i="15" s="1"/>
  <c r="BT95" i="15"/>
  <c r="BT158" i="15" s="1"/>
  <c r="BT87" i="15"/>
  <c r="BT150" i="15" s="1"/>
  <c r="BT90" i="15"/>
  <c r="BT153" i="15" s="1"/>
  <c r="BT94" i="15"/>
  <c r="BT157" i="15" s="1"/>
  <c r="BT67" i="15"/>
  <c r="BT130" i="15" s="1"/>
  <c r="BT99" i="15"/>
  <c r="BT70" i="15"/>
  <c r="BT133" i="15" s="1"/>
  <c r="BT102" i="15"/>
  <c r="BT162" i="15" s="1"/>
  <c r="BT57" i="15"/>
  <c r="BT120" i="15" s="1"/>
  <c r="BT72" i="15"/>
  <c r="BT135" i="15" s="1"/>
  <c r="BT83" i="15"/>
  <c r="BT146" i="15" s="1"/>
  <c r="BT58" i="15"/>
  <c r="BT121" i="15" s="1"/>
  <c r="BT78" i="15"/>
  <c r="BT141" i="15" s="1"/>
  <c r="BT84" i="15"/>
  <c r="BT147" i="15" s="1"/>
  <c r="BT71" i="15"/>
  <c r="BT134" i="15" s="1"/>
  <c r="BT98" i="15"/>
  <c r="BT161" i="15" s="1"/>
  <c r="BT44" i="15"/>
  <c r="BT107" i="15" s="1"/>
  <c r="BT45" i="15"/>
  <c r="BT108" i="15" s="1"/>
  <c r="BT68" i="15"/>
  <c r="BT131" i="15" s="1"/>
  <c r="BT52" i="15"/>
  <c r="BT115" i="15" s="1"/>
  <c r="BT97" i="15"/>
  <c r="BT160" i="15" s="1"/>
  <c r="BT86" i="15"/>
  <c r="BT149" i="15" s="1"/>
  <c r="BT65" i="15"/>
  <c r="BT128" i="15" s="1"/>
  <c r="BT93" i="15"/>
  <c r="BT156" i="15" s="1"/>
  <c r="BT53" i="15"/>
  <c r="BT116" i="15" s="1"/>
  <c r="BT61" i="15"/>
  <c r="BT124" i="15" s="1"/>
  <c r="BT48" i="15"/>
  <c r="BT111" i="15" s="1"/>
  <c r="BT63" i="15"/>
  <c r="BT126" i="15" s="1"/>
  <c r="BT43" i="15"/>
  <c r="BT106" i="15" s="1"/>
  <c r="BT49" i="15"/>
  <c r="BT112" i="15" s="1"/>
  <c r="BT50" i="15"/>
  <c r="BT113" i="15" s="1"/>
  <c r="BT46" i="15"/>
  <c r="BT109" i="15" s="1"/>
  <c r="BT69" i="15"/>
  <c r="BT132" i="15" s="1"/>
  <c r="BT74" i="15"/>
  <c r="BT137" i="15" s="1"/>
  <c r="BT64" i="15"/>
  <c r="BT127" i="15" s="1"/>
  <c r="BV38" i="15"/>
  <c r="CF56" i="8" a="1"/>
  <c r="CF94" i="8" a="1"/>
  <c r="CF84" i="8" a="1"/>
  <c r="CF52" i="8" a="1"/>
  <c r="CF66" i="8" a="1"/>
  <c r="CF86" i="8" a="1"/>
  <c r="CF83" i="8" a="1"/>
  <c r="CF72" i="8" a="1"/>
  <c r="CF123" i="8" a="1"/>
  <c r="CF106" i="8" a="1"/>
  <c r="CF79" i="8" a="1"/>
  <c r="CF130" i="8" a="1"/>
  <c r="CF69" i="8" a="1"/>
  <c r="CF88" i="8" a="1"/>
  <c r="CF77" i="8" a="1"/>
  <c r="CF129" i="8" a="1"/>
  <c r="CF48" i="8" a="1"/>
  <c r="CF49" i="8" a="1"/>
  <c r="BU64" i="15" a="1"/>
  <c r="BU44" i="15" a="1"/>
  <c r="BU88" i="15" a="1"/>
  <c r="BU80" i="15" a="1"/>
  <c r="BU75" i="15" a="1"/>
  <c r="BU55" i="15" a="1"/>
  <c r="BU66" i="15" a="1"/>
  <c r="BU83" i="15" a="1"/>
  <c r="BU63" i="15" a="1"/>
  <c r="BU92" i="15" a="1"/>
  <c r="BU62" i="15" a="1"/>
  <c r="BU73" i="15" a="1"/>
  <c r="BU69" i="15" a="1"/>
  <c r="BU93" i="15" a="1"/>
  <c r="BU50" i="15" a="1"/>
  <c r="BU85" i="15" a="1"/>
  <c r="CF95" i="8" a="1"/>
  <c r="CF73" i="8" a="1"/>
  <c r="CF125" i="8" a="1"/>
  <c r="CF55" i="8" a="1"/>
  <c r="CF64" i="8" a="1"/>
  <c r="CF76" i="8" a="1"/>
  <c r="CF93" i="8" a="1"/>
  <c r="CF96" i="8" a="1"/>
  <c r="CF53" i="8" a="1"/>
  <c r="CF103" i="8" a="1"/>
  <c r="CF108" i="8" a="1"/>
  <c r="CF89" i="8" a="1"/>
  <c r="CF127" i="8" a="1"/>
  <c r="CF100" i="8" a="1"/>
  <c r="CF47" i="8" a="1"/>
  <c r="CF107" i="8" a="1"/>
  <c r="CF78" i="8" a="1"/>
  <c r="CF80" i="8" a="1"/>
  <c r="BU45" i="15" a="1"/>
  <c r="BU43" i="15" a="1"/>
  <c r="BU98" i="15" a="1"/>
  <c r="BU76" i="15" a="1"/>
  <c r="BU61" i="15" a="1"/>
  <c r="BU67" i="15" a="1"/>
  <c r="BU100" i="15" a="1"/>
  <c r="BU78" i="15" a="1"/>
  <c r="BU81" i="15" a="1"/>
  <c r="BU97" i="15" a="1"/>
  <c r="BU102" i="15" a="1"/>
  <c r="BU71" i="15" a="1"/>
  <c r="BU58" i="15" a="1"/>
  <c r="BU99" i="15" a="1"/>
  <c r="BU52" i="15" a="1"/>
  <c r="BU82" i="15" a="1"/>
  <c r="CF54" i="8" a="1"/>
  <c r="CF65" i="8" a="1"/>
  <c r="CF44" i="8" a="1"/>
  <c r="CF92" i="8" a="1"/>
  <c r="CF41" i="8" a="1"/>
  <c r="CF62" i="8" a="1"/>
  <c r="CF126" i="8" a="1"/>
  <c r="CF82" i="8" a="1"/>
  <c r="CF45" i="8" a="1"/>
  <c r="CF104" i="8" a="1"/>
  <c r="CF90" i="8" a="1"/>
  <c r="CF68" i="8" a="1"/>
  <c r="CF87" i="8" a="1"/>
  <c r="CF59" i="8" a="1"/>
  <c r="CF98" i="8" a="1"/>
  <c r="CF99" i="8" a="1"/>
  <c r="CF70" i="8" a="1"/>
  <c r="CF109" i="8" a="1"/>
  <c r="BU84" i="15" a="1"/>
  <c r="BU87" i="15" a="1"/>
  <c r="BU70" i="15" a="1"/>
  <c r="BU48" i="15" a="1"/>
  <c r="BU72" i="15" a="1"/>
  <c r="BU96" i="15" a="1"/>
  <c r="BU74" i="15" a="1"/>
  <c r="BU95" i="15" a="1"/>
  <c r="BU86" i="15" a="1"/>
  <c r="BU101" i="15" a="1"/>
  <c r="BU68" i="15" a="1"/>
  <c r="BU56" i="15" a="1"/>
  <c r="BU51" i="15" a="1"/>
  <c r="BU79" i="15" a="1"/>
  <c r="CF75" i="8" a="1"/>
  <c r="CF42" i="8" a="1"/>
  <c r="CF122" i="8" a="1"/>
  <c r="CF124" i="8" a="1"/>
  <c r="CF85" i="8" a="1"/>
  <c r="CF43" i="8" a="1"/>
  <c r="CF63" i="8" a="1"/>
  <c r="CF74" i="8" a="1"/>
  <c r="CF105" i="8" a="1"/>
  <c r="CF46" i="8" a="1"/>
  <c r="CF67" i="8" a="1"/>
  <c r="CF110" i="8" a="1"/>
  <c r="CF58" i="8" a="1"/>
  <c r="CF60" i="8" a="1"/>
  <c r="CF97" i="8" a="1"/>
  <c r="CF128" i="8" a="1"/>
  <c r="CF57" i="8" a="1"/>
  <c r="BU89" i="15" a="1"/>
  <c r="BU53" i="15" a="1"/>
  <c r="BU77" i="15" a="1"/>
  <c r="BU60" i="15" a="1"/>
  <c r="BU59" i="15" a="1"/>
  <c r="BU94" i="15" a="1"/>
  <c r="BU47" i="15" a="1"/>
  <c r="BU39" i="15" a="1"/>
  <c r="BU46" i="15" a="1"/>
  <c r="BU90" i="15" a="1"/>
  <c r="BU57" i="15" a="1"/>
  <c r="BU54" i="15" a="1"/>
  <c r="BU65" i="15" a="1"/>
  <c r="BU49" i="15" a="1"/>
  <c r="BU91" i="15" a="1"/>
  <c r="CE119" i="8" l="1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BU73" i="15"/>
  <c r="BU136" i="15" s="1"/>
  <c r="BU83" i="15"/>
  <c r="BU146" i="15" s="1"/>
  <c r="BU76" i="15"/>
  <c r="BU139" i="15" s="1"/>
  <c r="BU85" i="15"/>
  <c r="BU148" i="15" s="1"/>
  <c r="BU54" i="15"/>
  <c r="BU117" i="15" s="1"/>
  <c r="BU39" i="15"/>
  <c r="BU105" i="15" s="1"/>
  <c r="BU80" i="15"/>
  <c r="BU143" i="15" s="1"/>
  <c r="BU82" i="15"/>
  <c r="BU145" i="15" s="1"/>
  <c r="BU68" i="15"/>
  <c r="BU131" i="15" s="1"/>
  <c r="BU74" i="15"/>
  <c r="BU137" i="15" s="1"/>
  <c r="BU60" i="15"/>
  <c r="BU123" i="15" s="1"/>
  <c r="BU52" i="15"/>
  <c r="BU115" i="15" s="1"/>
  <c r="BU102" i="15"/>
  <c r="BU162" i="15" s="1"/>
  <c r="BU100" i="15"/>
  <c r="BU70" i="15"/>
  <c r="BU133" i="15" s="1"/>
  <c r="BU50" i="15"/>
  <c r="BU113" i="15" s="1"/>
  <c r="BU62" i="15"/>
  <c r="BU125" i="15" s="1"/>
  <c r="BU66" i="15"/>
  <c r="BU129" i="15" s="1"/>
  <c r="BU98" i="15"/>
  <c r="BU161" i="15" s="1"/>
  <c r="BU91" i="15"/>
  <c r="BU154" i="15" s="1"/>
  <c r="BU57" i="15"/>
  <c r="BU120" i="15" s="1"/>
  <c r="BU47" i="15"/>
  <c r="BU110" i="15" s="1"/>
  <c r="BU88" i="15"/>
  <c r="BU151" i="15" s="1"/>
  <c r="BU79" i="15"/>
  <c r="BU142" i="15" s="1"/>
  <c r="BU101" i="15"/>
  <c r="BU96" i="15"/>
  <c r="BU159" i="15" s="1"/>
  <c r="BU77" i="15"/>
  <c r="BU140" i="15" s="1"/>
  <c r="BU99" i="15"/>
  <c r="BU97" i="15"/>
  <c r="BU160" i="15" s="1"/>
  <c r="BU67" i="15"/>
  <c r="BU130" i="15" s="1"/>
  <c r="BU87" i="15"/>
  <c r="BU150" i="15" s="1"/>
  <c r="BU93" i="15"/>
  <c r="BU156" i="15" s="1"/>
  <c r="BU92" i="15"/>
  <c r="BU155" i="15" s="1"/>
  <c r="BU55" i="15"/>
  <c r="BU118" i="15" s="1"/>
  <c r="BU43" i="15"/>
  <c r="BU106" i="15" s="1"/>
  <c r="BU49" i="15"/>
  <c r="BU112" i="15" s="1"/>
  <c r="BU90" i="15"/>
  <c r="BU153" i="15" s="1"/>
  <c r="BU94" i="15"/>
  <c r="BU157" i="15" s="1"/>
  <c r="BU44" i="15"/>
  <c r="BU107" i="15" s="1"/>
  <c r="BU51" i="15"/>
  <c r="BU114" i="15" s="1"/>
  <c r="BU86" i="15"/>
  <c r="BU149" i="15" s="1"/>
  <c r="BU72" i="15"/>
  <c r="BU135" i="15" s="1"/>
  <c r="BU53" i="15"/>
  <c r="BU116" i="15" s="1"/>
  <c r="BU58" i="15"/>
  <c r="BU121" i="15" s="1"/>
  <c r="BU81" i="15"/>
  <c r="BU144" i="15" s="1"/>
  <c r="BU61" i="15"/>
  <c r="BU124" i="15" s="1"/>
  <c r="BU84" i="15"/>
  <c r="BU147" i="15" s="1"/>
  <c r="BU69" i="15"/>
  <c r="BU132" i="15" s="1"/>
  <c r="BU63" i="15"/>
  <c r="BU126" i="15" s="1"/>
  <c r="BU75" i="15"/>
  <c r="BU138" i="15" s="1"/>
  <c r="BU45" i="15"/>
  <c r="BU108" i="15" s="1"/>
  <c r="BU65" i="15"/>
  <c r="BU128" i="15" s="1"/>
  <c r="BU46" i="15"/>
  <c r="BU109" i="15" s="1"/>
  <c r="BU59" i="15"/>
  <c r="BU122" i="15" s="1"/>
  <c r="BU64" i="15"/>
  <c r="BU127" i="15" s="1"/>
  <c r="BU56" i="15"/>
  <c r="BU119" i="15" s="1"/>
  <c r="BU95" i="15"/>
  <c r="BU158" i="15" s="1"/>
  <c r="BU48" i="15"/>
  <c r="BU111" i="15" s="1"/>
  <c r="BU89" i="15"/>
  <c r="BU152" i="15" s="1"/>
  <c r="BU71" i="15"/>
  <c r="BU134" i="15" s="1"/>
  <c r="BU78" i="15"/>
  <c r="BU141" i="15" s="1"/>
  <c r="BW38" i="15"/>
  <c r="CG65" i="8" a="1"/>
  <c r="CG66" i="8" a="1"/>
  <c r="CG96" i="8" a="1"/>
  <c r="CG124" i="8" a="1"/>
  <c r="CG86" i="8" a="1"/>
  <c r="CG55" i="8" a="1"/>
  <c r="CG44" i="8" a="1"/>
  <c r="CG75" i="8" a="1"/>
  <c r="CG123" i="8" a="1"/>
  <c r="CG106" i="8" a="1"/>
  <c r="CG88" i="8" a="1"/>
  <c r="CG110" i="8" a="1"/>
  <c r="CG79" i="8" a="1"/>
  <c r="CG99" i="8" a="1"/>
  <c r="CG128" i="8" a="1"/>
  <c r="CG47" i="8" a="1"/>
  <c r="CG57" i="8" a="1"/>
  <c r="CG109" i="8" a="1"/>
  <c r="BV46" i="15" a="1"/>
  <c r="BV70" i="15" a="1"/>
  <c r="BV64" i="15" a="1"/>
  <c r="BV86" i="15" a="1"/>
  <c r="BV91" i="15" a="1"/>
  <c r="BV79" i="15" a="1"/>
  <c r="BV93" i="15" a="1"/>
  <c r="BV80" i="15" a="1"/>
  <c r="BV75" i="15" a="1"/>
  <c r="BV44" i="15" a="1"/>
  <c r="BV55" i="15" a="1"/>
  <c r="BV94" i="15" a="1"/>
  <c r="BV65" i="15" a="1"/>
  <c r="BV45" i="15" a="1"/>
  <c r="BV61" i="15" a="1"/>
  <c r="CG82" i="8" a="1"/>
  <c r="CG64" i="8" a="1"/>
  <c r="CG93" i="8" a="1"/>
  <c r="CG74" i="8" a="1"/>
  <c r="CG76" i="8" a="1"/>
  <c r="CG42" i="8" a="1"/>
  <c r="CG54" i="8" a="1"/>
  <c r="CG43" i="8" a="1"/>
  <c r="CG83" i="8" a="1"/>
  <c r="CG103" i="8" a="1"/>
  <c r="CG108" i="8" a="1"/>
  <c r="CG77" i="8" a="1"/>
  <c r="CG69" i="8" a="1"/>
  <c r="CG127" i="8" a="1"/>
  <c r="CG97" i="8" a="1"/>
  <c r="CG98" i="8" a="1"/>
  <c r="CG48" i="8" a="1"/>
  <c r="CG49" i="8" a="1"/>
  <c r="BV69" i="15" a="1"/>
  <c r="BV76" i="15" a="1"/>
  <c r="BV63" i="15" a="1"/>
  <c r="BV58" i="15" a="1"/>
  <c r="BV43" i="15" a="1"/>
  <c r="BV57" i="15" a="1"/>
  <c r="BV51" i="15" a="1"/>
  <c r="BV48" i="15" a="1"/>
  <c r="BV72" i="15" a="1"/>
  <c r="BV97" i="15" a="1"/>
  <c r="BV73" i="15" a="1"/>
  <c r="BV59" i="15" a="1"/>
  <c r="BV60" i="15" a="1"/>
  <c r="BV85" i="15" a="1"/>
  <c r="BV49" i="15" a="1"/>
  <c r="CG92" i="8" a="1"/>
  <c r="CG45" i="8" a="1"/>
  <c r="CG73" i="8" a="1"/>
  <c r="CG94" i="8" a="1"/>
  <c r="CG126" i="8" a="1"/>
  <c r="CG62" i="8" a="1"/>
  <c r="CG56" i="8" a="1"/>
  <c r="CG122" i="8" a="1"/>
  <c r="CG53" i="8" a="1"/>
  <c r="CG104" i="8" a="1"/>
  <c r="CG90" i="8" a="1"/>
  <c r="CG87" i="8" a="1"/>
  <c r="CG130" i="8" a="1"/>
  <c r="CG58" i="8" a="1"/>
  <c r="CG129" i="8" a="1"/>
  <c r="CG78" i="8" a="1"/>
  <c r="CG80" i="8" a="1"/>
  <c r="CG60" i="8" a="1"/>
  <c r="BV50" i="15" a="1"/>
  <c r="BV78" i="15" a="1"/>
  <c r="BV54" i="15" a="1"/>
  <c r="BV101" i="15" a="1"/>
  <c r="BV56" i="15" a="1"/>
  <c r="BV84" i="15" a="1"/>
  <c r="BV53" i="15" a="1"/>
  <c r="BV89" i="15" a="1"/>
  <c r="BV92" i="15" a="1"/>
  <c r="BV81" i="15" a="1"/>
  <c r="BV52" i="15" a="1"/>
  <c r="BV99" i="15" a="1"/>
  <c r="BV96" i="15" a="1"/>
  <c r="BV74" i="15" a="1"/>
  <c r="BV47" i="15" a="1"/>
  <c r="CG85" i="8" a="1"/>
  <c r="CG41" i="8" a="1"/>
  <c r="CG52" i="8" a="1"/>
  <c r="CG63" i="8" a="1"/>
  <c r="CG125" i="8" a="1"/>
  <c r="CG72" i="8" a="1"/>
  <c r="CG84" i="8" a="1"/>
  <c r="CG95" i="8" a="1"/>
  <c r="CG105" i="8" a="1"/>
  <c r="CG46" i="8" a="1"/>
  <c r="CG89" i="8" a="1"/>
  <c r="CG100" i="8" a="1"/>
  <c r="CG68" i="8" a="1"/>
  <c r="CG67" i="8" a="1"/>
  <c r="CG70" i="8" a="1"/>
  <c r="CG107" i="8" a="1"/>
  <c r="CG59" i="8" a="1"/>
  <c r="BV88" i="15" a="1"/>
  <c r="BV100" i="15" a="1"/>
  <c r="BV71" i="15" a="1"/>
  <c r="BV62" i="15" a="1"/>
  <c r="BV102" i="15" a="1"/>
  <c r="BV68" i="15" a="1"/>
  <c r="BV39" i="15" a="1"/>
  <c r="BV90" i="15" a="1"/>
  <c r="BV77" i="15" a="1"/>
  <c r="BV98" i="15" a="1"/>
  <c r="BV66" i="15" a="1"/>
  <c r="BV95" i="15" a="1"/>
  <c r="BV87" i="15" a="1"/>
  <c r="BV82" i="15" a="1"/>
  <c r="BV83" i="15" a="1"/>
  <c r="BV67" i="15" a="1"/>
  <c r="CF117" i="8" l="1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BV66" i="15"/>
  <c r="BV129" i="15" s="1"/>
  <c r="BV73" i="15"/>
  <c r="BV136" i="15" s="1"/>
  <c r="BV47" i="15"/>
  <c r="BV110" i="15" s="1"/>
  <c r="BV61" i="15"/>
  <c r="BV124" i="15" s="1"/>
  <c r="BV81" i="15"/>
  <c r="BV144" i="15" s="1"/>
  <c r="BV67" i="15"/>
  <c r="BV130" i="15" s="1"/>
  <c r="BV55" i="15"/>
  <c r="BV118" i="15" s="1"/>
  <c r="BV83" i="15"/>
  <c r="BV146" i="15" s="1"/>
  <c r="BV97" i="15"/>
  <c r="BV160" i="15" s="1"/>
  <c r="BV39" i="15"/>
  <c r="BV105" i="15" s="1"/>
  <c r="BV54" i="15"/>
  <c r="BV117" i="15" s="1"/>
  <c r="BV74" i="15"/>
  <c r="BV137" i="15" s="1"/>
  <c r="BV44" i="15"/>
  <c r="BV107" i="15" s="1"/>
  <c r="BV84" i="15"/>
  <c r="BV147" i="15" s="1"/>
  <c r="BV49" i="15"/>
  <c r="BV112" i="15" s="1"/>
  <c r="BV85" i="15"/>
  <c r="BV148" i="15" s="1"/>
  <c r="BV98" i="15"/>
  <c r="BV161" i="15" s="1"/>
  <c r="BV57" i="15"/>
  <c r="BV120" i="15" s="1"/>
  <c r="BV63" i="15"/>
  <c r="BV126" i="15" s="1"/>
  <c r="BV45" i="15"/>
  <c r="BV108" i="15" s="1"/>
  <c r="BV92" i="15"/>
  <c r="BV155" i="15" s="1"/>
  <c r="BV79" i="15"/>
  <c r="BV142" i="15" s="1"/>
  <c r="BV64" i="15"/>
  <c r="BV127" i="15" s="1"/>
  <c r="BV82" i="15"/>
  <c r="BV145" i="15" s="1"/>
  <c r="BV72" i="15"/>
  <c r="BV135" i="15" s="1"/>
  <c r="BV68" i="15"/>
  <c r="BV131" i="15" s="1"/>
  <c r="BV71" i="15"/>
  <c r="BV134" i="15" s="1"/>
  <c r="BV96" i="15"/>
  <c r="BV159" i="15" s="1"/>
  <c r="BV75" i="15"/>
  <c r="BV138" i="15" s="1"/>
  <c r="BV56" i="15"/>
  <c r="BV119" i="15" s="1"/>
  <c r="BV78" i="15"/>
  <c r="BV141" i="15" s="1"/>
  <c r="BV60" i="15"/>
  <c r="BV123" i="15" s="1"/>
  <c r="BV77" i="15"/>
  <c r="BV140" i="15" s="1"/>
  <c r="BV43" i="15"/>
  <c r="BV106" i="15" s="1"/>
  <c r="BV76" i="15"/>
  <c r="BV139" i="15" s="1"/>
  <c r="BV65" i="15"/>
  <c r="BV128" i="15" s="1"/>
  <c r="BV89" i="15"/>
  <c r="BV152" i="15" s="1"/>
  <c r="BV91" i="15"/>
  <c r="BV154" i="15" s="1"/>
  <c r="BV70" i="15"/>
  <c r="BV133" i="15" s="1"/>
  <c r="BV87" i="15"/>
  <c r="BV150" i="15" s="1"/>
  <c r="BV48" i="15"/>
  <c r="BV111" i="15" s="1"/>
  <c r="BV102" i="15"/>
  <c r="BV162" i="15" s="1"/>
  <c r="BV100" i="15"/>
  <c r="BV99" i="15"/>
  <c r="BV80" i="15"/>
  <c r="BV143" i="15" s="1"/>
  <c r="BV101" i="15"/>
  <c r="BV50" i="15"/>
  <c r="BV113" i="15" s="1"/>
  <c r="BV59" i="15"/>
  <c r="BV122" i="15" s="1"/>
  <c r="BV90" i="15"/>
  <c r="BV153" i="15" s="1"/>
  <c r="BV58" i="15"/>
  <c r="BV121" i="15" s="1"/>
  <c r="BV69" i="15"/>
  <c r="BV132" i="15" s="1"/>
  <c r="BV94" i="15"/>
  <c r="BV157" i="15" s="1"/>
  <c r="BV53" i="15"/>
  <c r="BV116" i="15" s="1"/>
  <c r="BV86" i="15"/>
  <c r="BV149" i="15" s="1"/>
  <c r="BV46" i="15"/>
  <c r="BV109" i="15" s="1"/>
  <c r="BV95" i="15"/>
  <c r="BV158" i="15" s="1"/>
  <c r="BV51" i="15"/>
  <c r="BV114" i="15" s="1"/>
  <c r="BV62" i="15"/>
  <c r="BV125" i="15" s="1"/>
  <c r="BV88" i="15"/>
  <c r="BV151" i="15" s="1"/>
  <c r="BV52" i="15"/>
  <c r="BV115" i="15" s="1"/>
  <c r="BV93" i="15"/>
  <c r="BV156" i="15" s="1"/>
  <c r="BX38" i="15"/>
  <c r="CH53" i="8" a="1"/>
  <c r="CH96" i="8" a="1"/>
  <c r="CH126" i="8" a="1"/>
  <c r="CH86" i="8" a="1"/>
  <c r="CH62" i="8" a="1"/>
  <c r="CH65" i="8" a="1"/>
  <c r="CH73" i="8" a="1"/>
  <c r="CH82" i="8" a="1"/>
  <c r="CH76" i="8" a="1"/>
  <c r="CH103" i="8" a="1"/>
  <c r="CH58" i="8" a="1"/>
  <c r="CH127" i="8" a="1"/>
  <c r="CH69" i="8" a="1"/>
  <c r="CH110" i="8" a="1"/>
  <c r="CH59" i="8" a="1"/>
  <c r="CH98" i="8" a="1"/>
  <c r="CH128" i="8" a="1"/>
  <c r="CH109" i="8" a="1"/>
  <c r="BW47" i="15" a="1"/>
  <c r="BW54" i="15" a="1"/>
  <c r="BW71" i="15" a="1"/>
  <c r="BW56" i="15" a="1"/>
  <c r="BW59" i="15" a="1"/>
  <c r="BW82" i="15" a="1"/>
  <c r="BW43" i="15" a="1"/>
  <c r="BW79" i="15" a="1"/>
  <c r="BW51" i="15" a="1"/>
  <c r="BW86" i="15" a="1"/>
  <c r="BW49" i="15" a="1"/>
  <c r="BW66" i="15" a="1"/>
  <c r="CH125" i="8" a="1"/>
  <c r="CH95" i="8" a="1"/>
  <c r="CH56" i="8" a="1"/>
  <c r="CH66" i="8" a="1"/>
  <c r="CH41" i="8" a="1"/>
  <c r="CH64" i="8" a="1"/>
  <c r="CH84" i="8" a="1"/>
  <c r="CH63" i="8" a="1"/>
  <c r="CH54" i="8" a="1"/>
  <c r="CH104" i="8" a="1"/>
  <c r="CH88" i="8" a="1"/>
  <c r="CH87" i="8" a="1"/>
  <c r="CH67" i="8" a="1"/>
  <c r="CH47" i="8" a="1"/>
  <c r="CH129" i="8" a="1"/>
  <c r="CH48" i="8" a="1"/>
  <c r="CH107" i="8" a="1"/>
  <c r="CH49" i="8" a="1"/>
  <c r="BW64" i="15" a="1"/>
  <c r="BW52" i="15" a="1"/>
  <c r="BW69" i="15" a="1"/>
  <c r="BW91" i="15" a="1"/>
  <c r="BW76" i="15" a="1"/>
  <c r="BW74" i="15" a="1"/>
  <c r="BW75" i="15" a="1"/>
  <c r="BW58" i="15" a="1"/>
  <c r="BW83" i="15" a="1"/>
  <c r="BW45" i="15" a="1"/>
  <c r="BW102" i="15" a="1"/>
  <c r="BW80" i="15" a="1"/>
  <c r="BW50" i="15" a="1"/>
  <c r="BW53" i="15" a="1"/>
  <c r="BW57" i="15" a="1"/>
  <c r="BW60" i="15" a="1"/>
  <c r="BW70" i="15" a="1"/>
  <c r="BW48" i="15" a="1"/>
  <c r="CH94" i="8" a="1"/>
  <c r="CH75" i="8" a="1"/>
  <c r="CH55" i="8" a="1"/>
  <c r="CH72" i="8" a="1"/>
  <c r="CH42" i="8" a="1"/>
  <c r="CH92" i="8" a="1"/>
  <c r="CH124" i="8" a="1"/>
  <c r="CH85" i="8" a="1"/>
  <c r="CH105" i="8" a="1"/>
  <c r="CH46" i="8" a="1"/>
  <c r="CH130" i="8" a="1"/>
  <c r="CH108" i="8" a="1"/>
  <c r="CH68" i="8" a="1"/>
  <c r="CH97" i="8" a="1"/>
  <c r="CH70" i="8" a="1"/>
  <c r="CH99" i="8" a="1"/>
  <c r="CH80" i="8" a="1"/>
  <c r="BW62" i="15" a="1"/>
  <c r="BW67" i="15" a="1"/>
  <c r="BW72" i="15" a="1"/>
  <c r="BW46" i="15" a="1"/>
  <c r="BW63" i="15" a="1"/>
  <c r="BW93" i="15" a="1"/>
  <c r="BW92" i="15" a="1"/>
  <c r="BW73" i="15" a="1"/>
  <c r="BW78" i="15" a="1"/>
  <c r="BW98" i="15" a="1"/>
  <c r="BW61" i="15" a="1"/>
  <c r="BW88" i="15" a="1"/>
  <c r="BW81" i="15" a="1"/>
  <c r="CH93" i="8" a="1"/>
  <c r="CH43" i="8" a="1"/>
  <c r="CH45" i="8" a="1"/>
  <c r="CH83" i="8" a="1"/>
  <c r="CH52" i="8" a="1"/>
  <c r="CH74" i="8" a="1"/>
  <c r="CH123" i="8" a="1"/>
  <c r="CH44" i="8" a="1"/>
  <c r="CH122" i="8" a="1"/>
  <c r="CH106" i="8" a="1"/>
  <c r="CH79" i="8" a="1"/>
  <c r="CH100" i="8" a="1"/>
  <c r="CH89" i="8" a="1"/>
  <c r="CH90" i="8" a="1"/>
  <c r="CH78" i="8" a="1"/>
  <c r="CH57" i="8" a="1"/>
  <c r="CH77" i="8" a="1"/>
  <c r="CH60" i="8" a="1"/>
  <c r="BW97" i="15" a="1"/>
  <c r="BW55" i="15" a="1"/>
  <c r="BW68" i="15" a="1"/>
  <c r="BW84" i="15" a="1"/>
  <c r="BW89" i="15" a="1"/>
  <c r="BW77" i="15" a="1"/>
  <c r="BW95" i="15" a="1"/>
  <c r="BW39" i="15" a="1"/>
  <c r="BW65" i="15" a="1"/>
  <c r="BW85" i="15" a="1"/>
  <c r="BW90" i="15" a="1"/>
  <c r="BW44" i="15" a="1"/>
  <c r="BW87" i="15" a="1"/>
  <c r="BW94" i="15" a="1"/>
  <c r="BW100" i="15" a="1"/>
  <c r="BW99" i="15" a="1"/>
  <c r="BW96" i="15" a="1"/>
  <c r="BW101" i="15" a="1"/>
  <c r="CG119" i="8" l="1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BW99" i="15"/>
  <c r="BW43" i="15"/>
  <c r="BW106" i="15" s="1"/>
  <c r="BW102" i="15"/>
  <c r="BW162" i="15" s="1"/>
  <c r="BW101" i="15"/>
  <c r="BW90" i="15"/>
  <c r="BW153" i="15" s="1"/>
  <c r="BW81" i="15"/>
  <c r="BW144" i="15" s="1"/>
  <c r="BW46" i="15"/>
  <c r="BW109" i="15" s="1"/>
  <c r="BW100" i="15"/>
  <c r="BW60" i="15"/>
  <c r="BW123" i="15" s="1"/>
  <c r="BW95" i="15"/>
  <c r="BW158" i="15" s="1"/>
  <c r="BW57" i="15"/>
  <c r="BW120" i="15" s="1"/>
  <c r="BW48" i="15"/>
  <c r="BW111" i="15" s="1"/>
  <c r="BW45" i="15"/>
  <c r="BW108" i="15" s="1"/>
  <c r="BW92" i="15"/>
  <c r="BW155" i="15" s="1"/>
  <c r="BW69" i="15"/>
  <c r="BW132" i="15" s="1"/>
  <c r="BW53" i="15"/>
  <c r="BW116" i="15" s="1"/>
  <c r="BW86" i="15"/>
  <c r="BW149" i="15" s="1"/>
  <c r="BW74" i="15"/>
  <c r="BW137" i="15" s="1"/>
  <c r="BW71" i="15"/>
  <c r="BW134" i="15" s="1"/>
  <c r="BW66" i="15"/>
  <c r="BW129" i="15" s="1"/>
  <c r="BW85" i="15"/>
  <c r="BW148" i="15" s="1"/>
  <c r="BW82" i="15"/>
  <c r="BW145" i="15" s="1"/>
  <c r="BW68" i="15"/>
  <c r="BW131" i="15" s="1"/>
  <c r="BW94" i="15"/>
  <c r="BW157" i="15" s="1"/>
  <c r="BW98" i="15"/>
  <c r="BW161" i="15" s="1"/>
  <c r="BW77" i="15"/>
  <c r="BW140" i="15" s="1"/>
  <c r="BW72" i="15"/>
  <c r="BW135" i="15" s="1"/>
  <c r="BW88" i="15"/>
  <c r="BW151" i="15" s="1"/>
  <c r="BW83" i="15"/>
  <c r="BW146" i="15" s="1"/>
  <c r="BW93" i="15"/>
  <c r="BW156" i="15" s="1"/>
  <c r="BW52" i="15"/>
  <c r="BW115" i="15" s="1"/>
  <c r="BW50" i="15"/>
  <c r="BW113" i="15" s="1"/>
  <c r="BW51" i="15"/>
  <c r="BW114" i="15" s="1"/>
  <c r="BW76" i="15"/>
  <c r="BW139" i="15" s="1"/>
  <c r="BW54" i="15"/>
  <c r="BW117" i="15" s="1"/>
  <c r="BW96" i="15"/>
  <c r="BW159" i="15" s="1"/>
  <c r="BW65" i="15"/>
  <c r="BW128" i="15" s="1"/>
  <c r="BW59" i="15"/>
  <c r="BW122" i="15" s="1"/>
  <c r="BW55" i="15"/>
  <c r="BW118" i="15" s="1"/>
  <c r="BW87" i="15"/>
  <c r="BW150" i="15" s="1"/>
  <c r="BW78" i="15"/>
  <c r="BW141" i="15" s="1"/>
  <c r="BW89" i="15"/>
  <c r="BW152" i="15" s="1"/>
  <c r="BW67" i="15"/>
  <c r="BW130" i="15" s="1"/>
  <c r="BW70" i="15"/>
  <c r="BW133" i="15" s="1"/>
  <c r="BW58" i="15"/>
  <c r="BW121" i="15" s="1"/>
  <c r="BW63" i="15"/>
  <c r="BW126" i="15" s="1"/>
  <c r="BW64" i="15"/>
  <c r="BW127" i="15" s="1"/>
  <c r="BW80" i="15"/>
  <c r="BW143" i="15" s="1"/>
  <c r="BW79" i="15"/>
  <c r="BW142" i="15" s="1"/>
  <c r="BW91" i="15"/>
  <c r="BW154" i="15" s="1"/>
  <c r="BW47" i="15"/>
  <c r="BW110" i="15" s="1"/>
  <c r="BW49" i="15"/>
  <c r="BW112" i="15" s="1"/>
  <c r="BW39" i="15"/>
  <c r="BW105" i="15" s="1"/>
  <c r="BW56" i="15"/>
  <c r="BW119" i="15" s="1"/>
  <c r="BW97" i="15"/>
  <c r="BW160" i="15" s="1"/>
  <c r="BW44" i="15"/>
  <c r="BW107" i="15" s="1"/>
  <c r="BW73" i="15"/>
  <c r="BW136" i="15" s="1"/>
  <c r="BW84" i="15"/>
  <c r="BW147" i="15" s="1"/>
  <c r="BW62" i="15"/>
  <c r="BW125" i="15" s="1"/>
  <c r="BW61" i="15"/>
  <c r="BW124" i="15" s="1"/>
  <c r="BW75" i="15"/>
  <c r="BW138" i="15" s="1"/>
  <c r="BY38" i="15"/>
  <c r="CI44" i="8" a="1"/>
  <c r="CI56" i="8" a="1"/>
  <c r="CI86" i="8" a="1"/>
  <c r="CI52" i="8" a="1"/>
  <c r="CI74" i="8" a="1"/>
  <c r="CI72" i="8" a="1"/>
  <c r="CI85" i="8" a="1"/>
  <c r="CI95" i="8" a="1"/>
  <c r="CI62" i="8" a="1"/>
  <c r="CI106" i="8" a="1"/>
  <c r="CI127" i="8" a="1"/>
  <c r="CI69" i="8" a="1"/>
  <c r="CI100" i="8" a="1"/>
  <c r="CI89" i="8" a="1"/>
  <c r="CI77" i="8" a="1"/>
  <c r="CI47" i="8" a="1"/>
  <c r="CI129" i="8" a="1"/>
  <c r="CI57" i="8" a="1"/>
  <c r="BX67" i="15" a="1"/>
  <c r="BX89" i="15" a="1"/>
  <c r="BX82" i="15" a="1"/>
  <c r="BX65" i="15" a="1"/>
  <c r="BX85" i="15" a="1"/>
  <c r="BX84" i="15" a="1"/>
  <c r="BX44" i="15" a="1"/>
  <c r="BX66" i="15" a="1"/>
  <c r="BX101" i="15" a="1"/>
  <c r="BX61" i="15" a="1"/>
  <c r="BX58" i="15" a="1"/>
  <c r="CI42" i="8" a="1"/>
  <c r="CI76" i="8" a="1"/>
  <c r="CI94" i="8" a="1"/>
  <c r="CI65" i="8" a="1"/>
  <c r="CI126" i="8" a="1"/>
  <c r="CI45" i="8" a="1"/>
  <c r="CI75" i="8" a="1"/>
  <c r="CI73" i="8" a="1"/>
  <c r="CI92" i="8" a="1"/>
  <c r="CI103" i="8" a="1"/>
  <c r="CI108" i="8" a="1"/>
  <c r="CI90" i="8" a="1"/>
  <c r="CI87" i="8" a="1"/>
  <c r="CI68" i="8" a="1"/>
  <c r="CI128" i="8" a="1"/>
  <c r="CI97" i="8" a="1"/>
  <c r="CI107" i="8" a="1"/>
  <c r="CI80" i="8" a="1"/>
  <c r="BX46" i="15" a="1"/>
  <c r="BX53" i="15" a="1"/>
  <c r="BX59" i="15" a="1"/>
  <c r="BX50" i="15" a="1"/>
  <c r="BX75" i="15" a="1"/>
  <c r="BX91" i="15" a="1"/>
  <c r="BX47" i="15" a="1"/>
  <c r="BX72" i="15" a="1"/>
  <c r="BX70" i="15" a="1"/>
  <c r="BX92" i="15" a="1"/>
  <c r="BX99" i="15" a="1"/>
  <c r="BX79" i="15" a="1"/>
  <c r="BX68" i="15" a="1"/>
  <c r="BX100" i="15" a="1"/>
  <c r="BX76" i="15" a="1"/>
  <c r="BX77" i="15" a="1"/>
  <c r="BX81" i="15" a="1"/>
  <c r="BX54" i="15" a="1"/>
  <c r="BX88" i="15" a="1"/>
  <c r="BX93" i="15" a="1"/>
  <c r="CI63" i="8" a="1"/>
  <c r="CI93" i="8" a="1"/>
  <c r="CI55" i="8" a="1"/>
  <c r="CI53" i="8" a="1"/>
  <c r="CI64" i="8" a="1"/>
  <c r="CI43" i="8" a="1"/>
  <c r="CI54" i="8" a="1"/>
  <c r="CI84" i="8" a="1"/>
  <c r="CI123" i="8" a="1"/>
  <c r="CI104" i="8" a="1"/>
  <c r="CI130" i="8" a="1"/>
  <c r="CI79" i="8" a="1"/>
  <c r="CI58" i="8" a="1"/>
  <c r="CI110" i="8" a="1"/>
  <c r="CI59" i="8" a="1"/>
  <c r="CI48" i="8" a="1"/>
  <c r="CI109" i="8" a="1"/>
  <c r="CI60" i="8" a="1"/>
  <c r="BX63" i="15" a="1"/>
  <c r="BX57" i="15" a="1"/>
  <c r="BX43" i="15" a="1"/>
  <c r="BX102" i="15" a="1"/>
  <c r="BX87" i="15" a="1"/>
  <c r="BX86" i="15" a="1"/>
  <c r="BX71" i="15" a="1"/>
  <c r="BX39" i="15" a="1"/>
  <c r="BX49" i="15" a="1"/>
  <c r="BX96" i="15" a="1"/>
  <c r="CI82" i="8" a="1"/>
  <c r="CI125" i="8" a="1"/>
  <c r="CI96" i="8" a="1"/>
  <c r="CI124" i="8" a="1"/>
  <c r="CI66" i="8" a="1"/>
  <c r="CI41" i="8" a="1"/>
  <c r="CI83" i="8" a="1"/>
  <c r="CI122" i="8" a="1"/>
  <c r="CI105" i="8" a="1"/>
  <c r="CI46" i="8" a="1"/>
  <c r="CI99" i="8" a="1"/>
  <c r="CI67" i="8" a="1"/>
  <c r="CI88" i="8" a="1"/>
  <c r="CI98" i="8" a="1"/>
  <c r="CI70" i="8" a="1"/>
  <c r="CI78" i="8" a="1"/>
  <c r="CI49" i="8" a="1"/>
  <c r="BX74" i="15" a="1"/>
  <c r="BX83" i="15" a="1"/>
  <c r="BX95" i="15" a="1"/>
  <c r="BX55" i="15" a="1"/>
  <c r="BX64" i="15" a="1"/>
  <c r="BX90" i="15" a="1"/>
  <c r="BX48" i="15" a="1"/>
  <c r="BX62" i="15" a="1"/>
  <c r="BX69" i="15" a="1"/>
  <c r="BX60" i="15" a="1"/>
  <c r="BX97" i="15" a="1"/>
  <c r="BX78" i="15" a="1"/>
  <c r="BX45" i="15" a="1"/>
  <c r="BX51" i="15" a="1"/>
  <c r="BX98" i="15" a="1"/>
  <c r="BX80" i="15" a="1"/>
  <c r="BX52" i="15" a="1"/>
  <c r="BX94" i="15" a="1"/>
  <c r="BX56" i="15" a="1"/>
  <c r="BX73" i="15" a="1"/>
  <c r="CH118" i="8" l="1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BX102" i="15"/>
  <c r="BX162" i="15" s="1"/>
  <c r="BX80" i="15"/>
  <c r="BX143" i="15" s="1"/>
  <c r="BX50" i="15"/>
  <c r="BX113" i="15" s="1"/>
  <c r="BX93" i="15"/>
  <c r="BX156" i="15" s="1"/>
  <c r="BX78" i="15"/>
  <c r="BX141" i="15" s="1"/>
  <c r="BX52" i="15"/>
  <c r="BX115" i="15" s="1"/>
  <c r="BX65" i="15"/>
  <c r="BX128" i="15" s="1"/>
  <c r="BX76" i="15"/>
  <c r="BX139" i="15" s="1"/>
  <c r="BX54" i="15"/>
  <c r="BX117" i="15" s="1"/>
  <c r="BX62" i="15"/>
  <c r="BX125" i="15" s="1"/>
  <c r="BX55" i="15"/>
  <c r="BX118" i="15" s="1"/>
  <c r="BX58" i="15"/>
  <c r="BX121" i="15" s="1"/>
  <c r="BX99" i="15"/>
  <c r="BX77" i="15"/>
  <c r="BX140" i="15" s="1"/>
  <c r="BX43" i="15"/>
  <c r="BX106" i="15" s="1"/>
  <c r="BX98" i="15"/>
  <c r="BX161" i="15" s="1"/>
  <c r="BX101" i="15"/>
  <c r="BX47" i="15"/>
  <c r="BX110" i="15" s="1"/>
  <c r="BX59" i="15"/>
  <c r="BX122" i="15" s="1"/>
  <c r="BX96" i="15"/>
  <c r="BX159" i="15" s="1"/>
  <c r="BX97" i="15"/>
  <c r="BX160" i="15" s="1"/>
  <c r="BX44" i="15"/>
  <c r="BX107" i="15" s="1"/>
  <c r="BX82" i="15"/>
  <c r="BX145" i="15" s="1"/>
  <c r="BX100" i="15"/>
  <c r="BX39" i="15"/>
  <c r="BX105" i="15" s="1"/>
  <c r="BX48" i="15"/>
  <c r="BX111" i="15" s="1"/>
  <c r="BX95" i="15"/>
  <c r="BX158" i="15" s="1"/>
  <c r="BX73" i="15"/>
  <c r="BX136" i="15" s="1"/>
  <c r="BX92" i="15"/>
  <c r="BX155" i="15" s="1"/>
  <c r="BX86" i="15"/>
  <c r="BX149" i="15" s="1"/>
  <c r="BX57" i="15"/>
  <c r="BX120" i="15" s="1"/>
  <c r="BX51" i="15"/>
  <c r="BX114" i="15" s="1"/>
  <c r="BX94" i="15"/>
  <c r="BX157" i="15" s="1"/>
  <c r="BX91" i="15"/>
  <c r="BX154" i="15" s="1"/>
  <c r="BX53" i="15"/>
  <c r="BX116" i="15" s="1"/>
  <c r="BX88" i="15"/>
  <c r="BX151" i="15" s="1"/>
  <c r="BX60" i="15"/>
  <c r="BX123" i="15" s="1"/>
  <c r="BX84" i="15"/>
  <c r="BX147" i="15" s="1"/>
  <c r="BX89" i="15"/>
  <c r="BX152" i="15" s="1"/>
  <c r="BX68" i="15"/>
  <c r="BX131" i="15" s="1"/>
  <c r="BX81" i="15"/>
  <c r="BX144" i="15" s="1"/>
  <c r="BX90" i="15"/>
  <c r="BX153" i="15" s="1"/>
  <c r="BX83" i="15"/>
  <c r="BX146" i="15" s="1"/>
  <c r="BX61" i="15"/>
  <c r="BX124" i="15" s="1"/>
  <c r="BX70" i="15"/>
  <c r="BX133" i="15" s="1"/>
  <c r="BX87" i="15"/>
  <c r="BX150" i="15" s="1"/>
  <c r="BX63" i="15"/>
  <c r="BX126" i="15" s="1"/>
  <c r="BX45" i="15"/>
  <c r="BX108" i="15" s="1"/>
  <c r="BX66" i="15"/>
  <c r="BX129" i="15" s="1"/>
  <c r="BX75" i="15"/>
  <c r="BX138" i="15" s="1"/>
  <c r="BX46" i="15"/>
  <c r="BX109" i="15" s="1"/>
  <c r="BX49" i="15"/>
  <c r="BX112" i="15" s="1"/>
  <c r="BX69" i="15"/>
  <c r="BX132" i="15" s="1"/>
  <c r="BX85" i="15"/>
  <c r="BX148" i="15" s="1"/>
  <c r="BX67" i="15"/>
  <c r="BX130" i="15" s="1"/>
  <c r="BX79" i="15"/>
  <c r="BX142" i="15" s="1"/>
  <c r="BX71" i="15"/>
  <c r="BX134" i="15" s="1"/>
  <c r="BX64" i="15"/>
  <c r="BX127" i="15" s="1"/>
  <c r="BX74" i="15"/>
  <c r="BX137" i="15" s="1"/>
  <c r="BX56" i="15"/>
  <c r="BX119" i="15" s="1"/>
  <c r="BX72" i="15"/>
  <c r="BX135" i="15" s="1"/>
  <c r="BZ38" i="15"/>
  <c r="CJ86" i="8" a="1"/>
  <c r="CJ93" i="8" a="1"/>
  <c r="CJ124" i="8" a="1"/>
  <c r="CJ41" i="8" a="1"/>
  <c r="CJ43" i="8" a="1"/>
  <c r="CJ96" i="8" a="1"/>
  <c r="CJ42" i="8" a="1"/>
  <c r="CJ85" i="8" a="1"/>
  <c r="CJ92" i="8" a="1"/>
  <c r="CJ106" i="8" a="1"/>
  <c r="CJ88" i="8" a="1"/>
  <c r="CJ130" i="8" a="1"/>
  <c r="CJ90" i="8" a="1"/>
  <c r="CJ100" i="8" a="1"/>
  <c r="CJ48" i="8" a="1"/>
  <c r="CJ60" i="8" a="1"/>
  <c r="CJ128" i="8" a="1"/>
  <c r="CJ80" i="8" a="1"/>
  <c r="BY56" i="15" a="1"/>
  <c r="BY50" i="15" a="1"/>
  <c r="BY43" i="15" a="1"/>
  <c r="BY97" i="15" a="1"/>
  <c r="BY98" i="15" a="1"/>
  <c r="BY76" i="15" a="1"/>
  <c r="BY66" i="15" a="1"/>
  <c r="BY79" i="15" a="1"/>
  <c r="BY51" i="15" a="1"/>
  <c r="BY90" i="15" a="1"/>
  <c r="BY86" i="15" a="1"/>
  <c r="CJ62" i="8" a="1"/>
  <c r="CJ83" i="8" a="1"/>
  <c r="CJ66" i="8" a="1"/>
  <c r="CJ53" i="8" a="1"/>
  <c r="CJ55" i="8" a="1"/>
  <c r="CJ72" i="8" a="1"/>
  <c r="CJ84" i="8" a="1"/>
  <c r="CJ125" i="8" a="1"/>
  <c r="CJ75" i="8" a="1"/>
  <c r="CJ103" i="8" a="1"/>
  <c r="CJ79" i="8" a="1"/>
  <c r="CJ110" i="8" a="1"/>
  <c r="CJ67" i="8" a="1"/>
  <c r="CJ89" i="8" a="1"/>
  <c r="CJ78" i="8" a="1"/>
  <c r="CJ77" i="8" a="1"/>
  <c r="CJ59" i="8" a="1"/>
  <c r="CJ57" i="8" a="1"/>
  <c r="BY49" i="15" a="1"/>
  <c r="BY67" i="15" a="1"/>
  <c r="BY100" i="15" a="1"/>
  <c r="BY88" i="15" a="1"/>
  <c r="BY80" i="15" a="1"/>
  <c r="BY99" i="15" a="1"/>
  <c r="BY89" i="15" a="1"/>
  <c r="BY62" i="15" a="1"/>
  <c r="BY68" i="15" a="1"/>
  <c r="BY53" i="15" a="1"/>
  <c r="BY87" i="15" a="1"/>
  <c r="BY39" i="15" a="1"/>
  <c r="BY102" i="15" a="1"/>
  <c r="BY61" i="15" a="1"/>
  <c r="BY57" i="15" a="1"/>
  <c r="BY55" i="15" a="1"/>
  <c r="BY59" i="15" a="1"/>
  <c r="BY91" i="15" a="1"/>
  <c r="BY83" i="15" a="1"/>
  <c r="CJ126" i="8" a="1"/>
  <c r="CJ64" i="8" a="1"/>
  <c r="CJ56" i="8" a="1"/>
  <c r="CJ73" i="8" a="1"/>
  <c r="CJ63" i="8" a="1"/>
  <c r="CJ44" i="8" a="1"/>
  <c r="CJ123" i="8" a="1"/>
  <c r="CJ52" i="8" a="1"/>
  <c r="CJ74" i="8" a="1"/>
  <c r="CJ104" i="8" a="1"/>
  <c r="CJ58" i="8" a="1"/>
  <c r="CJ87" i="8" a="1"/>
  <c r="CJ68" i="8" a="1"/>
  <c r="CJ47" i="8" a="1"/>
  <c r="CJ97" i="8" a="1"/>
  <c r="CJ70" i="8" a="1"/>
  <c r="CJ129" i="8" a="1"/>
  <c r="CJ109" i="8" a="1"/>
  <c r="BY48" i="15" a="1"/>
  <c r="BY47" i="15" a="1"/>
  <c r="BY72" i="15" a="1"/>
  <c r="BY54" i="15" a="1"/>
  <c r="BY74" i="15" a="1"/>
  <c r="BY94" i="15" a="1"/>
  <c r="BY92" i="15" a="1"/>
  <c r="BY44" i="15" a="1"/>
  <c r="BY75" i="15" a="1"/>
  <c r="BY64" i="15" a="1"/>
  <c r="BY73" i="15" a="1"/>
  <c r="CJ45" i="8" a="1"/>
  <c r="CJ82" i="8" a="1"/>
  <c r="CJ76" i="8" a="1"/>
  <c r="CJ54" i="8" a="1"/>
  <c r="CJ94" i="8" a="1"/>
  <c r="CJ95" i="8" a="1"/>
  <c r="CJ65" i="8" a="1"/>
  <c r="CJ122" i="8" a="1"/>
  <c r="CJ105" i="8" a="1"/>
  <c r="CJ46" i="8" a="1"/>
  <c r="CJ69" i="8" a="1"/>
  <c r="CJ108" i="8" a="1"/>
  <c r="CJ127" i="8" a="1"/>
  <c r="CJ98" i="8" a="1"/>
  <c r="CJ107" i="8" a="1"/>
  <c r="CJ99" i="8" a="1"/>
  <c r="CJ49" i="8" a="1"/>
  <c r="BY71" i="15" a="1"/>
  <c r="BY85" i="15" a="1"/>
  <c r="BY81" i="15" a="1"/>
  <c r="BY70" i="15" a="1"/>
  <c r="BY84" i="15" a="1"/>
  <c r="BY45" i="15" a="1"/>
  <c r="BY65" i="15" a="1"/>
  <c r="BY95" i="15" a="1"/>
  <c r="BY77" i="15" a="1"/>
  <c r="BY60" i="15" a="1"/>
  <c r="BY101" i="15" a="1"/>
  <c r="BY78" i="15" a="1"/>
  <c r="BY93" i="15" a="1"/>
  <c r="BY63" i="15" a="1"/>
  <c r="BY46" i="15" a="1"/>
  <c r="BY96" i="15" a="1"/>
  <c r="BY58" i="15" a="1"/>
  <c r="BY69" i="15" a="1"/>
  <c r="BY52" i="15" a="1"/>
  <c r="BY82" i="15" a="1"/>
  <c r="CI116" i="8" l="1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113" i="8" s="1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BY100" i="15"/>
  <c r="BY66" i="15"/>
  <c r="BY129" i="15" s="1"/>
  <c r="BY43" i="15"/>
  <c r="BY106" i="15" s="1"/>
  <c r="BY61" i="15"/>
  <c r="BY124" i="15" s="1"/>
  <c r="BY62" i="15"/>
  <c r="BY125" i="15" s="1"/>
  <c r="BY65" i="15"/>
  <c r="BY128" i="15" s="1"/>
  <c r="BY83" i="15"/>
  <c r="BY146" i="15" s="1"/>
  <c r="BY86" i="15"/>
  <c r="BY149" i="15" s="1"/>
  <c r="BY96" i="15"/>
  <c r="BY159" i="15" s="1"/>
  <c r="BY94" i="15"/>
  <c r="BY157" i="15" s="1"/>
  <c r="BY57" i="15"/>
  <c r="BY120" i="15" s="1"/>
  <c r="BY63" i="15"/>
  <c r="BY126" i="15" s="1"/>
  <c r="BY75" i="15"/>
  <c r="BY138" i="15" s="1"/>
  <c r="BY99" i="15"/>
  <c r="BY81" i="15"/>
  <c r="BY144" i="15" s="1"/>
  <c r="BY91" i="15"/>
  <c r="BY154" i="15" s="1"/>
  <c r="BY79" i="15"/>
  <c r="BY142" i="15" s="1"/>
  <c r="BY76" i="15"/>
  <c r="BY139" i="15" s="1"/>
  <c r="BY82" i="15"/>
  <c r="BY145" i="15" s="1"/>
  <c r="BY102" i="15"/>
  <c r="BY162" i="15" s="1"/>
  <c r="BY53" i="15"/>
  <c r="BY116" i="15" s="1"/>
  <c r="BY45" i="15"/>
  <c r="BY108" i="15" s="1"/>
  <c r="BY47" i="15"/>
  <c r="BY110" i="15" s="1"/>
  <c r="BY52" i="15"/>
  <c r="BY115" i="15" s="1"/>
  <c r="BY95" i="15"/>
  <c r="BY158" i="15" s="1"/>
  <c r="BY74" i="15"/>
  <c r="BY137" i="15" s="1"/>
  <c r="BY46" i="15"/>
  <c r="BY109" i="15" s="1"/>
  <c r="BY93" i="15"/>
  <c r="BY156" i="15" s="1"/>
  <c r="BY51" i="15"/>
  <c r="BY114" i="15" s="1"/>
  <c r="BY80" i="15"/>
  <c r="BY143" i="15" s="1"/>
  <c r="BY73" i="15"/>
  <c r="BY136" i="15" s="1"/>
  <c r="BY64" i="15"/>
  <c r="BY127" i="15" s="1"/>
  <c r="BY92" i="15"/>
  <c r="BY155" i="15" s="1"/>
  <c r="BY98" i="15"/>
  <c r="BY161" i="15" s="1"/>
  <c r="BY67" i="15"/>
  <c r="BY130" i="15" s="1"/>
  <c r="BY39" i="15"/>
  <c r="BY105" i="15" s="1"/>
  <c r="BY89" i="15"/>
  <c r="BY152" i="15" s="1"/>
  <c r="BY84" i="15"/>
  <c r="BY147" i="15" s="1"/>
  <c r="BY50" i="15"/>
  <c r="BY113" i="15" s="1"/>
  <c r="BY90" i="15"/>
  <c r="BY153" i="15" s="1"/>
  <c r="BY60" i="15"/>
  <c r="BY123" i="15" s="1"/>
  <c r="BY54" i="15"/>
  <c r="BY117" i="15" s="1"/>
  <c r="BY85" i="15"/>
  <c r="BY148" i="15" s="1"/>
  <c r="BY78" i="15"/>
  <c r="BY141" i="15" s="1"/>
  <c r="BY55" i="15"/>
  <c r="BY118" i="15" s="1"/>
  <c r="BY88" i="15"/>
  <c r="BY151" i="15" s="1"/>
  <c r="BY48" i="15"/>
  <c r="BY111" i="15" s="1"/>
  <c r="BY59" i="15"/>
  <c r="BY122" i="15" s="1"/>
  <c r="BY68" i="15"/>
  <c r="BY131" i="15" s="1"/>
  <c r="BY97" i="15"/>
  <c r="BY160" i="15" s="1"/>
  <c r="BY49" i="15"/>
  <c r="BY112" i="15" s="1"/>
  <c r="BY87" i="15"/>
  <c r="BY150" i="15" s="1"/>
  <c r="BY58" i="15"/>
  <c r="BY121" i="15" s="1"/>
  <c r="BY70" i="15"/>
  <c r="BY133" i="15" s="1"/>
  <c r="BY56" i="15"/>
  <c r="BY119" i="15" s="1"/>
  <c r="BY69" i="15"/>
  <c r="BY132" i="15" s="1"/>
  <c r="BY77" i="15"/>
  <c r="BY140" i="15" s="1"/>
  <c r="BY72" i="15"/>
  <c r="BY135" i="15" s="1"/>
  <c r="BY71" i="15"/>
  <c r="BY134" i="15" s="1"/>
  <c r="BY101" i="15"/>
  <c r="BY44" i="15"/>
  <c r="BY107" i="15" s="1"/>
  <c r="CA38" i="15"/>
  <c r="CK64" i="8" a="1"/>
  <c r="CK52" i="8" a="1"/>
  <c r="CK76" i="8" a="1"/>
  <c r="CK85" i="8" a="1"/>
  <c r="CK65" i="8" a="1"/>
  <c r="CK86" i="8" a="1"/>
  <c r="CK44" i="8" a="1"/>
  <c r="CK92" i="8" a="1"/>
  <c r="CK126" i="8" a="1"/>
  <c r="CK106" i="8" a="1"/>
  <c r="CK58" i="8" a="1"/>
  <c r="CK68" i="8" a="1"/>
  <c r="CK88" i="8" a="1"/>
  <c r="CK130" i="8" a="1"/>
  <c r="CK77" i="8" a="1"/>
  <c r="CK129" i="8" a="1"/>
  <c r="CK60" i="8" a="1"/>
  <c r="CK49" i="8" a="1"/>
  <c r="BZ73" i="15" a="1"/>
  <c r="BZ57" i="15" a="1"/>
  <c r="BZ43" i="15" a="1"/>
  <c r="BZ39" i="15" a="1"/>
  <c r="BZ78" i="15" a="1"/>
  <c r="BZ65" i="15" a="1"/>
  <c r="BZ56" i="15" a="1"/>
  <c r="BZ99" i="15" a="1"/>
  <c r="BZ48" i="15" a="1"/>
  <c r="BZ72" i="15" a="1"/>
  <c r="BZ53" i="15" a="1"/>
  <c r="BZ44" i="15" a="1"/>
  <c r="CK95" i="8" a="1"/>
  <c r="CK83" i="8" a="1"/>
  <c r="CK122" i="8" a="1"/>
  <c r="CK53" i="8" a="1"/>
  <c r="CK96" i="8" a="1"/>
  <c r="CK75" i="8" a="1"/>
  <c r="CK123" i="8" a="1"/>
  <c r="CK45" i="8" a="1"/>
  <c r="CK42" i="8" a="1"/>
  <c r="CK103" i="8" a="1"/>
  <c r="CK69" i="8" a="1"/>
  <c r="CK127" i="8" a="1"/>
  <c r="CK67" i="8" a="1"/>
  <c r="CK110" i="8" a="1"/>
  <c r="CK128" i="8" a="1"/>
  <c r="CK70" i="8" a="1"/>
  <c r="CK47" i="8" a="1"/>
  <c r="CK57" i="8" a="1"/>
  <c r="BZ76" i="15" a="1"/>
  <c r="BZ77" i="15" a="1"/>
  <c r="BZ82" i="15" a="1"/>
  <c r="BZ61" i="15" a="1"/>
  <c r="BZ58" i="15" a="1"/>
  <c r="BZ88" i="15" a="1"/>
  <c r="BZ89" i="15" a="1"/>
  <c r="BZ59" i="15" a="1"/>
  <c r="BZ92" i="15" a="1"/>
  <c r="BZ62" i="15" a="1"/>
  <c r="BZ79" i="15" a="1"/>
  <c r="BZ80" i="15" a="1"/>
  <c r="BZ55" i="15" a="1"/>
  <c r="BZ93" i="15" a="1"/>
  <c r="BZ97" i="15" a="1"/>
  <c r="BZ50" i="15" a="1"/>
  <c r="BZ75" i="15" a="1"/>
  <c r="BZ101" i="15" a="1"/>
  <c r="CK54" i="8" a="1"/>
  <c r="CK72" i="8" a="1"/>
  <c r="CK41" i="8" a="1"/>
  <c r="CK82" i="8" a="1"/>
  <c r="CK125" i="8" a="1"/>
  <c r="CK94" i="8" a="1"/>
  <c r="CK84" i="8" a="1"/>
  <c r="CK55" i="8" a="1"/>
  <c r="CK43" i="8" a="1"/>
  <c r="CK104" i="8" a="1"/>
  <c r="CK108" i="8" a="1"/>
  <c r="CK87" i="8" a="1"/>
  <c r="CK100" i="8" a="1"/>
  <c r="CK48" i="8" a="1"/>
  <c r="CK97" i="8" a="1"/>
  <c r="CK107" i="8" a="1"/>
  <c r="CK59" i="8" a="1"/>
  <c r="CK80" i="8" a="1"/>
  <c r="BZ83" i="15" a="1"/>
  <c r="BZ102" i="15" a="1"/>
  <c r="BZ86" i="15" a="1"/>
  <c r="BZ45" i="15" a="1"/>
  <c r="BZ81" i="15" a="1"/>
  <c r="BZ66" i="15" a="1"/>
  <c r="BZ69" i="15" a="1"/>
  <c r="BZ85" i="15" a="1"/>
  <c r="BZ98" i="15" a="1"/>
  <c r="BZ49" i="15" a="1"/>
  <c r="BZ64" i="15" a="1"/>
  <c r="BZ51" i="15" a="1"/>
  <c r="CK56" i="8" a="1"/>
  <c r="CK73" i="8" a="1"/>
  <c r="CK93" i="8" a="1"/>
  <c r="CK62" i="8" a="1"/>
  <c r="CK124" i="8" a="1"/>
  <c r="CK63" i="8" a="1"/>
  <c r="CK66" i="8" a="1"/>
  <c r="CK74" i="8" a="1"/>
  <c r="CK105" i="8" a="1"/>
  <c r="CK46" i="8" a="1"/>
  <c r="CK89" i="8" a="1"/>
  <c r="CK90" i="8" a="1"/>
  <c r="CK79" i="8" a="1"/>
  <c r="CK99" i="8" a="1"/>
  <c r="CK78" i="8" a="1"/>
  <c r="CK98" i="8" a="1"/>
  <c r="CK109" i="8" a="1"/>
  <c r="BZ54" i="15" a="1"/>
  <c r="BZ60" i="15" a="1"/>
  <c r="BZ67" i="15" a="1"/>
  <c r="BZ47" i="15" a="1"/>
  <c r="BZ63" i="15" a="1"/>
  <c r="BZ100" i="15" a="1"/>
  <c r="BZ71" i="15" a="1"/>
  <c r="BZ90" i="15" a="1"/>
  <c r="BZ68" i="15" a="1"/>
  <c r="BZ95" i="15" a="1"/>
  <c r="BZ91" i="15" a="1"/>
  <c r="BZ52" i="15" a="1"/>
  <c r="BZ84" i="15" a="1"/>
  <c r="BZ46" i="15" a="1"/>
  <c r="BZ87" i="15" a="1"/>
  <c r="BZ70" i="15" a="1"/>
  <c r="BZ96" i="15" a="1"/>
  <c r="BZ94" i="15" a="1"/>
  <c r="BZ74" i="15" a="1"/>
  <c r="CJ120" i="8" l="1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113" i="8" s="1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BZ53" i="15"/>
  <c r="BZ116" i="15" s="1"/>
  <c r="BZ90" i="15"/>
  <c r="BZ153" i="15" s="1"/>
  <c r="BZ80" i="15"/>
  <c r="BZ143" i="15" s="1"/>
  <c r="BZ99" i="15"/>
  <c r="BZ52" i="15"/>
  <c r="BZ115" i="15" s="1"/>
  <c r="BZ69" i="15"/>
  <c r="BZ132" i="15" s="1"/>
  <c r="BZ39" i="15"/>
  <c r="BZ105" i="15" s="1"/>
  <c r="BZ70" i="15"/>
  <c r="BZ133" i="15" s="1"/>
  <c r="BZ49" i="15"/>
  <c r="BZ112" i="15" s="1"/>
  <c r="BZ89" i="15"/>
  <c r="BZ152" i="15" s="1"/>
  <c r="BZ47" i="15"/>
  <c r="BZ110" i="15" s="1"/>
  <c r="BZ51" i="15"/>
  <c r="BZ114" i="15" s="1"/>
  <c r="BZ79" i="15"/>
  <c r="BZ142" i="15" s="1"/>
  <c r="BZ56" i="15"/>
  <c r="BZ119" i="15" s="1"/>
  <c r="BZ86" i="15"/>
  <c r="BZ149" i="15" s="1"/>
  <c r="BZ97" i="15"/>
  <c r="BZ160" i="15" s="1"/>
  <c r="BZ96" i="15"/>
  <c r="BZ159" i="15" s="1"/>
  <c r="BZ71" i="15"/>
  <c r="BZ134" i="15" s="1"/>
  <c r="BZ82" i="15"/>
  <c r="BZ145" i="15" s="1"/>
  <c r="BZ74" i="15"/>
  <c r="BZ137" i="15" s="1"/>
  <c r="BZ91" i="15"/>
  <c r="BZ154" i="15" s="1"/>
  <c r="BZ66" i="15"/>
  <c r="BZ129" i="15" s="1"/>
  <c r="BZ43" i="15"/>
  <c r="BZ106" i="15" s="1"/>
  <c r="BZ87" i="15"/>
  <c r="BZ150" i="15" s="1"/>
  <c r="BZ50" i="15"/>
  <c r="BZ113" i="15" s="1"/>
  <c r="BZ88" i="15"/>
  <c r="BZ151" i="15" s="1"/>
  <c r="BZ67" i="15"/>
  <c r="BZ130" i="15" s="1"/>
  <c r="BZ101" i="15"/>
  <c r="BZ62" i="15"/>
  <c r="BZ125" i="15" s="1"/>
  <c r="BZ65" i="15"/>
  <c r="BZ128" i="15" s="1"/>
  <c r="BZ102" i="15"/>
  <c r="BZ162" i="15" s="1"/>
  <c r="BZ93" i="15"/>
  <c r="BZ156" i="15" s="1"/>
  <c r="BZ72" i="15"/>
  <c r="BZ135" i="15" s="1"/>
  <c r="BZ100" i="15"/>
  <c r="BZ77" i="15"/>
  <c r="BZ140" i="15" s="1"/>
  <c r="BZ44" i="15"/>
  <c r="BZ107" i="15" s="1"/>
  <c r="BZ95" i="15"/>
  <c r="BZ158" i="15" s="1"/>
  <c r="BZ81" i="15"/>
  <c r="BZ144" i="15" s="1"/>
  <c r="BZ57" i="15"/>
  <c r="BZ120" i="15" s="1"/>
  <c r="BZ46" i="15"/>
  <c r="BZ109" i="15" s="1"/>
  <c r="BZ98" i="15"/>
  <c r="BZ161" i="15" s="1"/>
  <c r="BZ58" i="15"/>
  <c r="BZ121" i="15" s="1"/>
  <c r="BZ60" i="15"/>
  <c r="BZ123" i="15" s="1"/>
  <c r="BZ64" i="15"/>
  <c r="BZ127" i="15" s="1"/>
  <c r="BZ92" i="15"/>
  <c r="BZ155" i="15" s="1"/>
  <c r="BZ78" i="15"/>
  <c r="BZ141" i="15" s="1"/>
  <c r="BZ83" i="15"/>
  <c r="BZ146" i="15" s="1"/>
  <c r="BZ55" i="15"/>
  <c r="BZ118" i="15" s="1"/>
  <c r="BZ48" i="15"/>
  <c r="BZ111" i="15" s="1"/>
  <c r="BZ63" i="15"/>
  <c r="BZ126" i="15" s="1"/>
  <c r="BZ76" i="15"/>
  <c r="BZ139" i="15" s="1"/>
  <c r="BZ94" i="15"/>
  <c r="BZ157" i="15" s="1"/>
  <c r="BZ68" i="15"/>
  <c r="BZ131" i="15" s="1"/>
  <c r="BZ45" i="15"/>
  <c r="BZ108" i="15" s="1"/>
  <c r="BZ73" i="15"/>
  <c r="BZ136" i="15" s="1"/>
  <c r="BZ84" i="15"/>
  <c r="BZ147" i="15" s="1"/>
  <c r="BZ85" i="15"/>
  <c r="BZ148" i="15" s="1"/>
  <c r="BZ61" i="15"/>
  <c r="BZ124" i="15" s="1"/>
  <c r="BZ54" i="15"/>
  <c r="BZ117" i="15" s="1"/>
  <c r="BZ75" i="15"/>
  <c r="BZ138" i="15" s="1"/>
  <c r="BZ59" i="15"/>
  <c r="BZ122" i="15" s="1"/>
  <c r="CB38" i="15"/>
  <c r="CL72" i="8" a="1"/>
  <c r="CL126" i="8" a="1"/>
  <c r="CL123" i="8" a="1"/>
  <c r="CL75" i="8" a="1"/>
  <c r="CL92" i="8" a="1"/>
  <c r="CL85" i="8" a="1"/>
  <c r="CL125" i="8" a="1"/>
  <c r="CL83" i="8" a="1"/>
  <c r="CL41" i="8" a="1"/>
  <c r="CL103" i="8" a="1"/>
  <c r="CL127" i="8" a="1"/>
  <c r="CL100" i="8" a="1"/>
  <c r="CL67" i="8" a="1"/>
  <c r="CL68" i="8" a="1"/>
  <c r="CL107" i="8" a="1"/>
  <c r="CL128" i="8" a="1"/>
  <c r="CL78" i="8" a="1"/>
  <c r="CL80" i="8" a="1"/>
  <c r="CA76" i="15" a="1"/>
  <c r="CA75" i="15" a="1"/>
  <c r="CA52" i="15" a="1"/>
  <c r="CA44" i="15" a="1"/>
  <c r="CA81" i="15" a="1"/>
  <c r="CA62" i="15" a="1"/>
  <c r="CA51" i="15" a="1"/>
  <c r="CA93" i="15" a="1"/>
  <c r="CA63" i="15" a="1"/>
  <c r="CA56" i="15" a="1"/>
  <c r="CA94" i="15" a="1"/>
  <c r="CA91" i="15" a="1"/>
  <c r="CA50" i="15" a="1"/>
  <c r="CA60" i="15" a="1"/>
  <c r="CL52" i="8" a="1"/>
  <c r="CL64" i="8" a="1"/>
  <c r="CL45" i="8" a="1"/>
  <c r="CL44" i="8" a="1"/>
  <c r="CL124" i="8" a="1"/>
  <c r="CL86" i="8" a="1"/>
  <c r="CL76" i="8" a="1"/>
  <c r="CL66" i="8" a="1"/>
  <c r="CL82" i="8" a="1"/>
  <c r="CL104" i="8" a="1"/>
  <c r="CL87" i="8" a="1"/>
  <c r="CL89" i="8" a="1"/>
  <c r="CL58" i="8" a="1"/>
  <c r="CL99" i="8" a="1"/>
  <c r="CL60" i="8" a="1"/>
  <c r="CL48" i="8" a="1"/>
  <c r="CL70" i="8" a="1"/>
  <c r="CL49" i="8" a="1"/>
  <c r="CA58" i="15" a="1"/>
  <c r="CA86" i="15" a="1"/>
  <c r="CA45" i="15" a="1"/>
  <c r="CA98" i="15" a="1"/>
  <c r="CA65" i="15" a="1"/>
  <c r="CA73" i="15" a="1"/>
  <c r="CA82" i="15" a="1"/>
  <c r="CA55" i="15" a="1"/>
  <c r="CA54" i="15" a="1"/>
  <c r="CA101" i="15" a="1"/>
  <c r="CA48" i="15" a="1"/>
  <c r="CA72" i="15" a="1"/>
  <c r="CA68" i="15" a="1"/>
  <c r="CA57" i="15" a="1"/>
  <c r="CA59" i="15" a="1"/>
  <c r="CA85" i="15" a="1"/>
  <c r="CL42" i="8" a="1"/>
  <c r="CL62" i="8" a="1"/>
  <c r="CL43" i="8" a="1"/>
  <c r="CL54" i="8" a="1"/>
  <c r="CL122" i="8" a="1"/>
  <c r="CL56" i="8" a="1"/>
  <c r="CL63" i="8" a="1"/>
  <c r="CL96" i="8" a="1"/>
  <c r="CL105" i="8" a="1"/>
  <c r="CL46" i="8" a="1"/>
  <c r="CL88" i="8" a="1"/>
  <c r="CL108" i="8" a="1"/>
  <c r="CL69" i="8" a="1"/>
  <c r="CL77" i="8" a="1"/>
  <c r="CL59" i="8" a="1"/>
  <c r="CL98" i="8" a="1"/>
  <c r="CL109" i="8" a="1"/>
  <c r="CA89" i="15" a="1"/>
  <c r="CA83" i="15" a="1"/>
  <c r="CA95" i="15" a="1"/>
  <c r="CA80" i="15" a="1"/>
  <c r="CA84" i="15" a="1"/>
  <c r="CA77" i="15" a="1"/>
  <c r="CA43" i="15" a="1"/>
  <c r="CA71" i="15" a="1"/>
  <c r="CA69" i="15" a="1"/>
  <c r="CA96" i="15" a="1"/>
  <c r="CA53" i="15" a="1"/>
  <c r="CA87" i="15" a="1"/>
  <c r="CA70" i="15" a="1"/>
  <c r="CA102" i="15" a="1"/>
  <c r="CA67" i="15" a="1"/>
  <c r="CL65" i="8" a="1"/>
  <c r="CL73" i="8" a="1"/>
  <c r="CL93" i="8" a="1"/>
  <c r="CL55" i="8" a="1"/>
  <c r="CL84" i="8" a="1"/>
  <c r="CL95" i="8" a="1"/>
  <c r="CL53" i="8" a="1"/>
  <c r="CL94" i="8" a="1"/>
  <c r="CL74" i="8" a="1"/>
  <c r="CL106" i="8" a="1"/>
  <c r="CL79" i="8" a="1"/>
  <c r="CL130" i="8" a="1"/>
  <c r="CL90" i="8" a="1"/>
  <c r="CL110" i="8" a="1"/>
  <c r="CL129" i="8" a="1"/>
  <c r="CL47" i="8" a="1"/>
  <c r="CL97" i="8" a="1"/>
  <c r="CL57" i="8" a="1"/>
  <c r="CA90" i="15" a="1"/>
  <c r="CA66" i="15" a="1"/>
  <c r="CA78" i="15" a="1"/>
  <c r="CA47" i="15" a="1"/>
  <c r="CA61" i="15" a="1"/>
  <c r="CA46" i="15" a="1"/>
  <c r="CA79" i="15" a="1"/>
  <c r="CA88" i="15" a="1"/>
  <c r="CA39" i="15" a="1"/>
  <c r="CA100" i="15" a="1"/>
  <c r="CA99" i="15" a="1"/>
  <c r="CA97" i="15" a="1"/>
  <c r="CA92" i="15" a="1"/>
  <c r="CA49" i="15" a="1"/>
  <c r="CA74" i="15" a="1"/>
  <c r="CA64" i="15" a="1"/>
  <c r="CK117" i="8" l="1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CA53" i="15"/>
  <c r="CA116" i="15" s="1"/>
  <c r="CA77" i="15"/>
  <c r="CA140" i="15" s="1"/>
  <c r="CA44" i="15"/>
  <c r="CA107" i="15" s="1"/>
  <c r="CA57" i="15"/>
  <c r="CA120" i="15" s="1"/>
  <c r="CA101" i="15"/>
  <c r="CA43" i="15"/>
  <c r="CA106" i="15" s="1"/>
  <c r="CA47" i="15"/>
  <c r="CA110" i="15" s="1"/>
  <c r="CA60" i="15"/>
  <c r="CA123" i="15" s="1"/>
  <c r="CA56" i="15"/>
  <c r="CA119" i="15" s="1"/>
  <c r="CA67" i="15"/>
  <c r="CA130" i="15" s="1"/>
  <c r="CA80" i="15"/>
  <c r="CA143" i="15" s="1"/>
  <c r="CA49" i="15"/>
  <c r="CA112" i="15" s="1"/>
  <c r="CA100" i="15"/>
  <c r="CA65" i="15"/>
  <c r="CA128" i="15" s="1"/>
  <c r="CA45" i="15"/>
  <c r="CA108" i="15" s="1"/>
  <c r="CA102" i="15"/>
  <c r="CA162" i="15" s="1"/>
  <c r="CA96" i="15"/>
  <c r="CA159" i="15" s="1"/>
  <c r="CA59" i="15"/>
  <c r="CA122" i="15" s="1"/>
  <c r="CA52" i="15"/>
  <c r="CA115" i="15" s="1"/>
  <c r="CA68" i="15"/>
  <c r="CA131" i="15" s="1"/>
  <c r="CA54" i="15"/>
  <c r="CA117" i="15" s="1"/>
  <c r="CA81" i="15"/>
  <c r="CA144" i="15" s="1"/>
  <c r="CA78" i="15"/>
  <c r="CA141" i="15" s="1"/>
  <c r="CA50" i="15"/>
  <c r="CA113" i="15" s="1"/>
  <c r="CA63" i="15"/>
  <c r="CA126" i="15" s="1"/>
  <c r="CA73" i="15"/>
  <c r="CA136" i="15" s="1"/>
  <c r="CA95" i="15"/>
  <c r="CA158" i="15" s="1"/>
  <c r="CA92" i="15"/>
  <c r="CA155" i="15" s="1"/>
  <c r="CA39" i="15"/>
  <c r="CA105" i="15" s="1"/>
  <c r="CA64" i="15"/>
  <c r="CA127" i="15" s="1"/>
  <c r="CA86" i="15"/>
  <c r="CA149" i="15" s="1"/>
  <c r="CA70" i="15"/>
  <c r="CA133" i="15" s="1"/>
  <c r="CA69" i="15"/>
  <c r="CA132" i="15" s="1"/>
  <c r="CA61" i="15"/>
  <c r="CA124" i="15" s="1"/>
  <c r="CA75" i="15"/>
  <c r="CA138" i="15" s="1"/>
  <c r="CA72" i="15"/>
  <c r="CA135" i="15" s="1"/>
  <c r="CA55" i="15"/>
  <c r="CA118" i="15" s="1"/>
  <c r="CA62" i="15"/>
  <c r="CA125" i="15" s="1"/>
  <c r="CA66" i="15"/>
  <c r="CA129" i="15" s="1"/>
  <c r="CA91" i="15"/>
  <c r="CA154" i="15" s="1"/>
  <c r="CA93" i="15"/>
  <c r="CA156" i="15" s="1"/>
  <c r="CA74" i="15"/>
  <c r="CA137" i="15" s="1"/>
  <c r="CA83" i="15"/>
  <c r="CA146" i="15" s="1"/>
  <c r="CA97" i="15"/>
  <c r="CA160" i="15" s="1"/>
  <c r="CA88" i="15"/>
  <c r="CA151" i="15" s="1"/>
  <c r="CA84" i="15"/>
  <c r="CA147" i="15" s="1"/>
  <c r="CA58" i="15"/>
  <c r="CA121" i="15" s="1"/>
  <c r="CA87" i="15"/>
  <c r="CA150" i="15" s="1"/>
  <c r="CA71" i="15"/>
  <c r="CA134" i="15" s="1"/>
  <c r="CA85" i="15"/>
  <c r="CA148" i="15" s="1"/>
  <c r="CA76" i="15"/>
  <c r="CA139" i="15" s="1"/>
  <c r="CA48" i="15"/>
  <c r="CA111" i="15" s="1"/>
  <c r="CA82" i="15"/>
  <c r="CA145" i="15" s="1"/>
  <c r="CA46" i="15"/>
  <c r="CA109" i="15" s="1"/>
  <c r="CA90" i="15"/>
  <c r="CA153" i="15" s="1"/>
  <c r="CA94" i="15"/>
  <c r="CA157" i="15" s="1"/>
  <c r="CA51" i="15"/>
  <c r="CA114" i="15" s="1"/>
  <c r="CA98" i="15"/>
  <c r="CA161" i="15" s="1"/>
  <c r="CA89" i="15"/>
  <c r="CA152" i="15" s="1"/>
  <c r="CA99" i="15"/>
  <c r="CA79" i="15"/>
  <c r="CA142" i="15" s="1"/>
  <c r="CC38" i="15"/>
  <c r="CM85" i="8" a="1"/>
  <c r="CM65" i="8" a="1"/>
  <c r="CM45" i="8" a="1"/>
  <c r="CM56" i="8" a="1"/>
  <c r="CM72" i="8" a="1"/>
  <c r="CM54" i="8" a="1"/>
  <c r="CM62" i="8" a="1"/>
  <c r="CM44" i="8" a="1"/>
  <c r="CM66" i="8" a="1"/>
  <c r="CM103" i="8" a="1"/>
  <c r="CM69" i="8" a="1"/>
  <c r="CM89" i="8" a="1"/>
  <c r="CM90" i="8" a="1"/>
  <c r="CM67" i="8" a="1"/>
  <c r="CM77" i="8" a="1"/>
  <c r="CM47" i="8" a="1"/>
  <c r="CM70" i="8" a="1"/>
  <c r="CM109" i="8" a="1"/>
  <c r="CB99" i="15" a="1"/>
  <c r="CB70" i="15" a="1"/>
  <c r="CB51" i="15" a="1"/>
  <c r="CB62" i="15" a="1"/>
  <c r="CB50" i="15" a="1"/>
  <c r="CB83" i="15" a="1"/>
  <c r="CB89" i="15" a="1"/>
  <c r="CB65" i="15" a="1"/>
  <c r="CB58" i="15" a="1"/>
  <c r="CB46" i="15" a="1"/>
  <c r="CB86" i="15" a="1"/>
  <c r="CB52" i="15" a="1"/>
  <c r="CB73" i="15" a="1"/>
  <c r="CB77" i="15" a="1"/>
  <c r="CB55" i="15" a="1"/>
  <c r="CM84" i="8" a="1"/>
  <c r="CM64" i="8" a="1"/>
  <c r="CM73" i="8" a="1"/>
  <c r="CM93" i="8" a="1"/>
  <c r="CM53" i="8" a="1"/>
  <c r="CM83" i="8" a="1"/>
  <c r="CM126" i="8" a="1"/>
  <c r="CM43" i="8" a="1"/>
  <c r="CM42" i="8" a="1"/>
  <c r="CM104" i="8" a="1"/>
  <c r="CM79" i="8" a="1"/>
  <c r="CM110" i="8" a="1"/>
  <c r="CM68" i="8" a="1"/>
  <c r="CM130" i="8" a="1"/>
  <c r="CM97" i="8" a="1"/>
  <c r="CM98" i="8" a="1"/>
  <c r="CM78" i="8" a="1"/>
  <c r="CM60" i="8" a="1"/>
  <c r="CB79" i="15" a="1"/>
  <c r="CB56" i="15" a="1"/>
  <c r="CB45" i="15" a="1"/>
  <c r="CB91" i="15" a="1"/>
  <c r="CB98" i="15" a="1"/>
  <c r="CB60" i="15" a="1"/>
  <c r="CB69" i="15" a="1"/>
  <c r="CB59" i="15" a="1"/>
  <c r="CB57" i="15" a="1"/>
  <c r="CB39" i="15" a="1"/>
  <c r="CB78" i="15" a="1"/>
  <c r="CB53" i="15" a="1"/>
  <c r="CB82" i="15" a="1"/>
  <c r="CB71" i="15" a="1"/>
  <c r="CB48" i="15" a="1"/>
  <c r="CM124" i="8" a="1"/>
  <c r="CM63" i="8" a="1"/>
  <c r="CM96" i="8" a="1"/>
  <c r="CM86" i="8" a="1"/>
  <c r="CM82" i="8" a="1"/>
  <c r="CM92" i="8" a="1"/>
  <c r="CM125" i="8" a="1"/>
  <c r="CM75" i="8" a="1"/>
  <c r="CM105" i="8" a="1"/>
  <c r="CM46" i="8" a="1"/>
  <c r="CM87" i="8" a="1"/>
  <c r="CM127" i="8" a="1"/>
  <c r="CM99" i="8" a="1"/>
  <c r="CM129" i="8" a="1"/>
  <c r="CM59" i="8" a="1"/>
  <c r="CM128" i="8" a="1"/>
  <c r="CM57" i="8" a="1"/>
  <c r="CB64" i="15" a="1"/>
  <c r="CB81" i="15" a="1"/>
  <c r="CB66" i="15" a="1"/>
  <c r="CB76" i="15" a="1"/>
  <c r="CB87" i="15" a="1"/>
  <c r="CB67" i="15" a="1"/>
  <c r="CB44" i="15" a="1"/>
  <c r="CB102" i="15" a="1"/>
  <c r="CB72" i="15" a="1"/>
  <c r="CB97" i="15" a="1"/>
  <c r="CB80" i="15" a="1"/>
  <c r="CB90" i="15" a="1"/>
  <c r="CB92" i="15" a="1"/>
  <c r="CB96" i="15" a="1"/>
  <c r="CB54" i="15" a="1"/>
  <c r="CB43" i="15" a="1"/>
  <c r="CM41" i="8" a="1"/>
  <c r="CM55" i="8" a="1"/>
  <c r="CM74" i="8" a="1"/>
  <c r="CM76" i="8" a="1"/>
  <c r="CM94" i="8" a="1"/>
  <c r="CM122" i="8" a="1"/>
  <c r="CM95" i="8" a="1"/>
  <c r="CM123" i="8" a="1"/>
  <c r="CM52" i="8" a="1"/>
  <c r="CM106" i="8" a="1"/>
  <c r="CM58" i="8" a="1"/>
  <c r="CM100" i="8" a="1"/>
  <c r="CM108" i="8" a="1"/>
  <c r="CM88" i="8" a="1"/>
  <c r="CM80" i="8" a="1"/>
  <c r="CM107" i="8" a="1"/>
  <c r="CM48" i="8" a="1"/>
  <c r="CM49" i="8" a="1"/>
  <c r="CB93" i="15" a="1"/>
  <c r="CB74" i="15" a="1"/>
  <c r="CB94" i="15" a="1"/>
  <c r="CB68" i="15" a="1"/>
  <c r="CB63" i="15" a="1"/>
  <c r="CB100" i="15" a="1"/>
  <c r="CB61" i="15" a="1"/>
  <c r="CB49" i="15" a="1"/>
  <c r="CB84" i="15" a="1"/>
  <c r="CB95" i="15" a="1"/>
  <c r="CB75" i="15" a="1"/>
  <c r="CB88" i="15" a="1"/>
  <c r="CB47" i="15" a="1"/>
  <c r="CB101" i="15" a="1"/>
  <c r="CB85" i="15" a="1"/>
  <c r="CL119" i="8" l="1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L115" i="8"/>
  <c r="CL118" i="8"/>
  <c r="CL120" i="8"/>
  <c r="CB75" i="15"/>
  <c r="CB138" i="15" s="1"/>
  <c r="CB78" i="15"/>
  <c r="CB141" i="15" s="1"/>
  <c r="CB43" i="15"/>
  <c r="CB106" i="15" s="1"/>
  <c r="CB55" i="15"/>
  <c r="CB118" i="15" s="1"/>
  <c r="CB80" i="15"/>
  <c r="CB143" i="15" s="1"/>
  <c r="CB76" i="15"/>
  <c r="CB139" i="15" s="1"/>
  <c r="CB86" i="15"/>
  <c r="CB149" i="15" s="1"/>
  <c r="CB85" i="15"/>
  <c r="CB148" i="15" s="1"/>
  <c r="CB39" i="15"/>
  <c r="CB105" i="15" s="1"/>
  <c r="CB61" i="15"/>
  <c r="CB124" i="15" s="1"/>
  <c r="CB48" i="15"/>
  <c r="CB111" i="15" s="1"/>
  <c r="CB54" i="15"/>
  <c r="CB117" i="15" s="1"/>
  <c r="CB46" i="15"/>
  <c r="CB109" i="15" s="1"/>
  <c r="CB44" i="15"/>
  <c r="CB107" i="15" s="1"/>
  <c r="CB45" i="15"/>
  <c r="CB108" i="15" s="1"/>
  <c r="CB71" i="15"/>
  <c r="CB134" i="15" s="1"/>
  <c r="CB95" i="15"/>
  <c r="CB158" i="15" s="1"/>
  <c r="CB60" i="15"/>
  <c r="CB123" i="15" s="1"/>
  <c r="CB51" i="15"/>
  <c r="CB114" i="15" s="1"/>
  <c r="CB77" i="15"/>
  <c r="CB140" i="15" s="1"/>
  <c r="CB97" i="15"/>
  <c r="CB160" i="15" s="1"/>
  <c r="CB83" i="15"/>
  <c r="CB146" i="15" s="1"/>
  <c r="CB94" i="15"/>
  <c r="CB157" i="15" s="1"/>
  <c r="CB101" i="15"/>
  <c r="CB57" i="15"/>
  <c r="CB120" i="15" s="1"/>
  <c r="CB100" i="15"/>
  <c r="CB66" i="15"/>
  <c r="CB129" i="15" s="1"/>
  <c r="CB96" i="15"/>
  <c r="CB159" i="15" s="1"/>
  <c r="CB58" i="15"/>
  <c r="CB121" i="15" s="1"/>
  <c r="CB67" i="15"/>
  <c r="CB130" i="15" s="1"/>
  <c r="CB56" i="15"/>
  <c r="CB119" i="15" s="1"/>
  <c r="CB82" i="15"/>
  <c r="CB145" i="15" s="1"/>
  <c r="CB84" i="15"/>
  <c r="CB147" i="15" s="1"/>
  <c r="CB98" i="15"/>
  <c r="CB161" i="15" s="1"/>
  <c r="CB70" i="15"/>
  <c r="CB133" i="15" s="1"/>
  <c r="CB73" i="15"/>
  <c r="CB136" i="15" s="1"/>
  <c r="CB72" i="15"/>
  <c r="CB135" i="15" s="1"/>
  <c r="CB50" i="15"/>
  <c r="CB113" i="15" s="1"/>
  <c r="CB74" i="15"/>
  <c r="CB137" i="15" s="1"/>
  <c r="CB47" i="15"/>
  <c r="CB110" i="15" s="1"/>
  <c r="CB59" i="15"/>
  <c r="CB122" i="15" s="1"/>
  <c r="CB63" i="15"/>
  <c r="CB126" i="15" s="1"/>
  <c r="CB81" i="15"/>
  <c r="CB144" i="15" s="1"/>
  <c r="CB92" i="15"/>
  <c r="CB155" i="15" s="1"/>
  <c r="CB65" i="15"/>
  <c r="CB128" i="15" s="1"/>
  <c r="CB87" i="15"/>
  <c r="CB150" i="15" s="1"/>
  <c r="CB79" i="15"/>
  <c r="CB142" i="15" s="1"/>
  <c r="CB53" i="15"/>
  <c r="CB116" i="15" s="1"/>
  <c r="CB49" i="15"/>
  <c r="CB112" i="15" s="1"/>
  <c r="CB91" i="15"/>
  <c r="CB154" i="15" s="1"/>
  <c r="CB99" i="15"/>
  <c r="CB52" i="15"/>
  <c r="CB115" i="15" s="1"/>
  <c r="CB102" i="15"/>
  <c r="CB162" i="15" s="1"/>
  <c r="CB62" i="15"/>
  <c r="CB125" i="15" s="1"/>
  <c r="CB93" i="15"/>
  <c r="CB156" i="15" s="1"/>
  <c r="CB88" i="15"/>
  <c r="CB151" i="15" s="1"/>
  <c r="CB69" i="15"/>
  <c r="CB132" i="15" s="1"/>
  <c r="CB68" i="15"/>
  <c r="CB131" i="15" s="1"/>
  <c r="CB64" i="15"/>
  <c r="CB127" i="15" s="1"/>
  <c r="CB90" i="15"/>
  <c r="CB153" i="15" s="1"/>
  <c r="CB89" i="15"/>
  <c r="CB152" i="15" s="1"/>
  <c r="CD38" i="15"/>
  <c r="CN122" i="8" a="1"/>
  <c r="CN85" i="8" a="1"/>
  <c r="CN95" i="8" a="1"/>
  <c r="CN53" i="8" a="1"/>
  <c r="CN96" i="8" a="1"/>
  <c r="CN123" i="8" a="1"/>
  <c r="CN44" i="8" a="1"/>
  <c r="CN84" i="8" a="1"/>
  <c r="CN82" i="8" a="1"/>
  <c r="CN103" i="8" a="1"/>
  <c r="CN90" i="8" a="1"/>
  <c r="CN88" i="8" a="1"/>
  <c r="CN100" i="8" a="1"/>
  <c r="CN108" i="8" a="1"/>
  <c r="CN59" i="8" a="1"/>
  <c r="CN48" i="8" a="1"/>
  <c r="CN47" i="8" a="1"/>
  <c r="CN109" i="8" a="1"/>
  <c r="CC87" i="15" a="1"/>
  <c r="CC71" i="15" a="1"/>
  <c r="CC73" i="15" a="1"/>
  <c r="CC97" i="15" a="1"/>
  <c r="CC58" i="15" a="1"/>
  <c r="CC76" i="15" a="1"/>
  <c r="CC85" i="15" a="1"/>
  <c r="CC61" i="15" a="1"/>
  <c r="CC98" i="15" a="1"/>
  <c r="CC60" i="15" a="1"/>
  <c r="CC88" i="15" a="1"/>
  <c r="CN41" i="8" a="1"/>
  <c r="CN52" i="8" a="1"/>
  <c r="CN75" i="8" a="1"/>
  <c r="CN125" i="8" a="1"/>
  <c r="CN62" i="8" a="1"/>
  <c r="CN43" i="8" a="1"/>
  <c r="CN76" i="8" a="1"/>
  <c r="CN93" i="8" a="1"/>
  <c r="CN56" i="8" a="1"/>
  <c r="CN104" i="8" a="1"/>
  <c r="CN89" i="8" a="1"/>
  <c r="CN67" i="8" a="1"/>
  <c r="CN77" i="8" a="1"/>
  <c r="CN68" i="8" a="1"/>
  <c r="CN129" i="8" a="1"/>
  <c r="CN78" i="8" a="1"/>
  <c r="CN70" i="8" a="1"/>
  <c r="CN49" i="8" a="1"/>
  <c r="CC66" i="15" a="1"/>
  <c r="CC48" i="15" a="1"/>
  <c r="CC57" i="15" a="1"/>
  <c r="CC49" i="15" a="1"/>
  <c r="CC68" i="15" a="1"/>
  <c r="CC59" i="15" a="1"/>
  <c r="CC52" i="15" a="1"/>
  <c r="CC102" i="15" a="1"/>
  <c r="CC90" i="15" a="1"/>
  <c r="CC79" i="15" a="1"/>
  <c r="CC92" i="15" a="1"/>
  <c r="CC64" i="15" a="1"/>
  <c r="CC94" i="15" a="1"/>
  <c r="CC63" i="15" a="1"/>
  <c r="CC84" i="15" a="1"/>
  <c r="CC82" i="15" a="1"/>
  <c r="CC91" i="15" a="1"/>
  <c r="CC80" i="15" a="1"/>
  <c r="CC69" i="15" a="1"/>
  <c r="CN63" i="8" a="1"/>
  <c r="CN74" i="8" a="1"/>
  <c r="CN42" i="8" a="1"/>
  <c r="CN124" i="8" a="1"/>
  <c r="CN65" i="8" a="1"/>
  <c r="CN73" i="8" a="1"/>
  <c r="CN83" i="8" a="1"/>
  <c r="CN86" i="8" a="1"/>
  <c r="CN105" i="8" a="1"/>
  <c r="CN79" i="8" a="1"/>
  <c r="CN99" i="8" a="1"/>
  <c r="CN46" i="8" a="1"/>
  <c r="CN58" i="8" a="1"/>
  <c r="CN110" i="8" a="1"/>
  <c r="CN128" i="8" a="1"/>
  <c r="CN107" i="8" a="1"/>
  <c r="CN60" i="8" a="1"/>
  <c r="CC99" i="15" a="1"/>
  <c r="CC45" i="15" a="1"/>
  <c r="CC51" i="15" a="1"/>
  <c r="CC77" i="15" a="1"/>
  <c r="CC100" i="15" a="1"/>
  <c r="CC93" i="15" a="1"/>
  <c r="CC83" i="15" a="1"/>
  <c r="CC43" i="15" a="1"/>
  <c r="CC55" i="15" a="1"/>
  <c r="CC89" i="15" a="1"/>
  <c r="CC65" i="15" a="1"/>
  <c r="CN55" i="8" a="1"/>
  <c r="CN72" i="8" a="1"/>
  <c r="CN66" i="8" a="1"/>
  <c r="CN54" i="8" a="1"/>
  <c r="CN64" i="8" a="1"/>
  <c r="CN126" i="8" a="1"/>
  <c r="CN92" i="8" a="1"/>
  <c r="CN45" i="8" a="1"/>
  <c r="CN94" i="8" a="1"/>
  <c r="CN106" i="8" a="1"/>
  <c r="CN87" i="8" a="1"/>
  <c r="CN127" i="8" a="1"/>
  <c r="CN130" i="8" a="1"/>
  <c r="CN69" i="8" a="1"/>
  <c r="CN97" i="8" a="1"/>
  <c r="CN98" i="8" a="1"/>
  <c r="CN80" i="8" a="1"/>
  <c r="CN57" i="8" a="1"/>
  <c r="CC56" i="15" a="1"/>
  <c r="CC70" i="15" a="1"/>
  <c r="CC96" i="15" a="1"/>
  <c r="CC78" i="15" a="1"/>
  <c r="CC54" i="15" a="1"/>
  <c r="CC67" i="15" a="1"/>
  <c r="CC101" i="15" a="1"/>
  <c r="CC39" i="15" a="1"/>
  <c r="CC47" i="15" a="1"/>
  <c r="CC44" i="15" a="1"/>
  <c r="CC53" i="15" a="1"/>
  <c r="CC72" i="15" a="1"/>
  <c r="CC75" i="15" a="1"/>
  <c r="CC50" i="15" a="1"/>
  <c r="CC62" i="15" a="1"/>
  <c r="CC74" i="15" a="1"/>
  <c r="CC46" i="15" a="1"/>
  <c r="CC95" i="15" a="1"/>
  <c r="CC81" i="15" a="1"/>
  <c r="CC86" i="15" a="1"/>
  <c r="CM116" i="8" l="1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O39" i="8"/>
  <c r="CM114" i="8"/>
  <c r="CM112" i="8"/>
  <c r="CM102" i="8"/>
  <c r="CM117" i="8"/>
  <c r="CC92" i="15"/>
  <c r="CC155" i="15" s="1"/>
  <c r="CC52" i="15"/>
  <c r="CC115" i="15" s="1"/>
  <c r="CC77" i="15"/>
  <c r="CC140" i="15" s="1"/>
  <c r="CC88" i="15"/>
  <c r="CC151" i="15" s="1"/>
  <c r="CC39" i="15"/>
  <c r="CC105" i="15" s="1"/>
  <c r="CC85" i="15"/>
  <c r="CC148" i="15" s="1"/>
  <c r="CC86" i="15"/>
  <c r="CC149" i="15" s="1"/>
  <c r="CC62" i="15"/>
  <c r="CC125" i="15" s="1"/>
  <c r="CC43" i="15"/>
  <c r="CC106" i="15" s="1"/>
  <c r="CC101" i="15"/>
  <c r="CC57" i="15"/>
  <c r="CC120" i="15" s="1"/>
  <c r="CC69" i="15"/>
  <c r="CC132" i="15" s="1"/>
  <c r="CC46" i="15"/>
  <c r="CC109" i="15" s="1"/>
  <c r="CC83" i="15"/>
  <c r="CC146" i="15" s="1"/>
  <c r="CC84" i="15"/>
  <c r="CC147" i="15" s="1"/>
  <c r="CC63" i="15"/>
  <c r="CC126" i="15" s="1"/>
  <c r="CC53" i="15"/>
  <c r="CC116" i="15" s="1"/>
  <c r="CC59" i="15"/>
  <c r="CC122" i="15" s="1"/>
  <c r="CC73" i="15"/>
  <c r="CC136" i="15" s="1"/>
  <c r="CC81" i="15"/>
  <c r="CC144" i="15" s="1"/>
  <c r="CC89" i="15"/>
  <c r="CC152" i="15" s="1"/>
  <c r="CC76" i="15"/>
  <c r="CC139" i="15" s="1"/>
  <c r="CC96" i="15"/>
  <c r="CC159" i="15" s="1"/>
  <c r="CC50" i="15"/>
  <c r="CC113" i="15" s="1"/>
  <c r="CC79" i="15"/>
  <c r="CC142" i="15" s="1"/>
  <c r="CC67" i="15"/>
  <c r="CC130" i="15" s="1"/>
  <c r="CC51" i="15"/>
  <c r="CC114" i="15" s="1"/>
  <c r="CC65" i="15"/>
  <c r="CC128" i="15" s="1"/>
  <c r="CC98" i="15"/>
  <c r="CC161" i="15" s="1"/>
  <c r="CC93" i="15"/>
  <c r="CC156" i="15" s="1"/>
  <c r="CC48" i="15"/>
  <c r="CC111" i="15" s="1"/>
  <c r="CC94" i="15"/>
  <c r="CC157" i="15" s="1"/>
  <c r="CC44" i="15"/>
  <c r="CC107" i="15" s="1"/>
  <c r="CC68" i="15"/>
  <c r="CC131" i="15" s="1"/>
  <c r="CC71" i="15"/>
  <c r="CC134" i="15" s="1"/>
  <c r="CC95" i="15"/>
  <c r="CC158" i="15" s="1"/>
  <c r="CC82" i="15"/>
  <c r="CC145" i="15" s="1"/>
  <c r="CC58" i="15"/>
  <c r="CC121" i="15" s="1"/>
  <c r="CC70" i="15"/>
  <c r="CC133" i="15" s="1"/>
  <c r="CC75" i="15"/>
  <c r="CC138" i="15" s="1"/>
  <c r="CC90" i="15"/>
  <c r="CC153" i="15" s="1"/>
  <c r="CC54" i="15"/>
  <c r="CC117" i="15" s="1"/>
  <c r="CC45" i="15"/>
  <c r="CC108" i="15" s="1"/>
  <c r="CC80" i="15"/>
  <c r="CC143" i="15" s="1"/>
  <c r="CC74" i="15"/>
  <c r="CC137" i="15" s="1"/>
  <c r="CC100" i="15"/>
  <c r="CC66" i="15"/>
  <c r="CC129" i="15" s="1"/>
  <c r="CC64" i="15"/>
  <c r="CC127" i="15" s="1"/>
  <c r="CC47" i="15"/>
  <c r="CC110" i="15" s="1"/>
  <c r="CC49" i="15"/>
  <c r="CC112" i="15" s="1"/>
  <c r="CC87" i="15"/>
  <c r="CC150" i="15" s="1"/>
  <c r="CC60" i="15"/>
  <c r="CC123" i="15" s="1"/>
  <c r="CC55" i="15"/>
  <c r="CC118" i="15" s="1"/>
  <c r="CC97" i="15"/>
  <c r="CC160" i="15" s="1"/>
  <c r="CC56" i="15"/>
  <c r="CC119" i="15" s="1"/>
  <c r="CC72" i="15"/>
  <c r="CC135" i="15" s="1"/>
  <c r="CC102" i="15"/>
  <c r="CC162" i="15" s="1"/>
  <c r="CC78" i="15"/>
  <c r="CC141" i="15" s="1"/>
  <c r="CC99" i="15"/>
  <c r="CC91" i="15"/>
  <c r="CC154" i="15" s="1"/>
  <c r="CC61" i="15"/>
  <c r="CC124" i="15" s="1"/>
  <c r="CE38" i="15"/>
  <c r="CO53" i="8" a="1"/>
  <c r="CO84" i="8" a="1"/>
  <c r="CO44" i="8" a="1"/>
  <c r="CO93" i="8" a="1"/>
  <c r="CO123" i="8" a="1"/>
  <c r="CO122" i="8" a="1"/>
  <c r="CO52" i="8" a="1"/>
  <c r="CO54" i="8" a="1"/>
  <c r="CO125" i="8" a="1"/>
  <c r="CO106" i="8" a="1"/>
  <c r="CO79" i="8" a="1"/>
  <c r="CO100" i="8" a="1"/>
  <c r="CO67" i="8" a="1"/>
  <c r="CO130" i="8" a="1"/>
  <c r="CO129" i="8" a="1"/>
  <c r="CO78" i="8" a="1"/>
  <c r="CO77" i="8" a="1"/>
  <c r="CO49" i="8" a="1"/>
  <c r="CD60" i="15" a="1"/>
  <c r="CD82" i="15" a="1"/>
  <c r="CD74" i="15" a="1"/>
  <c r="CD97" i="15" a="1"/>
  <c r="CD57" i="15" a="1"/>
  <c r="CD99" i="15" a="1"/>
  <c r="CD61" i="15" a="1"/>
  <c r="CD62" i="15" a="1"/>
  <c r="CD43" i="15" a="1"/>
  <c r="CD47" i="15" a="1"/>
  <c r="CD75" i="15" a="1"/>
  <c r="CD55" i="15" a="1"/>
  <c r="CD49" i="15" a="1"/>
  <c r="CD89" i="15" a="1"/>
  <c r="CO124" i="8" a="1"/>
  <c r="CO94" i="8" a="1"/>
  <c r="CO42" i="8" a="1"/>
  <c r="CO65" i="8" a="1"/>
  <c r="CO75" i="8" a="1"/>
  <c r="CO74" i="8" a="1"/>
  <c r="CO55" i="8" a="1"/>
  <c r="CO96" i="8" a="1"/>
  <c r="CO76" i="8" a="1"/>
  <c r="CO103" i="8" a="1"/>
  <c r="CO87" i="8" a="1"/>
  <c r="CO68" i="8" a="1"/>
  <c r="CO127" i="8" a="1"/>
  <c r="CO89" i="8" a="1"/>
  <c r="CO107" i="8" a="1"/>
  <c r="CO59" i="8" a="1"/>
  <c r="CO47" i="8" a="1"/>
  <c r="CO60" i="8" a="1"/>
  <c r="CD63" i="15" a="1"/>
  <c r="CD44" i="15" a="1"/>
  <c r="CD52" i="15" a="1"/>
  <c r="CD54" i="15" a="1"/>
  <c r="CD98" i="15" a="1"/>
  <c r="CD45" i="15" a="1"/>
  <c r="CD94" i="15" a="1"/>
  <c r="CD77" i="15" a="1"/>
  <c r="CD53" i="15" a="1"/>
  <c r="CD58" i="15" a="1"/>
  <c r="CD86" i="15" a="1"/>
  <c r="CD96" i="15" a="1"/>
  <c r="CD83" i="15" a="1"/>
  <c r="CD39" i="15" a="1"/>
  <c r="CO95" i="8" a="1"/>
  <c r="CO63" i="8" a="1"/>
  <c r="CO82" i="8" a="1"/>
  <c r="CO64" i="8" a="1"/>
  <c r="CO73" i="8" a="1"/>
  <c r="CO41" i="8" a="1"/>
  <c r="CO43" i="8" a="1"/>
  <c r="CO45" i="8" a="1"/>
  <c r="CO62" i="8" a="1"/>
  <c r="CO104" i="8" a="1"/>
  <c r="CO58" i="8" a="1"/>
  <c r="CO108" i="8" a="1"/>
  <c r="CO110" i="8" a="1"/>
  <c r="CO128" i="8" a="1"/>
  <c r="CO98" i="8" a="1"/>
  <c r="CO70" i="8" a="1"/>
  <c r="CO80" i="8" a="1"/>
  <c r="CO57" i="8" a="1"/>
  <c r="CD84" i="15" a="1"/>
  <c r="CD68" i="15" a="1"/>
  <c r="CD65" i="15" a="1"/>
  <c r="CD56" i="15" a="1"/>
  <c r="CD51" i="15" a="1"/>
  <c r="CD100" i="15" a="1"/>
  <c r="CD72" i="15" a="1"/>
  <c r="CD81" i="15" a="1"/>
  <c r="CD69" i="15" a="1"/>
  <c r="CD64" i="15" a="1"/>
  <c r="CD76" i="15" a="1"/>
  <c r="CD71" i="15" a="1"/>
  <c r="CD70" i="15" a="1"/>
  <c r="CD90" i="15" a="1"/>
  <c r="CD67" i="15" a="1"/>
  <c r="CD46" i="15" a="1"/>
  <c r="CO126" i="8" a="1"/>
  <c r="CO86" i="8" a="1"/>
  <c r="CO83" i="8" a="1"/>
  <c r="CO92" i="8" a="1"/>
  <c r="CO66" i="8" a="1"/>
  <c r="CO72" i="8" a="1"/>
  <c r="CO56" i="8" a="1"/>
  <c r="CO85" i="8" a="1"/>
  <c r="CO105" i="8" a="1"/>
  <c r="CO46" i="8" a="1"/>
  <c r="CO69" i="8" a="1"/>
  <c r="CO90" i="8" a="1"/>
  <c r="CO88" i="8" a="1"/>
  <c r="CO48" i="8" a="1"/>
  <c r="CO97" i="8" a="1"/>
  <c r="CO99" i="8" a="1"/>
  <c r="CO109" i="8" a="1"/>
  <c r="CD66" i="15" a="1"/>
  <c r="CD80" i="15" a="1"/>
  <c r="CD88" i="15" a="1"/>
  <c r="CD73" i="15" a="1"/>
  <c r="CD50" i="15" a="1"/>
  <c r="CD87" i="15" a="1"/>
  <c r="CD85" i="15" a="1"/>
  <c r="CD48" i="15" a="1"/>
  <c r="CD101" i="15" a="1"/>
  <c r="CD102" i="15" a="1"/>
  <c r="CD59" i="15" a="1"/>
  <c r="CD91" i="15" a="1"/>
  <c r="CD92" i="15" a="1"/>
  <c r="CD78" i="15" a="1"/>
  <c r="CD79" i="15" a="1"/>
  <c r="CD95" i="15" a="1"/>
  <c r="CD93" i="15" a="1"/>
  <c r="CN120" i="8" l="1"/>
  <c r="CN115" i="8"/>
  <c r="CO57" i="8"/>
  <c r="CO60" i="8"/>
  <c r="CO49" i="8"/>
  <c r="CO109" i="8"/>
  <c r="CO80" i="8"/>
  <c r="CO47" i="8"/>
  <c r="CO77" i="8"/>
  <c r="CO99" i="8"/>
  <c r="CO70" i="8"/>
  <c r="CO59" i="8"/>
  <c r="CO78" i="8"/>
  <c r="CO97" i="8"/>
  <c r="CO98" i="8"/>
  <c r="CO107" i="8"/>
  <c r="CO129" i="8"/>
  <c r="CO48" i="8"/>
  <c r="CO128" i="8"/>
  <c r="CO89" i="8"/>
  <c r="CO130" i="8"/>
  <c r="CO88" i="8"/>
  <c r="CO110" i="8"/>
  <c r="CO127" i="8"/>
  <c r="CO67" i="8"/>
  <c r="CO90" i="8"/>
  <c r="CO108" i="8"/>
  <c r="CO68" i="8"/>
  <c r="CO100" i="8"/>
  <c r="CO69" i="8"/>
  <c r="CO58" i="8"/>
  <c r="CO87" i="8"/>
  <c r="CO79" i="8"/>
  <c r="CO46" i="8"/>
  <c r="CO104" i="8"/>
  <c r="CO103" i="8"/>
  <c r="CO106" i="8"/>
  <c r="CO105" i="8"/>
  <c r="CO62" i="8"/>
  <c r="CO76" i="8"/>
  <c r="CO125" i="8"/>
  <c r="CO85" i="8"/>
  <c r="CO45" i="8"/>
  <c r="CO96" i="8"/>
  <c r="CO54" i="8"/>
  <c r="CO56" i="8"/>
  <c r="CO43" i="8"/>
  <c r="CO55" i="8"/>
  <c r="CO52" i="8"/>
  <c r="CO72" i="8"/>
  <c r="CO41" i="8"/>
  <c r="CO74" i="8"/>
  <c r="CO122" i="8"/>
  <c r="CO66" i="8"/>
  <c r="CO73" i="8"/>
  <c r="CO75" i="8"/>
  <c r="CO123" i="8"/>
  <c r="CO92" i="8"/>
  <c r="CO64" i="8"/>
  <c r="CO65" i="8"/>
  <c r="CO93" i="8"/>
  <c r="CO83" i="8"/>
  <c r="CO82" i="8"/>
  <c r="CO42" i="8"/>
  <c r="CO44" i="8"/>
  <c r="CO86" i="8"/>
  <c r="CO63" i="8"/>
  <c r="CO94" i="8"/>
  <c r="CO84" i="8"/>
  <c r="CO126" i="8"/>
  <c r="CO95" i="8"/>
  <c r="CO124" i="8"/>
  <c r="CO53" i="8"/>
  <c r="CN112" i="8"/>
  <c r="CN102" i="8"/>
  <c r="CN116" i="8"/>
  <c r="CN117" i="8"/>
  <c r="CN118" i="8"/>
  <c r="CN114" i="8"/>
  <c r="CN113" i="8"/>
  <c r="CN119" i="8"/>
  <c r="CD77" i="15"/>
  <c r="CD140" i="15" s="1"/>
  <c r="CD62" i="15"/>
  <c r="CD125" i="15" s="1"/>
  <c r="CD54" i="15"/>
  <c r="CD117" i="15" s="1"/>
  <c r="CD95" i="15"/>
  <c r="CD158" i="15" s="1"/>
  <c r="CD55" i="15"/>
  <c r="CD118" i="15" s="1"/>
  <c r="CD48" i="15"/>
  <c r="CD111" i="15" s="1"/>
  <c r="CD97" i="15"/>
  <c r="CD160" i="15" s="1"/>
  <c r="CD67" i="15"/>
  <c r="CD130" i="15" s="1"/>
  <c r="CD91" i="15"/>
  <c r="CD154" i="15" s="1"/>
  <c r="CD72" i="15"/>
  <c r="CD135" i="15" s="1"/>
  <c r="CD73" i="15"/>
  <c r="CD136" i="15" s="1"/>
  <c r="CD89" i="15"/>
  <c r="CD152" i="15" s="1"/>
  <c r="CD76" i="15"/>
  <c r="CD139" i="15" s="1"/>
  <c r="CD94" i="15"/>
  <c r="CD157" i="15" s="1"/>
  <c r="CD65" i="15"/>
  <c r="CD128" i="15" s="1"/>
  <c r="CD46" i="15"/>
  <c r="CD109" i="15" s="1"/>
  <c r="CD86" i="15"/>
  <c r="CD149" i="15" s="1"/>
  <c r="CD61" i="15"/>
  <c r="CD124" i="15" s="1"/>
  <c r="CD52" i="15"/>
  <c r="CD115" i="15" s="1"/>
  <c r="CD79" i="15"/>
  <c r="CD142" i="15" s="1"/>
  <c r="CD75" i="15"/>
  <c r="CD138" i="15" s="1"/>
  <c r="CD85" i="15"/>
  <c r="CD148" i="15" s="1"/>
  <c r="CD74" i="15"/>
  <c r="CD137" i="15" s="1"/>
  <c r="CD90" i="15"/>
  <c r="CD153" i="15" s="1"/>
  <c r="CD59" i="15"/>
  <c r="CD122" i="15" s="1"/>
  <c r="CD100" i="15"/>
  <c r="CD88" i="15"/>
  <c r="CD151" i="15" s="1"/>
  <c r="CD39" i="15"/>
  <c r="CD105" i="15" s="1"/>
  <c r="CD64" i="15"/>
  <c r="CD127" i="15" s="1"/>
  <c r="CD45" i="15"/>
  <c r="CD108" i="15" s="1"/>
  <c r="CD68" i="15"/>
  <c r="CD131" i="15" s="1"/>
  <c r="CD93" i="15"/>
  <c r="CD156" i="15" s="1"/>
  <c r="CD58" i="15"/>
  <c r="CD121" i="15" s="1"/>
  <c r="CD99" i="15"/>
  <c r="CD44" i="15"/>
  <c r="CD107" i="15" s="1"/>
  <c r="CD78" i="15"/>
  <c r="CD141" i="15" s="1"/>
  <c r="CD47" i="15"/>
  <c r="CD110" i="15" s="1"/>
  <c r="CD87" i="15"/>
  <c r="CD150" i="15" s="1"/>
  <c r="CD82" i="15"/>
  <c r="CD145" i="15" s="1"/>
  <c r="CD70" i="15"/>
  <c r="CD133" i="15" s="1"/>
  <c r="CD102" i="15"/>
  <c r="CD162" i="15" s="1"/>
  <c r="CD51" i="15"/>
  <c r="CD114" i="15" s="1"/>
  <c r="CD80" i="15"/>
  <c r="CD143" i="15" s="1"/>
  <c r="CD83" i="15"/>
  <c r="CD146" i="15" s="1"/>
  <c r="CD69" i="15"/>
  <c r="CD132" i="15" s="1"/>
  <c r="CD98" i="15"/>
  <c r="CD161" i="15" s="1"/>
  <c r="CD84" i="15"/>
  <c r="CD147" i="15" s="1"/>
  <c r="CD49" i="15"/>
  <c r="CD112" i="15" s="1"/>
  <c r="CD53" i="15"/>
  <c r="CD116" i="15" s="1"/>
  <c r="CD57" i="15"/>
  <c r="CD120" i="15" s="1"/>
  <c r="CD63" i="15"/>
  <c r="CD126" i="15" s="1"/>
  <c r="CD92" i="15"/>
  <c r="CD155" i="15" s="1"/>
  <c r="CD43" i="15"/>
  <c r="CD106" i="15" s="1"/>
  <c r="CD50" i="15"/>
  <c r="CD113" i="15" s="1"/>
  <c r="CD60" i="15"/>
  <c r="CD123" i="15" s="1"/>
  <c r="CD71" i="15"/>
  <c r="CD134" i="15" s="1"/>
  <c r="CD101" i="15"/>
  <c r="CD56" i="15"/>
  <c r="CD119" i="15" s="1"/>
  <c r="CD66" i="15"/>
  <c r="CD129" i="15" s="1"/>
  <c r="CD96" i="15"/>
  <c r="CD159" i="15" s="1"/>
  <c r="CD81" i="15"/>
  <c r="CD144" i="15" s="1"/>
  <c r="CF38" i="15"/>
  <c r="CE96" i="15" a="1"/>
  <c r="CE58" i="15" a="1"/>
  <c r="CE54" i="15" a="1"/>
  <c r="CE65" i="15" a="1"/>
  <c r="CE68" i="15" a="1"/>
  <c r="CE83" i="15" a="1"/>
  <c r="CE49" i="15" a="1"/>
  <c r="CE72" i="15" a="1"/>
  <c r="CE85" i="15" a="1"/>
  <c r="CE46" i="15" a="1"/>
  <c r="CE39" i="15" a="1"/>
  <c r="CE48" i="15" a="1"/>
  <c r="CE76" i="15" a="1"/>
  <c r="CE84" i="15" a="1"/>
  <c r="CE60" i="15" a="1"/>
  <c r="CE82" i="15" a="1"/>
  <c r="CE77" i="15" a="1"/>
  <c r="CE86" i="15" a="1"/>
  <c r="CE78" i="15" a="1"/>
  <c r="CE95" i="15" a="1"/>
  <c r="CE62" i="15" a="1"/>
  <c r="CE55" i="15" a="1"/>
  <c r="CE47" i="15" a="1"/>
  <c r="CE94" i="15" a="1"/>
  <c r="CE75" i="15" a="1"/>
  <c r="CE53" i="15" a="1"/>
  <c r="CE51" i="15" a="1"/>
  <c r="CE45" i="15" a="1"/>
  <c r="CE73" i="15" a="1"/>
  <c r="CE63" i="15" a="1"/>
  <c r="CE50" i="15" a="1"/>
  <c r="CE74" i="15" a="1"/>
  <c r="CE90" i="15" a="1"/>
  <c r="CE102" i="15" a="1"/>
  <c r="CE89" i="15" a="1"/>
  <c r="CE66" i="15" a="1"/>
  <c r="CE97" i="15" a="1"/>
  <c r="CE52" i="15" a="1"/>
  <c r="CE87" i="15" a="1"/>
  <c r="CE92" i="15" a="1"/>
  <c r="CE88" i="15" a="1"/>
  <c r="CE61" i="15" a="1"/>
  <c r="CE64" i="15" a="1"/>
  <c r="CE70" i="15" a="1"/>
  <c r="CE59" i="15" a="1"/>
  <c r="CE81" i="15" a="1"/>
  <c r="CE67" i="15" a="1"/>
  <c r="CE93" i="15" a="1"/>
  <c r="CE57" i="15" a="1"/>
  <c r="CE99" i="15" a="1"/>
  <c r="CE100" i="15" a="1"/>
  <c r="CE80" i="15" a="1"/>
  <c r="CE98" i="15" a="1"/>
  <c r="CE91" i="15" a="1"/>
  <c r="CE101" i="15" a="1"/>
  <c r="CE43" i="15" a="1"/>
  <c r="CE44" i="15" a="1"/>
  <c r="CE79" i="15" a="1"/>
  <c r="CE69" i="15" a="1"/>
  <c r="CE71" i="15" a="1"/>
  <c r="CE56" i="15" a="1"/>
  <c r="CO118" i="8" l="1"/>
  <c r="CO119" i="8"/>
  <c r="CO116" i="8"/>
  <c r="CO113" i="8"/>
  <c r="CO120" i="8"/>
  <c r="CO112" i="8"/>
  <c r="CO102" i="8"/>
  <c r="CO117" i="8"/>
  <c r="CO115" i="8"/>
  <c r="CO114" i="8"/>
  <c r="CE56" i="15"/>
  <c r="CE119" i="15" s="1"/>
  <c r="CE72" i="15"/>
  <c r="CE135" i="15" s="1"/>
  <c r="CE78" i="15"/>
  <c r="CE141" i="15" s="1"/>
  <c r="CE63" i="15"/>
  <c r="CE126" i="15" s="1"/>
  <c r="CE99" i="15"/>
  <c r="CE59" i="15"/>
  <c r="CE122" i="15" s="1"/>
  <c r="CE65" i="15"/>
  <c r="CE128" i="15" s="1"/>
  <c r="CE60" i="15"/>
  <c r="CE123" i="15" s="1"/>
  <c r="CE88" i="15"/>
  <c r="CE151" i="15" s="1"/>
  <c r="CE102" i="15"/>
  <c r="CE162" i="15" s="1"/>
  <c r="CE57" i="15"/>
  <c r="CE120" i="15" s="1"/>
  <c r="CE71" i="15"/>
  <c r="CE134" i="15" s="1"/>
  <c r="CE53" i="15"/>
  <c r="CE116" i="15" s="1"/>
  <c r="CE98" i="15"/>
  <c r="CE161" i="15" s="1"/>
  <c r="CE90" i="15"/>
  <c r="CE153" i="15" s="1"/>
  <c r="CE70" i="15"/>
  <c r="CE133" i="15" s="1"/>
  <c r="CE39" i="15"/>
  <c r="CE105" i="15" s="1"/>
  <c r="CE97" i="15"/>
  <c r="CE160" i="15" s="1"/>
  <c r="CE86" i="15"/>
  <c r="CE149" i="15" s="1"/>
  <c r="CE73" i="15"/>
  <c r="CE136" i="15" s="1"/>
  <c r="CE43" i="15"/>
  <c r="CE106" i="15" s="1"/>
  <c r="CE55" i="15"/>
  <c r="CE118" i="15" s="1"/>
  <c r="CE54" i="15"/>
  <c r="CE117" i="15" s="1"/>
  <c r="CE84" i="15"/>
  <c r="CE147" i="15" s="1"/>
  <c r="CE92" i="15"/>
  <c r="CE155" i="15" s="1"/>
  <c r="CE49" i="15"/>
  <c r="CE112" i="15" s="1"/>
  <c r="CE93" i="15"/>
  <c r="CE156" i="15" s="1"/>
  <c r="CE69" i="15"/>
  <c r="CE132" i="15" s="1"/>
  <c r="CE75" i="15"/>
  <c r="CE138" i="15" s="1"/>
  <c r="CE80" i="15"/>
  <c r="CE143" i="15" s="1"/>
  <c r="CE74" i="15"/>
  <c r="CE137" i="15" s="1"/>
  <c r="CE64" i="15"/>
  <c r="CE127" i="15" s="1"/>
  <c r="CE46" i="15"/>
  <c r="CE109" i="15" s="1"/>
  <c r="CE66" i="15"/>
  <c r="CE129" i="15" s="1"/>
  <c r="CE77" i="15"/>
  <c r="CE140" i="15" s="1"/>
  <c r="CE45" i="15"/>
  <c r="CE108" i="15" s="1"/>
  <c r="CE101" i="15"/>
  <c r="CE62" i="15"/>
  <c r="CE125" i="15" s="1"/>
  <c r="CE58" i="15"/>
  <c r="CE121" i="15" s="1"/>
  <c r="CE76" i="15"/>
  <c r="CE139" i="15" s="1"/>
  <c r="CE87" i="15"/>
  <c r="CE150" i="15" s="1"/>
  <c r="CE83" i="15"/>
  <c r="CE146" i="15" s="1"/>
  <c r="CE67" i="15"/>
  <c r="CE130" i="15" s="1"/>
  <c r="CE79" i="15"/>
  <c r="CE142" i="15" s="1"/>
  <c r="CE94" i="15"/>
  <c r="CE157" i="15" s="1"/>
  <c r="CE100" i="15"/>
  <c r="CE50" i="15"/>
  <c r="CE113" i="15" s="1"/>
  <c r="CE61" i="15"/>
  <c r="CE124" i="15" s="1"/>
  <c r="CE85" i="15"/>
  <c r="CE148" i="15" s="1"/>
  <c r="CE89" i="15"/>
  <c r="CE152" i="15" s="1"/>
  <c r="CE82" i="15"/>
  <c r="CE145" i="15" s="1"/>
  <c r="CE51" i="15"/>
  <c r="CE114" i="15" s="1"/>
  <c r="CE91" i="15"/>
  <c r="CE154" i="15" s="1"/>
  <c r="CE95" i="15"/>
  <c r="CE158" i="15" s="1"/>
  <c r="CE96" i="15"/>
  <c r="CE159" i="15" s="1"/>
  <c r="CE48" i="15"/>
  <c r="CE111" i="15" s="1"/>
  <c r="CE52" i="15"/>
  <c r="CE115" i="15" s="1"/>
  <c r="CE68" i="15"/>
  <c r="CE131" i="15" s="1"/>
  <c r="CE81" i="15"/>
  <c r="CE144" i="15" s="1"/>
  <c r="CE44" i="15"/>
  <c r="CE107" i="15" s="1"/>
  <c r="CE47" i="15"/>
  <c r="CE110" i="15" s="1"/>
  <c r="CG38" i="15"/>
  <c r="CF52" i="15" a="1"/>
  <c r="CF64" i="15" a="1"/>
  <c r="CF48" i="15" a="1"/>
  <c r="CF94" i="15" a="1"/>
  <c r="CF82" i="15" a="1"/>
  <c r="CF68" i="15" a="1"/>
  <c r="CF43" i="15" a="1"/>
  <c r="CF80" i="15" a="1"/>
  <c r="CF100" i="15" a="1"/>
  <c r="CF102" i="15" a="1"/>
  <c r="CF72" i="15" a="1"/>
  <c r="CF77" i="15" a="1"/>
  <c r="CF83" i="15" a="1"/>
  <c r="CF86" i="15" a="1"/>
  <c r="CF44" i="15" a="1"/>
  <c r="CF81" i="15" a="1"/>
  <c r="CF89" i="15" a="1"/>
  <c r="CF97" i="15" a="1"/>
  <c r="CF74" i="15" a="1"/>
  <c r="CF59" i="15" a="1"/>
  <c r="CF75" i="15" a="1"/>
  <c r="CF50" i="15" a="1"/>
  <c r="CF71" i="15" a="1"/>
  <c r="CF65" i="15" a="1"/>
  <c r="CF88" i="15" a="1"/>
  <c r="CF67" i="15" a="1"/>
  <c r="CF95" i="15" a="1"/>
  <c r="CF90" i="15" a="1"/>
  <c r="CF63" i="15" a="1"/>
  <c r="CF101" i="15" a="1"/>
  <c r="CF78" i="15" a="1"/>
  <c r="CF39" i="15" a="1"/>
  <c r="CF51" i="15" a="1"/>
  <c r="CF69" i="15" a="1"/>
  <c r="CF98" i="15" a="1"/>
  <c r="CF66" i="15" a="1"/>
  <c r="CF61" i="15" a="1"/>
  <c r="CF91" i="15" a="1"/>
  <c r="CF84" i="15" a="1"/>
  <c r="CF46" i="15" a="1"/>
  <c r="CF56" i="15" a="1"/>
  <c r="CF54" i="15" a="1"/>
  <c r="CF47" i="15" a="1"/>
  <c r="CF96" i="15" a="1"/>
  <c r="CF76" i="15" a="1"/>
  <c r="CF87" i="15" a="1"/>
  <c r="CF70" i="15" a="1"/>
  <c r="CF49" i="15" a="1"/>
  <c r="CF79" i="15" a="1"/>
  <c r="CF85" i="15" a="1"/>
  <c r="CF60" i="15" a="1"/>
  <c r="CF93" i="15" a="1"/>
  <c r="CF55" i="15" a="1"/>
  <c r="CF73" i="15" a="1"/>
  <c r="CF58" i="15" a="1"/>
  <c r="CF99" i="15" a="1"/>
  <c r="CF57" i="15" a="1"/>
  <c r="CF62" i="15" a="1"/>
  <c r="CF45" i="15" a="1"/>
  <c r="CF92" i="15" a="1"/>
  <c r="CF53" i="15" a="1"/>
  <c r="CF81" i="15" l="1"/>
  <c r="CF144" i="15" s="1"/>
  <c r="CF80" i="15"/>
  <c r="CF143" i="15" s="1"/>
  <c r="CF59" i="15"/>
  <c r="CF122" i="15" s="1"/>
  <c r="CF87" i="15"/>
  <c r="CF150" i="15" s="1"/>
  <c r="CF65" i="15"/>
  <c r="CF128" i="15" s="1"/>
  <c r="CF55" i="15"/>
  <c r="CF118" i="15" s="1"/>
  <c r="CF53" i="15"/>
  <c r="CF116" i="15" s="1"/>
  <c r="CF78" i="15"/>
  <c r="CF141" i="15" s="1"/>
  <c r="CF57" i="15"/>
  <c r="CF120" i="15" s="1"/>
  <c r="CF91" i="15"/>
  <c r="CF154" i="15" s="1"/>
  <c r="CF94" i="15"/>
  <c r="CF157" i="15" s="1"/>
  <c r="CF44" i="15"/>
  <c r="CF107" i="15" s="1"/>
  <c r="CF54" i="15"/>
  <c r="CF117" i="15" s="1"/>
  <c r="CF71" i="15"/>
  <c r="CF134" i="15" s="1"/>
  <c r="CF79" i="15"/>
  <c r="CF142" i="15" s="1"/>
  <c r="CF92" i="15"/>
  <c r="CF155" i="15" s="1"/>
  <c r="CF95" i="15"/>
  <c r="CF158" i="15" s="1"/>
  <c r="CF43" i="15"/>
  <c r="CF106" i="15" s="1"/>
  <c r="CF69" i="15"/>
  <c r="CF132" i="15" s="1"/>
  <c r="CF76" i="15"/>
  <c r="CF139" i="15" s="1"/>
  <c r="CF72" i="15"/>
  <c r="CF135" i="15" s="1"/>
  <c r="CF93" i="15"/>
  <c r="CF156" i="15" s="1"/>
  <c r="CF74" i="15"/>
  <c r="CF137" i="15" s="1"/>
  <c r="CF101" i="15"/>
  <c r="CF99" i="15"/>
  <c r="CF61" i="15"/>
  <c r="CF124" i="15" s="1"/>
  <c r="CF48" i="15"/>
  <c r="CF111" i="15" s="1"/>
  <c r="CF86" i="15"/>
  <c r="CF149" i="15" s="1"/>
  <c r="CF56" i="15"/>
  <c r="CF119" i="15" s="1"/>
  <c r="CF50" i="15"/>
  <c r="CF113" i="15" s="1"/>
  <c r="CF49" i="15"/>
  <c r="CF112" i="15" s="1"/>
  <c r="CF45" i="15"/>
  <c r="CF108" i="15" s="1"/>
  <c r="CF67" i="15"/>
  <c r="CF130" i="15" s="1"/>
  <c r="CF68" i="15"/>
  <c r="CF131" i="15" s="1"/>
  <c r="CF51" i="15"/>
  <c r="CF114" i="15" s="1"/>
  <c r="CF96" i="15"/>
  <c r="CF159" i="15" s="1"/>
  <c r="CF102" i="15"/>
  <c r="CF162" i="15" s="1"/>
  <c r="CF60" i="15"/>
  <c r="CF123" i="15" s="1"/>
  <c r="CF97" i="15"/>
  <c r="CF160" i="15" s="1"/>
  <c r="CF63" i="15"/>
  <c r="CF126" i="15" s="1"/>
  <c r="CF58" i="15"/>
  <c r="CF121" i="15" s="1"/>
  <c r="CF66" i="15"/>
  <c r="CF129" i="15" s="1"/>
  <c r="CF64" i="15"/>
  <c r="CF127" i="15" s="1"/>
  <c r="CF83" i="15"/>
  <c r="CF146" i="15" s="1"/>
  <c r="CF46" i="15"/>
  <c r="CF109" i="15" s="1"/>
  <c r="CF75" i="15"/>
  <c r="CF138" i="15" s="1"/>
  <c r="CF70" i="15"/>
  <c r="CF133" i="15" s="1"/>
  <c r="CF62" i="15"/>
  <c r="CF125" i="15" s="1"/>
  <c r="CF88" i="15"/>
  <c r="CF151" i="15" s="1"/>
  <c r="CF82" i="15"/>
  <c r="CF145" i="15" s="1"/>
  <c r="CF39" i="15"/>
  <c r="CF105" i="15" s="1"/>
  <c r="CF47" i="15"/>
  <c r="CF110" i="15" s="1"/>
  <c r="CF100" i="15"/>
  <c r="CF85" i="15"/>
  <c r="CF148" i="15" s="1"/>
  <c r="CF89" i="15"/>
  <c r="CF152" i="15" s="1"/>
  <c r="CF90" i="15"/>
  <c r="CF153" i="15" s="1"/>
  <c r="CF73" i="15"/>
  <c r="CF136" i="15" s="1"/>
  <c r="CF98" i="15"/>
  <c r="CF161" i="15" s="1"/>
  <c r="CF52" i="15"/>
  <c r="CF115" i="15" s="1"/>
  <c r="CF77" i="15"/>
  <c r="CF140" i="15" s="1"/>
  <c r="CF84" i="15"/>
  <c r="CF147" i="15" s="1"/>
  <c r="CH38" i="15"/>
  <c r="CG77" i="15" a="1"/>
  <c r="CG70" i="15" a="1"/>
  <c r="CG52" i="15" a="1"/>
  <c r="CG58" i="15" a="1"/>
  <c r="CG76" i="15" a="1"/>
  <c r="CG44" i="15" a="1"/>
  <c r="CG66" i="15" a="1"/>
  <c r="CG73" i="15" a="1"/>
  <c r="CG59" i="15" a="1"/>
  <c r="CG84" i="15" a="1"/>
  <c r="CG49" i="15" a="1"/>
  <c r="CG83" i="15" a="1"/>
  <c r="CG39" i="15" a="1"/>
  <c r="CG96" i="15" a="1"/>
  <c r="CG56" i="15" a="1"/>
  <c r="CG65" i="15" a="1"/>
  <c r="CG90" i="15" a="1"/>
  <c r="CG79" i="15" a="1"/>
  <c r="CG71" i="15" a="1"/>
  <c r="CG72" i="15" a="1"/>
  <c r="CG98" i="15" a="1"/>
  <c r="CG89" i="15" a="1"/>
  <c r="CG54" i="15" a="1"/>
  <c r="CG48" i="15" a="1"/>
  <c r="CG95" i="15" a="1"/>
  <c r="CG91" i="15" a="1"/>
  <c r="CG100" i="15" a="1"/>
  <c r="CG102" i="15" a="1"/>
  <c r="CG60" i="15" a="1"/>
  <c r="CG78" i="15" a="1"/>
  <c r="CG62" i="15" a="1"/>
  <c r="CG47" i="15" a="1"/>
  <c r="CG99" i="15" a="1"/>
  <c r="CG64" i="15" a="1"/>
  <c r="CG55" i="15" a="1"/>
  <c r="CG63" i="15" a="1"/>
  <c r="CG82" i="15" a="1"/>
  <c r="CG85" i="15" a="1"/>
  <c r="CG46" i="15" a="1"/>
  <c r="CG80" i="15" a="1"/>
  <c r="CG87" i="15" a="1"/>
  <c r="CG75" i="15" a="1"/>
  <c r="CG61" i="15" a="1"/>
  <c r="CG81" i="15" a="1"/>
  <c r="CG53" i="15" a="1"/>
  <c r="CG93" i="15" a="1"/>
  <c r="CG50" i="15" a="1"/>
  <c r="CG57" i="15" a="1"/>
  <c r="CG94" i="15" a="1"/>
  <c r="CG68" i="15" a="1"/>
  <c r="CG97" i="15" a="1"/>
  <c r="CG88" i="15" a="1"/>
  <c r="CG101" i="15" a="1"/>
  <c r="CG43" i="15" a="1"/>
  <c r="CG74" i="15" a="1"/>
  <c r="CG92" i="15" a="1"/>
  <c r="CG45" i="15" a="1"/>
  <c r="CG86" i="15" a="1"/>
  <c r="CG51" i="15" a="1"/>
  <c r="CG67" i="15" a="1"/>
  <c r="CG69" i="15" a="1"/>
  <c r="CG91" i="15" l="1"/>
  <c r="CG154" i="15" s="1"/>
  <c r="CG71" i="15"/>
  <c r="CG134" i="15" s="1"/>
  <c r="CG92" i="15"/>
  <c r="CG155" i="15" s="1"/>
  <c r="CG67" i="15"/>
  <c r="CG130" i="15" s="1"/>
  <c r="CG84" i="15"/>
  <c r="CG147" i="15" s="1"/>
  <c r="CG49" i="15"/>
  <c r="CG112" i="15" s="1"/>
  <c r="CG62" i="15"/>
  <c r="CG125" i="15" s="1"/>
  <c r="CG65" i="15"/>
  <c r="CG128" i="15" s="1"/>
  <c r="CG74" i="15"/>
  <c r="CG137" i="15" s="1"/>
  <c r="CG69" i="15"/>
  <c r="CG132" i="15" s="1"/>
  <c r="CG52" i="15"/>
  <c r="CG115" i="15" s="1"/>
  <c r="CG78" i="15"/>
  <c r="CG141" i="15" s="1"/>
  <c r="CG87" i="15"/>
  <c r="CG150" i="15" s="1"/>
  <c r="CG89" i="15"/>
  <c r="CG152" i="15" s="1"/>
  <c r="CG75" i="15"/>
  <c r="CG138" i="15" s="1"/>
  <c r="CG96" i="15"/>
  <c r="CG159" i="15" s="1"/>
  <c r="CG95" i="15"/>
  <c r="CG158" i="15" s="1"/>
  <c r="CG44" i="15"/>
  <c r="CG107" i="15" s="1"/>
  <c r="CG56" i="15"/>
  <c r="CG119" i="15" s="1"/>
  <c r="CG51" i="15"/>
  <c r="CG114" i="15" s="1"/>
  <c r="CG59" i="15"/>
  <c r="CG122" i="15" s="1"/>
  <c r="CG97" i="15"/>
  <c r="CG160" i="15" s="1"/>
  <c r="CG57" i="15"/>
  <c r="CG120" i="15" s="1"/>
  <c r="CG53" i="15"/>
  <c r="CG116" i="15" s="1"/>
  <c r="CG43" i="15"/>
  <c r="CG106" i="15" s="1"/>
  <c r="CG82" i="15"/>
  <c r="CG145" i="15" s="1"/>
  <c r="CG64" i="15"/>
  <c r="CG127" i="15" s="1"/>
  <c r="CG60" i="15"/>
  <c r="CG123" i="15" s="1"/>
  <c r="CG80" i="15"/>
  <c r="CG143" i="15" s="1"/>
  <c r="CG98" i="15"/>
  <c r="CG161" i="15" s="1"/>
  <c r="CG79" i="15"/>
  <c r="CG142" i="15" s="1"/>
  <c r="CG39" i="15"/>
  <c r="CG105" i="15" s="1"/>
  <c r="CG48" i="15"/>
  <c r="CG111" i="15" s="1"/>
  <c r="CG76" i="15"/>
  <c r="CG139" i="15" s="1"/>
  <c r="CG70" i="15"/>
  <c r="CG133" i="15" s="1"/>
  <c r="CG86" i="15"/>
  <c r="CG149" i="15" s="1"/>
  <c r="CG73" i="15"/>
  <c r="CG136" i="15" s="1"/>
  <c r="CG68" i="15"/>
  <c r="CG131" i="15" s="1"/>
  <c r="CG50" i="15"/>
  <c r="CG113" i="15" s="1"/>
  <c r="CG81" i="15"/>
  <c r="CG144" i="15" s="1"/>
  <c r="CG101" i="15"/>
  <c r="CG63" i="15"/>
  <c r="CG126" i="15" s="1"/>
  <c r="CG99" i="15"/>
  <c r="CG102" i="15"/>
  <c r="CG162" i="15" s="1"/>
  <c r="CG46" i="15"/>
  <c r="CG109" i="15" s="1"/>
  <c r="CG72" i="15"/>
  <c r="CG135" i="15" s="1"/>
  <c r="CG90" i="15"/>
  <c r="CG153" i="15" s="1"/>
  <c r="CG83" i="15"/>
  <c r="CG146" i="15" s="1"/>
  <c r="CG54" i="15"/>
  <c r="CG117" i="15" s="1"/>
  <c r="CG58" i="15"/>
  <c r="CG121" i="15" s="1"/>
  <c r="CG77" i="15"/>
  <c r="CG140" i="15" s="1"/>
  <c r="CG45" i="15"/>
  <c r="CG108" i="15" s="1"/>
  <c r="CG66" i="15"/>
  <c r="CG129" i="15" s="1"/>
  <c r="CG94" i="15"/>
  <c r="CG157" i="15" s="1"/>
  <c r="CG93" i="15"/>
  <c r="CG156" i="15" s="1"/>
  <c r="CG61" i="15"/>
  <c r="CG124" i="15" s="1"/>
  <c r="CG88" i="15"/>
  <c r="CG151" i="15" s="1"/>
  <c r="CG55" i="15"/>
  <c r="CG118" i="15" s="1"/>
  <c r="CG47" i="15"/>
  <c r="CG110" i="15" s="1"/>
  <c r="CG100" i="15"/>
  <c r="CG85" i="15"/>
  <c r="CG148" i="15" s="1"/>
  <c r="CI38" i="15"/>
  <c r="CH75" i="15" a="1"/>
  <c r="CH54" i="15" a="1"/>
  <c r="CH60" i="15" a="1"/>
  <c r="CH65" i="15" a="1"/>
  <c r="CH81" i="15" a="1"/>
  <c r="CH93" i="15" a="1"/>
  <c r="CH95" i="15" a="1"/>
  <c r="CH48" i="15" a="1"/>
  <c r="CH72" i="15" a="1"/>
  <c r="CH52" i="15" a="1"/>
  <c r="CH84" i="15" a="1"/>
  <c r="CH56" i="15" a="1"/>
  <c r="CH45" i="15" a="1"/>
  <c r="CH74" i="15" a="1"/>
  <c r="CH85" i="15" a="1"/>
  <c r="CH46" i="15" a="1"/>
  <c r="CH70" i="15" a="1"/>
  <c r="CH90" i="15" a="1"/>
  <c r="CH53" i="15" a="1"/>
  <c r="CH76" i="15" a="1"/>
  <c r="CH66" i="15" a="1"/>
  <c r="CH71" i="15" a="1"/>
  <c r="CH83" i="15" a="1"/>
  <c r="CH82" i="15" a="1"/>
  <c r="CH96" i="15" a="1"/>
  <c r="CH55" i="15" a="1"/>
  <c r="CH59" i="15" a="1"/>
  <c r="CH58" i="15" a="1"/>
  <c r="CH92" i="15" a="1"/>
  <c r="CH80" i="15" a="1"/>
  <c r="CH50" i="15" a="1"/>
  <c r="CH69" i="15" a="1"/>
  <c r="CH98" i="15" a="1"/>
  <c r="CH67" i="15" a="1"/>
  <c r="CH44" i="15" a="1"/>
  <c r="CH97" i="15" a="1"/>
  <c r="CH100" i="15" a="1"/>
  <c r="CH102" i="15" a="1"/>
  <c r="CH63" i="15" a="1"/>
  <c r="CH87" i="15" a="1"/>
  <c r="CH101" i="15" a="1"/>
  <c r="CH68" i="15" a="1"/>
  <c r="CH61" i="15" a="1"/>
  <c r="CH94" i="15" a="1"/>
  <c r="CH39" i="15" a="1"/>
  <c r="CH57" i="15" a="1"/>
  <c r="CH43" i="15" a="1"/>
  <c r="CH62" i="15" a="1"/>
  <c r="CH73" i="15" a="1"/>
  <c r="CH77" i="15" a="1"/>
  <c r="CH79" i="15" a="1"/>
  <c r="CH64" i="15" a="1"/>
  <c r="CH99" i="15" a="1"/>
  <c r="CH49" i="15" a="1"/>
  <c r="CH86" i="15" a="1"/>
  <c r="CH89" i="15" a="1"/>
  <c r="CH47" i="15" a="1"/>
  <c r="CH78" i="15" a="1"/>
  <c r="CH91" i="15" a="1"/>
  <c r="CH88" i="15" a="1"/>
  <c r="CH51" i="15" a="1"/>
  <c r="CH76" i="15" l="1"/>
  <c r="CH139" i="15" s="1"/>
  <c r="CH87" i="15"/>
  <c r="CH150" i="15" s="1"/>
  <c r="CH65" i="15"/>
  <c r="CH128" i="15" s="1"/>
  <c r="CH96" i="15"/>
  <c r="CH159" i="15" s="1"/>
  <c r="CH84" i="15"/>
  <c r="CH147" i="15" s="1"/>
  <c r="CH90" i="15"/>
  <c r="CH153" i="15" s="1"/>
  <c r="CH62" i="15"/>
  <c r="CH125" i="15" s="1"/>
  <c r="CH89" i="15"/>
  <c r="CH152" i="15" s="1"/>
  <c r="CH70" i="15"/>
  <c r="CH133" i="15" s="1"/>
  <c r="CH92" i="15"/>
  <c r="CH155" i="15" s="1"/>
  <c r="CH68" i="15"/>
  <c r="CH131" i="15" s="1"/>
  <c r="CH63" i="15"/>
  <c r="CH126" i="15" s="1"/>
  <c r="CH77" i="15"/>
  <c r="CH140" i="15" s="1"/>
  <c r="CH85" i="15"/>
  <c r="CH148" i="15" s="1"/>
  <c r="CH58" i="15"/>
  <c r="CH121" i="15" s="1"/>
  <c r="CH74" i="15"/>
  <c r="CH137" i="15" s="1"/>
  <c r="CH39" i="15"/>
  <c r="CH105" i="15" s="1"/>
  <c r="CH69" i="15"/>
  <c r="CH132" i="15" s="1"/>
  <c r="CH60" i="15"/>
  <c r="CH123" i="15" s="1"/>
  <c r="CH79" i="15"/>
  <c r="CH142" i="15" s="1"/>
  <c r="CH44" i="15"/>
  <c r="CH107" i="15" s="1"/>
  <c r="CH95" i="15"/>
  <c r="CH158" i="15" s="1"/>
  <c r="CH66" i="15"/>
  <c r="CH129" i="15" s="1"/>
  <c r="CH57" i="15"/>
  <c r="CH120" i="15" s="1"/>
  <c r="CH52" i="15"/>
  <c r="CH115" i="15" s="1"/>
  <c r="CH73" i="15"/>
  <c r="CH136" i="15" s="1"/>
  <c r="CH46" i="15"/>
  <c r="CH109" i="15" s="1"/>
  <c r="CH102" i="15"/>
  <c r="CH162" i="15" s="1"/>
  <c r="CH88" i="15"/>
  <c r="CH151" i="15" s="1"/>
  <c r="CH61" i="15"/>
  <c r="CH124" i="15" s="1"/>
  <c r="CH59" i="15"/>
  <c r="CH122" i="15" s="1"/>
  <c r="CH45" i="15"/>
  <c r="CH108" i="15" s="1"/>
  <c r="CH94" i="15"/>
  <c r="CH157" i="15" s="1"/>
  <c r="CH50" i="15"/>
  <c r="CH113" i="15" s="1"/>
  <c r="CH54" i="15"/>
  <c r="CH117" i="15" s="1"/>
  <c r="CH51" i="15"/>
  <c r="CH114" i="15" s="1"/>
  <c r="CH67" i="15"/>
  <c r="CH130" i="15" s="1"/>
  <c r="CH93" i="15"/>
  <c r="CH156" i="15" s="1"/>
  <c r="CH47" i="15"/>
  <c r="CH110" i="15" s="1"/>
  <c r="CH86" i="15"/>
  <c r="CH149" i="15" s="1"/>
  <c r="CH72" i="15"/>
  <c r="CH135" i="15" s="1"/>
  <c r="CH71" i="15"/>
  <c r="CH134" i="15" s="1"/>
  <c r="CH64" i="15"/>
  <c r="CH127" i="15" s="1"/>
  <c r="CH100" i="15"/>
  <c r="CH83" i="15"/>
  <c r="CH146" i="15" s="1"/>
  <c r="CH99" i="15"/>
  <c r="CH55" i="15"/>
  <c r="CH118" i="15" s="1"/>
  <c r="CH56" i="15"/>
  <c r="CH119" i="15" s="1"/>
  <c r="CH49" i="15"/>
  <c r="CH112" i="15" s="1"/>
  <c r="CH80" i="15"/>
  <c r="CH143" i="15" s="1"/>
  <c r="CH75" i="15"/>
  <c r="CH138" i="15" s="1"/>
  <c r="CH82" i="15"/>
  <c r="CH145" i="15" s="1"/>
  <c r="CH98" i="15"/>
  <c r="CH161" i="15" s="1"/>
  <c r="CH81" i="15"/>
  <c r="CH144" i="15" s="1"/>
  <c r="CH43" i="15"/>
  <c r="CH106" i="15" s="1"/>
  <c r="CH53" i="15"/>
  <c r="CH116" i="15" s="1"/>
  <c r="CH48" i="15"/>
  <c r="CH111" i="15" s="1"/>
  <c r="CH78" i="15"/>
  <c r="CH141" i="15" s="1"/>
  <c r="CH101" i="15"/>
  <c r="CH97" i="15"/>
  <c r="CH160" i="15" s="1"/>
  <c r="CH91" i="15"/>
  <c r="CH154" i="15" s="1"/>
  <c r="CJ38" i="15"/>
  <c r="CI80" i="15" a="1"/>
  <c r="CI54" i="15" a="1"/>
  <c r="CI100" i="15" a="1"/>
  <c r="CI62" i="15" a="1"/>
  <c r="CI69" i="15" a="1"/>
  <c r="CI46" i="15" a="1"/>
  <c r="CI47" i="15" a="1"/>
  <c r="CI74" i="15" a="1"/>
  <c r="CI77" i="15" a="1"/>
  <c r="CI49" i="15" a="1"/>
  <c r="CI99" i="15" a="1"/>
  <c r="CI58" i="15" a="1"/>
  <c r="CI66" i="15" a="1"/>
  <c r="CI94" i="15" a="1"/>
  <c r="CI72" i="15" a="1"/>
  <c r="CI85" i="15" a="1"/>
  <c r="CI79" i="15" a="1"/>
  <c r="CI90" i="15" a="1"/>
  <c r="CI97" i="15" a="1"/>
  <c r="CI101" i="15" a="1"/>
  <c r="CI81" i="15" a="1"/>
  <c r="CI50" i="15" a="1"/>
  <c r="CI61" i="15" a="1"/>
  <c r="CI82" i="15" a="1"/>
  <c r="CI65" i="15" a="1"/>
  <c r="CI91" i="15" a="1"/>
  <c r="CI52" i="15" a="1"/>
  <c r="CI44" i="15" a="1"/>
  <c r="CI84" i="15" a="1"/>
  <c r="CI95" i="15" a="1"/>
  <c r="CI51" i="15" a="1"/>
  <c r="CI92" i="15" a="1"/>
  <c r="CI75" i="15" a="1"/>
  <c r="CI73" i="15" a="1"/>
  <c r="CI60" i="15" a="1"/>
  <c r="CI56" i="15" a="1"/>
  <c r="CI64" i="15" a="1"/>
  <c r="CI48" i="15" a="1"/>
  <c r="CI96" i="15" a="1"/>
  <c r="CI67" i="15" a="1"/>
  <c r="CI102" i="15" a="1"/>
  <c r="CI87" i="15" a="1"/>
  <c r="CI59" i="15" a="1"/>
  <c r="CI78" i="15" a="1"/>
  <c r="CI71" i="15" a="1"/>
  <c r="CI93" i="15" a="1"/>
  <c r="CI70" i="15" a="1"/>
  <c r="CI83" i="15" a="1"/>
  <c r="CI88" i="15" a="1"/>
  <c r="CI89" i="15" a="1"/>
  <c r="CI86" i="15" a="1"/>
  <c r="CI68" i="15" a="1"/>
  <c r="CI98" i="15" a="1"/>
  <c r="CI43" i="15" a="1"/>
  <c r="CI63" i="15" a="1"/>
  <c r="CI76" i="15" a="1"/>
  <c r="CI53" i="15" a="1"/>
  <c r="CI57" i="15" a="1"/>
  <c r="CI55" i="15" a="1"/>
  <c r="CI45" i="15" a="1"/>
  <c r="CI39" i="15" a="1"/>
  <c r="CI96" i="15" l="1"/>
  <c r="CI159" i="15" s="1"/>
  <c r="CI60" i="15"/>
  <c r="CI123" i="15" s="1"/>
  <c r="CI83" i="15"/>
  <c r="CI146" i="15" s="1"/>
  <c r="CI39" i="15"/>
  <c r="CI105" i="15" s="1"/>
  <c r="CI82" i="15"/>
  <c r="CI145" i="15" s="1"/>
  <c r="CI101" i="15"/>
  <c r="CI59" i="15"/>
  <c r="CI122" i="15" s="1"/>
  <c r="CI78" i="15"/>
  <c r="CI141" i="15" s="1"/>
  <c r="CI99" i="15"/>
  <c r="CI47" i="15"/>
  <c r="CI110" i="15" s="1"/>
  <c r="CI51" i="15"/>
  <c r="CI114" i="15" s="1"/>
  <c r="CI55" i="15"/>
  <c r="CI118" i="15" s="1"/>
  <c r="CI63" i="15"/>
  <c r="CI126" i="15" s="1"/>
  <c r="CI86" i="15"/>
  <c r="CI149" i="15" s="1"/>
  <c r="CI85" i="15"/>
  <c r="CI148" i="15" s="1"/>
  <c r="CI87" i="15"/>
  <c r="CI150" i="15" s="1"/>
  <c r="CI48" i="15"/>
  <c r="CI111" i="15" s="1"/>
  <c r="CI73" i="15"/>
  <c r="CI136" i="15" s="1"/>
  <c r="CI100" i="15"/>
  <c r="CI52" i="15"/>
  <c r="CI115" i="15" s="1"/>
  <c r="CI61" i="15"/>
  <c r="CI124" i="15" s="1"/>
  <c r="CI97" i="15"/>
  <c r="CI160" i="15" s="1"/>
  <c r="CI70" i="15"/>
  <c r="CI133" i="15" s="1"/>
  <c r="CI45" i="15"/>
  <c r="CI108" i="15" s="1"/>
  <c r="CI49" i="15"/>
  <c r="CI112" i="15" s="1"/>
  <c r="CI46" i="15"/>
  <c r="CI109" i="15" s="1"/>
  <c r="CI95" i="15"/>
  <c r="CI158" i="15" s="1"/>
  <c r="CI57" i="15"/>
  <c r="CI120" i="15" s="1"/>
  <c r="CI43" i="15"/>
  <c r="CI106" i="15" s="1"/>
  <c r="CI89" i="15"/>
  <c r="CI152" i="15" s="1"/>
  <c r="CI72" i="15"/>
  <c r="CI135" i="15" s="1"/>
  <c r="CI102" i="15"/>
  <c r="CI162" i="15" s="1"/>
  <c r="CI64" i="15"/>
  <c r="CI127" i="15" s="1"/>
  <c r="CI75" i="15"/>
  <c r="CI138" i="15" s="1"/>
  <c r="CI54" i="15"/>
  <c r="CI117" i="15" s="1"/>
  <c r="CI91" i="15"/>
  <c r="CI154" i="15" s="1"/>
  <c r="CI50" i="15"/>
  <c r="CI113" i="15" s="1"/>
  <c r="CI90" i="15"/>
  <c r="CI153" i="15" s="1"/>
  <c r="CI93" i="15"/>
  <c r="CI156" i="15" s="1"/>
  <c r="CI66" i="15"/>
  <c r="CI129" i="15" s="1"/>
  <c r="CI77" i="15"/>
  <c r="CI140" i="15" s="1"/>
  <c r="CI69" i="15"/>
  <c r="CI132" i="15" s="1"/>
  <c r="CI84" i="15"/>
  <c r="CI147" i="15" s="1"/>
  <c r="CI53" i="15"/>
  <c r="CI116" i="15" s="1"/>
  <c r="CI98" i="15"/>
  <c r="CI161" i="15" s="1"/>
  <c r="CI88" i="15"/>
  <c r="CI151" i="15" s="1"/>
  <c r="CI94" i="15"/>
  <c r="CI157" i="15" s="1"/>
  <c r="CI67" i="15"/>
  <c r="CI130" i="15" s="1"/>
  <c r="CI56" i="15"/>
  <c r="CI119" i="15" s="1"/>
  <c r="CI92" i="15"/>
  <c r="CI155" i="15" s="1"/>
  <c r="CI80" i="15"/>
  <c r="CI143" i="15" s="1"/>
  <c r="CI65" i="15"/>
  <c r="CI128" i="15" s="1"/>
  <c r="CI81" i="15"/>
  <c r="CI144" i="15" s="1"/>
  <c r="CI79" i="15"/>
  <c r="CI142" i="15" s="1"/>
  <c r="CI71" i="15"/>
  <c r="CI134" i="15" s="1"/>
  <c r="CI58" i="15"/>
  <c r="CI121" i="15" s="1"/>
  <c r="CI74" i="15"/>
  <c r="CI137" i="15" s="1"/>
  <c r="CI62" i="15"/>
  <c r="CI125" i="15" s="1"/>
  <c r="CI44" i="15"/>
  <c r="CI107" i="15" s="1"/>
  <c r="CI76" i="15"/>
  <c r="CI139" i="15" s="1"/>
  <c r="CI68" i="15"/>
  <c r="CI131" i="15" s="1"/>
  <c r="CK38" i="15"/>
  <c r="CJ60" i="15" a="1"/>
  <c r="CJ47" i="15" a="1"/>
  <c r="CJ80" i="15" a="1"/>
  <c r="CJ43" i="15" a="1"/>
  <c r="CJ76" i="15" a="1"/>
  <c r="CJ87" i="15" a="1"/>
  <c r="CJ95" i="15" a="1"/>
  <c r="CJ45" i="15" a="1"/>
  <c r="CJ61" i="15" a="1"/>
  <c r="CJ97" i="15" a="1"/>
  <c r="CJ49" i="15" a="1"/>
  <c r="CJ48" i="15" a="1"/>
  <c r="CJ68" i="15" a="1"/>
  <c r="CJ44" i="15" a="1"/>
  <c r="CJ71" i="15" a="1"/>
  <c r="CJ63" i="15" a="1"/>
  <c r="CJ39" i="15" a="1"/>
  <c r="CJ65" i="15" a="1"/>
  <c r="CJ88" i="15" a="1"/>
  <c r="CJ86" i="15" a="1"/>
  <c r="CJ89" i="15" a="1"/>
  <c r="CJ51" i="15" a="1"/>
  <c r="CJ69" i="15" a="1"/>
  <c r="CJ67" i="15" a="1"/>
  <c r="CJ102" i="15" a="1"/>
  <c r="CJ58" i="15" a="1"/>
  <c r="CJ72" i="15" a="1"/>
  <c r="CJ81" i="15" a="1"/>
  <c r="CJ50" i="15" a="1"/>
  <c r="CJ94" i="15" a="1"/>
  <c r="CJ59" i="15" a="1"/>
  <c r="CJ99" i="15" a="1"/>
  <c r="CJ100" i="15" a="1"/>
  <c r="CJ46" i="15" a="1"/>
  <c r="CJ52" i="15" a="1"/>
  <c r="CJ57" i="15" a="1"/>
  <c r="CJ53" i="15" a="1"/>
  <c r="CJ93" i="15" a="1"/>
  <c r="CJ79" i="15" a="1"/>
  <c r="CJ91" i="15" a="1"/>
  <c r="CJ82" i="15" a="1"/>
  <c r="CJ85" i="15" a="1"/>
  <c r="CJ78" i="15" a="1"/>
  <c r="CJ75" i="15" a="1"/>
  <c r="CJ64" i="15" a="1"/>
  <c r="CJ98" i="15" a="1"/>
  <c r="CJ74" i="15" a="1"/>
  <c r="CJ70" i="15" a="1"/>
  <c r="CJ96" i="15" a="1"/>
  <c r="CJ62" i="15" a="1"/>
  <c r="CJ55" i="15" a="1"/>
  <c r="CJ84" i="15" a="1"/>
  <c r="CJ83" i="15" a="1"/>
  <c r="CJ101" i="15" a="1"/>
  <c r="CJ90" i="15" a="1"/>
  <c r="CJ56" i="15" a="1"/>
  <c r="CJ73" i="15" a="1"/>
  <c r="CJ92" i="15" a="1"/>
  <c r="CJ77" i="15" a="1"/>
  <c r="CJ54" i="15" a="1"/>
  <c r="CJ66" i="15" a="1"/>
  <c r="CJ49" i="15" l="1"/>
  <c r="CJ112" i="15" s="1"/>
  <c r="CJ95" i="15"/>
  <c r="CJ158" i="15" s="1"/>
  <c r="CJ59" i="15"/>
  <c r="CJ122" i="15" s="1"/>
  <c r="CJ66" i="15"/>
  <c r="CJ129" i="15" s="1"/>
  <c r="CJ101" i="15"/>
  <c r="CJ83" i="15"/>
  <c r="CJ146" i="15" s="1"/>
  <c r="CJ65" i="15"/>
  <c r="CJ128" i="15" s="1"/>
  <c r="CJ98" i="15"/>
  <c r="CJ161" i="15" s="1"/>
  <c r="CJ79" i="15"/>
  <c r="CJ142" i="15" s="1"/>
  <c r="CJ93" i="15"/>
  <c r="CJ156" i="15" s="1"/>
  <c r="CJ94" i="15"/>
  <c r="CJ157" i="15" s="1"/>
  <c r="CJ50" i="15"/>
  <c r="CJ113" i="15" s="1"/>
  <c r="CJ73" i="15"/>
  <c r="CJ136" i="15" s="1"/>
  <c r="CJ89" i="15"/>
  <c r="CJ152" i="15" s="1"/>
  <c r="CJ80" i="15"/>
  <c r="CJ143" i="15" s="1"/>
  <c r="CJ44" i="15"/>
  <c r="CJ107" i="15" s="1"/>
  <c r="CJ51" i="15"/>
  <c r="CJ114" i="15" s="1"/>
  <c r="CJ87" i="15"/>
  <c r="CJ150" i="15" s="1"/>
  <c r="CJ71" i="15"/>
  <c r="CJ134" i="15" s="1"/>
  <c r="CJ54" i="15"/>
  <c r="CJ117" i="15" s="1"/>
  <c r="CJ85" i="15"/>
  <c r="CJ148" i="15" s="1"/>
  <c r="CJ84" i="15"/>
  <c r="CJ147" i="15" s="1"/>
  <c r="CJ96" i="15"/>
  <c r="CJ159" i="15" s="1"/>
  <c r="CJ64" i="15"/>
  <c r="CJ127" i="15" s="1"/>
  <c r="CJ102" i="15"/>
  <c r="CJ162" i="15" s="1"/>
  <c r="CJ53" i="15"/>
  <c r="CJ116" i="15" s="1"/>
  <c r="CJ46" i="15"/>
  <c r="CJ109" i="15" s="1"/>
  <c r="CJ81" i="15"/>
  <c r="CJ144" i="15" s="1"/>
  <c r="CJ97" i="15"/>
  <c r="CJ160" i="15" s="1"/>
  <c r="CJ86" i="15"/>
  <c r="CJ149" i="15" s="1"/>
  <c r="CJ39" i="15"/>
  <c r="CJ105" i="15" s="1"/>
  <c r="CJ68" i="15"/>
  <c r="CJ131" i="15" s="1"/>
  <c r="CJ56" i="15"/>
  <c r="CJ119" i="15" s="1"/>
  <c r="CJ76" i="15"/>
  <c r="CJ139" i="15" s="1"/>
  <c r="CJ47" i="15"/>
  <c r="CJ110" i="15" s="1"/>
  <c r="CJ77" i="15"/>
  <c r="CJ140" i="15" s="1"/>
  <c r="CJ82" i="15"/>
  <c r="CJ145" i="15" s="1"/>
  <c r="CJ55" i="15"/>
  <c r="CJ118" i="15" s="1"/>
  <c r="CJ70" i="15"/>
  <c r="CJ133" i="15" s="1"/>
  <c r="CJ75" i="15"/>
  <c r="CJ138" i="15" s="1"/>
  <c r="CJ67" i="15"/>
  <c r="CJ130" i="15" s="1"/>
  <c r="CJ57" i="15"/>
  <c r="CJ120" i="15" s="1"/>
  <c r="CJ100" i="15"/>
  <c r="CJ72" i="15"/>
  <c r="CJ135" i="15" s="1"/>
  <c r="CJ61" i="15"/>
  <c r="CJ124" i="15" s="1"/>
  <c r="CJ88" i="15"/>
  <c r="CJ151" i="15" s="1"/>
  <c r="CJ63" i="15"/>
  <c r="CJ126" i="15" s="1"/>
  <c r="CJ48" i="15"/>
  <c r="CJ111" i="15" s="1"/>
  <c r="CJ90" i="15"/>
  <c r="CJ153" i="15" s="1"/>
  <c r="CJ43" i="15"/>
  <c r="CJ106" i="15" s="1"/>
  <c r="CJ60" i="15"/>
  <c r="CJ123" i="15" s="1"/>
  <c r="CJ92" i="15"/>
  <c r="CJ155" i="15" s="1"/>
  <c r="CJ91" i="15"/>
  <c r="CJ154" i="15" s="1"/>
  <c r="CJ62" i="15"/>
  <c r="CJ125" i="15" s="1"/>
  <c r="CJ74" i="15"/>
  <c r="CJ137" i="15" s="1"/>
  <c r="CJ78" i="15"/>
  <c r="CJ141" i="15" s="1"/>
  <c r="CJ69" i="15"/>
  <c r="CJ132" i="15" s="1"/>
  <c r="CJ52" i="15"/>
  <c r="CJ115" i="15" s="1"/>
  <c r="CJ99" i="15"/>
  <c r="CJ58" i="15"/>
  <c r="CJ121" i="15" s="1"/>
  <c r="CJ45" i="15"/>
  <c r="CJ108" i="15" s="1"/>
  <c r="CL38" i="15"/>
  <c r="CK90" i="15" a="1"/>
  <c r="CK48" i="15" a="1"/>
  <c r="CK80" i="15" a="1"/>
  <c r="CK72" i="15" a="1"/>
  <c r="CK93" i="15" a="1"/>
  <c r="CK95" i="15" a="1"/>
  <c r="CK44" i="15" a="1"/>
  <c r="CK101" i="15" a="1"/>
  <c r="CK56" i="15" a="1"/>
  <c r="CK62" i="15" a="1"/>
  <c r="CK102" i="15" a="1"/>
  <c r="CK79" i="15" a="1"/>
  <c r="CK76" i="15" a="1"/>
  <c r="CK66" i="15" a="1"/>
  <c r="CK87" i="15" a="1"/>
  <c r="CK59" i="15" a="1"/>
  <c r="CK58" i="15" a="1"/>
  <c r="CK78" i="15" a="1"/>
  <c r="CK60" i="15" a="1"/>
  <c r="CK99" i="15" a="1"/>
  <c r="CK77" i="15" a="1"/>
  <c r="CK47" i="15" a="1"/>
  <c r="CK61" i="15" a="1"/>
  <c r="CK85" i="15" a="1"/>
  <c r="CK96" i="15" a="1"/>
  <c r="CK75" i="15" a="1"/>
  <c r="CK46" i="15" a="1"/>
  <c r="CK52" i="15" a="1"/>
  <c r="CK71" i="15" a="1"/>
  <c r="CK70" i="15" a="1"/>
  <c r="CK54" i="15" a="1"/>
  <c r="CK88" i="15" a="1"/>
  <c r="CK53" i="15" a="1"/>
  <c r="CK73" i="15" a="1"/>
  <c r="CK82" i="15" a="1"/>
  <c r="CK69" i="15" a="1"/>
  <c r="CK65" i="15" a="1"/>
  <c r="CK89" i="15" a="1"/>
  <c r="CK100" i="15" a="1"/>
  <c r="CK51" i="15" a="1"/>
  <c r="CK45" i="15" a="1"/>
  <c r="CK43" i="15" a="1"/>
  <c r="CK97" i="15" a="1"/>
  <c r="CK67" i="15" a="1"/>
  <c r="CK83" i="15" a="1"/>
  <c r="CK49" i="15" a="1"/>
  <c r="CK86" i="15" a="1"/>
  <c r="CK63" i="15" a="1"/>
  <c r="CK64" i="15" a="1"/>
  <c r="CK68" i="15" a="1"/>
  <c r="CK39" i="15" a="1"/>
  <c r="CK98" i="15" a="1"/>
  <c r="CK84" i="15" a="1"/>
  <c r="CK92" i="15" a="1"/>
  <c r="CK94" i="15" a="1"/>
  <c r="CK57" i="15" a="1"/>
  <c r="CK50" i="15" a="1"/>
  <c r="CK81" i="15" a="1"/>
  <c r="CK55" i="15" a="1"/>
  <c r="CK74" i="15" a="1"/>
  <c r="CK91" i="15" a="1"/>
  <c r="CK81" i="15" l="1"/>
  <c r="CK144" i="15" s="1"/>
  <c r="CK92" i="15"/>
  <c r="CK155" i="15" s="1"/>
  <c r="CK72" i="15"/>
  <c r="CK135" i="15" s="1"/>
  <c r="CK49" i="15"/>
  <c r="CK112" i="15" s="1"/>
  <c r="CK43" i="15"/>
  <c r="CK106" i="15" s="1"/>
  <c r="CK89" i="15"/>
  <c r="CK152" i="15" s="1"/>
  <c r="CK68" i="15"/>
  <c r="CK131" i="15" s="1"/>
  <c r="CK70" i="15"/>
  <c r="CK133" i="15" s="1"/>
  <c r="CK75" i="15"/>
  <c r="CK138" i="15" s="1"/>
  <c r="CK47" i="15"/>
  <c r="CK110" i="15" s="1"/>
  <c r="CK73" i="15"/>
  <c r="CK136" i="15" s="1"/>
  <c r="CK87" i="15"/>
  <c r="CK150" i="15" s="1"/>
  <c r="CK102" i="15"/>
  <c r="CK162" i="15" s="1"/>
  <c r="CK44" i="15"/>
  <c r="CK107" i="15" s="1"/>
  <c r="CK78" i="15"/>
  <c r="CK141" i="15" s="1"/>
  <c r="CK91" i="15"/>
  <c r="CK154" i="15" s="1"/>
  <c r="CK50" i="15"/>
  <c r="CK113" i="15" s="1"/>
  <c r="CK84" i="15"/>
  <c r="CK147" i="15" s="1"/>
  <c r="CK80" i="15"/>
  <c r="CK143" i="15" s="1"/>
  <c r="CK83" i="15"/>
  <c r="CK146" i="15" s="1"/>
  <c r="CK45" i="15"/>
  <c r="CK108" i="15" s="1"/>
  <c r="CK65" i="15"/>
  <c r="CK128" i="15" s="1"/>
  <c r="CK64" i="15"/>
  <c r="CK127" i="15" s="1"/>
  <c r="CK71" i="15"/>
  <c r="CK134" i="15" s="1"/>
  <c r="CK96" i="15"/>
  <c r="CK159" i="15" s="1"/>
  <c r="CK77" i="15"/>
  <c r="CK140" i="15" s="1"/>
  <c r="CK53" i="15"/>
  <c r="CK116" i="15" s="1"/>
  <c r="CK66" i="15"/>
  <c r="CK129" i="15" s="1"/>
  <c r="CK62" i="15"/>
  <c r="CK125" i="15" s="1"/>
  <c r="CK95" i="15"/>
  <c r="CK158" i="15" s="1"/>
  <c r="CK58" i="15"/>
  <c r="CK121" i="15" s="1"/>
  <c r="CK74" i="15"/>
  <c r="CK137" i="15" s="1"/>
  <c r="CK57" i="15"/>
  <c r="CK120" i="15" s="1"/>
  <c r="CK98" i="15"/>
  <c r="CK161" i="15" s="1"/>
  <c r="CK48" i="15"/>
  <c r="CK111" i="15" s="1"/>
  <c r="CK67" i="15"/>
  <c r="CK130" i="15" s="1"/>
  <c r="CK51" i="15"/>
  <c r="CK114" i="15" s="1"/>
  <c r="CK69" i="15"/>
  <c r="CK132" i="15" s="1"/>
  <c r="CK63" i="15"/>
  <c r="CK126" i="15" s="1"/>
  <c r="CK52" i="15"/>
  <c r="CK115" i="15" s="1"/>
  <c r="CK85" i="15"/>
  <c r="CK148" i="15" s="1"/>
  <c r="CK99" i="15"/>
  <c r="CK88" i="15"/>
  <c r="CK151" i="15" s="1"/>
  <c r="CK76" i="15"/>
  <c r="CK139" i="15" s="1"/>
  <c r="CK56" i="15"/>
  <c r="CK119" i="15" s="1"/>
  <c r="CK93" i="15"/>
  <c r="CK156" i="15" s="1"/>
  <c r="CK59" i="15"/>
  <c r="CK122" i="15" s="1"/>
  <c r="CK55" i="15"/>
  <c r="CK118" i="15" s="1"/>
  <c r="CK94" i="15"/>
  <c r="CK157" i="15" s="1"/>
  <c r="CK39" i="15"/>
  <c r="CK105" i="15" s="1"/>
  <c r="CK90" i="15"/>
  <c r="CK153" i="15" s="1"/>
  <c r="CK97" i="15"/>
  <c r="CK160" i="15" s="1"/>
  <c r="CK100" i="15"/>
  <c r="CK82" i="15"/>
  <c r="CK145" i="15" s="1"/>
  <c r="CK86" i="15"/>
  <c r="CK149" i="15" s="1"/>
  <c r="CK46" i="15"/>
  <c r="CK109" i="15" s="1"/>
  <c r="CK61" i="15"/>
  <c r="CK124" i="15" s="1"/>
  <c r="CK60" i="15"/>
  <c r="CK123" i="15" s="1"/>
  <c r="CK54" i="15"/>
  <c r="CK117" i="15" s="1"/>
  <c r="CK79" i="15"/>
  <c r="CK142" i="15" s="1"/>
  <c r="CK101" i="15"/>
  <c r="CM38" i="15"/>
  <c r="CL101" i="15" a="1"/>
  <c r="CL67" i="15" a="1"/>
  <c r="CL59" i="15" a="1"/>
  <c r="CL74" i="15" a="1"/>
  <c r="CL87" i="15" a="1"/>
  <c r="CL93" i="15" a="1"/>
  <c r="CL43" i="15" a="1"/>
  <c r="CL55" i="15" a="1"/>
  <c r="CL66" i="15" a="1"/>
  <c r="CL80" i="15" a="1"/>
  <c r="CL81" i="15" a="1"/>
  <c r="CL84" i="15" a="1"/>
  <c r="CL47" i="15" a="1"/>
  <c r="CL56" i="15" a="1"/>
  <c r="CL91" i="15" a="1"/>
  <c r="CL60" i="15" a="1"/>
  <c r="CL69" i="15" a="1"/>
  <c r="CL99" i="15" a="1"/>
  <c r="CL89" i="15" a="1"/>
  <c r="CL64" i="15" a="1"/>
  <c r="CL83" i="15" a="1"/>
  <c r="CL97" i="15" a="1"/>
  <c r="CL65" i="15" a="1"/>
  <c r="CL96" i="15" a="1"/>
  <c r="CL95" i="15" a="1"/>
  <c r="CL53" i="15" a="1"/>
  <c r="CL77" i="15" a="1"/>
  <c r="CL71" i="15" a="1"/>
  <c r="CL79" i="15" a="1"/>
  <c r="CL73" i="15" a="1"/>
  <c r="CL82" i="15" a="1"/>
  <c r="CL52" i="15" a="1"/>
  <c r="CL48" i="15" a="1"/>
  <c r="CL100" i="15" a="1"/>
  <c r="CL98" i="15" a="1"/>
  <c r="CL86" i="15" a="1"/>
  <c r="CL92" i="15" a="1"/>
  <c r="CL94" i="15" a="1"/>
  <c r="CL49" i="15" a="1"/>
  <c r="CL72" i="15" a="1"/>
  <c r="CL50" i="15" a="1"/>
  <c r="CL46" i="15" a="1"/>
  <c r="CL54" i="15" a="1"/>
  <c r="CL58" i="15" a="1"/>
  <c r="CL44" i="15" a="1"/>
  <c r="CL75" i="15" a="1"/>
  <c r="CL76" i="15" a="1"/>
  <c r="CL88" i="15" a="1"/>
  <c r="CL39" i="15" a="1"/>
  <c r="CL90" i="15" a="1"/>
  <c r="CL61" i="15" a="1"/>
  <c r="CL51" i="15" a="1"/>
  <c r="CL57" i="15" a="1"/>
  <c r="CL45" i="15" a="1"/>
  <c r="CL63" i="15" a="1"/>
  <c r="CL62" i="15" a="1"/>
  <c r="CL85" i="15" a="1"/>
  <c r="CL78" i="15" a="1"/>
  <c r="CL70" i="15" a="1"/>
  <c r="CL102" i="15" a="1"/>
  <c r="CL68" i="15" a="1"/>
  <c r="CL63" i="15" l="1"/>
  <c r="CL126" i="15" s="1"/>
  <c r="CL76" i="15"/>
  <c r="CL139" i="15" s="1"/>
  <c r="CL74" i="15"/>
  <c r="CL137" i="15" s="1"/>
  <c r="CL91" i="15"/>
  <c r="CL154" i="15" s="1"/>
  <c r="CL71" i="15"/>
  <c r="CL134" i="15" s="1"/>
  <c r="CL50" i="15"/>
  <c r="CL113" i="15" s="1"/>
  <c r="CL61" i="15"/>
  <c r="CL124" i="15" s="1"/>
  <c r="CL69" i="15"/>
  <c r="CL132" i="15" s="1"/>
  <c r="CL94" i="15"/>
  <c r="CL157" i="15" s="1"/>
  <c r="CL52" i="15"/>
  <c r="CL115" i="15" s="1"/>
  <c r="CL92" i="15"/>
  <c r="CL155" i="15" s="1"/>
  <c r="CL60" i="15"/>
  <c r="CL123" i="15" s="1"/>
  <c r="CL81" i="15"/>
  <c r="CL144" i="15" s="1"/>
  <c r="CL83" i="15"/>
  <c r="CL146" i="15" s="1"/>
  <c r="CL64" i="15"/>
  <c r="CL127" i="15" s="1"/>
  <c r="CL82" i="15"/>
  <c r="CL145" i="15" s="1"/>
  <c r="CL78" i="15"/>
  <c r="CL141" i="15" s="1"/>
  <c r="CL96" i="15"/>
  <c r="CL159" i="15" s="1"/>
  <c r="CL59" i="15"/>
  <c r="CL122" i="15" s="1"/>
  <c r="CL56" i="15"/>
  <c r="CL119" i="15" s="1"/>
  <c r="CL58" i="15"/>
  <c r="CL121" i="15" s="1"/>
  <c r="CL43" i="15"/>
  <c r="CL106" i="15" s="1"/>
  <c r="CL90" i="15"/>
  <c r="CL153" i="15" s="1"/>
  <c r="CL68" i="15"/>
  <c r="CL131" i="15" s="1"/>
  <c r="CL77" i="15"/>
  <c r="CL140" i="15" s="1"/>
  <c r="CL45" i="15"/>
  <c r="CL108" i="15" s="1"/>
  <c r="CL86" i="15"/>
  <c r="CL149" i="15" s="1"/>
  <c r="CL48" i="15"/>
  <c r="CL111" i="15" s="1"/>
  <c r="CL80" i="15"/>
  <c r="CL143" i="15" s="1"/>
  <c r="CL72" i="15"/>
  <c r="CL135" i="15" s="1"/>
  <c r="CL89" i="15"/>
  <c r="CL152" i="15" s="1"/>
  <c r="CL73" i="15"/>
  <c r="CL136" i="15" s="1"/>
  <c r="CL85" i="15"/>
  <c r="CL148" i="15" s="1"/>
  <c r="CL65" i="15"/>
  <c r="CL128" i="15" s="1"/>
  <c r="CL67" i="15"/>
  <c r="CL130" i="15" s="1"/>
  <c r="CL47" i="15"/>
  <c r="CL110" i="15" s="1"/>
  <c r="CL54" i="15"/>
  <c r="CL117" i="15" s="1"/>
  <c r="CL93" i="15"/>
  <c r="CL156" i="15" s="1"/>
  <c r="CL39" i="15"/>
  <c r="CL105" i="15" s="1"/>
  <c r="CL102" i="15"/>
  <c r="CL162" i="15" s="1"/>
  <c r="CL53" i="15"/>
  <c r="CL116" i="15" s="1"/>
  <c r="CL57" i="15"/>
  <c r="CL120" i="15" s="1"/>
  <c r="CL98" i="15"/>
  <c r="CL161" i="15" s="1"/>
  <c r="CL75" i="15"/>
  <c r="CL138" i="15" s="1"/>
  <c r="CL66" i="15"/>
  <c r="CL129" i="15" s="1"/>
  <c r="CL49" i="15"/>
  <c r="CL112" i="15" s="1"/>
  <c r="CL99" i="15"/>
  <c r="CL79" i="15"/>
  <c r="CL142" i="15" s="1"/>
  <c r="CL62" i="15"/>
  <c r="CL125" i="15" s="1"/>
  <c r="CL97" i="15"/>
  <c r="CL160" i="15" s="1"/>
  <c r="CL101" i="15"/>
  <c r="CL84" i="15"/>
  <c r="CL147" i="15" s="1"/>
  <c r="CL46" i="15"/>
  <c r="CL109" i="15" s="1"/>
  <c r="CL87" i="15"/>
  <c r="CL150" i="15" s="1"/>
  <c r="CL88" i="15"/>
  <c r="CL151" i="15" s="1"/>
  <c r="CL70" i="15"/>
  <c r="CL133" i="15" s="1"/>
  <c r="CL95" i="15"/>
  <c r="CL158" i="15" s="1"/>
  <c r="CL51" i="15"/>
  <c r="CL114" i="15" s="1"/>
  <c r="CL100" i="15"/>
  <c r="CL44" i="15"/>
  <c r="CL107" i="15" s="1"/>
  <c r="CL55" i="15"/>
  <c r="CL118" i="15" s="1"/>
  <c r="CN38" i="15"/>
  <c r="CM71" i="15" a="1"/>
  <c r="CM74" i="15" a="1"/>
  <c r="CM62" i="15" a="1"/>
  <c r="CM83" i="15" a="1"/>
  <c r="CM54" i="15" a="1"/>
  <c r="CM77" i="15" a="1"/>
  <c r="CM99" i="15" a="1"/>
  <c r="CM88" i="15" a="1"/>
  <c r="CM50" i="15" a="1"/>
  <c r="CM78" i="15" a="1"/>
  <c r="CM63" i="15" a="1"/>
  <c r="CM84" i="15" a="1"/>
  <c r="CM43" i="15" a="1"/>
  <c r="CM65" i="15" a="1"/>
  <c r="CM93" i="15" a="1"/>
  <c r="CM67" i="15" a="1"/>
  <c r="CM55" i="15" a="1"/>
  <c r="CM86" i="15" a="1"/>
  <c r="CM101" i="15" a="1"/>
  <c r="CM97" i="15" a="1"/>
  <c r="CM64" i="15" a="1"/>
  <c r="CM53" i="15" a="1"/>
  <c r="CM91" i="15" a="1"/>
  <c r="CM102" i="15" a="1"/>
  <c r="CM89" i="15" a="1"/>
  <c r="CM60" i="15" a="1"/>
  <c r="CM68" i="15" a="1"/>
  <c r="CM58" i="15" a="1"/>
  <c r="CM82" i="15" a="1"/>
  <c r="CM69" i="15" a="1"/>
  <c r="CM72" i="15" a="1"/>
  <c r="CM57" i="15" a="1"/>
  <c r="CM70" i="15" a="1"/>
  <c r="CM81" i="15" a="1"/>
  <c r="CM39" i="15" a="1"/>
  <c r="CM66" i="15" a="1"/>
  <c r="CM87" i="15" a="1"/>
  <c r="CM52" i="15" a="1"/>
  <c r="CM95" i="15" a="1"/>
  <c r="CM59" i="15" a="1"/>
  <c r="CM75" i="15" a="1"/>
  <c r="CM61" i="15" a="1"/>
  <c r="CM56" i="15" a="1"/>
  <c r="CM46" i="15" a="1"/>
  <c r="CM51" i="15" a="1"/>
  <c r="CM79" i="15" a="1"/>
  <c r="CM45" i="15" a="1"/>
  <c r="CM94" i="15" a="1"/>
  <c r="CM96" i="15" a="1"/>
  <c r="CM98" i="15" a="1"/>
  <c r="CM44" i="15" a="1"/>
  <c r="CM85" i="15" a="1"/>
  <c r="CM76" i="15" a="1"/>
  <c r="CM48" i="15" a="1"/>
  <c r="CM47" i="15" a="1"/>
  <c r="CM80" i="15" a="1"/>
  <c r="CM100" i="15" a="1"/>
  <c r="CM92" i="15" a="1"/>
  <c r="CM90" i="15" a="1"/>
  <c r="CM73" i="15" a="1"/>
  <c r="CM49" i="15" a="1"/>
  <c r="CM100" i="15" l="1"/>
  <c r="CM52" i="15"/>
  <c r="CM115" i="15" s="1"/>
  <c r="CM84" i="15"/>
  <c r="CM147" i="15" s="1"/>
  <c r="CM76" i="15"/>
  <c r="CM139" i="15" s="1"/>
  <c r="CM61" i="15"/>
  <c r="CM124" i="15" s="1"/>
  <c r="CM64" i="15"/>
  <c r="CM127" i="15" s="1"/>
  <c r="CM96" i="15"/>
  <c r="CM159" i="15" s="1"/>
  <c r="CM51" i="15"/>
  <c r="CM114" i="15" s="1"/>
  <c r="CM89" i="15"/>
  <c r="CM152" i="15" s="1"/>
  <c r="CM99" i="15"/>
  <c r="CM81" i="15"/>
  <c r="CM144" i="15" s="1"/>
  <c r="CM82" i="15"/>
  <c r="CM145" i="15" s="1"/>
  <c r="CM63" i="15"/>
  <c r="CM126" i="15" s="1"/>
  <c r="CM85" i="15"/>
  <c r="CM148" i="15" s="1"/>
  <c r="CM55" i="15"/>
  <c r="CM118" i="15" s="1"/>
  <c r="CM49" i="15"/>
  <c r="CM112" i="15" s="1"/>
  <c r="CM80" i="15"/>
  <c r="CM143" i="15" s="1"/>
  <c r="CM87" i="15"/>
  <c r="CM150" i="15" s="1"/>
  <c r="CM62" i="15"/>
  <c r="CM125" i="15" s="1"/>
  <c r="CM73" i="15"/>
  <c r="CM136" i="15" s="1"/>
  <c r="CM75" i="15"/>
  <c r="CM138" i="15" s="1"/>
  <c r="CM97" i="15"/>
  <c r="CM160" i="15" s="1"/>
  <c r="CM94" i="15"/>
  <c r="CM157" i="15" s="1"/>
  <c r="CM69" i="15"/>
  <c r="CM132" i="15" s="1"/>
  <c r="CM102" i="15"/>
  <c r="CM162" i="15" s="1"/>
  <c r="CM77" i="15"/>
  <c r="CM140" i="15" s="1"/>
  <c r="CM70" i="15"/>
  <c r="CM133" i="15" s="1"/>
  <c r="CM58" i="15"/>
  <c r="CM121" i="15" s="1"/>
  <c r="CM78" i="15"/>
  <c r="CM141" i="15" s="1"/>
  <c r="CM44" i="15"/>
  <c r="CM107" i="15" s="1"/>
  <c r="CM67" i="15"/>
  <c r="CM130" i="15" s="1"/>
  <c r="CM65" i="15"/>
  <c r="CM128" i="15" s="1"/>
  <c r="CM47" i="15"/>
  <c r="CM110" i="15" s="1"/>
  <c r="CM66" i="15"/>
  <c r="CM129" i="15" s="1"/>
  <c r="CM74" i="15"/>
  <c r="CM137" i="15" s="1"/>
  <c r="CM90" i="15"/>
  <c r="CM153" i="15" s="1"/>
  <c r="CM59" i="15"/>
  <c r="CM122" i="15" s="1"/>
  <c r="CM101" i="15"/>
  <c r="CM45" i="15"/>
  <c r="CM108" i="15" s="1"/>
  <c r="CM46" i="15"/>
  <c r="CM109" i="15" s="1"/>
  <c r="CM91" i="15"/>
  <c r="CM154" i="15" s="1"/>
  <c r="CM54" i="15"/>
  <c r="CM117" i="15" s="1"/>
  <c r="CM57" i="15"/>
  <c r="CM120" i="15" s="1"/>
  <c r="CM68" i="15"/>
  <c r="CM131" i="15" s="1"/>
  <c r="CM50" i="15"/>
  <c r="CM113" i="15" s="1"/>
  <c r="CM98" i="15"/>
  <c r="CM161" i="15" s="1"/>
  <c r="CM93" i="15"/>
  <c r="CM156" i="15" s="1"/>
  <c r="CM43" i="15"/>
  <c r="CM106" i="15" s="1"/>
  <c r="CM48" i="15"/>
  <c r="CM111" i="15" s="1"/>
  <c r="CM39" i="15"/>
  <c r="CM105" i="15" s="1"/>
  <c r="CM71" i="15"/>
  <c r="CM134" i="15" s="1"/>
  <c r="CM92" i="15"/>
  <c r="CM155" i="15" s="1"/>
  <c r="CM95" i="15"/>
  <c r="CM158" i="15" s="1"/>
  <c r="CM86" i="15"/>
  <c r="CM149" i="15" s="1"/>
  <c r="CM79" i="15"/>
  <c r="CM142" i="15" s="1"/>
  <c r="CM56" i="15"/>
  <c r="CM119" i="15" s="1"/>
  <c r="CM53" i="15"/>
  <c r="CM116" i="15" s="1"/>
  <c r="CM83" i="15"/>
  <c r="CM146" i="15" s="1"/>
  <c r="CM72" i="15"/>
  <c r="CM135" i="15" s="1"/>
  <c r="CM60" i="15"/>
  <c r="CM123" i="15" s="1"/>
  <c r="CM88" i="15"/>
  <c r="CM151" i="15" s="1"/>
  <c r="CO38" i="15"/>
  <c r="CN87" i="15" a="1"/>
  <c r="CN79" i="15" a="1"/>
  <c r="CN62" i="15" a="1"/>
  <c r="CN82" i="15" a="1"/>
  <c r="CN77" i="15" a="1"/>
  <c r="CN78" i="15" a="1"/>
  <c r="CN83" i="15" a="1"/>
  <c r="CN45" i="15" a="1"/>
  <c r="CN76" i="15" a="1"/>
  <c r="CN49" i="15" a="1"/>
  <c r="CN69" i="15" a="1"/>
  <c r="CN84" i="15" a="1"/>
  <c r="CN46" i="15" a="1"/>
  <c r="CN88" i="15" a="1"/>
  <c r="CN61" i="15" a="1"/>
  <c r="CN90" i="15" a="1"/>
  <c r="CN51" i="15" a="1"/>
  <c r="CN101" i="15" a="1"/>
  <c r="CN81" i="15" a="1"/>
  <c r="CN100" i="15" a="1"/>
  <c r="CN85" i="15" a="1"/>
  <c r="CN44" i="15" a="1"/>
  <c r="CN55" i="15" a="1"/>
  <c r="CN64" i="15" a="1"/>
  <c r="CN71" i="15" a="1"/>
  <c r="CN96" i="15" a="1"/>
  <c r="CN48" i="15" a="1"/>
  <c r="CN95" i="15" a="1"/>
  <c r="CN73" i="15" a="1"/>
  <c r="CN80" i="15" a="1"/>
  <c r="CN74" i="15" a="1"/>
  <c r="CN58" i="15" a="1"/>
  <c r="CN60" i="15" a="1"/>
  <c r="CN54" i="15" a="1"/>
  <c r="CN102" i="15" a="1"/>
  <c r="CN68" i="15" a="1"/>
  <c r="CN57" i="15" a="1"/>
  <c r="CN91" i="15" a="1"/>
  <c r="CN52" i="15" a="1"/>
  <c r="CN75" i="15" a="1"/>
  <c r="CN86" i="15" a="1"/>
  <c r="CN47" i="15" a="1"/>
  <c r="CN70" i="15" a="1"/>
  <c r="CN92" i="15" a="1"/>
  <c r="CN59" i="15" a="1"/>
  <c r="CN43" i="15" a="1"/>
  <c r="CN99" i="15" a="1"/>
  <c r="CN53" i="15" a="1"/>
  <c r="CN93" i="15" a="1"/>
  <c r="CN67" i="15" a="1"/>
  <c r="CN94" i="15" a="1"/>
  <c r="CN98" i="15" a="1"/>
  <c r="CN56" i="15" a="1"/>
  <c r="CN66" i="15" a="1"/>
  <c r="CN50" i="15" a="1"/>
  <c r="CN72" i="15" a="1"/>
  <c r="CN97" i="15" a="1"/>
  <c r="CN89" i="15" a="1"/>
  <c r="CN65" i="15" a="1"/>
  <c r="CN39" i="15" a="1"/>
  <c r="CN63" i="15" a="1"/>
  <c r="CN97" i="15" l="1"/>
  <c r="CN160" i="15" s="1"/>
  <c r="CN56" i="15"/>
  <c r="CN119" i="15" s="1"/>
  <c r="CN82" i="15"/>
  <c r="CN145" i="15" s="1"/>
  <c r="CN63" i="15"/>
  <c r="CN126" i="15" s="1"/>
  <c r="CN47" i="15"/>
  <c r="CN110" i="15" s="1"/>
  <c r="CN91" i="15"/>
  <c r="CN154" i="15" s="1"/>
  <c r="CN93" i="15"/>
  <c r="CN156" i="15" s="1"/>
  <c r="CN80" i="15"/>
  <c r="CN143" i="15" s="1"/>
  <c r="CN96" i="15"/>
  <c r="CN159" i="15" s="1"/>
  <c r="CN44" i="15"/>
  <c r="CN107" i="15" s="1"/>
  <c r="CN54" i="15"/>
  <c r="CN117" i="15" s="1"/>
  <c r="CN61" i="15"/>
  <c r="CN124" i="15" s="1"/>
  <c r="CN69" i="15"/>
  <c r="CN132" i="15" s="1"/>
  <c r="CN83" i="15"/>
  <c r="CN146" i="15" s="1"/>
  <c r="CN101" i="15"/>
  <c r="CN39" i="15"/>
  <c r="CN105" i="15" s="1"/>
  <c r="CN72" i="15"/>
  <c r="CN135" i="15" s="1"/>
  <c r="CN98" i="15"/>
  <c r="CN161" i="15" s="1"/>
  <c r="CN62" i="15"/>
  <c r="CN125" i="15" s="1"/>
  <c r="CN59" i="15"/>
  <c r="CN122" i="15" s="1"/>
  <c r="CN86" i="15"/>
  <c r="CN149" i="15" s="1"/>
  <c r="CN57" i="15"/>
  <c r="CN120" i="15" s="1"/>
  <c r="CN53" i="15"/>
  <c r="CN116" i="15" s="1"/>
  <c r="CN73" i="15"/>
  <c r="CN136" i="15" s="1"/>
  <c r="CN71" i="15"/>
  <c r="CN134" i="15" s="1"/>
  <c r="CN85" i="15"/>
  <c r="CN148" i="15" s="1"/>
  <c r="CN60" i="15"/>
  <c r="CN123" i="15" s="1"/>
  <c r="CN88" i="15"/>
  <c r="CN151" i="15" s="1"/>
  <c r="CN49" i="15"/>
  <c r="CN112" i="15" s="1"/>
  <c r="CN78" i="15"/>
  <c r="CN141" i="15" s="1"/>
  <c r="CN51" i="15"/>
  <c r="CN114" i="15" s="1"/>
  <c r="CN65" i="15"/>
  <c r="CN128" i="15" s="1"/>
  <c r="CN50" i="15"/>
  <c r="CN113" i="15" s="1"/>
  <c r="CN94" i="15"/>
  <c r="CN157" i="15" s="1"/>
  <c r="CN79" i="15"/>
  <c r="CN142" i="15" s="1"/>
  <c r="CN92" i="15"/>
  <c r="CN155" i="15" s="1"/>
  <c r="CN75" i="15"/>
  <c r="CN138" i="15" s="1"/>
  <c r="CN68" i="15"/>
  <c r="CN131" i="15" s="1"/>
  <c r="CN99" i="15"/>
  <c r="CN95" i="15"/>
  <c r="CN158" i="15" s="1"/>
  <c r="CN64" i="15"/>
  <c r="CN127" i="15" s="1"/>
  <c r="CN100" i="15"/>
  <c r="CN58" i="15"/>
  <c r="CN121" i="15" s="1"/>
  <c r="CN46" i="15"/>
  <c r="CN109" i="15" s="1"/>
  <c r="CN76" i="15"/>
  <c r="CN139" i="15" s="1"/>
  <c r="CN77" i="15"/>
  <c r="CN140" i="15" s="1"/>
  <c r="CN90" i="15"/>
  <c r="CN153" i="15" s="1"/>
  <c r="CN89" i="15"/>
  <c r="CN152" i="15" s="1"/>
  <c r="CN66" i="15"/>
  <c r="CN129" i="15" s="1"/>
  <c r="CN67" i="15"/>
  <c r="CN130" i="15" s="1"/>
  <c r="CN87" i="15"/>
  <c r="CN150" i="15" s="1"/>
  <c r="CN70" i="15"/>
  <c r="CN133" i="15" s="1"/>
  <c r="CN52" i="15"/>
  <c r="CN115" i="15" s="1"/>
  <c r="CN102" i="15"/>
  <c r="CN162" i="15" s="1"/>
  <c r="CN43" i="15"/>
  <c r="CN106" i="15" s="1"/>
  <c r="CN48" i="15"/>
  <c r="CN111" i="15" s="1"/>
  <c r="CN55" i="15"/>
  <c r="CN118" i="15" s="1"/>
  <c r="CN81" i="15"/>
  <c r="CN144" i="15" s="1"/>
  <c r="CN74" i="15"/>
  <c r="CN137" i="15" s="1"/>
  <c r="CN84" i="15"/>
  <c r="CN147" i="15" s="1"/>
  <c r="CN45" i="15"/>
  <c r="CN108" i="15" s="1"/>
  <c r="CP38" i="15"/>
  <c r="CO96" i="15" a="1"/>
  <c r="CO63" i="15" a="1"/>
  <c r="CO76" i="15" a="1"/>
  <c r="CO87" i="15" a="1"/>
  <c r="CO47" i="15" a="1"/>
  <c r="CO94" i="15" a="1"/>
  <c r="CO58" i="15" a="1"/>
  <c r="CO93" i="15" a="1"/>
  <c r="CO56" i="15" a="1"/>
  <c r="CO91" i="15" a="1"/>
  <c r="CO71" i="15" a="1"/>
  <c r="CO67" i="15" a="1"/>
  <c r="CO97" i="15" a="1"/>
  <c r="CO62" i="15" a="1"/>
  <c r="CO59" i="15" a="1"/>
  <c r="CO44" i="15" a="1"/>
  <c r="CO77" i="15" a="1"/>
  <c r="CO75" i="15" a="1"/>
  <c r="CO90" i="15" a="1"/>
  <c r="CO53" i="15" a="1"/>
  <c r="CO86" i="15" a="1"/>
  <c r="CO46" i="15" a="1"/>
  <c r="CO50" i="15" a="1"/>
  <c r="CO88" i="15" a="1"/>
  <c r="CO69" i="15" a="1"/>
  <c r="CO85" i="15" a="1"/>
  <c r="CO81" i="15" a="1"/>
  <c r="CO95" i="15" a="1"/>
  <c r="CO79" i="15" a="1"/>
  <c r="CO68" i="15" a="1"/>
  <c r="CO78" i="15" a="1"/>
  <c r="CO61" i="15" a="1"/>
  <c r="CO74" i="15" a="1"/>
  <c r="CO89" i="15" a="1"/>
  <c r="CO45" i="15" a="1"/>
  <c r="CO73" i="15" a="1"/>
  <c r="CO65" i="15" a="1"/>
  <c r="CO48" i="15" a="1"/>
  <c r="CO60" i="15" a="1"/>
  <c r="CO54" i="15" a="1"/>
  <c r="CO101" i="15" a="1"/>
  <c r="CO39" i="15" a="1"/>
  <c r="CO98" i="15" a="1"/>
  <c r="CO52" i="15" a="1"/>
  <c r="CO43" i="15" a="1"/>
  <c r="CO66" i="15" a="1"/>
  <c r="CO83" i="15" a="1"/>
  <c r="CO64" i="15" a="1"/>
  <c r="CO80" i="15" a="1"/>
  <c r="CO82" i="15" a="1"/>
  <c r="CO70" i="15" a="1"/>
  <c r="CO49" i="15" a="1"/>
  <c r="CO84" i="15" a="1"/>
  <c r="CO55" i="15" a="1"/>
  <c r="CO99" i="15" a="1"/>
  <c r="CO57" i="15" a="1"/>
  <c r="CO102" i="15" a="1"/>
  <c r="CO51" i="15" a="1"/>
  <c r="CO92" i="15" a="1"/>
  <c r="CO100" i="15" a="1"/>
  <c r="CO72" i="15" a="1"/>
  <c r="CO102" i="15" l="1"/>
  <c r="CO162" i="15" s="1"/>
  <c r="CO84" i="15"/>
  <c r="CO147" i="15" s="1"/>
  <c r="CO87" i="15"/>
  <c r="CO150" i="15" s="1"/>
  <c r="CO43" i="15"/>
  <c r="CO106" i="15" s="1"/>
  <c r="CO39" i="15"/>
  <c r="CO105" i="15" s="1"/>
  <c r="CO48" i="15"/>
  <c r="CO111" i="15" s="1"/>
  <c r="CO80" i="15"/>
  <c r="CO143" i="15" s="1"/>
  <c r="CO79" i="15"/>
  <c r="CO142" i="15" s="1"/>
  <c r="CO69" i="15"/>
  <c r="CO132" i="15" s="1"/>
  <c r="CO86" i="15"/>
  <c r="CO149" i="15" s="1"/>
  <c r="CO89" i="15"/>
  <c r="CO152" i="15" s="1"/>
  <c r="CO72" i="15"/>
  <c r="CO135" i="15" s="1"/>
  <c r="CO71" i="15"/>
  <c r="CO134" i="15" s="1"/>
  <c r="CO58" i="15"/>
  <c r="CO121" i="15" s="1"/>
  <c r="CO77" i="15"/>
  <c r="CO140" i="15" s="1"/>
  <c r="CO100" i="15"/>
  <c r="CO57" i="15"/>
  <c r="CO120" i="15" s="1"/>
  <c r="CO49" i="15"/>
  <c r="CO112" i="15" s="1"/>
  <c r="CO76" i="15"/>
  <c r="CO139" i="15" s="1"/>
  <c r="CO68" i="15"/>
  <c r="CO131" i="15" s="1"/>
  <c r="CO101" i="15"/>
  <c r="CO65" i="15"/>
  <c r="CO128" i="15" s="1"/>
  <c r="CO64" i="15"/>
  <c r="CO127" i="15" s="1"/>
  <c r="CO95" i="15"/>
  <c r="CO158" i="15" s="1"/>
  <c r="CO88" i="15"/>
  <c r="CO151" i="15" s="1"/>
  <c r="CO53" i="15"/>
  <c r="CO116" i="15" s="1"/>
  <c r="CO74" i="15"/>
  <c r="CO137" i="15" s="1"/>
  <c r="CO62" i="15"/>
  <c r="CO125" i="15" s="1"/>
  <c r="CO91" i="15"/>
  <c r="CO154" i="15" s="1"/>
  <c r="CO94" i="15"/>
  <c r="CO157" i="15" s="1"/>
  <c r="CO44" i="15"/>
  <c r="CO107" i="15" s="1"/>
  <c r="CO92" i="15"/>
  <c r="CO155" i="15" s="1"/>
  <c r="CO99" i="15"/>
  <c r="CO70" i="15"/>
  <c r="CO133" i="15" s="1"/>
  <c r="CO63" i="15"/>
  <c r="CO126" i="15" s="1"/>
  <c r="CO52" i="15"/>
  <c r="CO115" i="15" s="1"/>
  <c r="CO54" i="15"/>
  <c r="CO117" i="15" s="1"/>
  <c r="CO73" i="15"/>
  <c r="CO136" i="15" s="1"/>
  <c r="CO83" i="15"/>
  <c r="CO146" i="15" s="1"/>
  <c r="CO81" i="15"/>
  <c r="CO144" i="15" s="1"/>
  <c r="CO50" i="15"/>
  <c r="CO113" i="15" s="1"/>
  <c r="CO90" i="15"/>
  <c r="CO153" i="15" s="1"/>
  <c r="CO61" i="15"/>
  <c r="CO124" i="15" s="1"/>
  <c r="CO97" i="15"/>
  <c r="CO160" i="15" s="1"/>
  <c r="CO56" i="15"/>
  <c r="CO119" i="15" s="1"/>
  <c r="CO47" i="15"/>
  <c r="CO110" i="15" s="1"/>
  <c r="CO59" i="15"/>
  <c r="CO122" i="15" s="1"/>
  <c r="CO51" i="15"/>
  <c r="CO114" i="15" s="1"/>
  <c r="CO55" i="15"/>
  <c r="CO118" i="15" s="1"/>
  <c r="CO82" i="15"/>
  <c r="CO145" i="15" s="1"/>
  <c r="CO96" i="15"/>
  <c r="CO159" i="15" s="1"/>
  <c r="CO98" i="15"/>
  <c r="CO161" i="15" s="1"/>
  <c r="CO60" i="15"/>
  <c r="CO123" i="15" s="1"/>
  <c r="CO45" i="15"/>
  <c r="CO108" i="15" s="1"/>
  <c r="CO66" i="15"/>
  <c r="CO129" i="15" s="1"/>
  <c r="CO85" i="15"/>
  <c r="CO148" i="15" s="1"/>
  <c r="CO46" i="15"/>
  <c r="CO109" i="15" s="1"/>
  <c r="CO75" i="15"/>
  <c r="CO138" i="15" s="1"/>
  <c r="CO78" i="15"/>
  <c r="CO141" i="15" s="1"/>
  <c r="CO67" i="15"/>
  <c r="CO130" i="15" s="1"/>
  <c r="CO93" i="15"/>
  <c r="CO156" i="15" s="1"/>
  <c r="CQ38" i="15"/>
  <c r="CP89" i="15" a="1"/>
  <c r="CP39" i="15" a="1"/>
  <c r="CP87" i="15" a="1"/>
  <c r="CP52" i="15" a="1"/>
  <c r="CP70" i="15" a="1"/>
  <c r="CP65" i="15" a="1"/>
  <c r="CP48" i="15" a="1"/>
  <c r="CP72" i="15" a="1"/>
  <c r="CP92" i="15" a="1"/>
  <c r="CP61" i="15" a="1"/>
  <c r="CP91" i="15" a="1"/>
  <c r="CP84" i="15" a="1"/>
  <c r="CP80" i="15" a="1"/>
  <c r="CP100" i="15" a="1"/>
  <c r="CP73" i="15" a="1"/>
  <c r="CP75" i="15" a="1"/>
  <c r="CP68" i="15" a="1"/>
  <c r="CP99" i="15" a="1"/>
  <c r="CP69" i="15" a="1"/>
  <c r="CP55" i="15" a="1"/>
  <c r="CP77" i="15" a="1"/>
  <c r="CP93" i="15" a="1"/>
  <c r="CP54" i="15" a="1"/>
  <c r="CP71" i="15" a="1"/>
  <c r="CP45" i="15" a="1"/>
  <c r="CP49" i="15" a="1"/>
  <c r="CP59" i="15" a="1"/>
  <c r="CP53" i="15" a="1"/>
  <c r="CP60" i="15" a="1"/>
  <c r="CP83" i="15" a="1"/>
  <c r="CP82" i="15" a="1"/>
  <c r="CP78" i="15" a="1"/>
  <c r="CP76" i="15" a="1"/>
  <c r="CP63" i="15" a="1"/>
  <c r="CP74" i="15" a="1"/>
  <c r="CP56" i="15" a="1"/>
  <c r="CP47" i="15" a="1"/>
  <c r="CP50" i="15" a="1"/>
  <c r="CP64" i="15" a="1"/>
  <c r="CP86" i="15" a="1"/>
  <c r="CP46" i="15" a="1"/>
  <c r="CP81" i="15" a="1"/>
  <c r="CP67" i="15" a="1"/>
  <c r="CP57" i="15" a="1"/>
  <c r="CP79" i="15" a="1"/>
  <c r="CP66" i="15" a="1"/>
  <c r="CP58" i="15" a="1"/>
  <c r="CP90" i="15" a="1"/>
  <c r="CP51" i="15" a="1"/>
  <c r="CP96" i="15" a="1"/>
  <c r="CP62" i="15" a="1"/>
  <c r="CP43" i="15" a="1"/>
  <c r="CP102" i="15" a="1"/>
  <c r="CP88" i="15" a="1"/>
  <c r="CP85" i="15" a="1"/>
  <c r="CP101" i="15" a="1"/>
  <c r="CP94" i="15" a="1"/>
  <c r="CP44" i="15" a="1"/>
  <c r="CP95" i="15" a="1"/>
  <c r="CP98" i="15" a="1"/>
  <c r="CP97" i="15" a="1"/>
  <c r="CP71" i="15" l="1"/>
  <c r="CP134" i="15" s="1"/>
  <c r="CP81" i="15"/>
  <c r="CP144" i="15" s="1"/>
  <c r="CP58" i="15"/>
  <c r="CP121" i="15" s="1"/>
  <c r="CP53" i="15"/>
  <c r="CP116" i="15" s="1"/>
  <c r="CP91" i="15"/>
  <c r="CP154" i="15" s="1"/>
  <c r="CP55" i="15"/>
  <c r="CP118" i="15" s="1"/>
  <c r="CP97" i="15"/>
  <c r="CP160" i="15" s="1"/>
  <c r="CP80" i="15"/>
  <c r="CP143" i="15" s="1"/>
  <c r="CP88" i="15"/>
  <c r="CP151" i="15" s="1"/>
  <c r="CP48" i="15"/>
  <c r="CP111" i="15" s="1"/>
  <c r="CP63" i="15"/>
  <c r="CP126" i="15" s="1"/>
  <c r="CP44" i="15"/>
  <c r="CP107" i="15" s="1"/>
  <c r="CP46" i="15"/>
  <c r="CP109" i="15" s="1"/>
  <c r="CP96" i="15"/>
  <c r="CP159" i="15" s="1"/>
  <c r="CP75" i="15"/>
  <c r="CP138" i="15" s="1"/>
  <c r="CP83" i="15"/>
  <c r="CP146" i="15" s="1"/>
  <c r="CP54" i="15"/>
  <c r="CP117" i="15" s="1"/>
  <c r="CP47" i="15"/>
  <c r="CP110" i="15" s="1"/>
  <c r="CP87" i="15"/>
  <c r="CP150" i="15" s="1"/>
  <c r="CP59" i="15"/>
  <c r="CP122" i="15" s="1"/>
  <c r="CP61" i="15"/>
  <c r="CP124" i="15" s="1"/>
  <c r="CP69" i="15"/>
  <c r="CP132" i="15" s="1"/>
  <c r="CP66" i="15"/>
  <c r="CP129" i="15" s="1"/>
  <c r="CP98" i="15"/>
  <c r="CP161" i="15" s="1"/>
  <c r="CP102" i="15"/>
  <c r="CP162" i="15" s="1"/>
  <c r="CP65" i="15"/>
  <c r="CP128" i="15" s="1"/>
  <c r="CP76" i="15"/>
  <c r="CP139" i="15" s="1"/>
  <c r="CP94" i="15"/>
  <c r="CP157" i="15" s="1"/>
  <c r="CP86" i="15"/>
  <c r="CP149" i="15" s="1"/>
  <c r="CP51" i="15"/>
  <c r="CP114" i="15" s="1"/>
  <c r="CP73" i="15"/>
  <c r="CP136" i="15" s="1"/>
  <c r="CP67" i="15"/>
  <c r="CP130" i="15" s="1"/>
  <c r="CP93" i="15"/>
  <c r="CP156" i="15" s="1"/>
  <c r="CP56" i="15"/>
  <c r="CP119" i="15" s="1"/>
  <c r="CP39" i="15"/>
  <c r="CP105" i="15" s="1"/>
  <c r="CP49" i="15"/>
  <c r="CP112" i="15" s="1"/>
  <c r="CP92" i="15"/>
  <c r="CP155" i="15" s="1"/>
  <c r="CP99" i="15"/>
  <c r="CP79" i="15"/>
  <c r="CP142" i="15" s="1"/>
  <c r="CP84" i="15"/>
  <c r="CP147" i="15" s="1"/>
  <c r="CP43" i="15"/>
  <c r="CP106" i="15" s="1"/>
  <c r="CP70" i="15"/>
  <c r="CP133" i="15" s="1"/>
  <c r="CP78" i="15"/>
  <c r="CP141" i="15" s="1"/>
  <c r="CP101" i="15"/>
  <c r="CP64" i="15"/>
  <c r="CP127" i="15" s="1"/>
  <c r="CP90" i="15"/>
  <c r="CP153" i="15" s="1"/>
  <c r="CP100" i="15"/>
  <c r="CP60" i="15"/>
  <c r="CP123" i="15" s="1"/>
  <c r="CP77" i="15"/>
  <c r="CP140" i="15" s="1"/>
  <c r="CP74" i="15"/>
  <c r="CP137" i="15" s="1"/>
  <c r="CP89" i="15"/>
  <c r="CP152" i="15" s="1"/>
  <c r="CP45" i="15"/>
  <c r="CP108" i="15" s="1"/>
  <c r="CP72" i="15"/>
  <c r="CP135" i="15" s="1"/>
  <c r="CP68" i="15"/>
  <c r="CP131" i="15" s="1"/>
  <c r="CP57" i="15"/>
  <c r="CP120" i="15" s="1"/>
  <c r="CP95" i="15"/>
  <c r="CP158" i="15" s="1"/>
  <c r="CP62" i="15"/>
  <c r="CP125" i="15" s="1"/>
  <c r="CP52" i="15"/>
  <c r="CP115" i="15" s="1"/>
  <c r="CP82" i="15"/>
  <c r="CP145" i="15" s="1"/>
  <c r="CP85" i="15"/>
  <c r="CP148" i="15" s="1"/>
  <c r="CP50" i="15"/>
  <c r="CP113" i="15" s="1"/>
  <c r="CR38" i="15"/>
  <c r="CQ102" i="15" a="1"/>
  <c r="CQ72" i="15" a="1"/>
  <c r="CQ96" i="15" a="1"/>
  <c r="CQ67" i="15" a="1"/>
  <c r="CQ99" i="15" a="1"/>
  <c r="CQ49" i="15" a="1"/>
  <c r="CQ64" i="15" a="1"/>
  <c r="CQ57" i="15" a="1"/>
  <c r="CQ86" i="15" a="1"/>
  <c r="CQ45" i="15" a="1"/>
  <c r="CQ61" i="15" a="1"/>
  <c r="CQ85" i="15" a="1"/>
  <c r="CQ56" i="15" a="1"/>
  <c r="CQ89" i="15" a="1"/>
  <c r="CQ84" i="15" a="1"/>
  <c r="CQ53" i="15" a="1"/>
  <c r="CQ80" i="15" a="1"/>
  <c r="CQ52" i="15" a="1"/>
  <c r="CQ65" i="15" a="1"/>
  <c r="CQ98" i="15" a="1"/>
  <c r="CQ88" i="15" a="1"/>
  <c r="CQ58" i="15" a="1"/>
  <c r="CQ92" i="15" a="1"/>
  <c r="CQ95" i="15" a="1"/>
  <c r="CQ76" i="15" a="1"/>
  <c r="CQ82" i="15" a="1"/>
  <c r="CQ62" i="15" a="1"/>
  <c r="CQ46" i="15" a="1"/>
  <c r="CQ68" i="15" a="1"/>
  <c r="CQ97" i="15" a="1"/>
  <c r="CQ83" i="15" a="1"/>
  <c r="CQ79" i="15" a="1"/>
  <c r="CQ90" i="15" a="1"/>
  <c r="CQ48" i="15" a="1"/>
  <c r="CQ87" i="15" a="1"/>
  <c r="CQ77" i="15" a="1"/>
  <c r="CQ69" i="15" a="1"/>
  <c r="CQ78" i="15" a="1"/>
  <c r="CQ63" i="15" a="1"/>
  <c r="CQ47" i="15" a="1"/>
  <c r="CQ101" i="15" a="1"/>
  <c r="CQ44" i="15" a="1"/>
  <c r="CQ94" i="15" a="1"/>
  <c r="CQ59" i="15" a="1"/>
  <c r="CQ39" i="15" a="1"/>
  <c r="CQ91" i="15" a="1"/>
  <c r="CQ55" i="15" a="1"/>
  <c r="CQ70" i="15" a="1"/>
  <c r="CQ71" i="15" a="1"/>
  <c r="CQ100" i="15" a="1"/>
  <c r="CQ81" i="15" a="1"/>
  <c r="CQ74" i="15" a="1"/>
  <c r="CQ50" i="15" a="1"/>
  <c r="CQ54" i="15" a="1"/>
  <c r="CQ75" i="15" a="1"/>
  <c r="CQ93" i="15" a="1"/>
  <c r="CQ43" i="15" a="1"/>
  <c r="CQ73" i="15" a="1"/>
  <c r="CQ60" i="15" a="1"/>
  <c r="CQ51" i="15" a="1"/>
  <c r="CQ66" i="15" a="1"/>
  <c r="CQ52" i="15" l="1"/>
  <c r="CQ115" i="15" s="1"/>
  <c r="CQ59" i="15"/>
  <c r="CQ122" i="15" s="1"/>
  <c r="CQ67" i="15"/>
  <c r="CQ130" i="15" s="1"/>
  <c r="CQ39" i="15"/>
  <c r="CQ105" i="15" s="1"/>
  <c r="CQ47" i="15"/>
  <c r="CQ110" i="15" s="1"/>
  <c r="CQ50" i="15"/>
  <c r="CQ113" i="15" s="1"/>
  <c r="CQ71" i="15"/>
  <c r="CQ134" i="15" s="1"/>
  <c r="CQ89" i="15"/>
  <c r="CQ152" i="15" s="1"/>
  <c r="CQ76" i="15"/>
  <c r="CQ139" i="15" s="1"/>
  <c r="CQ77" i="15"/>
  <c r="CQ140" i="15" s="1"/>
  <c r="CQ79" i="15"/>
  <c r="CQ142" i="15" s="1"/>
  <c r="CQ51" i="15"/>
  <c r="CQ114" i="15" s="1"/>
  <c r="CQ61" i="15"/>
  <c r="CQ124" i="15" s="1"/>
  <c r="CQ88" i="15"/>
  <c r="CQ151" i="15" s="1"/>
  <c r="CQ80" i="15"/>
  <c r="CQ143" i="15" s="1"/>
  <c r="CQ94" i="15"/>
  <c r="CQ157" i="15" s="1"/>
  <c r="CQ93" i="15"/>
  <c r="CQ156" i="15" s="1"/>
  <c r="CQ64" i="15"/>
  <c r="CQ127" i="15" s="1"/>
  <c r="CQ96" i="15"/>
  <c r="CQ159" i="15" s="1"/>
  <c r="CQ46" i="15"/>
  <c r="CQ109" i="15" s="1"/>
  <c r="CQ63" i="15"/>
  <c r="CQ126" i="15" s="1"/>
  <c r="CQ74" i="15"/>
  <c r="CQ137" i="15" s="1"/>
  <c r="CQ70" i="15"/>
  <c r="CQ133" i="15" s="1"/>
  <c r="CQ66" i="15"/>
  <c r="CQ129" i="15" s="1"/>
  <c r="CQ95" i="15"/>
  <c r="CQ158" i="15" s="1"/>
  <c r="CQ87" i="15"/>
  <c r="CQ150" i="15" s="1"/>
  <c r="CQ83" i="15"/>
  <c r="CQ146" i="15" s="1"/>
  <c r="CQ60" i="15"/>
  <c r="CQ123" i="15" s="1"/>
  <c r="CQ45" i="15"/>
  <c r="CQ108" i="15" s="1"/>
  <c r="CQ98" i="15"/>
  <c r="CQ161" i="15" s="1"/>
  <c r="CQ53" i="15"/>
  <c r="CQ116" i="15" s="1"/>
  <c r="CQ44" i="15"/>
  <c r="CQ107" i="15" s="1"/>
  <c r="CQ75" i="15"/>
  <c r="CQ138" i="15" s="1"/>
  <c r="CQ49" i="15"/>
  <c r="CQ112" i="15" s="1"/>
  <c r="CQ72" i="15"/>
  <c r="CQ135" i="15" s="1"/>
  <c r="CQ62" i="15"/>
  <c r="CQ125" i="15" s="1"/>
  <c r="CQ78" i="15"/>
  <c r="CQ141" i="15" s="1"/>
  <c r="CQ81" i="15"/>
  <c r="CQ144" i="15" s="1"/>
  <c r="CQ55" i="15"/>
  <c r="CQ118" i="15" s="1"/>
  <c r="CQ56" i="15"/>
  <c r="CQ119" i="15" s="1"/>
  <c r="CQ92" i="15"/>
  <c r="CQ155" i="15" s="1"/>
  <c r="CQ48" i="15"/>
  <c r="CQ111" i="15" s="1"/>
  <c r="CQ97" i="15"/>
  <c r="CQ160" i="15" s="1"/>
  <c r="CQ73" i="15"/>
  <c r="CQ136" i="15" s="1"/>
  <c r="CQ86" i="15"/>
  <c r="CQ149" i="15" s="1"/>
  <c r="CQ65" i="15"/>
  <c r="CQ128" i="15" s="1"/>
  <c r="CQ84" i="15"/>
  <c r="CQ147" i="15" s="1"/>
  <c r="CQ101" i="15"/>
  <c r="CQ54" i="15"/>
  <c r="CQ117" i="15" s="1"/>
  <c r="CQ99" i="15"/>
  <c r="CQ102" i="15"/>
  <c r="CQ162" i="15" s="1"/>
  <c r="CQ82" i="15"/>
  <c r="CQ145" i="15" s="1"/>
  <c r="CQ69" i="15"/>
  <c r="CQ132" i="15" s="1"/>
  <c r="CQ100" i="15"/>
  <c r="CQ91" i="15"/>
  <c r="CQ154" i="15" s="1"/>
  <c r="CQ85" i="15"/>
  <c r="CQ148" i="15" s="1"/>
  <c r="CQ58" i="15"/>
  <c r="CQ121" i="15" s="1"/>
  <c r="CQ90" i="15"/>
  <c r="CQ153" i="15" s="1"/>
  <c r="CQ68" i="15"/>
  <c r="CQ131" i="15" s="1"/>
  <c r="CQ43" i="15"/>
  <c r="CQ106" i="15" s="1"/>
  <c r="CQ57" i="15"/>
  <c r="CQ120" i="15" s="1"/>
  <c r="CR56" i="15" a="1"/>
  <c r="CR91" i="15" a="1"/>
  <c r="CR80" i="15" a="1"/>
  <c r="CR50" i="15" a="1"/>
  <c r="CR78" i="15" a="1"/>
  <c r="CR52" i="15" a="1"/>
  <c r="CR49" i="15" a="1"/>
  <c r="CR95" i="15" a="1"/>
  <c r="CR100" i="15" a="1"/>
  <c r="CR88" i="15" a="1"/>
  <c r="CR54" i="15" a="1"/>
  <c r="CR94" i="15" a="1"/>
  <c r="CR69" i="15" a="1"/>
  <c r="CR51" i="15" a="1"/>
  <c r="CR64" i="15" a="1"/>
  <c r="CR55" i="15" a="1"/>
  <c r="CR98" i="15" a="1"/>
  <c r="CR97" i="15" a="1"/>
  <c r="CR90" i="15" a="1"/>
  <c r="CR47" i="15" a="1"/>
  <c r="CR43" i="15" a="1"/>
  <c r="CR66" i="15" a="1"/>
  <c r="CR87" i="15" a="1"/>
  <c r="CR77" i="15" a="1"/>
  <c r="CR89" i="15" a="1"/>
  <c r="CR99" i="15" a="1"/>
  <c r="CR81" i="15" a="1"/>
  <c r="CR84" i="15" a="1"/>
  <c r="CR39" i="15" a="1"/>
  <c r="CR68" i="15" a="1"/>
  <c r="CR76" i="15" a="1"/>
  <c r="CR79" i="15" a="1"/>
  <c r="CR86" i="15" a="1"/>
  <c r="CR61" i="15" a="1"/>
  <c r="CR92" i="15" a="1"/>
  <c r="CR48" i="15" a="1"/>
  <c r="CR82" i="15" a="1"/>
  <c r="CR57" i="15" a="1"/>
  <c r="CR85" i="15" a="1"/>
  <c r="CR62" i="15" a="1"/>
  <c r="CR75" i="15" a="1"/>
  <c r="CR83" i="15" a="1"/>
  <c r="CR67" i="15" a="1"/>
  <c r="CR71" i="15" a="1"/>
  <c r="CR93" i="15" a="1"/>
  <c r="CR74" i="15" a="1"/>
  <c r="CR45" i="15" a="1"/>
  <c r="CR59" i="15" a="1"/>
  <c r="CR102" i="15" a="1"/>
  <c r="CR53" i="15" a="1"/>
  <c r="CR46" i="15" a="1"/>
  <c r="CR70" i="15" a="1"/>
  <c r="CR60" i="15" a="1"/>
  <c r="CR73" i="15" a="1"/>
  <c r="CR44" i="15" a="1"/>
  <c r="CR96" i="15" a="1"/>
  <c r="CR63" i="15" a="1"/>
  <c r="CR72" i="15" a="1"/>
  <c r="CR101" i="15" a="1"/>
  <c r="CR58" i="15" a="1"/>
  <c r="CR65" i="15" a="1"/>
  <c r="CR84" i="15" l="1"/>
  <c r="CR147" i="15" s="1"/>
  <c r="CR45" i="15"/>
  <c r="CR108" i="15" s="1"/>
  <c r="CR72" i="15"/>
  <c r="CR135" i="15" s="1"/>
  <c r="CR101" i="15"/>
  <c r="CR85" i="15"/>
  <c r="CR148" i="15" s="1"/>
  <c r="CR92" i="15"/>
  <c r="CR155" i="15" s="1"/>
  <c r="CR76" i="15"/>
  <c r="CR139" i="15" s="1"/>
  <c r="CR98" i="15"/>
  <c r="CR161" i="15" s="1"/>
  <c r="CR94" i="15"/>
  <c r="CR157" i="15" s="1"/>
  <c r="CR55" i="15"/>
  <c r="CR118" i="15" s="1"/>
  <c r="CR81" i="15"/>
  <c r="CR144" i="15" s="1"/>
  <c r="CR73" i="15"/>
  <c r="CR136" i="15" s="1"/>
  <c r="CR50" i="15"/>
  <c r="CR113" i="15" s="1"/>
  <c r="CR80" i="15"/>
  <c r="CR143" i="15" s="1"/>
  <c r="CR65" i="15"/>
  <c r="CR128" i="15" s="1"/>
  <c r="CR83" i="15"/>
  <c r="CR146" i="15" s="1"/>
  <c r="CR47" i="15"/>
  <c r="CR110" i="15" s="1"/>
  <c r="CR74" i="15"/>
  <c r="CR137" i="15" s="1"/>
  <c r="CR63" i="15"/>
  <c r="CR126" i="15" s="1"/>
  <c r="CR87" i="15"/>
  <c r="CR150" i="15" s="1"/>
  <c r="CR49" i="15"/>
  <c r="CR112" i="15" s="1"/>
  <c r="CR61" i="15"/>
  <c r="CR124" i="15" s="1"/>
  <c r="CR68" i="15"/>
  <c r="CR131" i="15" s="1"/>
  <c r="CR88" i="15"/>
  <c r="CR151" i="15" s="1"/>
  <c r="CR53" i="15"/>
  <c r="CR116" i="15" s="1"/>
  <c r="CR64" i="15"/>
  <c r="CR127" i="15" s="1"/>
  <c r="CR99" i="15"/>
  <c r="CR60" i="15"/>
  <c r="CR123" i="15" s="1"/>
  <c r="CR57" i="15"/>
  <c r="CR120" i="15" s="1"/>
  <c r="CR91" i="15"/>
  <c r="CR154" i="15" s="1"/>
  <c r="CR58" i="15"/>
  <c r="CR121" i="15" s="1"/>
  <c r="CR75" i="15"/>
  <c r="CR138" i="15" s="1"/>
  <c r="CR90" i="15"/>
  <c r="CR153" i="15" s="1"/>
  <c r="CR93" i="15"/>
  <c r="CR156" i="15" s="1"/>
  <c r="CR96" i="15"/>
  <c r="CR159" i="15" s="1"/>
  <c r="CR66" i="15"/>
  <c r="CR129" i="15" s="1"/>
  <c r="CR52" i="15"/>
  <c r="CR115" i="15" s="1"/>
  <c r="CR86" i="15"/>
  <c r="CR149" i="15" s="1"/>
  <c r="CR67" i="15"/>
  <c r="CR130" i="15" s="1"/>
  <c r="CR100" i="15"/>
  <c r="CR102" i="15"/>
  <c r="CR162" i="15" s="1"/>
  <c r="CR51" i="15"/>
  <c r="CR114" i="15" s="1"/>
  <c r="CR89" i="15"/>
  <c r="CR152" i="15" s="1"/>
  <c r="CR70" i="15"/>
  <c r="CR133" i="15" s="1"/>
  <c r="CR82" i="15"/>
  <c r="CR145" i="15" s="1"/>
  <c r="CR56" i="15"/>
  <c r="CR119" i="15" s="1"/>
  <c r="CR54" i="15"/>
  <c r="CR117" i="15" s="1"/>
  <c r="CR62" i="15"/>
  <c r="CR125" i="15" s="1"/>
  <c r="CR97" i="15"/>
  <c r="CR160" i="15" s="1"/>
  <c r="CR71" i="15"/>
  <c r="CR134" i="15" s="1"/>
  <c r="CR44" i="15"/>
  <c r="CR107" i="15" s="1"/>
  <c r="CR43" i="15"/>
  <c r="CR106" i="15" s="1"/>
  <c r="CR78" i="15"/>
  <c r="CR141" i="15" s="1"/>
  <c r="CR79" i="15"/>
  <c r="CR142" i="15" s="1"/>
  <c r="CR39" i="15"/>
  <c r="CR105" i="15" s="1"/>
  <c r="CR95" i="15"/>
  <c r="CR158" i="15" s="1"/>
  <c r="CR59" i="15"/>
  <c r="CR122" i="15" s="1"/>
  <c r="CR69" i="15"/>
  <c r="CR132" i="15" s="1"/>
  <c r="CR77" i="15"/>
  <c r="CR140" i="15" s="1"/>
  <c r="CR46" i="15"/>
  <c r="CR109" i="15" s="1"/>
  <c r="CR48" i="15"/>
  <c r="CR111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<sst xmlns="http://schemas.openxmlformats.org/spreadsheetml/2006/main" count="1330" uniqueCount="266">
  <si>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</si>
  <si>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</si>
  <si>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</si>
  <si>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</si>
  <si>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</si>
  <si>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</si>
  <si>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</si>
  <si>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</si>
  <si>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</si>
  <si>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</si>
  <si>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</si>
  <si>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</si>
  <si>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</si>
  <si>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</si>
  <si>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</si>
  <si>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</si>
  <si>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</si>
  <si>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</si>
  <si>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</si>
  <si>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</si>
  <si>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</si>
  <si>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</si>
  <si>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</si>
  <si>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</si>
  <si>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</si>
  <si>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</si>
  <si>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</si>
  <si>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</si>
  <si>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</si>
  <si>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</si>
  <si>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</si>
  <si>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</si>
  <si>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</si>
  <si>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</si>
  <si>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</si>
  <si>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</si>
  <si>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</si>
  <si>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</si>
  <si>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</si>
  <si>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</si>
  <si>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</si>
  <si>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</si>
  <si>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</si>
  <si>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</si>
  <si>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</si>
  <si>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</si>
  <si>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</si>
  <si>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</si>
  <si>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</si>
  <si>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</si>
  <si>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</si>
  <si>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</si>
  <si>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</si>
  <si>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</si>
  <si>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</si>
  <si>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</si>
  <si>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</si>
  <si>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</si>
  <si>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</si>
  <si>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</si>
  <si>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</si>
  <si>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</si>
  <si>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</si>
  <si>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</si>
  <si>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</si>
  <si>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</si>
  <si>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</si>
  <si>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</si>
  <si>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</si>
  <si>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</si>
  <si>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</si>
  <si>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</si>
  <si>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</si>
  <si>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</si>
  <si>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</si>
  <si>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</si>
  <si>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</si>
  <si>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</si>
  <si>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</si>
  <si>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</si>
  <si>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</si>
  <si>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</si>
  <si>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</si>
  <si>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</si>
  <si>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</si>
  <si>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</si>
  <si>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</si>
  <si>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</si>
  <si>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</si>
  <si>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</si>
  <si>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</si>
  <si>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</si>
  <si>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</si>
  <si>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</si>
  <si>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</si>
  <si>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</si>
  <si>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</si>
  <si>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</si>
  <si>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</si>
  <si>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</si>
  <si>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</si>
  <si>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</si>
  <si>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</si>
  <si>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</si>
  <si>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</si>
  <si>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</si>
  <si>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</si>
  <si>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</si>
  <si>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</si>
  <si>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</si>
  <si>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</si>
  <si>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</si>
  <si>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</si>
  <si>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</si>
  <si>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</si>
  <si>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</si>
  <si>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</si>
  <si>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</si>
  <si>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</si>
  <si>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</si>
  <si>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</si>
  <si>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</si>
  <si>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</si>
  <si>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</si>
  <si>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</si>
  <si>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</si>
  <si>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</si>
  <si>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</si>
  <si>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</si>
  <si>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</si>
  <si>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</si>
  <si>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</si>
  <si>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</si>
  <si>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</si>
  <si>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</si>
  <si>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</si>
  <si>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</si>
  <si>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</si>
  <si>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</si>
  <si>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</si>
  <si>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</si>
  <si>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</si>
  <si>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</si>
  <si>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</si>
  <si>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</si>
  <si>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</si>
  <si>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</si>
  <si>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</si>
  <si>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</si>
  <si>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</si>
  <si>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</si>
  <si>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</si>
  <si>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</si>
  <si>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</si>
  <si>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</si>
  <si>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</si>
  <si>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</si>
  <si>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</si>
  <si>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</si>
  <si>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</si>
  <si>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</si>
  <si>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</si>
  <si>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</si>
  <si>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</si>
  <si>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</si>
  <si>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</si>
  <si>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</si>
  <si>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</si>
  <si>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</si>
  <si>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</si>
  <si>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</si>
  <si>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</si>
  <si>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</si>
  <si>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</si>
  <si>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</si>
  <si>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</si>
  <si>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</si>
  <si>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</si>
  <si>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</si>
  <si>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</si>
  <si>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</si>
  <si>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</si>
  <si>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</si>
  <si>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</si>
  <si>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</si>
  <si>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</si>
  <si>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</si>
  <si>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</si>
  <si>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</si>
  <si>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</si>
  <si>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</si>
  <si>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</si>
  <si>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</si>
  <si>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</si>
  <si>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</si>
  <si>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</si>
  <si>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</si>
  <si>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</si>
  <si>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</si>
  <si>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</si>
  <si>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</si>
  <si>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</si>
  <si>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</si>
  <si>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</si>
  <si>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</si>
  <si>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</si>
  <si>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</si>
  <si>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</si>
  <si>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</si>
  <si>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</si>
  <si>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</si>
  <si>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</si>
  <si>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</si>
  <si>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</si>
  <si>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</si>
  <si>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</si>
  <si>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</si>
  <si>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</si>
  <si>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</si>
  <si>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</si>
  <si>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</si>
  <si>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</si>
  <si>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</si>
  <si>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</si>
  <si>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</si>
  <si>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</si>
  <si>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</si>
  <si>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</si>
  <si>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</si>
  <si>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</si>
  <si>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</si>
  <si>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</si>
  <si>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</si>
  <si>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</si>
  <si>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</si>
  <si>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</si>
  <si>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</si>
  <si>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</si>
  <si>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</si>
  <si>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</si>
  <si>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</si>
  <si>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</si>
  <si>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</si>
  <si>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</si>
  <si>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</si>
  <si>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</si>
  <si>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</si>
  <si>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United Kingdom</t>
  </si>
  <si>
    <t>US</t>
  </si>
  <si>
    <t>Sweden</t>
  </si>
  <si>
    <t>Spain</t>
  </si>
  <si>
    <t>Singapore</t>
  </si>
  <si>
    <t>Russia</t>
  </si>
  <si>
    <t>Portugal</t>
  </si>
  <si>
    <t>Korea, South</t>
  </si>
  <si>
    <t>Japan</t>
  </si>
  <si>
    <t>Italy</t>
  </si>
  <si>
    <t>Iran</t>
  </si>
  <si>
    <t>India</t>
  </si>
  <si>
    <t>Germany</t>
  </si>
  <si>
    <t>France</t>
  </si>
  <si>
    <t>Finland</t>
  </si>
  <si>
    <t>China</t>
  </si>
  <si>
    <t>Canada</t>
  </si>
  <si>
    <t>Belgium</t>
  </si>
  <si>
    <t>Austria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</si>
</sst>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1'!$E$93:$CO$93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  <c:pt idx="71">
                  <c:v>5926</c:v>
                </c:pt>
                <c:pt idx="72">
                  <c:v>7087</c:v>
                </c:pt>
                <c:pt idx="73">
                  <c:v>8407</c:v>
                </c:pt>
                <c:pt idx="74">
                  <c:v>9619</c:v>
                </c:pt>
                <c:pt idx="75">
                  <c:v>10783</c:v>
                </c:pt>
                <c:pt idx="76">
                  <c:v>12722</c:v>
                </c:pt>
                <c:pt idx="77">
                  <c:v>14695</c:v>
                </c:pt>
                <c:pt idx="78">
                  <c:v>16478</c:v>
                </c:pt>
                <c:pt idx="79">
                  <c:v>18586</c:v>
                </c:pt>
                <c:pt idx="80">
                  <c:v>20462</c:v>
                </c:pt>
                <c:pt idx="81">
                  <c:v>22019</c:v>
                </c:pt>
                <c:pt idx="82">
                  <c:v>23528</c:v>
                </c:pt>
                <c:pt idx="83">
                  <c:v>25831</c:v>
                </c:pt>
                <c:pt idx="84">
                  <c:v>28325</c:v>
                </c:pt>
                <c:pt idx="85">
                  <c:v>32916</c:v>
                </c:pt>
                <c:pt idx="86">
                  <c:v>36773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1'!$E$103:$CO$103</c:f>
              <c:numCache>
                <c:formatCode>#,##0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202.25</c:v>
                </c:pt>
                <c:pt idx="44">
                  <c:v>247</c:v>
                </c:pt>
                <c:pt idx="45">
                  <c:v>375</c:v>
                </c:pt>
                <c:pt idx="46">
                  <c:v>479</c:v>
                </c:pt>
                <c:pt idx="47">
                  <c:v>532</c:v>
                </c:pt>
                <c:pt idx="48">
                  <c:v>905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13530</c:v>
                </c:pt>
                <c:pt idx="58">
                  <c:v>19011</c:v>
                </c:pt>
                <c:pt idx="59">
                  <c:v>25198</c:v>
                </c:pt>
                <c:pt idx="60">
                  <c:v>32758</c:v>
                </c:pt>
                <c:pt idx="61">
                  <c:v>43260</c:v>
                </c:pt>
                <c:pt idx="62">
                  <c:v>52777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118738</c:v>
                </c:pt>
                <c:pt idx="67">
                  <c:v>137410</c:v>
                </c:pt>
                <c:pt idx="68">
                  <c:v>157199</c:v>
                </c:pt>
                <c:pt idx="69">
                  <c:v>181751</c:v>
                </c:pt>
                <c:pt idx="70">
                  <c:v>205589</c:v>
                </c:pt>
                <c:pt idx="71">
                  <c:v>230015</c:v>
                </c:pt>
                <c:pt idx="72">
                  <c:v>256313</c:v>
                </c:pt>
                <c:pt idx="73">
                  <c:v>283253</c:v>
                </c:pt>
                <c:pt idx="74">
                  <c:v>303796</c:v>
                </c:pt>
                <c:pt idx="75">
                  <c:v>322824</c:v>
                </c:pt>
                <c:pt idx="76">
                  <c:v>342487</c:v>
                </c:pt>
                <c:pt idx="77">
                  <c:v>363274</c:v>
                </c:pt>
                <c:pt idx="78">
                  <c:v>377601</c:v>
                </c:pt>
                <c:pt idx="79">
                  <c:v>394878</c:v>
                </c:pt>
                <c:pt idx="80">
                  <c:v>404931</c:v>
                </c:pt>
                <c:pt idx="81">
                  <c:v>414404</c:v>
                </c:pt>
                <c:pt idx="82">
                  <c:v>418788</c:v>
                </c:pt>
                <c:pt idx="83">
                  <c:v>419498</c:v>
                </c:pt>
                <c:pt idx="84">
                  <c:v>422978</c:v>
                </c:pt>
                <c:pt idx="85">
                  <c:v>424039</c:v>
                </c:pt>
                <c:pt idx="86">
                  <c:v>424120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1'!$E$63:$CO$63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1'!$E$113:$CO$113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2548</c:v>
                </c:pt>
                <c:pt idx="70">
                  <c:v>3026</c:v>
                </c:pt>
                <c:pt idx="71">
                  <c:v>7821</c:v>
                </c:pt>
                <c:pt idx="72">
                  <c:v>12186</c:v>
                </c:pt>
                <c:pt idx="73">
                  <c:v>17193</c:v>
                </c:pt>
                <c:pt idx="74">
                  <c:v>23657</c:v>
                </c:pt>
                <c:pt idx="75">
                  <c:v>33060</c:v>
                </c:pt>
                <c:pt idx="76">
                  <c:v>41014</c:v>
                </c:pt>
                <c:pt idx="77">
                  <c:v>51083</c:v>
                </c:pt>
                <c:pt idx="78">
                  <c:v>67358</c:v>
                </c:pt>
                <c:pt idx="79">
                  <c:v>83071</c:v>
                </c:pt>
                <c:pt idx="80">
                  <c:v>101003</c:v>
                </c:pt>
                <c:pt idx="81">
                  <c:v>118890</c:v>
                </c:pt>
                <c:pt idx="82">
                  <c:v>138303</c:v>
                </c:pt>
                <c:pt idx="83">
                  <c:v>162341</c:v>
                </c:pt>
                <c:pt idx="84">
                  <c:v>185047</c:v>
                </c:pt>
                <c:pt idx="85">
                  <c:v>210846</c:v>
                </c:pt>
                <c:pt idx="86">
                  <c:v>238813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China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1'!$E$94:$CO$94</c:f>
              <c:numCache>
                <c:formatCode>#,##0</c:formatCode>
                <c:ptCount val="8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1'!$E$104:$CO$104</c:f>
              <c:numCache>
                <c:formatCode>#,##0</c:formatCode>
                <c:ptCount val="89"/>
                <c:pt idx="0">
                  <c:v>531</c:v>
                </c:pt>
                <c:pt idx="1">
                  <c:v>625</c:v>
                </c:pt>
                <c:pt idx="2">
                  <c:v>894</c:v>
                </c:pt>
                <c:pt idx="3">
                  <c:v>1364</c:v>
                </c:pt>
                <c:pt idx="4">
                  <c:v>2019</c:v>
                </c:pt>
                <c:pt idx="5">
                  <c:v>2795</c:v>
                </c:pt>
                <c:pt idx="6">
                  <c:v>5378</c:v>
                </c:pt>
                <c:pt idx="7">
                  <c:v>5954</c:v>
                </c:pt>
                <c:pt idx="8">
                  <c:v>7970</c:v>
                </c:pt>
                <c:pt idx="9">
                  <c:v>9589</c:v>
                </c:pt>
                <c:pt idx="10">
                  <c:v>11632</c:v>
                </c:pt>
                <c:pt idx="11">
                  <c:v>16269</c:v>
                </c:pt>
                <c:pt idx="12">
                  <c:v>19291</c:v>
                </c:pt>
                <c:pt idx="13">
                  <c:v>23216</c:v>
                </c:pt>
                <c:pt idx="14">
                  <c:v>26877</c:v>
                </c:pt>
                <c:pt idx="15">
                  <c:v>29944</c:v>
                </c:pt>
                <c:pt idx="16">
                  <c:v>33190</c:v>
                </c:pt>
                <c:pt idx="17">
                  <c:v>35408</c:v>
                </c:pt>
                <c:pt idx="18">
                  <c:v>37754</c:v>
                </c:pt>
                <c:pt idx="19">
                  <c:v>39477</c:v>
                </c:pt>
                <c:pt idx="20">
                  <c:v>38877</c:v>
                </c:pt>
                <c:pt idx="21">
                  <c:v>38672</c:v>
                </c:pt>
                <c:pt idx="22">
                  <c:v>51754</c:v>
                </c:pt>
                <c:pt idx="23">
                  <c:v>56556</c:v>
                </c:pt>
                <c:pt idx="24">
                  <c:v>56522</c:v>
                </c:pt>
                <c:pt idx="25">
                  <c:v>53883</c:v>
                </c:pt>
                <c:pt idx="26">
                  <c:v>52718</c:v>
                </c:pt>
                <c:pt idx="27">
                  <c:v>50504</c:v>
                </c:pt>
                <c:pt idx="28">
                  <c:v>47179</c:v>
                </c:pt>
                <c:pt idx="29">
                  <c:v>44490</c:v>
                </c:pt>
                <c:pt idx="30">
                  <c:v>41440</c:v>
                </c:pt>
                <c:pt idx="31">
                  <c:v>40187</c:v>
                </c:pt>
                <c:pt idx="32">
                  <c:v>37193</c:v>
                </c:pt>
                <c:pt idx="33">
                  <c:v>34887</c:v>
                </c:pt>
                <c:pt idx="34">
                  <c:v>33368</c:v>
                </c:pt>
                <c:pt idx="35">
                  <c:v>33407</c:v>
                </c:pt>
                <c:pt idx="36">
                  <c:v>18705</c:v>
                </c:pt>
                <c:pt idx="37">
                  <c:v>12570</c:v>
                </c:pt>
                <c:pt idx="38">
                  <c:v>10943</c:v>
                </c:pt>
                <c:pt idx="39">
                  <c:v>9419</c:v>
                </c:pt>
                <c:pt idx="40">
                  <c:v>7702</c:v>
                </c:pt>
                <c:pt idx="41">
                  <c:v>6050</c:v>
                </c:pt>
                <c:pt idx="42">
                  <c:v>5767</c:v>
                </c:pt>
                <c:pt idx="43">
                  <c:v>5460</c:v>
                </c:pt>
                <c:pt idx="44">
                  <c:v>5140</c:v>
                </c:pt>
                <c:pt idx="45">
                  <c:v>3769</c:v>
                </c:pt>
                <c:pt idx="46">
                  <c:v>3801</c:v>
                </c:pt>
                <c:pt idx="47">
                  <c:v>3619</c:v>
                </c:pt>
                <c:pt idx="48">
                  <c:v>3133</c:v>
                </c:pt>
                <c:pt idx="49">
                  <c:v>2755</c:v>
                </c:pt>
                <c:pt idx="50">
                  <c:v>2332</c:v>
                </c:pt>
                <c:pt idx="51">
                  <c:v>2017</c:v>
                </c:pt>
                <c:pt idx="52">
                  <c:v>1621</c:v>
                </c:pt>
                <c:pt idx="53">
                  <c:v>1071</c:v>
                </c:pt>
                <c:pt idx="54">
                  <c:v>897</c:v>
                </c:pt>
                <c:pt idx="55">
                  <c:v>797</c:v>
                </c:pt>
                <c:pt idx="56">
                  <c:v>716</c:v>
                </c:pt>
                <c:pt idx="57">
                  <c:v>619</c:v>
                </c:pt>
                <c:pt idx="58">
                  <c:v>560</c:v>
                </c:pt>
                <c:pt idx="59">
                  <c:v>535</c:v>
                </c:pt>
                <c:pt idx="60">
                  <c:v>612</c:v>
                </c:pt>
                <c:pt idx="61">
                  <c:v>638</c:v>
                </c:pt>
                <c:pt idx="62">
                  <c:v>704</c:v>
                </c:pt>
                <c:pt idx="63">
                  <c:v>740</c:v>
                </c:pt>
                <c:pt idx="64">
                  <c:v>850</c:v>
                </c:pt>
                <c:pt idx="65">
                  <c:v>952</c:v>
                </c:pt>
                <c:pt idx="66">
                  <c:v>1022</c:v>
                </c:pt>
                <c:pt idx="67">
                  <c:v>1119</c:v>
                </c:pt>
                <c:pt idx="68">
                  <c:v>1165</c:v>
                </c:pt>
                <c:pt idx="69">
                  <c:v>1221</c:v>
                </c:pt>
                <c:pt idx="70">
                  <c:v>1259</c:v>
                </c:pt>
                <c:pt idx="71">
                  <c:v>1276</c:v>
                </c:pt>
                <c:pt idx="72">
                  <c:v>1261</c:v>
                </c:pt>
                <c:pt idx="73">
                  <c:v>1238</c:v>
                </c:pt>
                <c:pt idx="74">
                  <c:v>1167</c:v>
                </c:pt>
                <c:pt idx="75">
                  <c:v>1167</c:v>
                </c:pt>
                <c:pt idx="76">
                  <c:v>1127</c:v>
                </c:pt>
                <c:pt idx="77">
                  <c:v>1148</c:v>
                </c:pt>
                <c:pt idx="78">
                  <c:v>1101</c:v>
                </c:pt>
                <c:pt idx="79">
                  <c:v>1044</c:v>
                </c:pt>
                <c:pt idx="80">
                  <c:v>1015</c:v>
                </c:pt>
                <c:pt idx="81">
                  <c:v>1012</c:v>
                </c:pt>
                <c:pt idx="82">
                  <c:v>1015</c:v>
                </c:pt>
                <c:pt idx="83">
                  <c:v>1027</c:v>
                </c:pt>
                <c:pt idx="84">
                  <c:v>995</c:v>
                </c:pt>
                <c:pt idx="85">
                  <c:v>971</c:v>
                </c:pt>
                <c:pt idx="86">
                  <c:v>1249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1'!$E$64:$CO$64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1'!$E$114:$CO$114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</c:v>
                </c:pt>
                <c:pt idx="16">
                  <c:v>202</c:v>
                </c:pt>
                <c:pt idx="17">
                  <c:v>601</c:v>
                </c:pt>
                <c:pt idx="18">
                  <c:v>1170</c:v>
                </c:pt>
                <c:pt idx="19">
                  <c:v>1865</c:v>
                </c:pt>
                <c:pt idx="20">
                  <c:v>4397</c:v>
                </c:pt>
                <c:pt idx="21">
                  <c:v>4970</c:v>
                </c:pt>
                <c:pt idx="22">
                  <c:v>6772</c:v>
                </c:pt>
                <c:pt idx="23">
                  <c:v>8281</c:v>
                </c:pt>
                <c:pt idx="24">
                  <c:v>10228</c:v>
                </c:pt>
                <c:pt idx="25">
                  <c:v>14864</c:v>
                </c:pt>
                <c:pt idx="26">
                  <c:v>17852</c:v>
                </c:pt>
                <c:pt idx="27">
                  <c:v>21704</c:v>
                </c:pt>
                <c:pt idx="28">
                  <c:v>25324</c:v>
                </c:pt>
                <c:pt idx="29">
                  <c:v>28349</c:v>
                </c:pt>
                <c:pt idx="30">
                  <c:v>31872</c:v>
                </c:pt>
                <c:pt idx="31">
                  <c:v>34371</c:v>
                </c:pt>
                <c:pt idx="32">
                  <c:v>37384</c:v>
                </c:pt>
                <c:pt idx="33">
                  <c:v>39759</c:v>
                </c:pt>
                <c:pt idx="34">
                  <c:v>41721</c:v>
                </c:pt>
                <c:pt idx="35">
                  <c:v>42042</c:v>
                </c:pt>
                <c:pt idx="36">
                  <c:v>57149</c:v>
                </c:pt>
                <c:pt idx="37">
                  <c:v>63568</c:v>
                </c:pt>
                <c:pt idx="38">
                  <c:v>65576</c:v>
                </c:pt>
                <c:pt idx="39">
                  <c:v>67641</c:v>
                </c:pt>
                <c:pt idx="40">
                  <c:v>69520</c:v>
                </c:pt>
                <c:pt idx="41">
                  <c:v>71264</c:v>
                </c:pt>
                <c:pt idx="42">
                  <c:v>71636</c:v>
                </c:pt>
                <c:pt idx="43">
                  <c:v>72062</c:v>
                </c:pt>
                <c:pt idx="44">
                  <c:v>72506</c:v>
                </c:pt>
                <c:pt idx="45">
                  <c:v>73929</c:v>
                </c:pt>
                <c:pt idx="46">
                  <c:v>73922</c:v>
                </c:pt>
                <c:pt idx="47">
                  <c:v>74118</c:v>
                </c:pt>
                <c:pt idx="48">
                  <c:v>74615</c:v>
                </c:pt>
                <c:pt idx="49">
                  <c:v>75005</c:v>
                </c:pt>
                <c:pt idx="50">
                  <c:v>75428</c:v>
                </c:pt>
                <c:pt idx="51">
                  <c:v>75748</c:v>
                </c:pt>
                <c:pt idx="52">
                  <c:v>76163</c:v>
                </c:pt>
                <c:pt idx="53">
                  <c:v>76729</c:v>
                </c:pt>
                <c:pt idx="54">
                  <c:v>76919</c:v>
                </c:pt>
                <c:pt idx="55">
                  <c:v>77031</c:v>
                </c:pt>
                <c:pt idx="56">
                  <c:v>77145</c:v>
                </c:pt>
                <c:pt idx="57">
                  <c:v>77288</c:v>
                </c:pt>
                <c:pt idx="58">
                  <c:v>77437</c:v>
                </c:pt>
                <c:pt idx="59">
                  <c:v>77511</c:v>
                </c:pt>
                <c:pt idx="60">
                  <c:v>77549</c:v>
                </c:pt>
                <c:pt idx="61">
                  <c:v>77586</c:v>
                </c:pt>
                <c:pt idx="62">
                  <c:v>77606</c:v>
                </c:pt>
                <c:pt idx="63">
                  <c:v>77636</c:v>
                </c:pt>
                <c:pt idx="64">
                  <c:v>77641</c:v>
                </c:pt>
                <c:pt idx="65">
                  <c:v>77649</c:v>
                </c:pt>
                <c:pt idx="66">
                  <c:v>77678</c:v>
                </c:pt>
                <c:pt idx="67">
                  <c:v>77699</c:v>
                </c:pt>
                <c:pt idx="68">
                  <c:v>77725</c:v>
                </c:pt>
                <c:pt idx="69">
                  <c:v>77749</c:v>
                </c:pt>
                <c:pt idx="70">
                  <c:v>77786</c:v>
                </c:pt>
                <c:pt idx="71">
                  <c:v>77834</c:v>
                </c:pt>
                <c:pt idx="72">
                  <c:v>77924</c:v>
                </c:pt>
                <c:pt idx="73">
                  <c:v>77975</c:v>
                </c:pt>
                <c:pt idx="74">
                  <c:v>78102</c:v>
                </c:pt>
                <c:pt idx="75">
                  <c:v>78163</c:v>
                </c:pt>
                <c:pt idx="76">
                  <c:v>78256</c:v>
                </c:pt>
                <c:pt idx="77">
                  <c:v>78324</c:v>
                </c:pt>
                <c:pt idx="78">
                  <c:v>78443</c:v>
                </c:pt>
                <c:pt idx="79">
                  <c:v>78557</c:v>
                </c:pt>
                <c:pt idx="80">
                  <c:v>78656</c:v>
                </c:pt>
                <c:pt idx="81">
                  <c:v>78779</c:v>
                </c:pt>
                <c:pt idx="82">
                  <c:v>78853</c:v>
                </c:pt>
                <c:pt idx="83">
                  <c:v>78934</c:v>
                </c:pt>
                <c:pt idx="84">
                  <c:v>79015</c:v>
                </c:pt>
                <c:pt idx="85">
                  <c:v>79086</c:v>
                </c:pt>
                <c:pt idx="86">
                  <c:v>77875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Belgium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1'!$E$95:$CO$95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10</c:v>
                </c:pt>
                <c:pt idx="56">
                  <c:v>14</c:v>
                </c:pt>
                <c:pt idx="57">
                  <c:v>21</c:v>
                </c:pt>
                <c:pt idx="58">
                  <c:v>37</c:v>
                </c:pt>
                <c:pt idx="59">
                  <c:v>67</c:v>
                </c:pt>
                <c:pt idx="60">
                  <c:v>75</c:v>
                </c:pt>
                <c:pt idx="61">
                  <c:v>88</c:v>
                </c:pt>
                <c:pt idx="62">
                  <c:v>122</c:v>
                </c:pt>
                <c:pt idx="63">
                  <c:v>178</c:v>
                </c:pt>
                <c:pt idx="64">
                  <c:v>220</c:v>
                </c:pt>
                <c:pt idx="65">
                  <c:v>289</c:v>
                </c:pt>
                <c:pt idx="66">
                  <c:v>353</c:v>
                </c:pt>
                <c:pt idx="67">
                  <c:v>431</c:v>
                </c:pt>
                <c:pt idx="68">
                  <c:v>513</c:v>
                </c:pt>
                <c:pt idx="69">
                  <c:v>705</c:v>
                </c:pt>
                <c:pt idx="70">
                  <c:v>828</c:v>
                </c:pt>
                <c:pt idx="71">
                  <c:v>1011</c:v>
                </c:pt>
                <c:pt idx="72">
                  <c:v>1143</c:v>
                </c:pt>
                <c:pt idx="73">
                  <c:v>1283</c:v>
                </c:pt>
                <c:pt idx="74">
                  <c:v>1447</c:v>
                </c:pt>
                <c:pt idx="75">
                  <c:v>1632</c:v>
                </c:pt>
                <c:pt idx="76">
                  <c:v>2035</c:v>
                </c:pt>
                <c:pt idx="77">
                  <c:v>2240</c:v>
                </c:pt>
                <c:pt idx="78">
                  <c:v>2523</c:v>
                </c:pt>
                <c:pt idx="79">
                  <c:v>3019</c:v>
                </c:pt>
                <c:pt idx="80">
                  <c:v>3346</c:v>
                </c:pt>
                <c:pt idx="81">
                  <c:v>3600</c:v>
                </c:pt>
                <c:pt idx="82">
                  <c:v>3903</c:v>
                </c:pt>
                <c:pt idx="83">
                  <c:v>4157</c:v>
                </c:pt>
                <c:pt idx="84">
                  <c:v>4440</c:v>
                </c:pt>
                <c:pt idx="85">
                  <c:v>4857</c:v>
                </c:pt>
                <c:pt idx="86">
                  <c:v>5163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7</c:v>
                </c:pt>
                <c:pt idx="41">
                  <c:v>12</c:v>
                </c:pt>
                <c:pt idx="42">
                  <c:v>22</c:v>
                </c:pt>
                <c:pt idx="43">
                  <c:v>49</c:v>
                </c:pt>
                <c:pt idx="44">
                  <c:v>108</c:v>
                </c:pt>
                <c:pt idx="45">
                  <c:v>168</c:v>
                </c:pt>
                <c:pt idx="46">
                  <c:v>199</c:v>
                </c:pt>
                <c:pt idx="47">
                  <c:v>238</c:v>
                </c:pt>
                <c:pt idx="48">
                  <c:v>266</c:v>
                </c:pt>
                <c:pt idx="49">
                  <c:v>311</c:v>
                </c:pt>
                <c:pt idx="50">
                  <c:v>433.5</c:v>
                </c:pt>
                <c:pt idx="51">
                  <c:v>556</c:v>
                </c:pt>
                <c:pt idx="52">
                  <c:v>685</c:v>
                </c:pt>
                <c:pt idx="53">
                  <c:v>882</c:v>
                </c:pt>
                <c:pt idx="54">
                  <c:v>1050</c:v>
                </c:pt>
                <c:pt idx="55">
                  <c:v>1230</c:v>
                </c:pt>
                <c:pt idx="56">
                  <c:v>1463</c:v>
                </c:pt>
                <c:pt idx="57">
                  <c:v>1745</c:v>
                </c:pt>
                <c:pt idx="58">
                  <c:v>2148</c:v>
                </c:pt>
                <c:pt idx="59">
                  <c:v>2646</c:v>
                </c:pt>
                <c:pt idx="60">
                  <c:v>3201</c:v>
                </c:pt>
                <c:pt idx="61">
                  <c:v>3504</c:v>
                </c:pt>
                <c:pt idx="62">
                  <c:v>4002</c:v>
                </c:pt>
                <c:pt idx="63">
                  <c:v>4623</c:v>
                </c:pt>
                <c:pt idx="64">
                  <c:v>5798.5</c:v>
                </c:pt>
                <c:pt idx="65">
                  <c:v>6725</c:v>
                </c:pt>
                <c:pt idx="66">
                  <c:v>8445</c:v>
                </c:pt>
                <c:pt idx="67">
                  <c:v>9950</c:v>
                </c:pt>
                <c:pt idx="68">
                  <c:v>10841</c:v>
                </c:pt>
                <c:pt idx="69">
                  <c:v>11532</c:v>
                </c:pt>
                <c:pt idx="70">
                  <c:v>12478</c:v>
                </c:pt>
                <c:pt idx="71">
                  <c:v>13553</c:v>
                </c:pt>
                <c:pt idx="72">
                  <c:v>14513</c:v>
                </c:pt>
                <c:pt idx="73">
                  <c:v>15616</c:v>
                </c:pt>
                <c:pt idx="74">
                  <c:v>16290</c:v>
                </c:pt>
                <c:pt idx="75">
                  <c:v>17071</c:v>
                </c:pt>
                <c:pt idx="76">
                  <c:v>17925</c:v>
                </c:pt>
                <c:pt idx="77">
                  <c:v>18466</c:v>
                </c:pt>
                <c:pt idx="78">
                  <c:v>18748</c:v>
                </c:pt>
                <c:pt idx="79">
                  <c:v>19383</c:v>
                </c:pt>
                <c:pt idx="80">
                  <c:v>18884</c:v>
                </c:pt>
                <c:pt idx="81">
                  <c:v>18811</c:v>
                </c:pt>
                <c:pt idx="82">
                  <c:v>18690</c:v>
                </c:pt>
                <c:pt idx="83">
                  <c:v>18344</c:v>
                </c:pt>
                <c:pt idx="84">
                  <c:v>19609</c:v>
                </c:pt>
                <c:pt idx="85">
                  <c:v>19461</c:v>
                </c:pt>
                <c:pt idx="86">
                  <c:v>19368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1'!$E$65:$CO$65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</c:v>
                </c:pt>
                <c:pt idx="55">
                  <c:v>3</c:v>
                </c:pt>
                <c:pt idx="56">
                  <c:v>9</c:v>
                </c:pt>
                <c:pt idx="57">
                  <c:v>29</c:v>
                </c:pt>
                <c:pt idx="58">
                  <c:v>72</c:v>
                </c:pt>
                <c:pt idx="59">
                  <c:v>102</c:v>
                </c:pt>
                <c:pt idx="60">
                  <c:v>125</c:v>
                </c:pt>
                <c:pt idx="61">
                  <c:v>151</c:v>
                </c:pt>
                <c:pt idx="62">
                  <c:v>145</c:v>
                </c:pt>
                <c:pt idx="63">
                  <c:v>136</c:v>
                </c:pt>
                <c:pt idx="64">
                  <c:v>216.5</c:v>
                </c:pt>
                <c:pt idx="65">
                  <c:v>270</c:v>
                </c:pt>
                <c:pt idx="66">
                  <c:v>336</c:v>
                </c:pt>
                <c:pt idx="67">
                  <c:v>455</c:v>
                </c:pt>
                <c:pt idx="68">
                  <c:v>545</c:v>
                </c:pt>
                <c:pt idx="69">
                  <c:v>538</c:v>
                </c:pt>
                <c:pt idx="70">
                  <c:v>658</c:v>
                </c:pt>
                <c:pt idx="71">
                  <c:v>784</c:v>
                </c:pt>
                <c:pt idx="72">
                  <c:v>1114</c:v>
                </c:pt>
                <c:pt idx="73">
                  <c:v>1532</c:v>
                </c:pt>
                <c:pt idx="74">
                  <c:v>1954</c:v>
                </c:pt>
                <c:pt idx="75">
                  <c:v>2111</c:v>
                </c:pt>
                <c:pt idx="76">
                  <c:v>2234</c:v>
                </c:pt>
                <c:pt idx="77">
                  <c:v>2697</c:v>
                </c:pt>
                <c:pt idx="78">
                  <c:v>3712</c:v>
                </c:pt>
                <c:pt idx="79">
                  <c:v>4265</c:v>
                </c:pt>
                <c:pt idx="80">
                  <c:v>5788</c:v>
                </c:pt>
                <c:pt idx="81">
                  <c:v>7236</c:v>
                </c:pt>
                <c:pt idx="82">
                  <c:v>7996</c:v>
                </c:pt>
                <c:pt idx="83">
                  <c:v>8618</c:v>
                </c:pt>
                <c:pt idx="84">
                  <c:v>9524</c:v>
                </c:pt>
                <c:pt idx="85">
                  <c:v>10491</c:v>
                </c:pt>
                <c:pt idx="86">
                  <c:v>11607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1'!$E$96:$CO$96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  <c:pt idx="71">
                  <c:v>13915</c:v>
                </c:pt>
                <c:pt idx="72">
                  <c:v>14681</c:v>
                </c:pt>
                <c:pt idx="73">
                  <c:v>15362</c:v>
                </c:pt>
                <c:pt idx="74">
                  <c:v>15887</c:v>
                </c:pt>
                <c:pt idx="75">
                  <c:v>16523</c:v>
                </c:pt>
                <c:pt idx="76">
                  <c:v>17127</c:v>
                </c:pt>
                <c:pt idx="77">
                  <c:v>17669</c:v>
                </c:pt>
                <c:pt idx="78">
                  <c:v>18279</c:v>
                </c:pt>
                <c:pt idx="79">
                  <c:v>18849</c:v>
                </c:pt>
                <c:pt idx="80">
                  <c:v>19468</c:v>
                </c:pt>
                <c:pt idx="81">
                  <c:v>19899</c:v>
                </c:pt>
                <c:pt idx="82">
                  <c:v>20465</c:v>
                </c:pt>
                <c:pt idx="83">
                  <c:v>21067</c:v>
                </c:pt>
                <c:pt idx="84">
                  <c:v>21645</c:v>
                </c:pt>
                <c:pt idx="85">
                  <c:v>22170</c:v>
                </c:pt>
                <c:pt idx="86">
                  <c:v>22745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14234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65528</c:v>
                </c:pt>
                <c:pt idx="65">
                  <c:v>68838</c:v>
                </c:pt>
                <c:pt idx="66">
                  <c:v>71315</c:v>
                </c:pt>
                <c:pt idx="67">
                  <c:v>72942</c:v>
                </c:pt>
                <c:pt idx="68">
                  <c:v>73759</c:v>
                </c:pt>
                <c:pt idx="69">
                  <c:v>74286</c:v>
                </c:pt>
                <c:pt idx="70">
                  <c:v>74861</c:v>
                </c:pt>
                <c:pt idx="71">
                  <c:v>74207</c:v>
                </c:pt>
                <c:pt idx="72">
                  <c:v>72806</c:v>
                </c:pt>
                <c:pt idx="73">
                  <c:v>71054</c:v>
                </c:pt>
                <c:pt idx="74">
                  <c:v>69810</c:v>
                </c:pt>
                <c:pt idx="75">
                  <c:v>68620</c:v>
                </c:pt>
                <c:pt idx="76">
                  <c:v>66410</c:v>
                </c:pt>
                <c:pt idx="77">
                  <c:v>65036</c:v>
                </c:pt>
                <c:pt idx="78">
                  <c:v>63037</c:v>
                </c:pt>
                <c:pt idx="79">
                  <c:v>61079</c:v>
                </c:pt>
                <c:pt idx="80">
                  <c:v>59799</c:v>
                </c:pt>
                <c:pt idx="81">
                  <c:v>58674</c:v>
                </c:pt>
                <c:pt idx="82">
                  <c:v>57777</c:v>
                </c:pt>
                <c:pt idx="83">
                  <c:v>56696</c:v>
                </c:pt>
                <c:pt idx="84">
                  <c:v>54581</c:v>
                </c:pt>
                <c:pt idx="85">
                  <c:v>53699</c:v>
                </c:pt>
                <c:pt idx="86">
                  <c:v>52607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1'!$E$66:$CO$66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6846</c:v>
                </c:pt>
                <c:pt idx="65">
                  <c:v>8526</c:v>
                </c:pt>
                <c:pt idx="66">
                  <c:v>11134</c:v>
                </c:pt>
                <c:pt idx="67">
                  <c:v>13968</c:v>
                </c:pt>
                <c:pt idx="68">
                  <c:v>16389</c:v>
                </c:pt>
                <c:pt idx="69">
                  <c:v>19078</c:v>
                </c:pt>
                <c:pt idx="70">
                  <c:v>22558</c:v>
                </c:pt>
                <c:pt idx="71">
                  <c:v>27120</c:v>
                </c:pt>
                <c:pt idx="72">
                  <c:v>32340</c:v>
                </c:pt>
                <c:pt idx="73">
                  <c:v>38216</c:v>
                </c:pt>
                <c:pt idx="74">
                  <c:v>43251</c:v>
                </c:pt>
                <c:pt idx="75">
                  <c:v>47404</c:v>
                </c:pt>
                <c:pt idx="76">
                  <c:v>52049</c:v>
                </c:pt>
                <c:pt idx="77">
                  <c:v>56717</c:v>
                </c:pt>
                <c:pt idx="78">
                  <c:v>62310</c:v>
                </c:pt>
                <c:pt idx="79">
                  <c:v>67649</c:v>
                </c:pt>
                <c:pt idx="80">
                  <c:v>73004</c:v>
                </c:pt>
                <c:pt idx="81">
                  <c:v>77790</c:v>
                </c:pt>
                <c:pt idx="82">
                  <c:v>81274</c:v>
                </c:pt>
                <c:pt idx="83">
                  <c:v>84725</c:v>
                </c:pt>
                <c:pt idx="84">
                  <c:v>88929</c:v>
                </c:pt>
                <c:pt idx="85">
                  <c:v>93072</c:v>
                </c:pt>
                <c:pt idx="86">
                  <c:v>97082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France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1'!$E$97:$CO$97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148</c:v>
                </c:pt>
                <c:pt idx="55">
                  <c:v>148</c:v>
                </c:pt>
                <c:pt idx="56">
                  <c:v>148</c:v>
                </c:pt>
                <c:pt idx="57">
                  <c:v>243</c:v>
                </c:pt>
                <c:pt idx="58">
                  <c:v>450</c:v>
                </c:pt>
                <c:pt idx="59">
                  <c:v>562</c:v>
                </c:pt>
                <c:pt idx="60">
                  <c:v>674</c:v>
                </c:pt>
                <c:pt idx="61">
                  <c:v>860</c:v>
                </c:pt>
                <c:pt idx="62">
                  <c:v>1100</c:v>
                </c:pt>
                <c:pt idx="63">
                  <c:v>1331</c:v>
                </c:pt>
                <c:pt idx="64">
                  <c:v>1696</c:v>
                </c:pt>
                <c:pt idx="65">
                  <c:v>1995</c:v>
                </c:pt>
                <c:pt idx="66">
                  <c:v>2314</c:v>
                </c:pt>
                <c:pt idx="67">
                  <c:v>2606</c:v>
                </c:pt>
                <c:pt idx="68">
                  <c:v>3024</c:v>
                </c:pt>
                <c:pt idx="69">
                  <c:v>3523</c:v>
                </c:pt>
                <c:pt idx="70">
                  <c:v>4403</c:v>
                </c:pt>
                <c:pt idx="71">
                  <c:v>5387</c:v>
                </c:pt>
                <c:pt idx="72">
                  <c:v>6507</c:v>
                </c:pt>
                <c:pt idx="73">
                  <c:v>7560</c:v>
                </c:pt>
                <c:pt idx="74">
                  <c:v>8078</c:v>
                </c:pt>
                <c:pt idx="75">
                  <c:v>8911</c:v>
                </c:pt>
                <c:pt idx="76">
                  <c:v>10328</c:v>
                </c:pt>
                <c:pt idx="77">
                  <c:v>10869</c:v>
                </c:pt>
                <c:pt idx="78">
                  <c:v>12210</c:v>
                </c:pt>
                <c:pt idx="79">
                  <c:v>13197</c:v>
                </c:pt>
                <c:pt idx="80">
                  <c:v>13832</c:v>
                </c:pt>
                <c:pt idx="81">
                  <c:v>14393</c:v>
                </c:pt>
                <c:pt idx="82">
                  <c:v>14967</c:v>
                </c:pt>
                <c:pt idx="83">
                  <c:v>15729</c:v>
                </c:pt>
                <c:pt idx="84">
                  <c:v>17167</c:v>
                </c:pt>
                <c:pt idx="85">
                  <c:v>17920</c:v>
                </c:pt>
                <c:pt idx="86">
                  <c:v>18681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5.3333333332999997</c:v>
                </c:pt>
                <c:pt idx="9">
                  <c:v>5.6666666667000003</c:v>
                </c:pt>
                <c:pt idx="10">
                  <c:v>6</c:v>
                </c:pt>
                <c:pt idx="11">
                  <c:v>6.7142857142999999</c:v>
                </c:pt>
                <c:pt idx="12">
                  <c:v>7.4285714285999997</c:v>
                </c:pt>
                <c:pt idx="13">
                  <c:v>8.1428571429000005</c:v>
                </c:pt>
                <c:pt idx="14">
                  <c:v>8.8571428570999995</c:v>
                </c:pt>
                <c:pt idx="15">
                  <c:v>9.5714285714000003</c:v>
                </c:pt>
                <c:pt idx="16">
                  <c:v>8.2857142856999992</c:v>
                </c:pt>
                <c:pt idx="17">
                  <c:v>8</c:v>
                </c:pt>
                <c:pt idx="18">
                  <c:v>8.1428571429000005</c:v>
                </c:pt>
                <c:pt idx="19">
                  <c:v>8.2857142856999992</c:v>
                </c:pt>
                <c:pt idx="20">
                  <c:v>7.4285714285999997</c:v>
                </c:pt>
                <c:pt idx="21">
                  <c:v>6.5714285714000003</c:v>
                </c:pt>
                <c:pt idx="22">
                  <c:v>6.3809523810000002</c:v>
                </c:pt>
                <c:pt idx="23">
                  <c:v>6.1904761904000001</c:v>
                </c:pt>
                <c:pt idx="24">
                  <c:v>6</c:v>
                </c:pt>
                <c:pt idx="25">
                  <c:v>5.4857142857000003</c:v>
                </c:pt>
                <c:pt idx="26">
                  <c:v>4.9714285713999997</c:v>
                </c:pt>
                <c:pt idx="27">
                  <c:v>4.4571428571</c:v>
                </c:pt>
                <c:pt idx="28">
                  <c:v>3.9428571428999999</c:v>
                </c:pt>
                <c:pt idx="29">
                  <c:v>3.4285714286000002</c:v>
                </c:pt>
                <c:pt idx="30">
                  <c:v>2.9142857143000001</c:v>
                </c:pt>
                <c:pt idx="31">
                  <c:v>2.4</c:v>
                </c:pt>
                <c:pt idx="32">
                  <c:v>2.4571428571</c:v>
                </c:pt>
                <c:pt idx="33">
                  <c:v>2.5142857143000001</c:v>
                </c:pt>
                <c:pt idx="34">
                  <c:v>2.5714285713999998</c:v>
                </c:pt>
                <c:pt idx="35">
                  <c:v>6.4285714285999997</c:v>
                </c:pt>
                <c:pt idx="36">
                  <c:v>26.285714285699999</c:v>
                </c:pt>
                <c:pt idx="37">
                  <c:v>45.142857142899999</c:v>
                </c:pt>
                <c:pt idx="38">
                  <c:v>88</c:v>
                </c:pt>
                <c:pt idx="39">
                  <c:v>117.8</c:v>
                </c:pt>
                <c:pt idx="40">
                  <c:v>178.6</c:v>
                </c:pt>
                <c:pt idx="41">
                  <c:v>191.4</c:v>
                </c:pt>
                <c:pt idx="42">
                  <c:v>272.2</c:v>
                </c:pt>
                <c:pt idx="43">
                  <c:v>364</c:v>
                </c:pt>
                <c:pt idx="44">
                  <c:v>639.79999999999995</c:v>
                </c:pt>
                <c:pt idx="45">
                  <c:v>935.6</c:v>
                </c:pt>
                <c:pt idx="46">
                  <c:v>1107</c:v>
                </c:pt>
                <c:pt idx="47">
                  <c:v>1190</c:v>
                </c:pt>
                <c:pt idx="48">
                  <c:v>1751</c:v>
                </c:pt>
                <c:pt idx="49">
                  <c:v>2233</c:v>
                </c:pt>
                <c:pt idx="50">
                  <c:v>2923</c:v>
                </c:pt>
                <c:pt idx="51">
                  <c:v>3582</c:v>
                </c:pt>
                <c:pt idx="52">
                  <c:v>4369</c:v>
                </c:pt>
                <c:pt idx="53">
                  <c:v>4369</c:v>
                </c:pt>
                <c:pt idx="54">
                  <c:v>6442</c:v>
                </c:pt>
                <c:pt idx="55">
                  <c:v>7448</c:v>
                </c:pt>
                <c:pt idx="56">
                  <c:v>8758</c:v>
                </c:pt>
                <c:pt idx="57">
                  <c:v>10494</c:v>
                </c:pt>
                <c:pt idx="58">
                  <c:v>11959</c:v>
                </c:pt>
                <c:pt idx="59">
                  <c:v>13333</c:v>
                </c:pt>
                <c:pt idx="60">
                  <c:v>14892</c:v>
                </c:pt>
                <c:pt idx="61">
                  <c:v>18647</c:v>
                </c:pt>
                <c:pt idx="62">
                  <c:v>20520</c:v>
                </c:pt>
                <c:pt idx="63">
                  <c:v>22952</c:v>
                </c:pt>
                <c:pt idx="64">
                  <c:v>26184</c:v>
                </c:pt>
                <c:pt idx="65">
                  <c:v>29303</c:v>
                </c:pt>
                <c:pt idx="66">
                  <c:v>33106</c:v>
                </c:pt>
                <c:pt idx="67">
                  <c:v>35675</c:v>
                </c:pt>
                <c:pt idx="68">
                  <c:v>37917</c:v>
                </c:pt>
                <c:pt idx="69">
                  <c:v>44476</c:v>
                </c:pt>
                <c:pt idx="70">
                  <c:v>47946</c:v>
                </c:pt>
                <c:pt idx="71">
                  <c:v>48234</c:v>
                </c:pt>
                <c:pt idx="72">
                  <c:v>51726</c:v>
                </c:pt>
                <c:pt idx="73">
                  <c:v>54323</c:v>
                </c:pt>
                <c:pt idx="74">
                  <c:v>54460</c:v>
                </c:pt>
                <c:pt idx="75">
                  <c:v>54534</c:v>
                </c:pt>
                <c:pt idx="76">
                  <c:v>55863</c:v>
                </c:pt>
                <c:pt idx="77">
                  <c:v>56815</c:v>
                </c:pt>
                <c:pt idx="78">
                  <c:v>57179</c:v>
                </c:pt>
                <c:pt idx="79">
                  <c:v>57712</c:v>
                </c:pt>
                <c:pt idx="80">
                  <c:v>56215</c:v>
                </c:pt>
                <c:pt idx="81">
                  <c:v>80459</c:v>
                </c:pt>
                <c:pt idx="82">
                  <c:v>79748</c:v>
                </c:pt>
                <c:pt idx="83">
                  <c:v>78125</c:v>
                </c:pt>
                <c:pt idx="84">
                  <c:v>76481</c:v>
                </c:pt>
                <c:pt idx="85">
                  <c:v>86855</c:v>
                </c:pt>
                <c:pt idx="86">
                  <c:v>83631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1'!$E$67:$CO$67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5.3333333332999997</c:v>
                </c:pt>
                <c:pt idx="23">
                  <c:v>5.6666666667000003</c:v>
                </c:pt>
                <c:pt idx="24">
                  <c:v>5</c:v>
                </c:pt>
                <c:pt idx="25">
                  <c:v>5.7142857142999999</c:v>
                </c:pt>
                <c:pt idx="26">
                  <c:v>6.4285714285999997</c:v>
                </c:pt>
                <c:pt idx="27">
                  <c:v>7.1428571428999996</c:v>
                </c:pt>
                <c:pt idx="28">
                  <c:v>7.8571428571000004</c:v>
                </c:pt>
                <c:pt idx="29">
                  <c:v>8.5714285714000003</c:v>
                </c:pt>
                <c:pt idx="30">
                  <c:v>9.2857142856999992</c:v>
                </c:pt>
                <c:pt idx="31">
                  <c:v>10</c:v>
                </c:pt>
                <c:pt idx="32">
                  <c:v>10.142857142900001</c:v>
                </c:pt>
                <c:pt idx="33">
                  <c:v>10.285714285699999</c:v>
                </c:pt>
                <c:pt idx="34">
                  <c:v>10.4285714286</c:v>
                </c:pt>
                <c:pt idx="35">
                  <c:v>9.5714285714000003</c:v>
                </c:pt>
                <c:pt idx="36">
                  <c:v>9.7142857143000008</c:v>
                </c:pt>
                <c:pt idx="37">
                  <c:v>9.8571428570999995</c:v>
                </c:pt>
                <c:pt idx="38">
                  <c:v>10</c:v>
                </c:pt>
                <c:pt idx="39">
                  <c:v>10.199999999999999</c:v>
                </c:pt>
                <c:pt idx="40">
                  <c:v>9.4</c:v>
                </c:pt>
                <c:pt idx="41">
                  <c:v>8.6</c:v>
                </c:pt>
                <c:pt idx="42">
                  <c:v>8.8000000000000007</c:v>
                </c:pt>
                <c:pt idx="43">
                  <c:v>7</c:v>
                </c:pt>
                <c:pt idx="44">
                  <c:v>4.2</c:v>
                </c:pt>
                <c:pt idx="45">
                  <c:v>2.4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9</c:v>
                </c:pt>
                <c:pt idx="53">
                  <c:v>39</c:v>
                </c:pt>
                <c:pt idx="54">
                  <c:v>43</c:v>
                </c:pt>
                <c:pt idx="55">
                  <c:v>56</c:v>
                </c:pt>
                <c:pt idx="56">
                  <c:v>137</c:v>
                </c:pt>
                <c:pt idx="57">
                  <c:v>134</c:v>
                </c:pt>
                <c:pt idx="58">
                  <c:v>203</c:v>
                </c:pt>
                <c:pt idx="59">
                  <c:v>387</c:v>
                </c:pt>
                <c:pt idx="60">
                  <c:v>452</c:v>
                </c:pt>
                <c:pt idx="61">
                  <c:v>349</c:v>
                </c:pt>
                <c:pt idx="62">
                  <c:v>684</c:v>
                </c:pt>
                <c:pt idx="63">
                  <c:v>950</c:v>
                </c:pt>
                <c:pt idx="64">
                  <c:v>1275</c:v>
                </c:pt>
                <c:pt idx="65">
                  <c:v>1666</c:v>
                </c:pt>
                <c:pt idx="66">
                  <c:v>2155</c:v>
                </c:pt>
                <c:pt idx="67">
                  <c:v>1893</c:v>
                </c:pt>
                <c:pt idx="68">
                  <c:v>3609</c:v>
                </c:pt>
                <c:pt idx="69">
                  <c:v>4129</c:v>
                </c:pt>
                <c:pt idx="70">
                  <c:v>4640</c:v>
                </c:pt>
                <c:pt idx="71">
                  <c:v>5484</c:v>
                </c:pt>
                <c:pt idx="72">
                  <c:v>6105</c:v>
                </c:pt>
                <c:pt idx="73">
                  <c:v>6722</c:v>
                </c:pt>
                <c:pt idx="74">
                  <c:v>7940</c:v>
                </c:pt>
                <c:pt idx="75">
                  <c:v>10945</c:v>
                </c:pt>
                <c:pt idx="76">
                  <c:v>11976</c:v>
                </c:pt>
                <c:pt idx="77">
                  <c:v>14364</c:v>
                </c:pt>
                <c:pt idx="78">
                  <c:v>16945</c:v>
                </c:pt>
                <c:pt idx="79">
                  <c:v>19767</c:v>
                </c:pt>
                <c:pt idx="80">
                  <c:v>23743</c:v>
                </c:pt>
                <c:pt idx="81">
                  <c:v>25781</c:v>
                </c:pt>
                <c:pt idx="82">
                  <c:v>29583</c:v>
                </c:pt>
                <c:pt idx="83">
                  <c:v>36399</c:v>
                </c:pt>
                <c:pt idx="84">
                  <c:v>39822</c:v>
                </c:pt>
                <c:pt idx="85">
                  <c:v>41185</c:v>
                </c:pt>
                <c:pt idx="86">
                  <c:v>45657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1'!$E$98:$CO$98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1'!$E$68:$CO$68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1'!$E$99:$CO$99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  <c:pt idx="71">
                  <c:v>1107</c:v>
                </c:pt>
                <c:pt idx="72">
                  <c:v>1275</c:v>
                </c:pt>
                <c:pt idx="73">
                  <c:v>1444</c:v>
                </c:pt>
                <c:pt idx="74">
                  <c:v>1584</c:v>
                </c:pt>
                <c:pt idx="75">
                  <c:v>1810</c:v>
                </c:pt>
                <c:pt idx="76">
                  <c:v>2016</c:v>
                </c:pt>
                <c:pt idx="77">
                  <c:v>2349</c:v>
                </c:pt>
                <c:pt idx="78">
                  <c:v>2607</c:v>
                </c:pt>
                <c:pt idx="79">
                  <c:v>2767</c:v>
                </c:pt>
                <c:pt idx="80">
                  <c:v>2736</c:v>
                </c:pt>
                <c:pt idx="81">
                  <c:v>3022</c:v>
                </c:pt>
                <c:pt idx="82">
                  <c:v>3194</c:v>
                </c:pt>
                <c:pt idx="83">
                  <c:v>3294</c:v>
                </c:pt>
                <c:pt idx="84">
                  <c:v>3804</c:v>
                </c:pt>
                <c:pt idx="85">
                  <c:v>4052</c:v>
                </c:pt>
                <c:pt idx="86">
                  <c:v>4352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4.3333333332999997</c:v>
                </c:pt>
                <c:pt idx="8">
                  <c:v>4.6666666667000003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12.25</c:v>
                </c:pt>
                <c:pt idx="14">
                  <c:v>12.5</c:v>
                </c:pt>
                <c:pt idx="15">
                  <c:v>12.75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11.7380952381</c:v>
                </c:pt>
                <c:pt idx="22">
                  <c:v>11.476190476199999</c:v>
                </c:pt>
                <c:pt idx="23">
                  <c:v>11.214285714300001</c:v>
                </c:pt>
                <c:pt idx="24">
                  <c:v>8.2857142856999992</c:v>
                </c:pt>
                <c:pt idx="25">
                  <c:v>6.3571428571000004</c:v>
                </c:pt>
                <c:pt idx="26">
                  <c:v>4.4285714285999997</c:v>
                </c:pt>
                <c:pt idx="27">
                  <c:v>4.25</c:v>
                </c:pt>
                <c:pt idx="28">
                  <c:v>4.0714285714000003</c:v>
                </c:pt>
                <c:pt idx="29">
                  <c:v>3.8928571429000001</c:v>
                </c:pt>
                <c:pt idx="30">
                  <c:v>3.7142857142999999</c:v>
                </c:pt>
                <c:pt idx="31">
                  <c:v>3.2857142857000001</c:v>
                </c:pt>
                <c:pt idx="32">
                  <c:v>2.8571428570999999</c:v>
                </c:pt>
                <c:pt idx="33">
                  <c:v>1.9285714286</c:v>
                </c:pt>
                <c:pt idx="34">
                  <c:v>1</c:v>
                </c:pt>
                <c:pt idx="35">
                  <c:v>10.9285714286</c:v>
                </c:pt>
                <c:pt idx="36">
                  <c:v>29.857142857100001</c:v>
                </c:pt>
                <c:pt idx="37">
                  <c:v>31.785714285699999</c:v>
                </c:pt>
                <c:pt idx="38">
                  <c:v>62.714285714299997</c:v>
                </c:pt>
                <c:pt idx="39">
                  <c:v>113.6428571429</c:v>
                </c:pt>
                <c:pt idx="40">
                  <c:v>142.57142857139999</c:v>
                </c:pt>
                <c:pt idx="41">
                  <c:v>179.5</c:v>
                </c:pt>
                <c:pt idx="42">
                  <c:v>245.42857142860001</c:v>
                </c:pt>
                <c:pt idx="43">
                  <c:v>465.35714285709997</c:v>
                </c:pt>
                <c:pt idx="44">
                  <c:v>653.28571428570001</c:v>
                </c:pt>
                <c:pt idx="45">
                  <c:v>782.21428571429999</c:v>
                </c:pt>
                <c:pt idx="46">
                  <c:v>1023.1428571429</c:v>
                </c:pt>
                <c:pt idx="47">
                  <c:v>1159.0714285714</c:v>
                </c:pt>
                <c:pt idx="48">
                  <c:v>1440</c:v>
                </c:pt>
                <c:pt idx="49">
                  <c:v>1881</c:v>
                </c:pt>
                <c:pt idx="50">
                  <c:v>2032</c:v>
                </c:pt>
                <c:pt idx="51">
                  <c:v>3627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27880</c:v>
                </c:pt>
                <c:pt idx="62">
                  <c:v>31529</c:v>
                </c:pt>
                <c:pt idx="63">
                  <c:v>35415</c:v>
                </c:pt>
                <c:pt idx="64">
                  <c:v>41860</c:v>
                </c:pt>
                <c:pt idx="65">
                  <c:v>47196</c:v>
                </c:pt>
                <c:pt idx="66">
                  <c:v>53110</c:v>
                </c:pt>
                <c:pt idx="67">
                  <c:v>56300</c:v>
                </c:pt>
                <c:pt idx="68">
                  <c:v>59613</c:v>
                </c:pt>
                <c:pt idx="69">
                  <c:v>62551</c:v>
                </c:pt>
                <c:pt idx="70">
                  <c:v>65545</c:v>
                </c:pt>
                <c:pt idx="71">
                  <c:v>69474</c:v>
                </c:pt>
                <c:pt idx="72">
                  <c:v>71311</c:v>
                </c:pt>
                <c:pt idx="73">
                  <c:v>73879</c:v>
                </c:pt>
                <c:pt idx="74">
                  <c:v>75250</c:v>
                </c:pt>
                <c:pt idx="75">
                  <c:v>74318</c:v>
                </c:pt>
                <c:pt idx="76">
                  <c:v>74677</c:v>
                </c:pt>
                <c:pt idx="77">
                  <c:v>75973</c:v>
                </c:pt>
                <c:pt idx="78">
                  <c:v>74243</c:v>
                </c:pt>
                <c:pt idx="79">
                  <c:v>71300</c:v>
                </c:pt>
                <c:pt idx="80">
                  <c:v>67213</c:v>
                </c:pt>
                <c:pt idx="81">
                  <c:v>65759</c:v>
                </c:pt>
                <c:pt idx="82">
                  <c:v>63187</c:v>
                </c:pt>
                <c:pt idx="83">
                  <c:v>59551</c:v>
                </c:pt>
                <c:pt idx="84">
                  <c:v>56881</c:v>
                </c:pt>
                <c:pt idx="85">
                  <c:v>52904</c:v>
                </c:pt>
                <c:pt idx="86">
                  <c:v>50238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1'!$E$69:$CO$69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4.3333333332999997</c:v>
                </c:pt>
                <c:pt idx="22">
                  <c:v>4.6666666667000003</c:v>
                </c:pt>
                <c:pt idx="23">
                  <c:v>5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12.25</c:v>
                </c:pt>
                <c:pt idx="28">
                  <c:v>12.5</c:v>
                </c:pt>
                <c:pt idx="29">
                  <c:v>12.75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16.071428571399998</c:v>
                </c:pt>
                <c:pt idx="36">
                  <c:v>16.142857142899999</c:v>
                </c:pt>
                <c:pt idx="37">
                  <c:v>16.214285714300001</c:v>
                </c:pt>
                <c:pt idx="38">
                  <c:v>16.285714285699999</c:v>
                </c:pt>
                <c:pt idx="39">
                  <c:v>16.357142857100001</c:v>
                </c:pt>
                <c:pt idx="40">
                  <c:v>16.428571428600002</c:v>
                </c:pt>
                <c:pt idx="41">
                  <c:v>16.5</c:v>
                </c:pt>
                <c:pt idx="42">
                  <c:v>16.571428571399998</c:v>
                </c:pt>
                <c:pt idx="43">
                  <c:v>16.642857142899999</c:v>
                </c:pt>
                <c:pt idx="44">
                  <c:v>16.714285714300001</c:v>
                </c:pt>
                <c:pt idx="45">
                  <c:v>16.785714285699999</c:v>
                </c:pt>
                <c:pt idx="46">
                  <c:v>16.857142857100001</c:v>
                </c:pt>
                <c:pt idx="47">
                  <c:v>14.9285714286</c:v>
                </c:pt>
                <c:pt idx="48">
                  <c:v>15</c:v>
                </c:pt>
                <c:pt idx="49">
                  <c:v>24</c:v>
                </c:pt>
                <c:pt idx="50">
                  <c:v>43</c:v>
                </c:pt>
                <c:pt idx="51">
                  <c:v>41</c:v>
                </c:pt>
                <c:pt idx="52">
                  <c:v>70</c:v>
                </c:pt>
                <c:pt idx="53">
                  <c:v>119</c:v>
                </c:pt>
                <c:pt idx="54">
                  <c:v>142</c:v>
                </c:pt>
                <c:pt idx="55">
                  <c:v>172</c:v>
                </c:pt>
                <c:pt idx="56">
                  <c:v>234</c:v>
                </c:pt>
                <c:pt idx="57">
                  <c:v>438</c:v>
                </c:pt>
                <c:pt idx="58">
                  <c:v>603</c:v>
                </c:pt>
                <c:pt idx="59">
                  <c:v>715</c:v>
                </c:pt>
                <c:pt idx="60">
                  <c:v>946</c:v>
                </c:pt>
                <c:pt idx="61">
                  <c:v>1053</c:v>
                </c:pt>
                <c:pt idx="62">
                  <c:v>1300</c:v>
                </c:pt>
                <c:pt idx="63">
                  <c:v>1702</c:v>
                </c:pt>
                <c:pt idx="64">
                  <c:v>1811</c:v>
                </c:pt>
                <c:pt idx="65">
                  <c:v>3333</c:v>
                </c:pt>
                <c:pt idx="66">
                  <c:v>4152</c:v>
                </c:pt>
                <c:pt idx="67">
                  <c:v>5262</c:v>
                </c:pt>
                <c:pt idx="68">
                  <c:v>6627</c:v>
                </c:pt>
                <c:pt idx="69">
                  <c:v>8482</c:v>
                </c:pt>
                <c:pt idx="70">
                  <c:v>11407</c:v>
                </c:pt>
                <c:pt idx="71">
                  <c:v>14213</c:v>
                </c:pt>
                <c:pt idx="72">
                  <c:v>18573</c:v>
                </c:pt>
                <c:pt idx="73">
                  <c:v>20769</c:v>
                </c:pt>
                <c:pt idx="74">
                  <c:v>23289</c:v>
                </c:pt>
                <c:pt idx="75">
                  <c:v>27246</c:v>
                </c:pt>
                <c:pt idx="76">
                  <c:v>30970</c:v>
                </c:pt>
                <c:pt idx="77">
                  <c:v>34974</c:v>
                </c:pt>
                <c:pt idx="78">
                  <c:v>41331</c:v>
                </c:pt>
                <c:pt idx="79">
                  <c:v>48104</c:v>
                </c:pt>
                <c:pt idx="80">
                  <c:v>54959</c:v>
                </c:pt>
                <c:pt idx="81">
                  <c:v>59073</c:v>
                </c:pt>
                <c:pt idx="82">
                  <c:v>63691</c:v>
                </c:pt>
                <c:pt idx="83">
                  <c:v>68514</c:v>
                </c:pt>
                <c:pt idx="84">
                  <c:v>74068</c:v>
                </c:pt>
                <c:pt idx="85">
                  <c:v>80742</c:v>
                </c:pt>
                <c:pt idx="86">
                  <c:v>86807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Singapore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1'!$E$100:$CO$100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7</c:v>
                </c:pt>
                <c:pt idx="80">
                  <c:v>8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1'!$E$110:$CO$110</c:f>
              <c:numCache>
                <c:formatCode>#,##0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8.5</c:v>
                </c:pt>
                <c:pt idx="8">
                  <c:v>10</c:v>
                </c:pt>
                <c:pt idx="9">
                  <c:v>13</c:v>
                </c:pt>
                <c:pt idx="10">
                  <c:v>16</c:v>
                </c:pt>
                <c:pt idx="11">
                  <c:v>18</c:v>
                </c:pt>
                <c:pt idx="12">
                  <c:v>21</c:v>
                </c:pt>
                <c:pt idx="13">
                  <c:v>24</c:v>
                </c:pt>
                <c:pt idx="14">
                  <c:v>28</c:v>
                </c:pt>
                <c:pt idx="15">
                  <c:v>28</c:v>
                </c:pt>
                <c:pt idx="16">
                  <c:v>27</c:v>
                </c:pt>
                <c:pt idx="17">
                  <c:v>30</c:v>
                </c:pt>
                <c:pt idx="18">
                  <c:v>36</c:v>
                </c:pt>
                <c:pt idx="19">
                  <c:v>40</c:v>
                </c:pt>
                <c:pt idx="20">
                  <c:v>40</c:v>
                </c:pt>
                <c:pt idx="21">
                  <c:v>41.5</c:v>
                </c:pt>
                <c:pt idx="22">
                  <c:v>48</c:v>
                </c:pt>
                <c:pt idx="23">
                  <c:v>54</c:v>
                </c:pt>
                <c:pt idx="24">
                  <c:v>56</c:v>
                </c:pt>
                <c:pt idx="25">
                  <c:v>57</c:v>
                </c:pt>
                <c:pt idx="26">
                  <c:v>56</c:v>
                </c:pt>
                <c:pt idx="27">
                  <c:v>57</c:v>
                </c:pt>
                <c:pt idx="28">
                  <c:v>56</c:v>
                </c:pt>
                <c:pt idx="29">
                  <c:v>55.5</c:v>
                </c:pt>
                <c:pt idx="30">
                  <c:v>55</c:v>
                </c:pt>
                <c:pt idx="31">
                  <c:v>54</c:v>
                </c:pt>
                <c:pt idx="32">
                  <c:v>49</c:v>
                </c:pt>
                <c:pt idx="33">
                  <c:v>45</c:v>
                </c:pt>
                <c:pt idx="34">
                  <c:v>44</c:v>
                </c:pt>
                <c:pt idx="35">
                  <c:v>43</c:v>
                </c:pt>
                <c:pt idx="36">
                  <c:v>38</c:v>
                </c:pt>
                <c:pt idx="37">
                  <c:v>32</c:v>
                </c:pt>
                <c:pt idx="38">
                  <c:v>30</c:v>
                </c:pt>
                <c:pt idx="39">
                  <c:v>31</c:v>
                </c:pt>
                <c:pt idx="40">
                  <c:v>31</c:v>
                </c:pt>
                <c:pt idx="41">
                  <c:v>29</c:v>
                </c:pt>
                <c:pt idx="42">
                  <c:v>29.5</c:v>
                </c:pt>
                <c:pt idx="43">
                  <c:v>32.5</c:v>
                </c:pt>
                <c:pt idx="44">
                  <c:v>45</c:v>
                </c:pt>
                <c:pt idx="45">
                  <c:v>51</c:v>
                </c:pt>
                <c:pt idx="46">
                  <c:v>61</c:v>
                </c:pt>
                <c:pt idx="47">
                  <c:v>65</c:v>
                </c:pt>
                <c:pt idx="48">
                  <c:v>69</c:v>
                </c:pt>
                <c:pt idx="49">
                  <c:v>85</c:v>
                </c:pt>
                <c:pt idx="50">
                  <c:v>93</c:v>
                </c:pt>
                <c:pt idx="51">
                  <c:v>101</c:v>
                </c:pt>
                <c:pt idx="52">
                  <c:v>110</c:v>
                </c:pt>
                <c:pt idx="53">
                  <c:v>120</c:v>
                </c:pt>
                <c:pt idx="54">
                  <c:v>135</c:v>
                </c:pt>
                <c:pt idx="55">
                  <c:v>156</c:v>
                </c:pt>
                <c:pt idx="56">
                  <c:v>199.5</c:v>
                </c:pt>
                <c:pt idx="57">
                  <c:v>228</c:v>
                </c:pt>
                <c:pt idx="58">
                  <c:v>255</c:v>
                </c:pt>
                <c:pt idx="59">
                  <c:v>294</c:v>
                </c:pt>
                <c:pt idx="60">
                  <c:v>305</c:v>
                </c:pt>
                <c:pt idx="61">
                  <c:v>354</c:v>
                </c:pt>
                <c:pt idx="62">
                  <c:v>398</c:v>
                </c:pt>
                <c:pt idx="63">
                  <c:v>453</c:v>
                </c:pt>
                <c:pt idx="64">
                  <c:v>494</c:v>
                </c:pt>
                <c:pt idx="65">
                  <c:v>532</c:v>
                </c:pt>
                <c:pt idx="66">
                  <c:v>590</c:v>
                </c:pt>
                <c:pt idx="67">
                  <c:v>618</c:v>
                </c:pt>
                <c:pt idx="68">
                  <c:v>636</c:v>
                </c:pt>
                <c:pt idx="69">
                  <c:v>660</c:v>
                </c:pt>
                <c:pt idx="70">
                  <c:v>687</c:v>
                </c:pt>
                <c:pt idx="71">
                  <c:v>704</c:v>
                </c:pt>
                <c:pt idx="72">
                  <c:v>729</c:v>
                </c:pt>
                <c:pt idx="73">
                  <c:v>757</c:v>
                </c:pt>
                <c:pt idx="74">
                  <c:v>854</c:v>
                </c:pt>
                <c:pt idx="75">
                  <c:v>866</c:v>
                </c:pt>
                <c:pt idx="76">
                  <c:v>923</c:v>
                </c:pt>
                <c:pt idx="77">
                  <c:v>992</c:v>
                </c:pt>
                <c:pt idx="78">
                  <c:v>1227</c:v>
                </c:pt>
                <c:pt idx="79">
                  <c:v>1376</c:v>
                </c:pt>
                <c:pt idx="80">
                  <c:v>1497</c:v>
                </c:pt>
                <c:pt idx="81">
                  <c:v>1688</c:v>
                </c:pt>
                <c:pt idx="82">
                  <c:v>2039</c:v>
                </c:pt>
                <c:pt idx="83">
                  <c:v>2326</c:v>
                </c:pt>
                <c:pt idx="84">
                  <c:v>2699</c:v>
                </c:pt>
                <c:pt idx="85">
                  <c:v>3378</c:v>
                </c:pt>
                <c:pt idx="86">
                  <c:v>3936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1'!$E$70:$CO$70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8.5</c:v>
                </c:pt>
                <c:pt idx="22">
                  <c:v>10</c:v>
                </c:pt>
                <c:pt idx="23">
                  <c:v>13</c:v>
                </c:pt>
                <c:pt idx="24">
                  <c:v>16</c:v>
                </c:pt>
                <c:pt idx="25">
                  <c:v>18</c:v>
                </c:pt>
                <c:pt idx="26">
                  <c:v>21</c:v>
                </c:pt>
                <c:pt idx="27">
                  <c:v>24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33</c:v>
                </c:pt>
                <c:pt idx="32">
                  <c:v>40</c:v>
                </c:pt>
                <c:pt idx="33">
                  <c:v>45</c:v>
                </c:pt>
                <c:pt idx="34">
                  <c:v>47</c:v>
                </c:pt>
                <c:pt idx="35">
                  <c:v>50</c:v>
                </c:pt>
                <c:pt idx="36">
                  <c:v>58</c:v>
                </c:pt>
                <c:pt idx="37">
                  <c:v>67</c:v>
                </c:pt>
                <c:pt idx="38">
                  <c:v>72</c:v>
                </c:pt>
                <c:pt idx="39">
                  <c:v>75</c:v>
                </c:pt>
                <c:pt idx="40">
                  <c:v>77</c:v>
                </c:pt>
                <c:pt idx="41">
                  <c:v>81</c:v>
                </c:pt>
                <c:pt idx="42">
                  <c:v>84</c:v>
                </c:pt>
                <c:pt idx="43">
                  <c:v>84.5</c:v>
                </c:pt>
                <c:pt idx="44">
                  <c:v>85</c:v>
                </c:pt>
                <c:pt idx="45">
                  <c:v>87</c:v>
                </c:pt>
                <c:pt idx="46">
                  <c:v>89</c:v>
                </c:pt>
                <c:pt idx="47">
                  <c:v>90</c:v>
                </c:pt>
                <c:pt idx="48">
                  <c:v>91</c:v>
                </c:pt>
                <c:pt idx="49">
                  <c:v>93</c:v>
                </c:pt>
                <c:pt idx="50">
                  <c:v>96</c:v>
                </c:pt>
                <c:pt idx="51">
                  <c:v>99</c:v>
                </c:pt>
                <c:pt idx="52">
                  <c:v>102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113.5</c:v>
                </c:pt>
                <c:pt idx="57">
                  <c:v>117</c:v>
                </c:pt>
                <c:pt idx="58">
                  <c:v>130</c:v>
                </c:pt>
                <c:pt idx="59">
                  <c:v>136</c:v>
                </c:pt>
                <c:pt idx="60">
                  <c:v>148</c:v>
                </c:pt>
                <c:pt idx="61">
                  <c:v>153</c:v>
                </c:pt>
                <c:pt idx="62">
                  <c:v>158</c:v>
                </c:pt>
                <c:pt idx="63">
                  <c:v>176</c:v>
                </c:pt>
                <c:pt idx="64">
                  <c:v>187</c:v>
                </c:pt>
                <c:pt idx="65">
                  <c:v>198</c:v>
                </c:pt>
                <c:pt idx="66">
                  <c:v>210</c:v>
                </c:pt>
                <c:pt idx="67">
                  <c:v>223</c:v>
                </c:pt>
                <c:pt idx="68">
                  <c:v>240</c:v>
                </c:pt>
                <c:pt idx="69">
                  <c:v>263</c:v>
                </c:pt>
                <c:pt idx="70">
                  <c:v>310</c:v>
                </c:pt>
                <c:pt idx="71">
                  <c:v>341</c:v>
                </c:pt>
                <c:pt idx="72">
                  <c:v>380</c:v>
                </c:pt>
                <c:pt idx="73">
                  <c:v>426</c:v>
                </c:pt>
                <c:pt idx="74">
                  <c:v>449</c:v>
                </c:pt>
                <c:pt idx="75">
                  <c:v>503</c:v>
                </c:pt>
                <c:pt idx="76">
                  <c:v>552</c:v>
                </c:pt>
                <c:pt idx="77">
                  <c:v>625</c:v>
                </c:pt>
                <c:pt idx="78">
                  <c:v>677</c:v>
                </c:pt>
                <c:pt idx="79">
                  <c:v>725</c:v>
                </c:pt>
                <c:pt idx="80">
                  <c:v>794</c:v>
                </c:pt>
                <c:pt idx="81">
                  <c:v>836</c:v>
                </c:pt>
                <c:pt idx="82">
                  <c:v>870</c:v>
                </c:pt>
                <c:pt idx="83">
                  <c:v>916</c:v>
                </c:pt>
                <c:pt idx="84">
                  <c:v>990</c:v>
                </c:pt>
                <c:pt idx="85">
                  <c:v>1039</c:v>
                </c:pt>
                <c:pt idx="86">
                  <c:v>1103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2'!$E$43:$CR$43</c:f>
              <c:numCache>
                <c:formatCode>General</c:formatCode>
                <c:ptCount val="92"/>
                <c:pt idx="0">
                  <c:v>41</c:v>
                </c:pt>
                <c:pt idx="1">
                  <c:v>55</c:v>
                </c:pt>
                <c:pt idx="2">
                  <c:v>79</c:v>
                </c:pt>
                <c:pt idx="3">
                  <c:v>104</c:v>
                </c:pt>
                <c:pt idx="4">
                  <c:v>131</c:v>
                </c:pt>
                <c:pt idx="5">
                  <c:v>182</c:v>
                </c:pt>
                <c:pt idx="6">
                  <c:v>246</c:v>
                </c:pt>
                <c:pt idx="7">
                  <c:v>302</c:v>
                </c:pt>
                <c:pt idx="8">
                  <c:v>504</c:v>
                </c:pt>
                <c:pt idx="9">
                  <c:v>655</c:v>
                </c:pt>
                <c:pt idx="10">
                  <c:v>860</c:v>
                </c:pt>
                <c:pt idx="11">
                  <c:v>1018</c:v>
                </c:pt>
                <c:pt idx="12">
                  <c:v>1332</c:v>
                </c:pt>
                <c:pt idx="13">
                  <c:v>1646</c:v>
                </c:pt>
                <c:pt idx="14">
                  <c:v>2013</c:v>
                </c:pt>
                <c:pt idx="15">
                  <c:v>2388</c:v>
                </c:pt>
                <c:pt idx="16">
                  <c:v>2814</c:v>
                </c:pt>
                <c:pt idx="17">
                  <c:v>3582</c:v>
                </c:pt>
                <c:pt idx="18">
                  <c:v>4474</c:v>
                </c:pt>
                <c:pt idx="19">
                  <c:v>5283</c:v>
                </c:pt>
                <c:pt idx="20">
                  <c:v>5588</c:v>
                </c:pt>
                <c:pt idx="21">
                  <c:v>6909</c:v>
                </c:pt>
                <c:pt idx="22">
                  <c:v>7657</c:v>
                </c:pt>
                <c:pt idx="23">
                  <c:v>8271</c:v>
                </c:pt>
                <c:pt idx="24">
                  <c:v>8788</c:v>
                </c:pt>
                <c:pt idx="25">
                  <c:v>9618</c:v>
                </c:pt>
                <c:pt idx="26">
                  <c:v>10180</c:v>
                </c:pt>
                <c:pt idx="27">
                  <c:v>10711</c:v>
                </c:pt>
                <c:pt idx="28">
                  <c:v>11129</c:v>
                </c:pt>
                <c:pt idx="29">
                  <c:v>11524</c:v>
                </c:pt>
                <c:pt idx="30">
                  <c:v>11781</c:v>
                </c:pt>
                <c:pt idx="31">
                  <c:v>12051</c:v>
                </c:pt>
                <c:pt idx="32">
                  <c:v>12297</c:v>
                </c:pt>
                <c:pt idx="33">
                  <c:v>12639</c:v>
                </c:pt>
                <c:pt idx="34">
                  <c:v>12942</c:v>
                </c:pt>
                <c:pt idx="35">
                  <c:v>13244</c:v>
                </c:pt>
                <c:pt idx="36">
                  <c:v>13555</c:v>
                </c:pt>
                <c:pt idx="37">
                  <c:v>13806</c:v>
                </c:pt>
                <c:pt idx="38">
                  <c:v>13945</c:v>
                </c:pt>
                <c:pt idx="39">
                  <c:v>14041</c:v>
                </c:pt>
                <c:pt idx="40">
                  <c:v>14226</c:v>
                </c:pt>
                <c:pt idx="41">
                  <c:v>14336</c:v>
                </c:pt>
                <c:pt idx="42">
                  <c:v>14476</c:v>
                </c:pt>
                <c:pt idx="43">
                  <c:v>14595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2'!$E$44:$CR$44</c:f>
              <c:numCache>
                <c:formatCode>General</c:formatCode>
                <c:ptCount val="92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436.5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3743</c:v>
                </c:pt>
                <c:pt idx="19">
                  <c:v>4269</c:v>
                </c:pt>
                <c:pt idx="20">
                  <c:v>4937</c:v>
                </c:pt>
                <c:pt idx="21">
                  <c:v>6235</c:v>
                </c:pt>
                <c:pt idx="22">
                  <c:v>7284</c:v>
                </c:pt>
                <c:pt idx="23">
                  <c:v>9134</c:v>
                </c:pt>
                <c:pt idx="24">
                  <c:v>10836</c:v>
                </c:pt>
                <c:pt idx="25">
                  <c:v>11899</c:v>
                </c:pt>
                <c:pt idx="26">
                  <c:v>12775</c:v>
                </c:pt>
                <c:pt idx="27">
                  <c:v>13964</c:v>
                </c:pt>
                <c:pt idx="28">
                  <c:v>15348</c:v>
                </c:pt>
                <c:pt idx="29">
                  <c:v>16770</c:v>
                </c:pt>
                <c:pt idx="30">
                  <c:v>18431</c:v>
                </c:pt>
                <c:pt idx="31">
                  <c:v>19691</c:v>
                </c:pt>
                <c:pt idx="32">
                  <c:v>20814</c:v>
                </c:pt>
                <c:pt idx="33">
                  <c:v>22194</c:v>
                </c:pt>
                <c:pt idx="34">
                  <c:v>23403</c:v>
                </c:pt>
                <c:pt idx="35">
                  <c:v>24983</c:v>
                </c:pt>
                <c:pt idx="36">
                  <c:v>26667</c:v>
                </c:pt>
                <c:pt idx="37">
                  <c:v>28018</c:v>
                </c:pt>
                <c:pt idx="38">
                  <c:v>29647</c:v>
                </c:pt>
                <c:pt idx="39">
                  <c:v>30589</c:v>
                </c:pt>
                <c:pt idx="40">
                  <c:v>31119</c:v>
                </c:pt>
                <c:pt idx="41">
                  <c:v>33573</c:v>
                </c:pt>
                <c:pt idx="42">
                  <c:v>34809</c:v>
                </c:pt>
                <c:pt idx="43">
                  <c:v>36138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2'!$E$45:$CR$45</c:f>
              <c:numCache>
                <c:formatCode>General</c:formatCode>
                <c:ptCount val="92"/>
                <c:pt idx="0">
                  <c:v>30</c:v>
                </c:pt>
                <c:pt idx="1">
                  <c:v>33</c:v>
                </c:pt>
                <c:pt idx="2">
                  <c:v>37</c:v>
                </c:pt>
                <c:pt idx="3">
                  <c:v>49</c:v>
                </c:pt>
                <c:pt idx="4">
                  <c:v>54</c:v>
                </c:pt>
                <c:pt idx="5">
                  <c:v>64</c:v>
                </c:pt>
                <c:pt idx="6">
                  <c:v>77</c:v>
                </c:pt>
                <c:pt idx="7">
                  <c:v>79</c:v>
                </c:pt>
                <c:pt idx="8">
                  <c:v>108</c:v>
                </c:pt>
                <c:pt idx="9">
                  <c:v>117</c:v>
                </c:pt>
                <c:pt idx="10">
                  <c:v>191</c:v>
                </c:pt>
                <c:pt idx="11">
                  <c:v>196</c:v>
                </c:pt>
                <c:pt idx="12">
                  <c:v>250</c:v>
                </c:pt>
                <c:pt idx="13">
                  <c:v>413</c:v>
                </c:pt>
                <c:pt idx="14">
                  <c:v>470</c:v>
                </c:pt>
                <c:pt idx="15">
                  <c:v>648</c:v>
                </c:pt>
                <c:pt idx="16">
                  <c:v>791</c:v>
                </c:pt>
                <c:pt idx="17">
                  <c:v>933</c:v>
                </c:pt>
                <c:pt idx="18">
                  <c:v>1267</c:v>
                </c:pt>
                <c:pt idx="19">
                  <c:v>1456</c:v>
                </c:pt>
                <c:pt idx="20">
                  <c:v>2075</c:v>
                </c:pt>
                <c:pt idx="21">
                  <c:v>2777</c:v>
                </c:pt>
                <c:pt idx="22">
                  <c:v>3238</c:v>
                </c:pt>
                <c:pt idx="23">
                  <c:v>4029</c:v>
                </c:pt>
                <c:pt idx="24">
                  <c:v>4669</c:v>
                </c:pt>
                <c:pt idx="25">
                  <c:v>5563</c:v>
                </c:pt>
                <c:pt idx="26">
                  <c:v>6267</c:v>
                </c:pt>
                <c:pt idx="27">
                  <c:v>7385</c:v>
                </c:pt>
                <c:pt idx="28">
                  <c:v>8514</c:v>
                </c:pt>
                <c:pt idx="29">
                  <c:v>9547</c:v>
                </c:pt>
                <c:pt idx="30">
                  <c:v>11271</c:v>
                </c:pt>
                <c:pt idx="31">
                  <c:v>12424</c:v>
                </c:pt>
                <c:pt idx="32">
                  <c:v>12965</c:v>
                </c:pt>
                <c:pt idx="33">
                  <c:v>15743</c:v>
                </c:pt>
                <c:pt idx="34">
                  <c:v>16550</c:v>
                </c:pt>
                <c:pt idx="35">
                  <c:v>17859</c:v>
                </c:pt>
                <c:pt idx="36">
                  <c:v>19128</c:v>
                </c:pt>
                <c:pt idx="37">
                  <c:v>20641</c:v>
                </c:pt>
                <c:pt idx="38">
                  <c:v>22046</c:v>
                </c:pt>
                <c:pt idx="39">
                  <c:v>23303</c:v>
                </c:pt>
                <c:pt idx="40">
                  <c:v>24286</c:v>
                </c:pt>
                <c:pt idx="41">
                  <c:v>25667</c:v>
                </c:pt>
                <c:pt idx="42">
                  <c:v>27022</c:v>
                </c:pt>
                <c:pt idx="43">
                  <c:v>28196</c:v>
                </c:pt>
                <c:pt idx="44">
                  <c:v>30796</c:v>
                </c:pt>
                <c:pt idx="45">
                  <c:v>32801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2'!$E$46:$CR$46</c:f>
              <c:numCache>
                <c:formatCode>General</c:formatCode>
                <c:ptCount val="92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2'!$E$47:$CR$47</c:f>
              <c:numCache>
                <c:formatCode>General</c:formatCode>
                <c:ptCount val="92"/>
                <c:pt idx="0">
                  <c:v>30</c:v>
                </c:pt>
                <c:pt idx="1">
                  <c:v>40</c:v>
                </c:pt>
                <c:pt idx="2">
                  <c:v>59</c:v>
                </c:pt>
                <c:pt idx="3">
                  <c:v>107</c:v>
                </c:pt>
                <c:pt idx="4">
                  <c:v>155</c:v>
                </c:pt>
                <c:pt idx="5">
                  <c:v>225</c:v>
                </c:pt>
                <c:pt idx="6">
                  <c:v>244</c:v>
                </c:pt>
                <c:pt idx="7">
                  <c:v>277</c:v>
                </c:pt>
                <c:pt idx="8">
                  <c:v>321</c:v>
                </c:pt>
                <c:pt idx="9">
                  <c:v>336</c:v>
                </c:pt>
                <c:pt idx="10">
                  <c:v>400</c:v>
                </c:pt>
                <c:pt idx="11">
                  <c:v>450</c:v>
                </c:pt>
                <c:pt idx="12">
                  <c:v>523</c:v>
                </c:pt>
                <c:pt idx="13">
                  <c:v>626</c:v>
                </c:pt>
                <c:pt idx="14">
                  <c:v>700</c:v>
                </c:pt>
                <c:pt idx="15">
                  <c:v>792</c:v>
                </c:pt>
                <c:pt idx="16">
                  <c:v>880</c:v>
                </c:pt>
                <c:pt idx="17">
                  <c:v>958</c:v>
                </c:pt>
                <c:pt idx="18">
                  <c:v>1041</c:v>
                </c:pt>
                <c:pt idx="19">
                  <c:v>1167</c:v>
                </c:pt>
                <c:pt idx="20">
                  <c:v>1240</c:v>
                </c:pt>
                <c:pt idx="21">
                  <c:v>1352</c:v>
                </c:pt>
                <c:pt idx="22">
                  <c:v>1418</c:v>
                </c:pt>
                <c:pt idx="23">
                  <c:v>1446</c:v>
                </c:pt>
                <c:pt idx="24">
                  <c:v>1518</c:v>
                </c:pt>
                <c:pt idx="25">
                  <c:v>1615</c:v>
                </c:pt>
                <c:pt idx="26">
                  <c:v>1882</c:v>
                </c:pt>
                <c:pt idx="27">
                  <c:v>1927</c:v>
                </c:pt>
                <c:pt idx="28">
                  <c:v>2176</c:v>
                </c:pt>
                <c:pt idx="29">
                  <c:v>2308</c:v>
                </c:pt>
                <c:pt idx="30">
                  <c:v>2487</c:v>
                </c:pt>
                <c:pt idx="31">
                  <c:v>2605</c:v>
                </c:pt>
                <c:pt idx="32">
                  <c:v>2769</c:v>
                </c:pt>
                <c:pt idx="33">
                  <c:v>2905</c:v>
                </c:pt>
                <c:pt idx="34">
                  <c:v>2974</c:v>
                </c:pt>
                <c:pt idx="35">
                  <c:v>3064</c:v>
                </c:pt>
                <c:pt idx="36">
                  <c:v>3161</c:v>
                </c:pt>
                <c:pt idx="37">
                  <c:v>3237</c:v>
                </c:pt>
                <c:pt idx="38">
                  <c:v>3369</c:v>
                </c:pt>
                <c:pt idx="39">
                  <c:v>3489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2'!$E$48:$CR$48</c:f>
              <c:numCache>
                <c:formatCode>General</c:formatCode>
                <c:ptCount val="92"/>
                <c:pt idx="0">
                  <c:v>38</c:v>
                </c:pt>
                <c:pt idx="1">
                  <c:v>57</c:v>
                </c:pt>
                <c:pt idx="2">
                  <c:v>100</c:v>
                </c:pt>
                <c:pt idx="3">
                  <c:v>130</c:v>
                </c:pt>
                <c:pt idx="4">
                  <c:v>191</c:v>
                </c:pt>
                <c:pt idx="5">
                  <c:v>204</c:v>
                </c:pt>
                <c:pt idx="6">
                  <c:v>285</c:v>
                </c:pt>
                <c:pt idx="7">
                  <c:v>377</c:v>
                </c:pt>
                <c:pt idx="8">
                  <c:v>653</c:v>
                </c:pt>
                <c:pt idx="9">
                  <c:v>949</c:v>
                </c:pt>
                <c:pt idx="10">
                  <c:v>1126</c:v>
                </c:pt>
                <c:pt idx="11">
                  <c:v>1209</c:v>
                </c:pt>
                <c:pt idx="12">
                  <c:v>1784</c:v>
                </c:pt>
                <c:pt idx="13">
                  <c:v>2281</c:v>
                </c:pt>
                <c:pt idx="14">
                  <c:v>2971</c:v>
                </c:pt>
                <c:pt idx="15">
                  <c:v>3661</c:v>
                </c:pt>
                <c:pt idx="16">
                  <c:v>4469</c:v>
                </c:pt>
                <c:pt idx="17">
                  <c:v>4499</c:v>
                </c:pt>
                <c:pt idx="18">
                  <c:v>6633</c:v>
                </c:pt>
                <c:pt idx="19">
                  <c:v>7652</c:v>
                </c:pt>
                <c:pt idx="20">
                  <c:v>9043</c:v>
                </c:pt>
                <c:pt idx="21">
                  <c:v>10871</c:v>
                </c:pt>
                <c:pt idx="22">
                  <c:v>12612</c:v>
                </c:pt>
                <c:pt idx="23">
                  <c:v>14282</c:v>
                </c:pt>
                <c:pt idx="24">
                  <c:v>16018</c:v>
                </c:pt>
                <c:pt idx="25">
                  <c:v>19856</c:v>
                </c:pt>
                <c:pt idx="26">
                  <c:v>22304</c:v>
                </c:pt>
                <c:pt idx="27">
                  <c:v>25233</c:v>
                </c:pt>
                <c:pt idx="28">
                  <c:v>29155</c:v>
                </c:pt>
                <c:pt idx="29">
                  <c:v>32964</c:v>
                </c:pt>
                <c:pt idx="30">
                  <c:v>37575</c:v>
                </c:pt>
                <c:pt idx="31">
                  <c:v>40174</c:v>
                </c:pt>
                <c:pt idx="32">
                  <c:v>44550</c:v>
                </c:pt>
                <c:pt idx="33">
                  <c:v>52128</c:v>
                </c:pt>
                <c:pt idx="34">
                  <c:v>56989</c:v>
                </c:pt>
                <c:pt idx="35">
                  <c:v>59105</c:v>
                </c:pt>
                <c:pt idx="36">
                  <c:v>64338</c:v>
                </c:pt>
                <c:pt idx="37">
                  <c:v>68605</c:v>
                </c:pt>
                <c:pt idx="38">
                  <c:v>70478</c:v>
                </c:pt>
                <c:pt idx="39">
                  <c:v>74390</c:v>
                </c:pt>
                <c:pt idx="40">
                  <c:v>78167</c:v>
                </c:pt>
                <c:pt idx="41">
                  <c:v>82048</c:v>
                </c:pt>
                <c:pt idx="42">
                  <c:v>86334</c:v>
                </c:pt>
                <c:pt idx="43">
                  <c:v>90676</c:v>
                </c:pt>
                <c:pt idx="44">
                  <c:v>93790</c:v>
                </c:pt>
                <c:pt idx="45">
                  <c:v>120633</c:v>
                </c:pt>
                <c:pt idx="46">
                  <c:v>124298</c:v>
                </c:pt>
                <c:pt idx="47">
                  <c:v>130253</c:v>
                </c:pt>
                <c:pt idx="48">
                  <c:v>133470</c:v>
                </c:pt>
                <c:pt idx="49">
                  <c:v>145960</c:v>
                </c:pt>
                <c:pt idx="50">
                  <c:v>147969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2'!$E$49:$CR$49</c:f>
              <c:numCache>
                <c:formatCode>General</c:formatCode>
                <c:ptCount val="92"/>
                <c:pt idx="0">
                  <c:v>46</c:v>
                </c:pt>
                <c:pt idx="1">
                  <c:v>48</c:v>
                </c:pt>
                <c:pt idx="2">
                  <c:v>79</c:v>
                </c:pt>
                <c:pt idx="3">
                  <c:v>130</c:v>
                </c:pt>
                <c:pt idx="4">
                  <c:v>159</c:v>
                </c:pt>
                <c:pt idx="5">
                  <c:v>196</c:v>
                </c:pt>
                <c:pt idx="6">
                  <c:v>262</c:v>
                </c:pt>
                <c:pt idx="7">
                  <c:v>482</c:v>
                </c:pt>
                <c:pt idx="8">
                  <c:v>670</c:v>
                </c:pt>
                <c:pt idx="9">
                  <c:v>799</c:v>
                </c:pt>
                <c:pt idx="10">
                  <c:v>1040</c:v>
                </c:pt>
                <c:pt idx="11">
                  <c:v>1176</c:v>
                </c:pt>
                <c:pt idx="12">
                  <c:v>1457</c:v>
                </c:pt>
                <c:pt idx="13">
                  <c:v>1908</c:v>
                </c:pt>
                <c:pt idx="14">
                  <c:v>2078</c:v>
                </c:pt>
                <c:pt idx="15">
                  <c:v>3675</c:v>
                </c:pt>
                <c:pt idx="16">
                  <c:v>4585</c:v>
                </c:pt>
                <c:pt idx="17">
                  <c:v>5795</c:v>
                </c:pt>
                <c:pt idx="18">
                  <c:v>7272</c:v>
                </c:pt>
                <c:pt idx="19">
                  <c:v>9257</c:v>
                </c:pt>
                <c:pt idx="20">
                  <c:v>12327</c:v>
                </c:pt>
                <c:pt idx="21">
                  <c:v>15320</c:v>
                </c:pt>
                <c:pt idx="22">
                  <c:v>19848</c:v>
                </c:pt>
                <c:pt idx="23">
                  <c:v>22213</c:v>
                </c:pt>
                <c:pt idx="24">
                  <c:v>24873</c:v>
                </c:pt>
                <c:pt idx="25">
                  <c:v>29056</c:v>
                </c:pt>
                <c:pt idx="26">
                  <c:v>32986</c:v>
                </c:pt>
                <c:pt idx="27">
                  <c:v>37323</c:v>
                </c:pt>
                <c:pt idx="28">
                  <c:v>43938</c:v>
                </c:pt>
                <c:pt idx="29">
                  <c:v>50871</c:v>
                </c:pt>
                <c:pt idx="30">
                  <c:v>57695</c:v>
                </c:pt>
                <c:pt idx="31">
                  <c:v>62095</c:v>
                </c:pt>
                <c:pt idx="32">
                  <c:v>66885</c:v>
                </c:pt>
                <c:pt idx="33">
                  <c:v>71808</c:v>
                </c:pt>
                <c:pt idx="34">
                  <c:v>77872</c:v>
                </c:pt>
                <c:pt idx="35">
                  <c:v>84794</c:v>
                </c:pt>
                <c:pt idx="36">
                  <c:v>91159</c:v>
                </c:pt>
                <c:pt idx="37">
                  <c:v>96092</c:v>
                </c:pt>
                <c:pt idx="38">
                  <c:v>100123</c:v>
                </c:pt>
                <c:pt idx="39">
                  <c:v>103374</c:v>
                </c:pt>
                <c:pt idx="40">
                  <c:v>107663</c:v>
                </c:pt>
                <c:pt idx="41">
                  <c:v>113296</c:v>
                </c:pt>
                <c:pt idx="42">
                  <c:v>118181</c:v>
                </c:pt>
                <c:pt idx="43">
                  <c:v>122171</c:v>
                </c:pt>
                <c:pt idx="44">
                  <c:v>124908</c:v>
                </c:pt>
                <c:pt idx="45">
                  <c:v>127854</c:v>
                </c:pt>
                <c:pt idx="46">
                  <c:v>130072</c:v>
                </c:pt>
                <c:pt idx="47">
                  <c:v>131359</c:v>
                </c:pt>
                <c:pt idx="48">
                  <c:v>134753</c:v>
                </c:pt>
                <c:pt idx="49">
                  <c:v>137698</c:v>
                </c:pt>
                <c:pt idx="50">
                  <c:v>141397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2'!$E$50:$CR$50</c:f>
              <c:numCache>
                <c:formatCode>General</c:formatCode>
                <c:ptCount val="92"/>
                <c:pt idx="0">
                  <c:v>30</c:v>
                </c:pt>
                <c:pt idx="1">
                  <c:v>31</c:v>
                </c:pt>
                <c:pt idx="2">
                  <c:v>34</c:v>
                </c:pt>
                <c:pt idx="3">
                  <c:v>39</c:v>
                </c:pt>
                <c:pt idx="4">
                  <c:v>43</c:v>
                </c:pt>
                <c:pt idx="5">
                  <c:v>56</c:v>
                </c:pt>
                <c:pt idx="6">
                  <c:v>62</c:v>
                </c:pt>
                <c:pt idx="7">
                  <c:v>73</c:v>
                </c:pt>
                <c:pt idx="8">
                  <c:v>82</c:v>
                </c:pt>
                <c:pt idx="9">
                  <c:v>102</c:v>
                </c:pt>
                <c:pt idx="10">
                  <c:v>113</c:v>
                </c:pt>
                <c:pt idx="11">
                  <c:v>119</c:v>
                </c:pt>
                <c:pt idx="12">
                  <c:v>142</c:v>
                </c:pt>
                <c:pt idx="13">
                  <c:v>156</c:v>
                </c:pt>
                <c:pt idx="14">
                  <c:v>194</c:v>
                </c:pt>
                <c:pt idx="15">
                  <c:v>244</c:v>
                </c:pt>
                <c:pt idx="16">
                  <c:v>330</c:v>
                </c:pt>
                <c:pt idx="17">
                  <c:v>396</c:v>
                </c:pt>
                <c:pt idx="18">
                  <c:v>499</c:v>
                </c:pt>
                <c:pt idx="19">
                  <c:v>536</c:v>
                </c:pt>
                <c:pt idx="20">
                  <c:v>657</c:v>
                </c:pt>
                <c:pt idx="21">
                  <c:v>727</c:v>
                </c:pt>
                <c:pt idx="22">
                  <c:v>887</c:v>
                </c:pt>
                <c:pt idx="23">
                  <c:v>987</c:v>
                </c:pt>
                <c:pt idx="24">
                  <c:v>1024</c:v>
                </c:pt>
                <c:pt idx="25">
                  <c:v>1251</c:v>
                </c:pt>
                <c:pt idx="26">
                  <c:v>1397</c:v>
                </c:pt>
                <c:pt idx="27">
                  <c:v>1998</c:v>
                </c:pt>
                <c:pt idx="28">
                  <c:v>2543</c:v>
                </c:pt>
                <c:pt idx="29">
                  <c:v>2567</c:v>
                </c:pt>
                <c:pt idx="30">
                  <c:v>3082</c:v>
                </c:pt>
                <c:pt idx="31">
                  <c:v>3588</c:v>
                </c:pt>
                <c:pt idx="32">
                  <c:v>4778</c:v>
                </c:pt>
                <c:pt idx="33">
                  <c:v>5311</c:v>
                </c:pt>
                <c:pt idx="34">
                  <c:v>5916</c:v>
                </c:pt>
                <c:pt idx="35">
                  <c:v>6725</c:v>
                </c:pt>
                <c:pt idx="36">
                  <c:v>7598</c:v>
                </c:pt>
                <c:pt idx="37">
                  <c:v>8446</c:v>
                </c:pt>
                <c:pt idx="38">
                  <c:v>9205</c:v>
                </c:pt>
                <c:pt idx="39">
                  <c:v>10453</c:v>
                </c:pt>
                <c:pt idx="40">
                  <c:v>11487</c:v>
                </c:pt>
                <c:pt idx="41">
                  <c:v>12322</c:v>
                </c:pt>
                <c:pt idx="42">
                  <c:v>13430</c:v>
                </c:pt>
                <c:pt idx="43">
                  <c:v>14352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2'!$E$51:$CR$51</c:f>
              <c:numCache>
                <c:formatCode>General</c:formatCode>
                <c:ptCount val="92"/>
                <c:pt idx="0">
                  <c:v>43</c:v>
                </c:pt>
                <c:pt idx="1">
                  <c:v>61</c:v>
                </c:pt>
                <c:pt idx="2">
                  <c:v>95</c:v>
                </c:pt>
                <c:pt idx="3">
                  <c:v>139</c:v>
                </c:pt>
                <c:pt idx="4">
                  <c:v>245</c:v>
                </c:pt>
                <c:pt idx="5">
                  <c:v>388</c:v>
                </c:pt>
                <c:pt idx="6">
                  <c:v>593</c:v>
                </c:pt>
                <c:pt idx="7">
                  <c:v>978</c:v>
                </c:pt>
                <c:pt idx="8">
                  <c:v>1501</c:v>
                </c:pt>
                <c:pt idx="9">
                  <c:v>2336</c:v>
                </c:pt>
                <c:pt idx="10">
                  <c:v>2922</c:v>
                </c:pt>
                <c:pt idx="11">
                  <c:v>3513</c:v>
                </c:pt>
                <c:pt idx="12">
                  <c:v>4747</c:v>
                </c:pt>
                <c:pt idx="13">
                  <c:v>5823</c:v>
                </c:pt>
                <c:pt idx="14">
                  <c:v>6566</c:v>
                </c:pt>
                <c:pt idx="15">
                  <c:v>7161</c:v>
                </c:pt>
                <c:pt idx="16">
                  <c:v>8042</c:v>
                </c:pt>
                <c:pt idx="17">
                  <c:v>9000</c:v>
                </c:pt>
                <c:pt idx="18">
                  <c:v>10075</c:v>
                </c:pt>
                <c:pt idx="19">
                  <c:v>11364</c:v>
                </c:pt>
                <c:pt idx="20">
                  <c:v>12729</c:v>
                </c:pt>
                <c:pt idx="21">
                  <c:v>13938</c:v>
                </c:pt>
                <c:pt idx="22">
                  <c:v>14991</c:v>
                </c:pt>
                <c:pt idx="23">
                  <c:v>16169</c:v>
                </c:pt>
                <c:pt idx="24">
                  <c:v>17361</c:v>
                </c:pt>
                <c:pt idx="25">
                  <c:v>18407</c:v>
                </c:pt>
                <c:pt idx="26">
                  <c:v>19644</c:v>
                </c:pt>
                <c:pt idx="27">
                  <c:v>20610</c:v>
                </c:pt>
                <c:pt idx="28">
                  <c:v>21638</c:v>
                </c:pt>
                <c:pt idx="29">
                  <c:v>23049</c:v>
                </c:pt>
                <c:pt idx="30">
                  <c:v>24811</c:v>
                </c:pt>
                <c:pt idx="31">
                  <c:v>27017</c:v>
                </c:pt>
                <c:pt idx="32">
                  <c:v>29406</c:v>
                </c:pt>
                <c:pt idx="33">
                  <c:v>32332</c:v>
                </c:pt>
                <c:pt idx="34">
                  <c:v>35408</c:v>
                </c:pt>
                <c:pt idx="35">
                  <c:v>38309</c:v>
                </c:pt>
                <c:pt idx="36">
                  <c:v>41495</c:v>
                </c:pt>
                <c:pt idx="37">
                  <c:v>44605</c:v>
                </c:pt>
                <c:pt idx="38">
                  <c:v>47593</c:v>
                </c:pt>
                <c:pt idx="39">
                  <c:v>50468</c:v>
                </c:pt>
                <c:pt idx="40">
                  <c:v>53183</c:v>
                </c:pt>
                <c:pt idx="41">
                  <c:v>55743</c:v>
                </c:pt>
                <c:pt idx="42">
                  <c:v>58226</c:v>
                </c:pt>
                <c:pt idx="43">
                  <c:v>60500</c:v>
                </c:pt>
                <c:pt idx="44">
                  <c:v>62589</c:v>
                </c:pt>
                <c:pt idx="45">
                  <c:v>64586</c:v>
                </c:pt>
                <c:pt idx="46">
                  <c:v>66220</c:v>
                </c:pt>
                <c:pt idx="47">
                  <c:v>68192</c:v>
                </c:pt>
                <c:pt idx="48">
                  <c:v>70029</c:v>
                </c:pt>
                <c:pt idx="49">
                  <c:v>71686</c:v>
                </c:pt>
                <c:pt idx="50">
                  <c:v>73303</c:v>
                </c:pt>
                <c:pt idx="51">
                  <c:v>74877</c:v>
                </c:pt>
                <c:pt idx="52">
                  <c:v>76389</c:v>
                </c:pt>
                <c:pt idx="53">
                  <c:v>77995</c:v>
                </c:pt>
                <c:pt idx="54">
                  <c:v>79494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2'!$E$52:$CR$52</c:f>
              <c:numCache>
                <c:formatCode>General</c:formatCode>
                <c:ptCount val="92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15061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63927</c:v>
                </c:pt>
                <c:pt idx="31">
                  <c:v>69176</c:v>
                </c:pt>
                <c:pt idx="32">
                  <c:v>74386</c:v>
                </c:pt>
                <c:pt idx="33">
                  <c:v>80589</c:v>
                </c:pt>
                <c:pt idx="34">
                  <c:v>86498</c:v>
                </c:pt>
                <c:pt idx="35">
                  <c:v>92472</c:v>
                </c:pt>
                <c:pt idx="36">
                  <c:v>97689</c:v>
                </c:pt>
                <c:pt idx="37">
                  <c:v>101739</c:v>
                </c:pt>
                <c:pt idx="38">
                  <c:v>105792</c:v>
                </c:pt>
                <c:pt idx="39">
                  <c:v>110574</c:v>
                </c:pt>
                <c:pt idx="40">
                  <c:v>115242</c:v>
                </c:pt>
                <c:pt idx="41">
                  <c:v>119827</c:v>
                </c:pt>
                <c:pt idx="42">
                  <c:v>124632</c:v>
                </c:pt>
                <c:pt idx="43">
                  <c:v>128948</c:v>
                </c:pt>
                <c:pt idx="44">
                  <c:v>132547</c:v>
                </c:pt>
                <c:pt idx="45">
                  <c:v>135586</c:v>
                </c:pt>
                <c:pt idx="46">
                  <c:v>139422</c:v>
                </c:pt>
                <c:pt idx="47">
                  <c:v>143626</c:v>
                </c:pt>
                <c:pt idx="48">
                  <c:v>147577</c:v>
                </c:pt>
                <c:pt idx="49">
                  <c:v>152271</c:v>
                </c:pt>
                <c:pt idx="50">
                  <c:v>156363</c:v>
                </c:pt>
                <c:pt idx="51">
                  <c:v>159516</c:v>
                </c:pt>
                <c:pt idx="52">
                  <c:v>162488</c:v>
                </c:pt>
                <c:pt idx="53">
                  <c:v>165155</c:v>
                </c:pt>
                <c:pt idx="54">
                  <c:v>168941</c:v>
                </c:pt>
                <c:pt idx="55">
                  <c:v>172434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2'!$E$53:$CR$53</c:f>
              <c:numCache>
                <c:formatCode>General</c:formatCode>
                <c:ptCount val="92"/>
                <c:pt idx="0">
                  <c:v>43</c:v>
                </c:pt>
                <c:pt idx="1">
                  <c:v>59</c:v>
                </c:pt>
                <c:pt idx="2">
                  <c:v>66</c:v>
                </c:pt>
                <c:pt idx="3">
                  <c:v>74</c:v>
                </c:pt>
                <c:pt idx="4">
                  <c:v>84</c:v>
                </c:pt>
                <c:pt idx="5">
                  <c:v>94</c:v>
                </c:pt>
                <c:pt idx="6">
                  <c:v>105</c:v>
                </c:pt>
                <c:pt idx="7">
                  <c:v>122</c:v>
                </c:pt>
                <c:pt idx="8">
                  <c:v>147</c:v>
                </c:pt>
                <c:pt idx="9">
                  <c:v>159</c:v>
                </c:pt>
                <c:pt idx="10">
                  <c:v>170</c:v>
                </c:pt>
                <c:pt idx="11">
                  <c:v>189</c:v>
                </c:pt>
                <c:pt idx="12">
                  <c:v>214</c:v>
                </c:pt>
                <c:pt idx="13">
                  <c:v>228</c:v>
                </c:pt>
                <c:pt idx="14">
                  <c:v>241</c:v>
                </c:pt>
                <c:pt idx="15">
                  <c:v>256</c:v>
                </c:pt>
                <c:pt idx="16">
                  <c:v>274</c:v>
                </c:pt>
                <c:pt idx="17">
                  <c:v>293</c:v>
                </c:pt>
                <c:pt idx="18">
                  <c:v>331</c:v>
                </c:pt>
                <c:pt idx="19">
                  <c:v>360</c:v>
                </c:pt>
                <c:pt idx="20">
                  <c:v>420</c:v>
                </c:pt>
                <c:pt idx="21">
                  <c:v>461</c:v>
                </c:pt>
                <c:pt idx="22">
                  <c:v>502</c:v>
                </c:pt>
                <c:pt idx="23">
                  <c:v>511</c:v>
                </c:pt>
                <c:pt idx="24">
                  <c:v>581</c:v>
                </c:pt>
                <c:pt idx="25">
                  <c:v>639</c:v>
                </c:pt>
                <c:pt idx="26">
                  <c:v>670</c:v>
                </c:pt>
                <c:pt idx="27">
                  <c:v>701</c:v>
                </c:pt>
                <c:pt idx="28">
                  <c:v>773</c:v>
                </c:pt>
                <c:pt idx="29">
                  <c:v>839</c:v>
                </c:pt>
                <c:pt idx="30">
                  <c:v>858.5</c:v>
                </c:pt>
                <c:pt idx="31">
                  <c:v>878</c:v>
                </c:pt>
                <c:pt idx="32">
                  <c:v>889</c:v>
                </c:pt>
                <c:pt idx="33">
                  <c:v>924</c:v>
                </c:pt>
                <c:pt idx="34">
                  <c:v>963</c:v>
                </c:pt>
                <c:pt idx="35">
                  <c:v>1007</c:v>
                </c:pt>
                <c:pt idx="36">
                  <c:v>1101</c:v>
                </c:pt>
                <c:pt idx="37">
                  <c:v>1128</c:v>
                </c:pt>
                <c:pt idx="38">
                  <c:v>1193</c:v>
                </c:pt>
                <c:pt idx="39">
                  <c:v>1307</c:v>
                </c:pt>
                <c:pt idx="40">
                  <c:v>1387</c:v>
                </c:pt>
                <c:pt idx="41">
                  <c:v>1468</c:v>
                </c:pt>
                <c:pt idx="42">
                  <c:v>1693</c:v>
                </c:pt>
                <c:pt idx="43">
                  <c:v>1866</c:v>
                </c:pt>
                <c:pt idx="44">
                  <c:v>1909.5</c:v>
                </c:pt>
                <c:pt idx="45">
                  <c:v>1953</c:v>
                </c:pt>
                <c:pt idx="46">
                  <c:v>2178</c:v>
                </c:pt>
                <c:pt idx="47">
                  <c:v>2495</c:v>
                </c:pt>
                <c:pt idx="48">
                  <c:v>2617</c:v>
                </c:pt>
                <c:pt idx="49">
                  <c:v>3139</c:v>
                </c:pt>
                <c:pt idx="50">
                  <c:v>3396.5</c:v>
                </c:pt>
                <c:pt idx="51">
                  <c:v>3654</c:v>
                </c:pt>
                <c:pt idx="52">
                  <c:v>3906</c:v>
                </c:pt>
                <c:pt idx="53">
                  <c:v>4257</c:v>
                </c:pt>
                <c:pt idx="54">
                  <c:v>4667</c:v>
                </c:pt>
                <c:pt idx="55">
                  <c:v>5530</c:v>
                </c:pt>
                <c:pt idx="56">
                  <c:v>6005</c:v>
                </c:pt>
                <c:pt idx="57">
                  <c:v>6748</c:v>
                </c:pt>
                <c:pt idx="58">
                  <c:v>7370</c:v>
                </c:pt>
                <c:pt idx="59">
                  <c:v>7645</c:v>
                </c:pt>
                <c:pt idx="60">
                  <c:v>8100</c:v>
                </c:pt>
                <c:pt idx="61">
                  <c:v>8626</c:v>
                </c:pt>
                <c:pt idx="62">
                  <c:v>9787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2'!$E$54:$CR$54</c:f>
              <c:numCache>
                <c:formatCode>General</c:formatCode>
                <c:ptCount val="92"/>
                <c:pt idx="0">
                  <c:v>30</c:v>
                </c:pt>
                <c:pt idx="1">
                  <c:v>31</c:v>
                </c:pt>
                <c:pt idx="2">
                  <c:v>67.5</c:v>
                </c:pt>
                <c:pt idx="3">
                  <c:v>104</c:v>
                </c:pt>
                <c:pt idx="4">
                  <c:v>204</c:v>
                </c:pt>
                <c:pt idx="5">
                  <c:v>433</c:v>
                </c:pt>
                <c:pt idx="6">
                  <c:v>602</c:v>
                </c:pt>
                <c:pt idx="7">
                  <c:v>833</c:v>
                </c:pt>
                <c:pt idx="8">
                  <c:v>977</c:v>
                </c:pt>
                <c:pt idx="9">
                  <c:v>1261</c:v>
                </c:pt>
                <c:pt idx="10">
                  <c:v>1766</c:v>
                </c:pt>
                <c:pt idx="11">
                  <c:v>2337</c:v>
                </c:pt>
                <c:pt idx="12">
                  <c:v>3150</c:v>
                </c:pt>
                <c:pt idx="13">
                  <c:v>3736</c:v>
                </c:pt>
                <c:pt idx="14">
                  <c:v>4335</c:v>
                </c:pt>
                <c:pt idx="15">
                  <c:v>5186</c:v>
                </c:pt>
                <c:pt idx="16">
                  <c:v>5621</c:v>
                </c:pt>
                <c:pt idx="17">
                  <c:v>6088</c:v>
                </c:pt>
                <c:pt idx="18">
                  <c:v>6593</c:v>
                </c:pt>
                <c:pt idx="19">
                  <c:v>7041</c:v>
                </c:pt>
                <c:pt idx="20">
                  <c:v>7314</c:v>
                </c:pt>
                <c:pt idx="21">
                  <c:v>7478</c:v>
                </c:pt>
                <c:pt idx="22">
                  <c:v>7513</c:v>
                </c:pt>
                <c:pt idx="23">
                  <c:v>7755</c:v>
                </c:pt>
                <c:pt idx="24">
                  <c:v>7869</c:v>
                </c:pt>
                <c:pt idx="25">
                  <c:v>7979</c:v>
                </c:pt>
                <c:pt idx="26">
                  <c:v>8086</c:v>
                </c:pt>
                <c:pt idx="27">
                  <c:v>8162</c:v>
                </c:pt>
                <c:pt idx="28">
                  <c:v>8236</c:v>
                </c:pt>
                <c:pt idx="29">
                  <c:v>8320</c:v>
                </c:pt>
                <c:pt idx="30">
                  <c:v>8413</c:v>
                </c:pt>
                <c:pt idx="31">
                  <c:v>8565</c:v>
                </c:pt>
                <c:pt idx="32">
                  <c:v>8652</c:v>
                </c:pt>
                <c:pt idx="33">
                  <c:v>8799</c:v>
                </c:pt>
                <c:pt idx="34">
                  <c:v>8961</c:v>
                </c:pt>
                <c:pt idx="35">
                  <c:v>8999</c:v>
                </c:pt>
                <c:pt idx="36">
                  <c:v>9037</c:v>
                </c:pt>
                <c:pt idx="37">
                  <c:v>9137</c:v>
                </c:pt>
                <c:pt idx="38">
                  <c:v>9241</c:v>
                </c:pt>
                <c:pt idx="39">
                  <c:v>9332</c:v>
                </c:pt>
                <c:pt idx="40">
                  <c:v>9478</c:v>
                </c:pt>
                <c:pt idx="41">
                  <c:v>9583</c:v>
                </c:pt>
                <c:pt idx="42">
                  <c:v>9661</c:v>
                </c:pt>
                <c:pt idx="43">
                  <c:v>9786</c:v>
                </c:pt>
                <c:pt idx="44">
                  <c:v>9887</c:v>
                </c:pt>
                <c:pt idx="45">
                  <c:v>9976</c:v>
                </c:pt>
                <c:pt idx="46">
                  <c:v>10062</c:v>
                </c:pt>
                <c:pt idx="47">
                  <c:v>10156</c:v>
                </c:pt>
                <c:pt idx="48">
                  <c:v>10237</c:v>
                </c:pt>
                <c:pt idx="49">
                  <c:v>10284</c:v>
                </c:pt>
                <c:pt idx="50">
                  <c:v>10331</c:v>
                </c:pt>
                <c:pt idx="51">
                  <c:v>10384</c:v>
                </c:pt>
                <c:pt idx="52">
                  <c:v>10423</c:v>
                </c:pt>
                <c:pt idx="53">
                  <c:v>10450</c:v>
                </c:pt>
                <c:pt idx="54">
                  <c:v>10480</c:v>
                </c:pt>
                <c:pt idx="55">
                  <c:v>10512</c:v>
                </c:pt>
                <c:pt idx="56">
                  <c:v>10537</c:v>
                </c:pt>
                <c:pt idx="57">
                  <c:v>10564</c:v>
                </c:pt>
                <c:pt idx="58">
                  <c:v>10591</c:v>
                </c:pt>
                <c:pt idx="59">
                  <c:v>10613</c:v>
                </c:pt>
                <c:pt idx="60">
                  <c:v>10635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2'!$E$55:$CR$55</c:f>
              <c:numCache>
                <c:formatCode>General</c:formatCode>
                <c:ptCount val="92"/>
                <c:pt idx="0">
                  <c:v>30</c:v>
                </c:pt>
                <c:pt idx="1">
                  <c:v>35.5</c:v>
                </c:pt>
                <c:pt idx="2">
                  <c:v>41</c:v>
                </c:pt>
                <c:pt idx="3">
                  <c:v>59</c:v>
                </c:pt>
                <c:pt idx="4">
                  <c:v>85.5</c:v>
                </c:pt>
                <c:pt idx="5">
                  <c:v>112</c:v>
                </c:pt>
                <c:pt idx="6">
                  <c:v>169</c:v>
                </c:pt>
                <c:pt idx="7">
                  <c:v>245</c:v>
                </c:pt>
                <c:pt idx="8">
                  <c:v>331</c:v>
                </c:pt>
                <c:pt idx="9">
                  <c:v>448</c:v>
                </c:pt>
                <c:pt idx="10">
                  <c:v>616.5</c:v>
                </c:pt>
                <c:pt idx="11">
                  <c:v>785</c:v>
                </c:pt>
                <c:pt idx="12">
                  <c:v>1020</c:v>
                </c:pt>
                <c:pt idx="13">
                  <c:v>1280</c:v>
                </c:pt>
                <c:pt idx="14">
                  <c:v>1600</c:v>
                </c:pt>
                <c:pt idx="15">
                  <c:v>2060</c:v>
                </c:pt>
                <c:pt idx="16">
                  <c:v>2362</c:v>
                </c:pt>
                <c:pt idx="17">
                  <c:v>2995</c:v>
                </c:pt>
                <c:pt idx="18">
                  <c:v>3544</c:v>
                </c:pt>
                <c:pt idx="19">
                  <c:v>4268</c:v>
                </c:pt>
                <c:pt idx="20">
                  <c:v>5170</c:v>
                </c:pt>
                <c:pt idx="21">
                  <c:v>5962</c:v>
                </c:pt>
                <c:pt idx="22">
                  <c:v>6408</c:v>
                </c:pt>
                <c:pt idx="23">
                  <c:v>7443</c:v>
                </c:pt>
                <c:pt idx="24">
                  <c:v>8251</c:v>
                </c:pt>
                <c:pt idx="25">
                  <c:v>9034</c:v>
                </c:pt>
                <c:pt idx="26">
                  <c:v>9886</c:v>
                </c:pt>
                <c:pt idx="27">
                  <c:v>10524</c:v>
                </c:pt>
                <c:pt idx="28">
                  <c:v>11278</c:v>
                </c:pt>
                <c:pt idx="29">
                  <c:v>11730</c:v>
                </c:pt>
                <c:pt idx="30">
                  <c:v>12442</c:v>
                </c:pt>
                <c:pt idx="31">
                  <c:v>13141</c:v>
                </c:pt>
                <c:pt idx="32">
                  <c:v>13956</c:v>
                </c:pt>
                <c:pt idx="33">
                  <c:v>15472</c:v>
                </c:pt>
                <c:pt idx="34">
                  <c:v>15987</c:v>
                </c:pt>
                <c:pt idx="35">
                  <c:v>16585</c:v>
                </c:pt>
                <c:pt idx="36">
                  <c:v>16934</c:v>
                </c:pt>
                <c:pt idx="37">
                  <c:v>17448</c:v>
                </c:pt>
                <c:pt idx="38">
                  <c:v>18091</c:v>
                </c:pt>
                <c:pt idx="39">
                  <c:v>18841</c:v>
                </c:pt>
                <c:pt idx="40">
                  <c:v>19022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2'!$E$56:$CR$56</c:f>
              <c:numCache>
                <c:formatCode>General</c:formatCode>
                <c:ptCount val="92"/>
                <c:pt idx="0">
                  <c:v>45</c:v>
                </c:pt>
                <c:pt idx="1">
                  <c:v>59</c:v>
                </c:pt>
                <c:pt idx="2">
                  <c:v>63</c:v>
                </c:pt>
                <c:pt idx="3">
                  <c:v>90</c:v>
                </c:pt>
                <c:pt idx="4">
                  <c:v>114</c:v>
                </c:pt>
                <c:pt idx="5">
                  <c:v>147</c:v>
                </c:pt>
                <c:pt idx="6">
                  <c:v>199</c:v>
                </c:pt>
                <c:pt idx="7">
                  <c:v>253</c:v>
                </c:pt>
                <c:pt idx="8">
                  <c:v>306</c:v>
                </c:pt>
                <c:pt idx="9">
                  <c:v>367</c:v>
                </c:pt>
                <c:pt idx="10">
                  <c:v>438</c:v>
                </c:pt>
                <c:pt idx="11">
                  <c:v>495</c:v>
                </c:pt>
                <c:pt idx="12">
                  <c:v>658</c:v>
                </c:pt>
                <c:pt idx="13">
                  <c:v>840</c:v>
                </c:pt>
                <c:pt idx="14">
                  <c:v>1036</c:v>
                </c:pt>
                <c:pt idx="15">
                  <c:v>1264</c:v>
                </c:pt>
                <c:pt idx="16">
                  <c:v>1534</c:v>
                </c:pt>
                <c:pt idx="17">
                  <c:v>1836</c:v>
                </c:pt>
                <c:pt idx="18">
                  <c:v>2337</c:v>
                </c:pt>
                <c:pt idx="19">
                  <c:v>2777</c:v>
                </c:pt>
                <c:pt idx="20">
                  <c:v>3548</c:v>
                </c:pt>
                <c:pt idx="21">
                  <c:v>4149</c:v>
                </c:pt>
                <c:pt idx="22">
                  <c:v>4731</c:v>
                </c:pt>
                <c:pt idx="23">
                  <c:v>5389</c:v>
                </c:pt>
                <c:pt idx="24">
                  <c:v>6343</c:v>
                </c:pt>
                <c:pt idx="25">
                  <c:v>7497</c:v>
                </c:pt>
                <c:pt idx="26">
                  <c:v>8672</c:v>
                </c:pt>
                <c:pt idx="27">
                  <c:v>10131</c:v>
                </c:pt>
                <c:pt idx="28">
                  <c:v>11917</c:v>
                </c:pt>
                <c:pt idx="29">
                  <c:v>13584</c:v>
                </c:pt>
                <c:pt idx="30">
                  <c:v>15770</c:v>
                </c:pt>
                <c:pt idx="31">
                  <c:v>18328</c:v>
                </c:pt>
                <c:pt idx="32">
                  <c:v>21102</c:v>
                </c:pt>
                <c:pt idx="33">
                  <c:v>24490</c:v>
                </c:pt>
                <c:pt idx="34">
                  <c:v>27938</c:v>
                </c:pt>
                <c:pt idx="35">
                  <c:v>32008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2'!$E$57:$CR$57</c:f>
              <c:numCache>
                <c:formatCode>General</c:formatCode>
                <c:ptCount val="92"/>
                <c:pt idx="0">
                  <c:v>30</c:v>
                </c:pt>
                <c:pt idx="1">
                  <c:v>33</c:v>
                </c:pt>
                <c:pt idx="2">
                  <c:v>40</c:v>
                </c:pt>
                <c:pt idx="3">
                  <c:v>45</c:v>
                </c:pt>
                <c:pt idx="4">
                  <c:v>47</c:v>
                </c:pt>
                <c:pt idx="5">
                  <c:v>50</c:v>
                </c:pt>
                <c:pt idx="6">
                  <c:v>58</c:v>
                </c:pt>
                <c:pt idx="7">
                  <c:v>67</c:v>
                </c:pt>
                <c:pt idx="8">
                  <c:v>72</c:v>
                </c:pt>
                <c:pt idx="9">
                  <c:v>75</c:v>
                </c:pt>
                <c:pt idx="10">
                  <c:v>77</c:v>
                </c:pt>
                <c:pt idx="11">
                  <c:v>81</c:v>
                </c:pt>
                <c:pt idx="12">
                  <c:v>84</c:v>
                </c:pt>
                <c:pt idx="13">
                  <c:v>84.5</c:v>
                </c:pt>
                <c:pt idx="14">
                  <c:v>85</c:v>
                </c:pt>
                <c:pt idx="15">
                  <c:v>87</c:v>
                </c:pt>
                <c:pt idx="16">
                  <c:v>89</c:v>
                </c:pt>
                <c:pt idx="17">
                  <c:v>90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99</c:v>
                </c:pt>
                <c:pt idx="22">
                  <c:v>102</c:v>
                </c:pt>
                <c:pt idx="23">
                  <c:v>106</c:v>
                </c:pt>
                <c:pt idx="24">
                  <c:v>108</c:v>
                </c:pt>
                <c:pt idx="25">
                  <c:v>110</c:v>
                </c:pt>
                <c:pt idx="26">
                  <c:v>113.5</c:v>
                </c:pt>
                <c:pt idx="27">
                  <c:v>117</c:v>
                </c:pt>
                <c:pt idx="28">
                  <c:v>130</c:v>
                </c:pt>
                <c:pt idx="29">
                  <c:v>138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178</c:v>
                </c:pt>
                <c:pt idx="34">
                  <c:v>189</c:v>
                </c:pt>
                <c:pt idx="35">
                  <c:v>200</c:v>
                </c:pt>
                <c:pt idx="36">
                  <c:v>212</c:v>
                </c:pt>
                <c:pt idx="37">
                  <c:v>226</c:v>
                </c:pt>
                <c:pt idx="38">
                  <c:v>243</c:v>
                </c:pt>
                <c:pt idx="39">
                  <c:v>266</c:v>
                </c:pt>
                <c:pt idx="40">
                  <c:v>313</c:v>
                </c:pt>
                <c:pt idx="41">
                  <c:v>345</c:v>
                </c:pt>
                <c:pt idx="42">
                  <c:v>385</c:v>
                </c:pt>
                <c:pt idx="43">
                  <c:v>432</c:v>
                </c:pt>
                <c:pt idx="44">
                  <c:v>455</c:v>
                </c:pt>
                <c:pt idx="45">
                  <c:v>509</c:v>
                </c:pt>
                <c:pt idx="46">
                  <c:v>558</c:v>
                </c:pt>
                <c:pt idx="47">
                  <c:v>631</c:v>
                </c:pt>
                <c:pt idx="48">
                  <c:v>683</c:v>
                </c:pt>
                <c:pt idx="49">
                  <c:v>732</c:v>
                </c:pt>
                <c:pt idx="50">
                  <c:v>802</c:v>
                </c:pt>
                <c:pt idx="51">
                  <c:v>844</c:v>
                </c:pt>
                <c:pt idx="52">
                  <c:v>879</c:v>
                </c:pt>
                <c:pt idx="53">
                  <c:v>926</c:v>
                </c:pt>
                <c:pt idx="54">
                  <c:v>1000</c:v>
                </c:pt>
                <c:pt idx="55">
                  <c:v>1049</c:v>
                </c:pt>
                <c:pt idx="56">
                  <c:v>1114</c:v>
                </c:pt>
                <c:pt idx="57">
                  <c:v>1189</c:v>
                </c:pt>
                <c:pt idx="58">
                  <c:v>1309</c:v>
                </c:pt>
                <c:pt idx="59">
                  <c:v>1375</c:v>
                </c:pt>
                <c:pt idx="60">
                  <c:v>1481</c:v>
                </c:pt>
                <c:pt idx="61">
                  <c:v>1623</c:v>
                </c:pt>
                <c:pt idx="62">
                  <c:v>1910</c:v>
                </c:pt>
                <c:pt idx="63">
                  <c:v>2108</c:v>
                </c:pt>
                <c:pt idx="64">
                  <c:v>2299</c:v>
                </c:pt>
                <c:pt idx="65">
                  <c:v>2532</c:v>
                </c:pt>
                <c:pt idx="66">
                  <c:v>2918</c:v>
                </c:pt>
                <c:pt idx="67">
                  <c:v>3252</c:v>
                </c:pt>
                <c:pt idx="68">
                  <c:v>3699</c:v>
                </c:pt>
                <c:pt idx="69">
                  <c:v>4427</c:v>
                </c:pt>
                <c:pt idx="70">
                  <c:v>5050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2'!$E$58:$CR$58</c:f>
              <c:numCache>
                <c:formatCode>General</c:formatCode>
                <c:ptCount val="92"/>
                <c:pt idx="0">
                  <c:v>32</c:v>
                </c:pt>
                <c:pt idx="1">
                  <c:v>45</c:v>
                </c:pt>
                <c:pt idx="2">
                  <c:v>84</c:v>
                </c:pt>
                <c:pt idx="3">
                  <c:v>120</c:v>
                </c:pt>
                <c:pt idx="4">
                  <c:v>165</c:v>
                </c:pt>
                <c:pt idx="5">
                  <c:v>222</c:v>
                </c:pt>
                <c:pt idx="6">
                  <c:v>259</c:v>
                </c:pt>
                <c:pt idx="7">
                  <c:v>400</c:v>
                </c:pt>
                <c:pt idx="8">
                  <c:v>500</c:v>
                </c:pt>
                <c:pt idx="9">
                  <c:v>673</c:v>
                </c:pt>
                <c:pt idx="10">
                  <c:v>1073</c:v>
                </c:pt>
                <c:pt idx="11">
                  <c:v>1695</c:v>
                </c:pt>
                <c:pt idx="12">
                  <c:v>2277</c:v>
                </c:pt>
                <c:pt idx="13">
                  <c:v>3754.5</c:v>
                </c:pt>
                <c:pt idx="14">
                  <c:v>5232</c:v>
                </c:pt>
                <c:pt idx="15">
                  <c:v>6391</c:v>
                </c:pt>
                <c:pt idx="16">
                  <c:v>7798</c:v>
                </c:pt>
                <c:pt idx="17">
                  <c:v>9942</c:v>
                </c:pt>
                <c:pt idx="18">
                  <c:v>11748</c:v>
                </c:pt>
                <c:pt idx="19">
                  <c:v>13910</c:v>
                </c:pt>
                <c:pt idx="20">
                  <c:v>17963</c:v>
                </c:pt>
                <c:pt idx="21">
                  <c:v>20410</c:v>
                </c:pt>
                <c:pt idx="22">
                  <c:v>25374</c:v>
                </c:pt>
                <c:pt idx="23">
                  <c:v>28768</c:v>
                </c:pt>
                <c:pt idx="24">
                  <c:v>35136</c:v>
                </c:pt>
                <c:pt idx="25">
                  <c:v>39885</c:v>
                </c:pt>
                <c:pt idx="26">
                  <c:v>49515</c:v>
                </c:pt>
                <c:pt idx="27">
                  <c:v>57786</c:v>
                </c:pt>
                <c:pt idx="28">
                  <c:v>65719</c:v>
                </c:pt>
                <c:pt idx="29">
                  <c:v>73235</c:v>
                </c:pt>
                <c:pt idx="30">
                  <c:v>80110</c:v>
                </c:pt>
                <c:pt idx="31">
                  <c:v>87956</c:v>
                </c:pt>
                <c:pt idx="32">
                  <c:v>95923</c:v>
                </c:pt>
                <c:pt idx="33">
                  <c:v>104118</c:v>
                </c:pt>
                <c:pt idx="34">
                  <c:v>112065</c:v>
                </c:pt>
                <c:pt idx="35">
                  <c:v>119199</c:v>
                </c:pt>
                <c:pt idx="36">
                  <c:v>126168</c:v>
                </c:pt>
                <c:pt idx="37">
                  <c:v>131646</c:v>
                </c:pt>
                <c:pt idx="38">
                  <c:v>136675</c:v>
                </c:pt>
                <c:pt idx="39">
                  <c:v>141942</c:v>
                </c:pt>
                <c:pt idx="40">
                  <c:v>148220</c:v>
                </c:pt>
                <c:pt idx="41">
                  <c:v>153222</c:v>
                </c:pt>
                <c:pt idx="42">
                  <c:v>158273</c:v>
                </c:pt>
                <c:pt idx="43">
                  <c:v>163027</c:v>
                </c:pt>
                <c:pt idx="44">
                  <c:v>166831</c:v>
                </c:pt>
                <c:pt idx="45">
                  <c:v>170099</c:v>
                </c:pt>
                <c:pt idx="46">
                  <c:v>172541</c:v>
                </c:pt>
                <c:pt idx="47">
                  <c:v>177644</c:v>
                </c:pt>
                <c:pt idx="48">
                  <c:v>184948</c:v>
                </c:pt>
                <c:pt idx="49">
                  <c:v>190839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2'!$E$59:$CR$59</c:f>
              <c:numCache>
                <c:formatCode>General</c:formatCode>
                <c:ptCount val="92"/>
                <c:pt idx="0">
                  <c:v>35</c:v>
                </c:pt>
                <c:pt idx="1">
                  <c:v>94</c:v>
                </c:pt>
                <c:pt idx="2">
                  <c:v>101</c:v>
                </c:pt>
                <c:pt idx="3">
                  <c:v>161</c:v>
                </c:pt>
                <c:pt idx="4">
                  <c:v>203</c:v>
                </c:pt>
                <c:pt idx="5">
                  <c:v>248</c:v>
                </c:pt>
                <c:pt idx="6">
                  <c:v>355</c:v>
                </c:pt>
                <c:pt idx="7">
                  <c:v>500</c:v>
                </c:pt>
                <c:pt idx="8">
                  <c:v>599</c:v>
                </c:pt>
                <c:pt idx="9">
                  <c:v>814</c:v>
                </c:pt>
                <c:pt idx="10">
                  <c:v>961</c:v>
                </c:pt>
                <c:pt idx="11">
                  <c:v>1022</c:v>
                </c:pt>
                <c:pt idx="12">
                  <c:v>1103</c:v>
                </c:pt>
                <c:pt idx="13">
                  <c:v>1190</c:v>
                </c:pt>
                <c:pt idx="14">
                  <c:v>1279</c:v>
                </c:pt>
                <c:pt idx="15">
                  <c:v>1439</c:v>
                </c:pt>
                <c:pt idx="16">
                  <c:v>1639</c:v>
                </c:pt>
                <c:pt idx="17">
                  <c:v>1763</c:v>
                </c:pt>
                <c:pt idx="18">
                  <c:v>1934</c:v>
                </c:pt>
                <c:pt idx="19">
                  <c:v>2046</c:v>
                </c:pt>
                <c:pt idx="20">
                  <c:v>2286</c:v>
                </c:pt>
                <c:pt idx="21">
                  <c:v>2526</c:v>
                </c:pt>
                <c:pt idx="22">
                  <c:v>2840</c:v>
                </c:pt>
                <c:pt idx="23">
                  <c:v>3069</c:v>
                </c:pt>
                <c:pt idx="24">
                  <c:v>3447</c:v>
                </c:pt>
                <c:pt idx="25">
                  <c:v>3700</c:v>
                </c:pt>
                <c:pt idx="26">
                  <c:v>4028</c:v>
                </c:pt>
                <c:pt idx="27">
                  <c:v>4435</c:v>
                </c:pt>
                <c:pt idx="28">
                  <c:v>4947</c:v>
                </c:pt>
                <c:pt idx="29">
                  <c:v>5568</c:v>
                </c:pt>
                <c:pt idx="30">
                  <c:v>6131</c:v>
                </c:pt>
                <c:pt idx="31">
                  <c:v>6443</c:v>
                </c:pt>
                <c:pt idx="32">
                  <c:v>6830</c:v>
                </c:pt>
                <c:pt idx="33">
                  <c:v>7206</c:v>
                </c:pt>
                <c:pt idx="34">
                  <c:v>7693</c:v>
                </c:pt>
                <c:pt idx="35">
                  <c:v>8419</c:v>
                </c:pt>
                <c:pt idx="36">
                  <c:v>9141</c:v>
                </c:pt>
                <c:pt idx="37">
                  <c:v>9685</c:v>
                </c:pt>
                <c:pt idx="38">
                  <c:v>10151</c:v>
                </c:pt>
                <c:pt idx="39">
                  <c:v>10483</c:v>
                </c:pt>
                <c:pt idx="40">
                  <c:v>10948</c:v>
                </c:pt>
                <c:pt idx="41">
                  <c:v>11445</c:v>
                </c:pt>
                <c:pt idx="42">
                  <c:v>11927</c:v>
                </c:pt>
                <c:pt idx="43">
                  <c:v>12540</c:v>
                </c:pt>
                <c:pt idx="44">
                  <c:v>13216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2'!$E$60:$CR$60</c:f>
              <c:numCache>
                <c:formatCode>General</c:formatCode>
                <c:ptCount val="92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2'!$E$61:$CR$61</c:f>
              <c:numCache>
                <c:formatCode>General</c:formatCode>
                <c:ptCount val="92"/>
                <c:pt idx="0">
                  <c:v>39</c:v>
                </c:pt>
                <c:pt idx="1">
                  <c:v>51</c:v>
                </c:pt>
                <c:pt idx="2">
                  <c:v>54</c:v>
                </c:pt>
                <c:pt idx="3">
                  <c:v>57</c:v>
                </c:pt>
                <c:pt idx="4">
                  <c:v>58</c:v>
                </c:pt>
                <c:pt idx="5">
                  <c:v>60</c:v>
                </c:pt>
                <c:pt idx="6">
                  <c:v>68</c:v>
                </c:pt>
                <c:pt idx="7">
                  <c:v>74</c:v>
                </c:pt>
                <c:pt idx="8">
                  <c:v>98</c:v>
                </c:pt>
                <c:pt idx="9">
                  <c:v>118</c:v>
                </c:pt>
                <c:pt idx="10">
                  <c:v>149</c:v>
                </c:pt>
                <c:pt idx="11">
                  <c:v>217</c:v>
                </c:pt>
                <c:pt idx="12">
                  <c:v>262</c:v>
                </c:pt>
                <c:pt idx="13">
                  <c:v>402</c:v>
                </c:pt>
                <c:pt idx="14">
                  <c:v>518</c:v>
                </c:pt>
                <c:pt idx="15">
                  <c:v>583</c:v>
                </c:pt>
                <c:pt idx="16">
                  <c:v>959</c:v>
                </c:pt>
                <c:pt idx="17">
                  <c:v>1281</c:v>
                </c:pt>
                <c:pt idx="18">
                  <c:v>1663</c:v>
                </c:pt>
                <c:pt idx="19">
                  <c:v>2179</c:v>
                </c:pt>
                <c:pt idx="20">
                  <c:v>2727</c:v>
                </c:pt>
                <c:pt idx="21">
                  <c:v>3499</c:v>
                </c:pt>
                <c:pt idx="22">
                  <c:v>4632</c:v>
                </c:pt>
                <c:pt idx="23">
                  <c:v>6421</c:v>
                </c:pt>
                <c:pt idx="24">
                  <c:v>7783</c:v>
                </c:pt>
                <c:pt idx="25">
                  <c:v>13747</c:v>
                </c:pt>
                <c:pt idx="26">
                  <c:v>19273</c:v>
                </c:pt>
                <c:pt idx="27">
                  <c:v>25600</c:v>
                </c:pt>
                <c:pt idx="28">
                  <c:v>33276</c:v>
                </c:pt>
                <c:pt idx="29">
                  <c:v>43843</c:v>
                </c:pt>
                <c:pt idx="30">
                  <c:v>53736</c:v>
                </c:pt>
                <c:pt idx="31">
                  <c:v>65778</c:v>
                </c:pt>
                <c:pt idx="32">
                  <c:v>83836</c:v>
                </c:pt>
                <c:pt idx="33">
                  <c:v>101657</c:v>
                </c:pt>
                <c:pt idx="34">
                  <c:v>121465</c:v>
                </c:pt>
                <c:pt idx="35">
                  <c:v>140909</c:v>
                </c:pt>
                <c:pt idx="36">
                  <c:v>161831</c:v>
                </c:pt>
                <c:pt idx="37">
                  <c:v>188172</c:v>
                </c:pt>
                <c:pt idx="38">
                  <c:v>213372</c:v>
                </c:pt>
                <c:pt idx="39">
                  <c:v>243762</c:v>
                </c:pt>
                <c:pt idx="40">
                  <c:v>275586</c:v>
                </c:pt>
                <c:pt idx="41">
                  <c:v>308853</c:v>
                </c:pt>
                <c:pt idx="42">
                  <c:v>337072</c:v>
                </c:pt>
                <c:pt idx="43">
                  <c:v>366667</c:v>
                </c:pt>
                <c:pt idx="44">
                  <c:v>396223</c:v>
                </c:pt>
                <c:pt idx="45">
                  <c:v>429052</c:v>
                </c:pt>
                <c:pt idx="46">
                  <c:v>461437</c:v>
                </c:pt>
                <c:pt idx="47">
                  <c:v>496535</c:v>
                </c:pt>
                <c:pt idx="48">
                  <c:v>526396</c:v>
                </c:pt>
                <c:pt idx="49">
                  <c:v>555313</c:v>
                </c:pt>
                <c:pt idx="50">
                  <c:v>580619</c:v>
                </c:pt>
                <c:pt idx="51">
                  <c:v>607670</c:v>
                </c:pt>
                <c:pt idx="52">
                  <c:v>636350</c:v>
                </c:pt>
                <c:pt idx="53">
                  <c:v>667801</c:v>
                </c:pt>
                <c:pt idx="54">
                  <c:v>699706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2'!$E$62:$CR$62</c:f>
              <c:numCache>
                <c:formatCode>General</c:formatCode>
                <c:ptCount val="92"/>
                <c:pt idx="0">
                  <c:v>36</c:v>
                </c:pt>
                <c:pt idx="1">
                  <c:v>40</c:v>
                </c:pt>
                <c:pt idx="2">
                  <c:v>51</c:v>
                </c:pt>
                <c:pt idx="3">
                  <c:v>85</c:v>
                </c:pt>
                <c:pt idx="4">
                  <c:v>115</c:v>
                </c:pt>
                <c:pt idx="5">
                  <c:v>163</c:v>
                </c:pt>
                <c:pt idx="6">
                  <c:v>206</c:v>
                </c:pt>
                <c:pt idx="7">
                  <c:v>273</c:v>
                </c:pt>
                <c:pt idx="8">
                  <c:v>321</c:v>
                </c:pt>
                <c:pt idx="9">
                  <c:v>382</c:v>
                </c:pt>
                <c:pt idx="10">
                  <c:v>456</c:v>
                </c:pt>
                <c:pt idx="11">
                  <c:v>627</c:v>
                </c:pt>
                <c:pt idx="12">
                  <c:v>798</c:v>
                </c:pt>
                <c:pt idx="13">
                  <c:v>1140</c:v>
                </c:pt>
                <c:pt idx="14">
                  <c:v>1341.5</c:v>
                </c:pt>
                <c:pt idx="15">
                  <c:v>1543</c:v>
                </c:pt>
                <c:pt idx="16">
                  <c:v>1950</c:v>
                </c:pt>
                <c:pt idx="17">
                  <c:v>2626</c:v>
                </c:pt>
                <c:pt idx="18">
                  <c:v>2689</c:v>
                </c:pt>
                <c:pt idx="19">
                  <c:v>3983</c:v>
                </c:pt>
                <c:pt idx="20">
                  <c:v>5018</c:v>
                </c:pt>
                <c:pt idx="21">
                  <c:v>5683</c:v>
                </c:pt>
                <c:pt idx="22">
                  <c:v>6650</c:v>
                </c:pt>
                <c:pt idx="23">
                  <c:v>8077</c:v>
                </c:pt>
                <c:pt idx="24">
                  <c:v>9529</c:v>
                </c:pt>
                <c:pt idx="25">
                  <c:v>11658</c:v>
                </c:pt>
                <c:pt idx="26">
                  <c:v>14543</c:v>
                </c:pt>
                <c:pt idx="27">
                  <c:v>17089</c:v>
                </c:pt>
                <c:pt idx="28">
                  <c:v>19522</c:v>
                </c:pt>
                <c:pt idx="29">
                  <c:v>22141</c:v>
                </c:pt>
                <c:pt idx="30">
                  <c:v>25150</c:v>
                </c:pt>
                <c:pt idx="31">
                  <c:v>29474</c:v>
                </c:pt>
                <c:pt idx="32">
                  <c:v>33718</c:v>
                </c:pt>
                <c:pt idx="33">
                  <c:v>38168</c:v>
                </c:pt>
                <c:pt idx="34">
                  <c:v>41903</c:v>
                </c:pt>
                <c:pt idx="35">
                  <c:v>47806</c:v>
                </c:pt>
                <c:pt idx="36">
                  <c:v>51608</c:v>
                </c:pt>
                <c:pt idx="37">
                  <c:v>55242</c:v>
                </c:pt>
                <c:pt idx="38">
                  <c:v>60733</c:v>
                </c:pt>
                <c:pt idx="39">
                  <c:v>65077</c:v>
                </c:pt>
                <c:pt idx="40">
                  <c:v>73758</c:v>
                </c:pt>
                <c:pt idx="41">
                  <c:v>78991</c:v>
                </c:pt>
                <c:pt idx="42">
                  <c:v>84279</c:v>
                </c:pt>
                <c:pt idx="43">
                  <c:v>88621</c:v>
                </c:pt>
                <c:pt idx="44">
                  <c:v>93873</c:v>
                </c:pt>
                <c:pt idx="45">
                  <c:v>98476</c:v>
                </c:pt>
                <c:pt idx="46">
                  <c:v>103093</c:v>
                </c:pt>
                <c:pt idx="47">
                  <c:v>108692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2'!$E$63:$CR$63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2'!$E$64:$CR$64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2'!$E$65:$CR$65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2'!$E$66:$CR$66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2'!$E$67:$CR$67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2'!$E$68:$CR$68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2'!$E$69:$CR$69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2'!$E$106:$BV$106</c:f>
              <c:numCache>
                <c:formatCode>#,##0.00</c:formatCode>
                <c:ptCount val="70"/>
                <c:pt idx="0">
                  <c:v>0.45523193623022218</c:v>
                </c:pt>
                <c:pt idx="1">
                  <c:v>0.61067698762590772</c:v>
                </c:pt>
                <c:pt idx="2">
                  <c:v>0.87715421858994025</c:v>
                </c:pt>
                <c:pt idx="3">
                  <c:v>1.1547346675108072</c:v>
                </c:pt>
                <c:pt idx="4">
                  <c:v>1.4545215523453439</c:v>
                </c:pt>
                <c:pt idx="5">
                  <c:v>2.0207856681439127</c:v>
                </c:pt>
                <c:pt idx="6">
                  <c:v>2.7313916173813326</c:v>
                </c:pt>
                <c:pt idx="7">
                  <c:v>3.3531718229640748</c:v>
                </c:pt>
                <c:pt idx="8">
                  <c:v>5.5960218502446812</c:v>
                </c:pt>
                <c:pt idx="9">
                  <c:v>7.2726077617267197</c:v>
                </c:pt>
                <c:pt idx="10">
                  <c:v>9.5487674428778302</c:v>
                </c:pt>
                <c:pt idx="11">
                  <c:v>11.30307588005771</c:v>
                </c:pt>
                <c:pt idx="12">
                  <c:v>14.789486318503801</c:v>
                </c:pt>
                <c:pt idx="13">
                  <c:v>18.275896756949894</c:v>
                </c:pt>
                <c:pt idx="14">
                  <c:v>22.350777747108221</c:v>
                </c:pt>
                <c:pt idx="15">
                  <c:v>26.514484480921233</c:v>
                </c:pt>
                <c:pt idx="16">
                  <c:v>31.244455330532805</c:v>
                </c:pt>
                <c:pt idx="17">
                  <c:v>39.771726721381846</c:v>
                </c:pt>
                <c:pt idx="18">
                  <c:v>49.675797138878387</c:v>
                </c:pt>
                <c:pt idx="19">
                  <c:v>58.658300465957645</c:v>
                </c:pt>
                <c:pt idx="20">
                  <c:v>62.04478194279222</c:v>
                </c:pt>
                <c:pt idx="21">
                  <c:v>76.712132863770847</c:v>
                </c:pt>
                <c:pt idx="22">
                  <c:v>85.01733989548319</c:v>
                </c:pt>
                <c:pt idx="23">
                  <c:v>91.834715720979688</c:v>
                </c:pt>
                <c:pt idx="24">
                  <c:v>97.575079404663228</c:v>
                </c:pt>
                <c:pt idx="25">
                  <c:v>106.79075030883601</c:v>
                </c:pt>
                <c:pt idx="26">
                  <c:v>113.03075880057709</c:v>
                </c:pt>
                <c:pt idx="27">
                  <c:v>118.9265675356563</c:v>
                </c:pt>
                <c:pt idx="28">
                  <c:v>123.56771264161323</c:v>
                </c:pt>
                <c:pt idx="29">
                  <c:v>127.95348373456292</c:v>
                </c:pt>
                <c:pt idx="30">
                  <c:v>130.80701074946944</c:v>
                </c:pt>
                <c:pt idx="31">
                  <c:v>133.80487959781482</c:v>
                </c:pt>
                <c:pt idx="32">
                  <c:v>136.53627121519614</c:v>
                </c:pt>
                <c:pt idx="33">
                  <c:v>140.3335717564336</c:v>
                </c:pt>
                <c:pt idx="34">
                  <c:v>143.69784679735452</c:v>
                </c:pt>
                <c:pt idx="35">
                  <c:v>147.05101862031859</c:v>
                </c:pt>
                <c:pt idx="36">
                  <c:v>150.50411940489417</c:v>
                </c:pt>
                <c:pt idx="37">
                  <c:v>153.29102711205965</c:v>
                </c:pt>
                <c:pt idx="38">
                  <c:v>154.83437440805969</c:v>
                </c:pt>
                <c:pt idx="39">
                  <c:v>155.9002833319158</c:v>
                </c:pt>
                <c:pt idx="40">
                  <c:v>157.95437865393023</c:v>
                </c:pt>
                <c:pt idx="41">
                  <c:v>159.17573262918205</c:v>
                </c:pt>
                <c:pt idx="42">
                  <c:v>160.7301831431389</c:v>
                </c:pt>
                <c:pt idx="43">
                  <c:v>162.05146608000223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2'!$E$107:$BV$107</c:f>
              <c:numCache>
                <c:formatCode>#,##0.00</c:formatCode>
                <c:ptCount val="70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3.7663002498010507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32.296132497148527</c:v>
                </c:pt>
                <c:pt idx="19">
                  <c:v>36.834675295305118</c:v>
                </c:pt>
                <c:pt idx="20">
                  <c:v>42.598452080796761</c:v>
                </c:pt>
                <c:pt idx="21">
                  <c:v>53.798126134042498</c:v>
                </c:pt>
                <c:pt idx="22">
                  <c:v>62.849326505271137</c:v>
                </c:pt>
                <c:pt idx="23">
                  <c:v>78.811881974072847</c:v>
                </c:pt>
                <c:pt idx="24">
                  <c:v>93.497433005370411</c:v>
                </c:pt>
                <c:pt idx="25">
                  <c:v>102.66943109366025</c:v>
                </c:pt>
                <c:pt idx="26">
                  <c:v>110.2279168183469</c:v>
                </c:pt>
                <c:pt idx="27">
                  <c:v>120.48709436018756</c:v>
                </c:pt>
                <c:pt idx="28">
                  <c:v>132.42881153252353</c:v>
                </c:pt>
                <c:pt idx="29">
                  <c:v>144.69840822259704</c:v>
                </c:pt>
                <c:pt idx="30">
                  <c:v>159.03019451107252</c:v>
                </c:pt>
                <c:pt idx="31">
                  <c:v>169.90198904658072</c:v>
                </c:pt>
                <c:pt idx="32">
                  <c:v>179.59169163656142</c:v>
                </c:pt>
                <c:pt idx="33">
                  <c:v>191.49889517545137</c:v>
                </c:pt>
                <c:pt idx="34">
                  <c:v>201.93064088452232</c:v>
                </c:pt>
                <c:pt idx="35">
                  <c:v>215.56352609571513</c:v>
                </c:pt>
                <c:pt idx="36">
                  <c:v>230.09376577650542</c:v>
                </c:pt>
                <c:pt idx="37">
                  <c:v>241.75074547291143</c:v>
                </c:pt>
                <c:pt idx="38">
                  <c:v>255.80642269381843</c:v>
                </c:pt>
                <c:pt idx="39">
                  <c:v>263.93438337036503</c:v>
                </c:pt>
                <c:pt idx="40">
                  <c:v>268.50743980196768</c:v>
                </c:pt>
                <c:pt idx="41">
                  <c:v>289.68155392112408</c:v>
                </c:pt>
                <c:pt idx="42">
                  <c:v>300.34626665595596</c:v>
                </c:pt>
                <c:pt idx="43">
                  <c:v>311.81342136840863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2'!$E$108:$BV$108</c:f>
              <c:numCache>
                <c:formatCode>#,##0.00</c:formatCode>
                <c:ptCount val="70"/>
                <c:pt idx="0">
                  <c:v>7.9486719279456081E-2</c:v>
                </c:pt>
                <c:pt idx="1">
                  <c:v>8.743539120740168E-2</c:v>
                </c:pt>
                <c:pt idx="2">
                  <c:v>9.8033620444662475E-2</c:v>
                </c:pt>
                <c:pt idx="3">
                  <c:v>0.12982830815644492</c:v>
                </c:pt>
                <c:pt idx="4">
                  <c:v>0.14307609470302093</c:v>
                </c:pt>
                <c:pt idx="5">
                  <c:v>0.16957166779617294</c:v>
                </c:pt>
                <c:pt idx="6">
                  <c:v>0.20401591281727058</c:v>
                </c:pt>
                <c:pt idx="7">
                  <c:v>0.20931502743590097</c:v>
                </c:pt>
                <c:pt idx="8">
                  <c:v>0.28615218940604187</c:v>
                </c:pt>
                <c:pt idx="9">
                  <c:v>0.30999820518987869</c:v>
                </c:pt>
                <c:pt idx="10">
                  <c:v>0.50606544607920356</c:v>
                </c:pt>
                <c:pt idx="11">
                  <c:v>0.51931323262577966</c:v>
                </c:pt>
                <c:pt idx="12">
                  <c:v>0.66238932732880051</c:v>
                </c:pt>
                <c:pt idx="13">
                  <c:v>1.0942671687471786</c:v>
                </c:pt>
                <c:pt idx="14">
                  <c:v>1.2452919353781451</c:v>
                </c:pt>
                <c:pt idx="15">
                  <c:v>1.7169131364362511</c:v>
                </c:pt>
                <c:pt idx="16">
                  <c:v>2.0957998316683248</c:v>
                </c:pt>
                <c:pt idx="17">
                  <c:v>2.472036969591084</c:v>
                </c:pt>
                <c:pt idx="18">
                  <c:v>3.3569891109023611</c:v>
                </c:pt>
                <c:pt idx="19">
                  <c:v>3.8577554423629348</c:v>
                </c:pt>
                <c:pt idx="20">
                  <c:v>5.4978314168290447</c:v>
                </c:pt>
                <c:pt idx="21">
                  <c:v>7.3578206479683166</c:v>
                </c:pt>
                <c:pt idx="22">
                  <c:v>8.579266567562625</c:v>
                </c:pt>
                <c:pt idx="23">
                  <c:v>10.67506639923095</c:v>
                </c:pt>
                <c:pt idx="24">
                  <c:v>12.370783077192678</c:v>
                </c:pt>
                <c:pt idx="25">
                  <c:v>14.739487311720469</c:v>
                </c:pt>
                <c:pt idx="26">
                  <c:v>16.604775657478374</c:v>
                </c:pt>
                <c:pt idx="27">
                  <c:v>19.566980729292769</c:v>
                </c:pt>
                <c:pt idx="28">
                  <c:v>22.558330931509634</c:v>
                </c:pt>
                <c:pt idx="29">
                  <c:v>25.295323632032236</c:v>
                </c:pt>
                <c:pt idx="30">
                  <c:v>29.863160433291643</c:v>
                </c:pt>
                <c:pt idx="31">
                  <c:v>32.918100010932079</c:v>
                </c:pt>
                <c:pt idx="32">
                  <c:v>34.351510515271599</c:v>
                </c:pt>
                <c:pt idx="33">
                  <c:v>41.711980720549228</c:v>
                </c:pt>
                <c:pt idx="34">
                  <c:v>43.850173469166599</c:v>
                </c:pt>
                <c:pt idx="35">
                  <c:v>47.318443987060199</c:v>
                </c:pt>
                <c:pt idx="36">
                  <c:v>50.680732212581191</c:v>
                </c:pt>
                <c:pt idx="37">
                  <c:v>54.689512421575088</c:v>
                </c:pt>
                <c:pt idx="38">
                  <c:v>58.412140441162947</c:v>
                </c:pt>
                <c:pt idx="39">
                  <c:v>61.742633978972158</c:v>
                </c:pt>
                <c:pt idx="40">
                  <c:v>64.347148814029012</c:v>
                </c:pt>
                <c:pt idx="41">
                  <c:v>68.006187458193295</c:v>
                </c:pt>
                <c:pt idx="42">
                  <c:v>71.596337612315395</c:v>
                </c:pt>
                <c:pt idx="43">
                  <c:v>74.706917893451433</c:v>
                </c:pt>
                <c:pt idx="44">
                  <c:v>81.59576689767097</c:v>
                </c:pt>
                <c:pt idx="45">
                  <c:v>86.908129302847954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2'!$E$109:$BV$109</c:f>
              <c:numCache>
                <c:formatCode>#,##0.00</c:formatCode>
                <c:ptCount val="70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5.6819738104569462</c:v>
                </c:pt>
                <c:pt idx="65">
                  <c:v>5.6899636736077932</c:v>
                </c:pt>
                <c:pt idx="66">
                  <c:v>5.6970503348372397</c:v>
                </c:pt>
                <c:pt idx="67">
                  <c:v>5.7055960145551019</c:v>
                </c:pt>
                <c:pt idx="68">
                  <c:v>5.7108762719417481</c:v>
                </c:pt>
                <c:pt idx="69">
                  <c:v>5.7165039146827796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2'!$E$110:$BV$110</c:f>
              <c:numCache>
                <c:formatCode>#,##0.00</c:formatCode>
                <c:ptCount val="70"/>
                <c:pt idx="0">
                  <c:v>0.54144587707012803</c:v>
                </c:pt>
                <c:pt idx="1">
                  <c:v>0.72192783609350408</c:v>
                </c:pt>
                <c:pt idx="2">
                  <c:v>1.0648435582379185</c:v>
                </c:pt>
                <c:pt idx="3">
                  <c:v>1.9311569615501234</c:v>
                </c:pt>
                <c:pt idx="4">
                  <c:v>2.797470364862328</c:v>
                </c:pt>
                <c:pt idx="5">
                  <c:v>4.0608440780259603</c:v>
                </c:pt>
                <c:pt idx="6">
                  <c:v>4.4037598001703753</c:v>
                </c:pt>
                <c:pt idx="7">
                  <c:v>4.9993502649475161</c:v>
                </c:pt>
                <c:pt idx="8">
                  <c:v>5.79347088465037</c:v>
                </c:pt>
                <c:pt idx="9">
                  <c:v>6.064193823185434</c:v>
                </c:pt>
                <c:pt idx="10">
                  <c:v>7.2192783609350411</c:v>
                </c:pt>
                <c:pt idx="11">
                  <c:v>8.1216881560519205</c:v>
                </c:pt>
                <c:pt idx="12">
                  <c:v>9.439206456922566</c:v>
                </c:pt>
                <c:pt idx="13">
                  <c:v>11.29817063486334</c:v>
                </c:pt>
                <c:pt idx="14">
                  <c:v>12.633737131636323</c:v>
                </c:pt>
                <c:pt idx="15">
                  <c:v>14.294171154651382</c:v>
                </c:pt>
                <c:pt idx="16">
                  <c:v>15.88241239405709</c:v>
                </c:pt>
                <c:pt idx="17">
                  <c:v>17.290171674439424</c:v>
                </c:pt>
                <c:pt idx="18">
                  <c:v>18.788171934333445</c:v>
                </c:pt>
                <c:pt idx="19">
                  <c:v>21.062244618027982</c:v>
                </c:pt>
                <c:pt idx="20">
                  <c:v>22.379762918898624</c:v>
                </c:pt>
                <c:pt idx="21">
                  <c:v>24.401160859960438</c:v>
                </c:pt>
                <c:pt idx="22">
                  <c:v>25.592341789514723</c:v>
                </c:pt>
                <c:pt idx="23">
                  <c:v>26.097691274780171</c:v>
                </c:pt>
                <c:pt idx="24">
                  <c:v>27.397161379748482</c:v>
                </c:pt>
                <c:pt idx="25">
                  <c:v>29.147836382275226</c:v>
                </c:pt>
                <c:pt idx="26">
                  <c:v>33.966704688199364</c:v>
                </c:pt>
                <c:pt idx="27">
                  <c:v>34.778873503804562</c:v>
                </c:pt>
                <c:pt idx="28">
                  <c:v>39.272874283486622</c:v>
                </c:pt>
                <c:pt idx="29">
                  <c:v>41.655236142595186</c:v>
                </c:pt>
                <c:pt idx="30">
                  <c:v>44.885863209113616</c:v>
                </c:pt>
                <c:pt idx="31">
                  <c:v>47.015550325589452</c:v>
                </c:pt>
                <c:pt idx="32">
                  <c:v>49.975454453572816</c:v>
                </c:pt>
                <c:pt idx="33">
                  <c:v>52.430009096290732</c:v>
                </c:pt>
                <c:pt idx="34">
                  <c:v>53.675334613552025</c:v>
                </c:pt>
                <c:pt idx="35">
                  <c:v>55.299672244762412</c:v>
                </c:pt>
                <c:pt idx="36">
                  <c:v>57.05034724728916</c:v>
                </c:pt>
                <c:pt idx="37">
                  <c:v>58.42201013586682</c:v>
                </c:pt>
                <c:pt idx="38">
                  <c:v>60.804371994975384</c:v>
                </c:pt>
                <c:pt idx="39">
                  <c:v>62.970155503255896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2'!$E$111:$BV$111</c:f>
              <c:numCache>
                <c:formatCode>#,##0.00</c:formatCode>
                <c:ptCount val="70"/>
                <c:pt idx="0">
                  <c:v>5.8216571190723904E-2</c:v>
                </c:pt>
                <c:pt idx="1">
                  <c:v>8.7324856786085855E-2</c:v>
                </c:pt>
                <c:pt idx="2">
                  <c:v>0.15320150313348396</c:v>
                </c:pt>
                <c:pt idx="3">
                  <c:v>0.19916195407352913</c:v>
                </c:pt>
                <c:pt idx="4">
                  <c:v>0.29261487098495437</c:v>
                </c:pt>
                <c:pt idx="5">
                  <c:v>0.31253106639230732</c:v>
                </c:pt>
                <c:pt idx="6">
                  <c:v>0.43662428393042929</c:v>
                </c:pt>
                <c:pt idx="7">
                  <c:v>0.57756966681323452</c:v>
                </c:pt>
                <c:pt idx="8">
                  <c:v>1.0004058154616502</c:v>
                </c:pt>
                <c:pt idx="9">
                  <c:v>1.4538822647367629</c:v>
                </c:pt>
                <c:pt idx="10">
                  <c:v>1.7250489252830294</c:v>
                </c:pt>
                <c:pt idx="11">
                  <c:v>1.8522061728838211</c:v>
                </c:pt>
                <c:pt idx="12">
                  <c:v>2.7331148159013541</c:v>
                </c:pt>
                <c:pt idx="13">
                  <c:v>3.4945262864747693</c:v>
                </c:pt>
                <c:pt idx="14">
                  <c:v>4.5516166580958082</c:v>
                </c:pt>
                <c:pt idx="15">
                  <c:v>5.6087070297168475</c:v>
                </c:pt>
                <c:pt idx="16">
                  <c:v>6.8465751750353983</c:v>
                </c:pt>
                <c:pt idx="17">
                  <c:v>6.8925356259754436</c:v>
                </c:pt>
                <c:pt idx="18">
                  <c:v>10.16185570284399</c:v>
                </c:pt>
                <c:pt idx="19">
                  <c:v>11.722979019774193</c:v>
                </c:pt>
                <c:pt idx="20">
                  <c:v>13.854011928360956</c:v>
                </c:pt>
                <c:pt idx="21">
                  <c:v>16.654535405641042</c:v>
                </c:pt>
                <c:pt idx="22">
                  <c:v>19.321773575194999</c:v>
                </c:pt>
                <c:pt idx="23">
                  <c:v>21.880238677524179</c:v>
                </c:pt>
                <c:pt idx="24">
                  <c:v>24.539816771921462</c:v>
                </c:pt>
                <c:pt idx="25">
                  <c:v>30.419690462184576</c:v>
                </c:pt>
                <c:pt idx="26">
                  <c:v>34.170063258892263</c:v>
                </c:pt>
                <c:pt idx="27">
                  <c:v>38.657335285672012</c:v>
                </c:pt>
                <c:pt idx="28">
                  <c:v>44.665898238567252</c:v>
                </c:pt>
                <c:pt idx="29">
                  <c:v>50.501343492921656</c:v>
                </c:pt>
                <c:pt idx="30">
                  <c:v>57.565464802406602</c:v>
                </c:pt>
                <c:pt idx="31">
                  <c:v>61.547171868845851</c:v>
                </c:pt>
                <c:pt idx="32">
                  <c:v>68.251269645967113</c:v>
                </c:pt>
                <c:pt idx="33">
                  <c:v>79.860879553422521</c:v>
                </c:pt>
                <c:pt idx="34">
                  <c:v>87.308004620741173</c:v>
                </c:pt>
                <c:pt idx="35">
                  <c:v>90.549748427045699</c:v>
                </c:pt>
                <c:pt idx="36">
                  <c:v>98.566783086020919</c:v>
                </c:pt>
                <c:pt idx="37">
                  <c:v>105.10389122472667</c:v>
                </c:pt>
                <c:pt idx="38">
                  <c:v>107.97335537841683</c:v>
                </c:pt>
                <c:pt idx="39">
                  <c:v>113.96659818099873</c:v>
                </c:pt>
                <c:pt idx="40">
                  <c:v>119.75301895435042</c:v>
                </c:pt>
                <c:pt idx="41">
                  <c:v>125.69876929096093</c:v>
                </c:pt>
                <c:pt idx="42">
                  <c:v>132.26498571526204</c:v>
                </c:pt>
                <c:pt idx="43">
                  <c:v>138.91699498131794</c:v>
                </c:pt>
                <c:pt idx="44">
                  <c:v>143.6876897888946</c:v>
                </c:pt>
                <c:pt idx="45">
                  <c:v>184.81156927501573</c:v>
                </c:pt>
                <c:pt idx="46">
                  <c:v>190.42640436485792</c:v>
                </c:pt>
                <c:pt idx="47">
                  <c:v>199.54955387645688</c:v>
                </c:pt>
                <c:pt idx="48">
                  <c:v>204.47804623226102</c:v>
                </c:pt>
                <c:pt idx="49">
                  <c:v>223.61291397363317</c:v>
                </c:pt>
                <c:pt idx="50">
                  <c:v>226.69073217158487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2'!$E$112:$BV$112</c:f>
              <c:numCache>
                <c:formatCode>#,##0.00</c:formatCode>
                <c:ptCount val="70"/>
                <c:pt idx="0">
                  <c:v>5.4903122128104213E-2</c:v>
                </c:pt>
                <c:pt idx="1">
                  <c:v>5.7290214394543529E-2</c:v>
                </c:pt>
                <c:pt idx="2">
                  <c:v>9.4290144524352887E-2</c:v>
                </c:pt>
                <c:pt idx="3">
                  <c:v>0.1551609973185554</c:v>
                </c:pt>
                <c:pt idx="4">
                  <c:v>0.18977383518192542</c:v>
                </c:pt>
                <c:pt idx="5">
                  <c:v>0.23393504211105273</c:v>
                </c:pt>
                <c:pt idx="6">
                  <c:v>0.31270908690355009</c:v>
                </c:pt>
                <c:pt idx="7">
                  <c:v>0.57528923621187456</c:v>
                </c:pt>
                <c:pt idx="8">
                  <c:v>0.79967590925717014</c:v>
                </c:pt>
                <c:pt idx="9">
                  <c:v>0.95364336044250586</c:v>
                </c:pt>
                <c:pt idx="10">
                  <c:v>1.2412879785484432</c:v>
                </c:pt>
                <c:pt idx="11">
                  <c:v>1.4036102526663163</c:v>
                </c:pt>
                <c:pt idx="12">
                  <c:v>1.73899671610104</c:v>
                </c:pt>
                <c:pt idx="13">
                  <c:v>2.2772860221831053</c:v>
                </c:pt>
                <c:pt idx="14">
                  <c:v>2.4801888648304469</c:v>
                </c:pt>
                <c:pt idx="15">
                  <c:v>4.3862820395822393</c:v>
                </c:pt>
                <c:pt idx="16">
                  <c:v>5.472409020812127</c:v>
                </c:pt>
                <c:pt idx="17">
                  <c:v>6.9165998420079111</c:v>
                </c:pt>
                <c:pt idx="18">
                  <c:v>8.6794674807733436</c:v>
                </c:pt>
                <c:pt idx="19">
                  <c:v>11.048656555214363</c:v>
                </c:pt>
                <c:pt idx="20">
                  <c:v>14.712843184198709</c:v>
                </c:pt>
                <c:pt idx="21">
                  <c:v>18.285126760925142</c:v>
                </c:pt>
                <c:pt idx="22">
                  <c:v>23.689503652143749</c:v>
                </c:pt>
                <c:pt idx="23">
                  <c:v>26.512240257208234</c:v>
                </c:pt>
                <c:pt idx="24">
                  <c:v>29.687072971572526</c:v>
                </c:pt>
                <c:pt idx="25">
                  <c:v>34.679676446830349</c:v>
                </c:pt>
                <c:pt idx="26">
                  <c:v>39.370312750383604</c:v>
                </c:pt>
                <c:pt idx="27">
                  <c:v>44.546722330157252</c:v>
                </c:pt>
                <c:pt idx="28">
                  <c:v>52.442030001405286</c:v>
                </c:pt>
                <c:pt idx="29">
                  <c:v>60.716885343017161</c:v>
                </c:pt>
                <c:pt idx="30">
                  <c:v>68.861644156108099</c:v>
                </c:pt>
                <c:pt idx="31">
                  <c:v>74.113247142274588</c:v>
                </c:pt>
                <c:pt idx="32">
                  <c:v>79.830333120396745</c:v>
                </c:pt>
                <c:pt idx="33">
                  <c:v>85.706160734237116</c:v>
                </c:pt>
                <c:pt idx="34">
                  <c:v>92.943824486081112</c:v>
                </c:pt>
                <c:pt idx="35">
                  <c:v>101.20555082022759</c:v>
                </c:pt>
                <c:pt idx="36">
                  <c:v>108.80247195817068</c:v>
                </c:pt>
                <c:pt idx="37">
                  <c:v>114.69023503334326</c:v>
                </c:pt>
                <c:pt idx="38">
                  <c:v>119.5014194963517</c:v>
                </c:pt>
                <c:pt idx="39">
                  <c:v>123.38163797544881</c:v>
                </c:pt>
                <c:pt idx="40">
                  <c:v>128.5007573408279</c:v>
                </c:pt>
                <c:pt idx="41">
                  <c:v>135.22400270925425</c:v>
                </c:pt>
                <c:pt idx="42">
                  <c:v>141.05447557003225</c:v>
                </c:pt>
                <c:pt idx="43">
                  <c:v>145.81672464157867</c:v>
                </c:pt>
                <c:pt idx="44">
                  <c:v>149.08346040820089</c:v>
                </c:pt>
                <c:pt idx="45">
                  <c:v>152.59964731666602</c:v>
                </c:pt>
                <c:pt idx="46">
                  <c:v>155.24693264014721</c:v>
                </c:pt>
                <c:pt idx="47">
                  <c:v>156.7830265136009</c:v>
                </c:pt>
                <c:pt idx="48">
                  <c:v>160.83392208974843</c:v>
                </c:pt>
                <c:pt idx="49">
                  <c:v>164.34891545208029</c:v>
                </c:pt>
                <c:pt idx="50">
                  <c:v>168.76384259885981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2'!$E$113:$BV$113</c:f>
              <c:numCache>
                <c:formatCode>#,##0.00</c:formatCode>
                <c:ptCount val="70"/>
                <c:pt idx="0">
                  <c:v>2.1739061358127497E-3</c:v>
                </c:pt>
                <c:pt idx="1">
                  <c:v>2.2463696736731743E-3</c:v>
                </c:pt>
                <c:pt idx="2">
                  <c:v>2.4637602872544496E-3</c:v>
                </c:pt>
                <c:pt idx="3">
                  <c:v>2.8260779765565745E-3</c:v>
                </c:pt>
                <c:pt idx="4">
                  <c:v>3.1159321279982744E-3</c:v>
                </c:pt>
                <c:pt idx="5">
                  <c:v>4.0579581201837991E-3</c:v>
                </c:pt>
                <c:pt idx="6">
                  <c:v>4.4927393473463487E-3</c:v>
                </c:pt>
                <c:pt idx="7">
                  <c:v>5.2898382638110241E-3</c:v>
                </c:pt>
                <c:pt idx="8">
                  <c:v>5.9420101045548493E-3</c:v>
                </c:pt>
                <c:pt idx="9">
                  <c:v>7.3912808617633491E-3</c:v>
                </c:pt>
                <c:pt idx="10">
                  <c:v>8.1883797782280245E-3</c:v>
                </c:pt>
                <c:pt idx="11">
                  <c:v>8.6231610053905741E-3</c:v>
                </c:pt>
                <c:pt idx="12">
                  <c:v>1.028982237618035E-2</c:v>
                </c:pt>
                <c:pt idx="13">
                  <c:v>1.1304311906226298E-2</c:v>
                </c:pt>
                <c:pt idx="14">
                  <c:v>1.4057926344922448E-2</c:v>
                </c:pt>
                <c:pt idx="15">
                  <c:v>1.7681103237943696E-2</c:v>
                </c:pt>
                <c:pt idx="16">
                  <c:v>2.3912967493940247E-2</c:v>
                </c:pt>
                <c:pt idx="17">
                  <c:v>2.8695560992728294E-2</c:v>
                </c:pt>
                <c:pt idx="18">
                  <c:v>3.6159305392352063E-2</c:v>
                </c:pt>
                <c:pt idx="19">
                  <c:v>3.8840456293187796E-2</c:v>
                </c:pt>
                <c:pt idx="20">
                  <c:v>4.7608544374299219E-2</c:v>
                </c:pt>
                <c:pt idx="21">
                  <c:v>5.2680992024528972E-2</c:v>
                </c:pt>
                <c:pt idx="22">
                  <c:v>6.4275158082196956E-2</c:v>
                </c:pt>
                <c:pt idx="23">
                  <c:v>7.1521511868239462E-2</c:v>
                </c:pt>
                <c:pt idx="24">
                  <c:v>7.4202662769075181E-2</c:v>
                </c:pt>
                <c:pt idx="25">
                  <c:v>9.0651885863391665E-2</c:v>
                </c:pt>
                <c:pt idx="26">
                  <c:v>0.10123156239101372</c:v>
                </c:pt>
                <c:pt idx="27">
                  <c:v>0.14478214864512912</c:v>
                </c:pt>
                <c:pt idx="28">
                  <c:v>0.18427477677906073</c:v>
                </c:pt>
                <c:pt idx="29">
                  <c:v>0.18601390168771095</c:v>
                </c:pt>
                <c:pt idx="30">
                  <c:v>0.22333262368582982</c:v>
                </c:pt>
                <c:pt idx="31">
                  <c:v>0.25999917384320487</c:v>
                </c:pt>
                <c:pt idx="32">
                  <c:v>0.34623078389711059</c:v>
                </c:pt>
                <c:pt idx="33">
                  <c:v>0.38485384957671714</c:v>
                </c:pt>
                <c:pt idx="34">
                  <c:v>0.42869428998227421</c:v>
                </c:pt>
                <c:pt idx="35">
                  <c:v>0.48731729211135799</c:v>
                </c:pt>
                <c:pt idx="36">
                  <c:v>0.55057796066350906</c:v>
                </c:pt>
                <c:pt idx="37">
                  <c:v>0.61202704076914949</c:v>
                </c:pt>
                <c:pt idx="38">
                  <c:v>0.66702686600521199</c:v>
                </c:pt>
                <c:pt idx="39">
                  <c:v>0.75746136125502239</c:v>
                </c:pt>
                <c:pt idx="40">
                  <c:v>0.83238865940270179</c:v>
                </c:pt>
                <c:pt idx="41">
                  <c:v>0.89289571351615671</c:v>
                </c:pt>
                <c:pt idx="42">
                  <c:v>0.97318531346550763</c:v>
                </c:pt>
                <c:pt idx="43">
                  <c:v>1.0399966953728195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2'!$E$114:$BV$114</c:f>
              <c:numCache>
                <c:formatCode>#,##0.00</c:formatCode>
                <c:ptCount val="70"/>
                <c:pt idx="0">
                  <c:v>5.1194773504142588E-2</c:v>
                </c:pt>
                <c:pt idx="1">
                  <c:v>7.2625143808202286E-2</c:v>
                </c:pt>
                <c:pt idx="2">
                  <c:v>0.11310473216031502</c:v>
                </c:pt>
                <c:pt idx="3">
                  <c:v>0.16549008179246094</c:v>
                </c:pt>
                <c:pt idx="4">
                  <c:v>0.29169115136081247</c:v>
                </c:pt>
                <c:pt idx="5">
                  <c:v>0.46194353766528667</c:v>
                </c:pt>
                <c:pt idx="6">
                  <c:v>0.70601164390596649</c:v>
                </c:pt>
                <c:pt idx="7">
                  <c:v>1.1643834531872432</c:v>
                </c:pt>
                <c:pt idx="8">
                  <c:v>1.7870547681329776</c:v>
                </c:pt>
                <c:pt idx="9">
                  <c:v>2.7811858350157461</c:v>
                </c:pt>
                <c:pt idx="10">
                  <c:v>3.4788634460256893</c:v>
                </c:pt>
                <c:pt idx="11">
                  <c:v>4.1824939376756491</c:v>
                </c:pt>
                <c:pt idx="12">
                  <c:v>5.6516648796317419</c:v>
                </c:pt>
                <c:pt idx="13">
                  <c:v>6.9327247933633096</c:v>
                </c:pt>
                <c:pt idx="14">
                  <c:v>7.8173228564697741</c:v>
                </c:pt>
                <c:pt idx="15">
                  <c:v>8.5257156526317459</c:v>
                </c:pt>
                <c:pt idx="16">
                  <c:v>9.574613221402668</c:v>
                </c:pt>
                <c:pt idx="17">
                  <c:v>10.715185152029845</c:v>
                </c:pt>
                <c:pt idx="18">
                  <c:v>11.995054489633409</c:v>
                </c:pt>
                <c:pt idx="19">
                  <c:v>13.529707118629684</c:v>
                </c:pt>
                <c:pt idx="20">
                  <c:v>15.15484353335421</c:v>
                </c:pt>
                <c:pt idx="21">
                  <c:v>16.594250072110221</c:v>
                </c:pt>
                <c:pt idx="22">
                  <c:v>17.847926734897712</c:v>
                </c:pt>
                <c:pt idx="23">
                  <c:v>19.250425413685615</c:v>
                </c:pt>
                <c:pt idx="24">
                  <c:v>20.669592158265573</c:v>
                </c:pt>
                <c:pt idx="25">
                  <c:v>21.914934788157041</c:v>
                </c:pt>
                <c:pt idx="26">
                  <c:v>23.387677458497141</c:v>
                </c:pt>
                <c:pt idx="27">
                  <c:v>24.537773998148346</c:v>
                </c:pt>
                <c:pt idx="28">
                  <c:v>25.761686257735754</c:v>
                </c:pt>
                <c:pt idx="29">
                  <c:v>27.441589174348429</c:v>
                </c:pt>
                <c:pt idx="30">
                  <c:v>29.539384311890274</c:v>
                </c:pt>
                <c:pt idx="31">
                  <c:v>32.165795250265589</c:v>
                </c:pt>
                <c:pt idx="32">
                  <c:v>35.010081620065513</c:v>
                </c:pt>
                <c:pt idx="33">
                  <c:v>38.493707370603218</c:v>
                </c:pt>
                <c:pt idx="34">
                  <c:v>42.155919540341415</c:v>
                </c:pt>
                <c:pt idx="35">
                  <c:v>45.609780887679037</c:v>
                </c:pt>
                <c:pt idx="36">
                  <c:v>49.402956431497607</c:v>
                </c:pt>
                <c:pt idx="37">
                  <c:v>53.10564818958791</c:v>
                </c:pt>
                <c:pt idx="38">
                  <c:v>56.663089660061821</c:v>
                </c:pt>
                <c:pt idx="39">
                  <c:v>60.085996028071357</c:v>
                </c:pt>
                <c:pt idx="40">
                  <c:v>63.318410215600359</c:v>
                </c:pt>
                <c:pt idx="41">
                  <c:v>66.366285103288845</c:v>
                </c:pt>
                <c:pt idx="42">
                  <c:v>69.322485629121076</c:v>
                </c:pt>
                <c:pt idx="43">
                  <c:v>72.029855744200631</c:v>
                </c:pt>
                <c:pt idx="44">
                  <c:v>74.51696927559955</c:v>
                </c:pt>
                <c:pt idx="45">
                  <c:v>76.894549803222176</c:v>
                </c:pt>
                <c:pt idx="46">
                  <c:v>78.839951196379602</c:v>
                </c:pt>
                <c:pt idx="47">
                  <c:v>81.187767320802138</c:v>
                </c:pt>
                <c:pt idx="48">
                  <c:v>83.374855667944232</c:v>
                </c:pt>
                <c:pt idx="49">
                  <c:v>85.347640312045726</c:v>
                </c:pt>
                <c:pt idx="50">
                  <c:v>87.272801911027074</c:v>
                </c:pt>
                <c:pt idx="51">
                  <c:v>89.146768736504299</c:v>
                </c:pt>
                <c:pt idx="52">
                  <c:v>90.946919842045318</c:v>
                </c:pt>
                <c:pt idx="53">
                  <c:v>92.858985103618636</c:v>
                </c:pt>
                <c:pt idx="54">
                  <c:v>94.643658719495605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2'!$E$115:$BV$115</c:f>
              <c:numCache>
                <c:formatCode>#,##0.00</c:formatCode>
                <c:ptCount val="70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24.909932425792103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105.73117656089315</c:v>
                </c:pt>
                <c:pt idx="31">
                  <c:v>114.41268743686305</c:v>
                </c:pt>
                <c:pt idx="32">
                  <c:v>123.02969480280004</c:v>
                </c:pt>
                <c:pt idx="33">
                  <c:v>133.28906077034458</c:v>
                </c:pt>
                <c:pt idx="34">
                  <c:v>143.06216950841016</c:v>
                </c:pt>
                <c:pt idx="35">
                  <c:v>152.9427840965306</c:v>
                </c:pt>
                <c:pt idx="36">
                  <c:v>161.5713690155504</c:v>
                </c:pt>
                <c:pt idx="37">
                  <c:v>168.26981044204652</c:v>
                </c:pt>
                <c:pt idx="38">
                  <c:v>174.97321367700673</c:v>
                </c:pt>
                <c:pt idx="39">
                  <c:v>182.88233636873619</c:v>
                </c:pt>
                <c:pt idx="40">
                  <c:v>190.60291033883098</c:v>
                </c:pt>
                <c:pt idx="41">
                  <c:v>198.18620760808648</c:v>
                </c:pt>
                <c:pt idx="42">
                  <c:v>206.13337083137381</c:v>
                </c:pt>
                <c:pt idx="43">
                  <c:v>213.27175927501759</c:v>
                </c:pt>
                <c:pt idx="44">
                  <c:v>219.22427549574834</c:v>
                </c:pt>
                <c:pt idx="45">
                  <c:v>224.25058746985246</c:v>
                </c:pt>
                <c:pt idx="46">
                  <c:v>230.59508655924481</c:v>
                </c:pt>
                <c:pt idx="47">
                  <c:v>237.54823415356327</c:v>
                </c:pt>
                <c:pt idx="48">
                  <c:v>244.08293590074504</c:v>
                </c:pt>
                <c:pt idx="49">
                  <c:v>251.84651221086176</c:v>
                </c:pt>
                <c:pt idx="50">
                  <c:v>258.61441895585489</c:v>
                </c:pt>
                <c:pt idx="51">
                  <c:v>263.82927965159377</c:v>
                </c:pt>
                <c:pt idx="52">
                  <c:v>268.74477790333361</c:v>
                </c:pt>
                <c:pt idx="53">
                  <c:v>273.15582562789291</c:v>
                </c:pt>
                <c:pt idx="54">
                  <c:v>279.41762790955073</c:v>
                </c:pt>
                <c:pt idx="55">
                  <c:v>285.1948268978843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2'!$E$116:$BV$116</c:f>
              <c:numCache>
                <c:formatCode>#,##0.00</c:formatCode>
                <c:ptCount val="70"/>
                <c:pt idx="0">
                  <c:v>3.3998421255635861E-2</c:v>
                </c:pt>
                <c:pt idx="1">
                  <c:v>4.6648996606570133E-2</c:v>
                </c:pt>
                <c:pt idx="2">
                  <c:v>5.2183623322603873E-2</c:v>
                </c:pt>
                <c:pt idx="3">
                  <c:v>5.8508910998071019E-2</c:v>
                </c:pt>
                <c:pt idx="4">
                  <c:v>6.6415520592404936E-2</c:v>
                </c:pt>
                <c:pt idx="5">
                  <c:v>7.4322130186738861E-2</c:v>
                </c:pt>
                <c:pt idx="6">
                  <c:v>8.3019400740506177E-2</c:v>
                </c:pt>
                <c:pt idx="7">
                  <c:v>9.6460637050873849E-2</c:v>
                </c:pt>
                <c:pt idx="8">
                  <c:v>0.11622716103670865</c:v>
                </c:pt>
                <c:pt idx="9">
                  <c:v>0.12571509254990934</c:v>
                </c:pt>
                <c:pt idx="10">
                  <c:v>0.13441236310367666</c:v>
                </c:pt>
                <c:pt idx="11">
                  <c:v>0.14943492133291111</c:v>
                </c:pt>
                <c:pt idx="12">
                  <c:v>0.1692014453187459</c:v>
                </c:pt>
                <c:pt idx="13">
                  <c:v>0.18027069875081339</c:v>
                </c:pt>
                <c:pt idx="14">
                  <c:v>0.19054929122344749</c:v>
                </c:pt>
                <c:pt idx="15">
                  <c:v>0.20240920561494838</c:v>
                </c:pt>
                <c:pt idx="16">
                  <c:v>0.21664110288474944</c:v>
                </c:pt>
                <c:pt idx="17">
                  <c:v>0.23166366111398387</c:v>
                </c:pt>
                <c:pt idx="18">
                  <c:v>0.26170877757245281</c:v>
                </c:pt>
                <c:pt idx="19">
                  <c:v>0.28463794539602116</c:v>
                </c:pt>
                <c:pt idx="20">
                  <c:v>0.33207760296202471</c:v>
                </c:pt>
                <c:pt idx="21">
                  <c:v>0.36449470229879377</c:v>
                </c:pt>
                <c:pt idx="22">
                  <c:v>0.39691180163556283</c:v>
                </c:pt>
                <c:pt idx="23">
                  <c:v>0.40402775027046339</c:v>
                </c:pt>
                <c:pt idx="24">
                  <c:v>0.45937401743080081</c:v>
                </c:pt>
                <c:pt idx="25">
                  <c:v>0.50523235307793757</c:v>
                </c:pt>
                <c:pt idx="26">
                  <c:v>0.52974284282037276</c:v>
                </c:pt>
                <c:pt idx="27">
                  <c:v>0.55425333256280784</c:v>
                </c:pt>
                <c:pt idx="28">
                  <c:v>0.6111809216420121</c:v>
                </c:pt>
                <c:pt idx="29">
                  <c:v>0.66336454496461605</c:v>
                </c:pt>
                <c:pt idx="30">
                  <c:v>0.67878243367356716</c:v>
                </c:pt>
                <c:pt idx="31">
                  <c:v>0.69420032238251828</c:v>
                </c:pt>
                <c:pt idx="32">
                  <c:v>0.70289759293628551</c:v>
                </c:pt>
                <c:pt idx="33">
                  <c:v>0.73057072651645438</c:v>
                </c:pt>
                <c:pt idx="34">
                  <c:v>0.7614065039343566</c:v>
                </c:pt>
                <c:pt idx="35">
                  <c:v>0.79619558614942587</c:v>
                </c:pt>
                <c:pt idx="36">
                  <c:v>0.8705177163361647</c:v>
                </c:pt>
                <c:pt idx="37">
                  <c:v>0.89186556224086633</c:v>
                </c:pt>
                <c:pt idx="38">
                  <c:v>0.94325852460403681</c:v>
                </c:pt>
                <c:pt idx="39">
                  <c:v>1.0333938739794435</c:v>
                </c:pt>
                <c:pt idx="40">
                  <c:v>1.0966467507341149</c:v>
                </c:pt>
                <c:pt idx="41">
                  <c:v>1.1606902884482195</c:v>
                </c:pt>
                <c:pt idx="42">
                  <c:v>1.3385890043207327</c:v>
                </c:pt>
                <c:pt idx="43">
                  <c:v>1.4753733503027096</c:v>
                </c:pt>
                <c:pt idx="44">
                  <c:v>1.5097671020380623</c:v>
                </c:pt>
                <c:pt idx="45">
                  <c:v>1.5441608537734146</c:v>
                </c:pt>
                <c:pt idx="46">
                  <c:v>1.722059569645928</c:v>
                </c:pt>
                <c:pt idx="47">
                  <c:v>1.9726990937863136</c:v>
                </c:pt>
                <c:pt idx="48">
                  <c:v>2.0691597308371872</c:v>
                </c:pt>
                <c:pt idx="49">
                  <c:v>2.481884751661418</c:v>
                </c:pt>
                <c:pt idx="50">
                  <c:v>2.6854799487155163</c:v>
                </c:pt>
                <c:pt idx="51">
                  <c:v>2.8890751457696147</c:v>
                </c:pt>
                <c:pt idx="52">
                  <c:v>3.0883217075468292</c:v>
                </c:pt>
                <c:pt idx="53">
                  <c:v>3.3658437043079505</c:v>
                </c:pt>
                <c:pt idx="54">
                  <c:v>3.6900146976756409</c:v>
                </c:pt>
                <c:pt idx="55">
                  <c:v>4.3723551056666583</c:v>
                </c:pt>
                <c:pt idx="56">
                  <c:v>4.7479190613975195</c:v>
                </c:pt>
                <c:pt idx="57">
                  <c:v>5.33538015425653</c:v>
                </c:pt>
                <c:pt idx="58">
                  <c:v>5.8271712710240999</c:v>
                </c:pt>
                <c:pt idx="59">
                  <c:v>6.0446030348682829</c:v>
                </c:pt>
                <c:pt idx="60">
                  <c:v>6.4043537714104763</c:v>
                </c:pt>
                <c:pt idx="61">
                  <c:v>6.8202414360724397</c:v>
                </c:pt>
                <c:pt idx="62">
                  <c:v>7.7381988099746088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2'!$E$117:$BV$117</c:f>
              <c:numCache>
                <c:formatCode>#,##0.00</c:formatCode>
                <c:ptCount val="70"/>
                <c:pt idx="0">
                  <c:v>5.8514680894576343E-2</c:v>
                </c:pt>
                <c:pt idx="1">
                  <c:v>6.0465170257728885E-2</c:v>
                </c:pt>
                <c:pt idx="2">
                  <c:v>0.13165803201279677</c:v>
                </c:pt>
                <c:pt idx="3">
                  <c:v>0.20285089376786464</c:v>
                </c:pt>
                <c:pt idx="4">
                  <c:v>0.39789983008311913</c:v>
                </c:pt>
                <c:pt idx="5">
                  <c:v>0.8445618942450519</c:v>
                </c:pt>
                <c:pt idx="6">
                  <c:v>1.174194596617832</c:v>
                </c:pt>
                <c:pt idx="7">
                  <c:v>1.6247576395060697</c:v>
                </c:pt>
                <c:pt idx="8">
                  <c:v>1.9056281078000361</c:v>
                </c:pt>
                <c:pt idx="9">
                  <c:v>2.4595670869353592</c:v>
                </c:pt>
                <c:pt idx="10">
                  <c:v>3.4445642153273943</c:v>
                </c:pt>
                <c:pt idx="11">
                  <c:v>4.5582936416874968</c:v>
                </c:pt>
                <c:pt idx="12">
                  <c:v>6.1440414939305157</c:v>
                </c:pt>
                <c:pt idx="13">
                  <c:v>7.2870282607379062</c:v>
                </c:pt>
                <c:pt idx="14">
                  <c:v>8.455371389266281</c:v>
                </c:pt>
                <c:pt idx="15">
                  <c:v>10.115237837309097</c:v>
                </c:pt>
                <c:pt idx="16">
                  <c:v>10.963700710280454</c:v>
                </c:pt>
                <c:pt idx="17">
                  <c:v>11.874579242872693</c:v>
                </c:pt>
                <c:pt idx="18">
                  <c:v>12.859576371264728</c:v>
                </c:pt>
                <c:pt idx="19">
                  <c:v>13.733395605957069</c:v>
                </c:pt>
                <c:pt idx="20">
                  <c:v>14.265879202097711</c:v>
                </c:pt>
                <c:pt idx="21">
                  <c:v>14.585759457654731</c:v>
                </c:pt>
                <c:pt idx="22">
                  <c:v>14.654026585365068</c:v>
                </c:pt>
                <c:pt idx="23">
                  <c:v>15.126045011247985</c:v>
                </c:pt>
                <c:pt idx="24">
                  <c:v>15.348400798647374</c:v>
                </c:pt>
                <c:pt idx="25">
                  <c:v>15.562954628594154</c:v>
                </c:pt>
                <c:pt idx="26">
                  <c:v>15.771656990451477</c:v>
                </c:pt>
                <c:pt idx="27">
                  <c:v>15.91989418205107</c:v>
                </c:pt>
                <c:pt idx="28">
                  <c:v>16.064230394924358</c:v>
                </c:pt>
                <c:pt idx="29">
                  <c:v>16.228071501429174</c:v>
                </c:pt>
                <c:pt idx="30">
                  <c:v>16.409467012202359</c:v>
                </c:pt>
                <c:pt idx="31">
                  <c:v>16.705941395401545</c:v>
                </c:pt>
                <c:pt idx="32">
                  <c:v>16.875633969995818</c:v>
                </c:pt>
                <c:pt idx="33">
                  <c:v>17.162355906379243</c:v>
                </c:pt>
                <c:pt idx="34">
                  <c:v>17.478335183209953</c:v>
                </c:pt>
                <c:pt idx="35">
                  <c:v>17.552453779009753</c:v>
                </c:pt>
                <c:pt idx="36">
                  <c:v>17.626572374809548</c:v>
                </c:pt>
                <c:pt idx="37">
                  <c:v>17.821621311124801</c:v>
                </c:pt>
                <c:pt idx="38">
                  <c:v>18.024472204892664</c:v>
                </c:pt>
                <c:pt idx="39">
                  <c:v>18.20196673693955</c:v>
                </c:pt>
                <c:pt idx="40">
                  <c:v>18.486738183959819</c:v>
                </c:pt>
                <c:pt idx="41">
                  <c:v>18.691539567090839</c:v>
                </c:pt>
                <c:pt idx="42">
                  <c:v>18.843677737416733</c:v>
                </c:pt>
                <c:pt idx="43">
                  <c:v>19.087488907810805</c:v>
                </c:pt>
                <c:pt idx="44">
                  <c:v>19.284488333489207</c:v>
                </c:pt>
                <c:pt idx="45">
                  <c:v>19.458081886809786</c:v>
                </c:pt>
                <c:pt idx="46">
                  <c:v>19.625823972040905</c:v>
                </c:pt>
                <c:pt idx="47">
                  <c:v>19.809169972177244</c:v>
                </c:pt>
                <c:pt idx="48">
                  <c:v>19.967159610592599</c:v>
                </c:pt>
                <c:pt idx="49">
                  <c:v>20.058832610660769</c:v>
                </c:pt>
                <c:pt idx="50">
                  <c:v>20.150505610728942</c:v>
                </c:pt>
                <c:pt idx="51">
                  <c:v>20.253881546976025</c:v>
                </c:pt>
                <c:pt idx="52">
                  <c:v>20.329950632138974</c:v>
                </c:pt>
                <c:pt idx="53">
                  <c:v>20.382613844944093</c:v>
                </c:pt>
                <c:pt idx="54">
                  <c:v>20.441128525838671</c:v>
                </c:pt>
                <c:pt idx="55">
                  <c:v>20.50354418545955</c:v>
                </c:pt>
                <c:pt idx="56">
                  <c:v>20.552306419538365</c:v>
                </c:pt>
                <c:pt idx="57">
                  <c:v>20.604969632343483</c:v>
                </c:pt>
                <c:pt idx="58">
                  <c:v>20.657632845148601</c:v>
                </c:pt>
                <c:pt idx="59">
                  <c:v>20.700543611137959</c:v>
                </c:pt>
                <c:pt idx="60">
                  <c:v>20.743454377127314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2'!$E$118:$BV$118</c:f>
              <c:numCache>
                <c:formatCode>#,##0.00</c:formatCode>
                <c:ptCount val="70"/>
                <c:pt idx="0">
                  <c:v>0.29421257388045496</c:v>
                </c:pt>
                <c:pt idx="1">
                  <c:v>0.34815154575853835</c:v>
                </c:pt>
                <c:pt idx="2">
                  <c:v>0.40209051763662179</c:v>
                </c:pt>
                <c:pt idx="3">
                  <c:v>0.57861806196489474</c:v>
                </c:pt>
                <c:pt idx="4">
                  <c:v>0.8385058355592967</c:v>
                </c:pt>
                <c:pt idx="5">
                  <c:v>1.0983936091536985</c:v>
                </c:pt>
                <c:pt idx="6">
                  <c:v>1.657397499526563</c:v>
                </c:pt>
                <c:pt idx="7">
                  <c:v>2.4027360200237156</c:v>
                </c:pt>
                <c:pt idx="8">
                  <c:v>3.2461453984810196</c:v>
                </c:pt>
                <c:pt idx="9">
                  <c:v>4.3935744366147942</c:v>
                </c:pt>
                <c:pt idx="10">
                  <c:v>6.0460683932433499</c:v>
                </c:pt>
                <c:pt idx="11">
                  <c:v>7.6985623498719056</c:v>
                </c:pt>
                <c:pt idx="12">
                  <c:v>10.003227511935469</c:v>
                </c:pt>
                <c:pt idx="13">
                  <c:v>12.553069818899411</c:v>
                </c:pt>
                <c:pt idx="14">
                  <c:v>15.691337273624265</c:v>
                </c:pt>
                <c:pt idx="15">
                  <c:v>20.20259673979124</c:v>
                </c:pt>
                <c:pt idx="16">
                  <c:v>23.164336650187821</c:v>
                </c:pt>
                <c:pt idx="17">
                  <c:v>29.372221959065421</c:v>
                </c:pt>
                <c:pt idx="18">
                  <c:v>34.756312061077743</c:v>
                </c:pt>
                <c:pt idx="19">
                  <c:v>41.856642177392722</c:v>
                </c:pt>
                <c:pt idx="20">
                  <c:v>50.702633565398401</c:v>
                </c:pt>
                <c:pt idx="21">
                  <c:v>58.469845515842408</c:v>
                </c:pt>
                <c:pt idx="22">
                  <c:v>62.843805780865182</c:v>
                </c:pt>
                <c:pt idx="23">
                  <c:v>72.994139579740875</c:v>
                </c:pt>
                <c:pt idx="24">
                  <c:v>80.918264902921138</c:v>
                </c:pt>
                <c:pt idx="25">
                  <c:v>88.597213081201005</c:v>
                </c:pt>
                <c:pt idx="26">
                  <c:v>96.952850179405914</c:v>
                </c:pt>
                <c:pt idx="27">
                  <c:v>103.2097709172636</c:v>
                </c:pt>
                <c:pt idx="28">
                  <c:v>110.60431360745903</c:v>
                </c:pt>
                <c:pt idx="29">
                  <c:v>115.0371163872579</c:v>
                </c:pt>
                <c:pt idx="30">
                  <c:v>122.01976147402068</c:v>
                </c:pt>
                <c:pt idx="31">
                  <c:v>128.87491444543528</c:v>
                </c:pt>
                <c:pt idx="32">
                  <c:v>136.86768936918764</c:v>
                </c:pt>
                <c:pt idx="33">
                  <c:v>151.73523143594664</c:v>
                </c:pt>
                <c:pt idx="34">
                  <c:v>156.78588062089446</c:v>
                </c:pt>
                <c:pt idx="35">
                  <c:v>162.6505179269115</c:v>
                </c:pt>
                <c:pt idx="36">
                  <c:v>166.0731908697208</c:v>
                </c:pt>
                <c:pt idx="37">
                  <c:v>171.11403296887261</c:v>
                </c:pt>
                <c:pt idx="38">
                  <c:v>177.41998913571035</c:v>
                </c:pt>
                <c:pt idx="39">
                  <c:v>184.77530348272171</c:v>
                </c:pt>
                <c:pt idx="40">
                  <c:v>186.55038601180047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2'!$E$119:$BV$119</c:f>
              <c:numCache>
                <c:formatCode>#,##0.00</c:formatCode>
                <c:ptCount val="70"/>
                <c:pt idx="0">
                  <c:v>3.0835759685056432E-2</c:v>
                </c:pt>
                <c:pt idx="1">
                  <c:v>4.0429107142629546E-2</c:v>
                </c:pt>
                <c:pt idx="2">
                  <c:v>4.3170063559079007E-2</c:v>
                </c:pt>
                <c:pt idx="3">
                  <c:v>6.1671519370112865E-2</c:v>
                </c:pt>
                <c:pt idx="4">
                  <c:v>7.8117257868809631E-2</c:v>
                </c:pt>
                <c:pt idx="5">
                  <c:v>0.10073014830451768</c:v>
                </c:pt>
                <c:pt idx="6">
                  <c:v>0.13636258171836069</c:v>
                </c:pt>
                <c:pt idx="7">
                  <c:v>0.17336549334042839</c:v>
                </c:pt>
                <c:pt idx="8">
                  <c:v>0.20968316585838376</c:v>
                </c:pt>
                <c:pt idx="9">
                  <c:v>0.25148275120923802</c:v>
                </c:pt>
                <c:pt idx="10">
                  <c:v>0.30013472760121596</c:v>
                </c:pt>
                <c:pt idx="11">
                  <c:v>0.33919335653562077</c:v>
                </c:pt>
                <c:pt idx="12">
                  <c:v>0.45088733050593627</c:v>
                </c:pt>
                <c:pt idx="13">
                  <c:v>0.57560084745438678</c:v>
                </c:pt>
                <c:pt idx="14">
                  <c:v>0.70990771186041035</c:v>
                </c:pt>
                <c:pt idx="15">
                  <c:v>0.8661422275980295</c:v>
                </c:pt>
                <c:pt idx="16">
                  <c:v>1.0511567857083681</c:v>
                </c:pt>
                <c:pt idx="17">
                  <c:v>1.2580989951503025</c:v>
                </c:pt>
                <c:pt idx="18">
                  <c:v>1.6014037863105974</c:v>
                </c:pt>
                <c:pt idx="19">
                  <c:v>1.9029089921200382</c:v>
                </c:pt>
                <c:pt idx="20">
                  <c:v>2.4312283413906717</c:v>
                </c:pt>
                <c:pt idx="21">
                  <c:v>2.8430570429622031</c:v>
                </c:pt>
                <c:pt idx="22">
                  <c:v>3.2418662015555997</c:v>
                </c:pt>
                <c:pt idx="23">
                  <c:v>3.6927535320615359</c:v>
                </c:pt>
                <c:pt idx="24">
                  <c:v>4.3464716373847327</c:v>
                </c:pt>
                <c:pt idx="25">
                  <c:v>5.1372375635304017</c:v>
                </c:pt>
                <c:pt idx="26">
                  <c:v>5.9423935108624306</c:v>
                </c:pt>
                <c:pt idx="27">
                  <c:v>6.9421573637623712</c:v>
                </c:pt>
                <c:pt idx="28">
                  <c:v>8.1659944037070566</c:v>
                </c:pt>
                <c:pt idx="29">
                  <c:v>9.3082879902623699</c:v>
                </c:pt>
                <c:pt idx="30">
                  <c:v>10.806220671851998</c:v>
                </c:pt>
                <c:pt idx="31">
                  <c:v>12.559062300171428</c:v>
                </c:pt>
                <c:pt idx="32">
                  <c:v>14.45991557497913</c:v>
                </c:pt>
                <c:pt idx="33">
                  <c:v>16.781505659711822</c:v>
                </c:pt>
                <c:pt idx="34">
                  <c:v>19.144210090691256</c:v>
                </c:pt>
                <c:pt idx="35">
                  <c:v>21.933133244428586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2'!$E$120:$BV$120</c:f>
              <c:numCache>
                <c:formatCode>#,##0.00</c:formatCode>
                <c:ptCount val="70"/>
                <c:pt idx="0">
                  <c:v>0.5127905342969693</c:v>
                </c:pt>
                <c:pt idx="1">
                  <c:v>0.56406958772666627</c:v>
                </c:pt>
                <c:pt idx="2">
                  <c:v>0.68372071239595911</c:v>
                </c:pt>
                <c:pt idx="3">
                  <c:v>0.7691858014454539</c:v>
                </c:pt>
                <c:pt idx="4">
                  <c:v>0.80337183706525184</c:v>
                </c:pt>
                <c:pt idx="5">
                  <c:v>0.8546508904949488</c:v>
                </c:pt>
                <c:pt idx="6">
                  <c:v>0.99139503297414067</c:v>
                </c:pt>
                <c:pt idx="7">
                  <c:v>1.1452321932632314</c:v>
                </c:pt>
                <c:pt idx="8">
                  <c:v>1.2306972823127262</c:v>
                </c:pt>
                <c:pt idx="9">
                  <c:v>1.2819763357424232</c:v>
                </c:pt>
                <c:pt idx="10">
                  <c:v>1.3161623713622213</c:v>
                </c:pt>
                <c:pt idx="11">
                  <c:v>1.3845344426018171</c:v>
                </c:pt>
                <c:pt idx="12">
                  <c:v>1.4358134960315141</c:v>
                </c:pt>
                <c:pt idx="13">
                  <c:v>1.4443600049364635</c:v>
                </c:pt>
                <c:pt idx="14">
                  <c:v>1.452906513841413</c:v>
                </c:pt>
                <c:pt idx="15">
                  <c:v>1.4870925494612111</c:v>
                </c:pt>
                <c:pt idx="16">
                  <c:v>1.5212785850810089</c:v>
                </c:pt>
                <c:pt idx="17">
                  <c:v>1.5383716028909078</c:v>
                </c:pt>
                <c:pt idx="18">
                  <c:v>1.5554646207008069</c:v>
                </c:pt>
                <c:pt idx="19">
                  <c:v>1.589650656320605</c:v>
                </c:pt>
                <c:pt idx="20">
                  <c:v>1.6409297097503017</c:v>
                </c:pt>
                <c:pt idx="21">
                  <c:v>1.6922087631799987</c:v>
                </c:pt>
                <c:pt idx="22">
                  <c:v>1.7434878166096954</c:v>
                </c:pt>
                <c:pt idx="23">
                  <c:v>1.8118598878492913</c:v>
                </c:pt>
                <c:pt idx="24">
                  <c:v>1.8460459234690896</c:v>
                </c:pt>
                <c:pt idx="25">
                  <c:v>1.8802319590888876</c:v>
                </c:pt>
                <c:pt idx="26">
                  <c:v>1.9400575214235338</c:v>
                </c:pt>
                <c:pt idx="27">
                  <c:v>1.9998830837581802</c:v>
                </c:pt>
                <c:pt idx="28">
                  <c:v>2.2220923152868668</c:v>
                </c:pt>
                <c:pt idx="29">
                  <c:v>2.3588364577660585</c:v>
                </c:pt>
                <c:pt idx="30">
                  <c:v>2.5639526714848464</c:v>
                </c:pt>
                <c:pt idx="31">
                  <c:v>2.6494177605343414</c:v>
                </c:pt>
                <c:pt idx="32">
                  <c:v>2.7348828495838364</c:v>
                </c:pt>
                <c:pt idx="33">
                  <c:v>3.0425571701620178</c:v>
                </c:pt>
                <c:pt idx="34">
                  <c:v>3.2305803660709063</c:v>
                </c:pt>
                <c:pt idx="35">
                  <c:v>3.4186035619797952</c:v>
                </c:pt>
                <c:pt idx="36">
                  <c:v>3.6237197756985826</c:v>
                </c:pt>
                <c:pt idx="37">
                  <c:v>3.8630220250371687</c:v>
                </c:pt>
                <c:pt idx="38">
                  <c:v>4.1536033278054516</c:v>
                </c:pt>
                <c:pt idx="39">
                  <c:v>4.546742737433128</c:v>
                </c:pt>
                <c:pt idx="40">
                  <c:v>5.35011457449838</c:v>
                </c:pt>
                <c:pt idx="41">
                  <c:v>5.897091144415147</c:v>
                </c:pt>
                <c:pt idx="42">
                  <c:v>6.5808118568111063</c:v>
                </c:pt>
                <c:pt idx="43">
                  <c:v>7.3841836938763583</c:v>
                </c:pt>
                <c:pt idx="44">
                  <c:v>7.7773231035040347</c:v>
                </c:pt>
                <c:pt idx="45">
                  <c:v>8.7003460652385787</c:v>
                </c:pt>
                <c:pt idx="46">
                  <c:v>9.5379039379236286</c:v>
                </c:pt>
                <c:pt idx="47">
                  <c:v>10.785694238046254</c:v>
                </c:pt>
                <c:pt idx="48">
                  <c:v>11.674531164161001</c:v>
                </c:pt>
                <c:pt idx="49">
                  <c:v>12.512089036846051</c:v>
                </c:pt>
                <c:pt idx="50">
                  <c:v>13.70860028353898</c:v>
                </c:pt>
                <c:pt idx="51">
                  <c:v>14.426507031554737</c:v>
                </c:pt>
                <c:pt idx="52">
                  <c:v>15.024762654901201</c:v>
                </c:pt>
                <c:pt idx="53">
                  <c:v>15.828134491966452</c:v>
                </c:pt>
                <c:pt idx="54">
                  <c:v>17.093017809898974</c:v>
                </c:pt>
                <c:pt idx="55">
                  <c:v>17.930575682584028</c:v>
                </c:pt>
                <c:pt idx="56">
                  <c:v>19.04162184022746</c:v>
                </c:pt>
                <c:pt idx="57">
                  <c:v>20.323598175969884</c:v>
                </c:pt>
                <c:pt idx="58">
                  <c:v>22.374760313157761</c:v>
                </c:pt>
                <c:pt idx="59">
                  <c:v>23.502899488611096</c:v>
                </c:pt>
                <c:pt idx="60">
                  <c:v>25.314759376460383</c:v>
                </c:pt>
                <c:pt idx="61">
                  <c:v>27.741967905466037</c:v>
                </c:pt>
                <c:pt idx="62">
                  <c:v>32.647664016907044</c:v>
                </c:pt>
                <c:pt idx="63">
                  <c:v>36.03208154326704</c:v>
                </c:pt>
                <c:pt idx="64">
                  <c:v>39.296847944957747</c:v>
                </c:pt>
                <c:pt idx="65">
                  <c:v>43.279521094664204</c:v>
                </c:pt>
                <c:pt idx="66">
                  <c:v>49.87742596928522</c:v>
                </c:pt>
                <c:pt idx="67">
                  <c:v>55.586493917791465</c:v>
                </c:pt>
                <c:pt idx="68">
                  <c:v>63.227072878816315</c:v>
                </c:pt>
                <c:pt idx="69">
                  <c:v>75.670789844422771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2'!$E$121:$BV$121</c:f>
              <c:numCache>
                <c:formatCode>#,##0.00</c:formatCode>
                <c:ptCount val="70"/>
                <c:pt idx="0">
                  <c:v>6.8442202848230826E-2</c:v>
                </c:pt>
                <c:pt idx="1">
                  <c:v>9.6246847755324591E-2</c:v>
                </c:pt>
                <c:pt idx="2">
                  <c:v>0.17966078247660591</c:v>
                </c:pt>
                <c:pt idx="3">
                  <c:v>0.25665826068086561</c:v>
                </c:pt>
                <c:pt idx="4">
                  <c:v>0.35290510843619016</c:v>
                </c:pt>
                <c:pt idx="5">
                  <c:v>0.47481778225960136</c:v>
                </c:pt>
                <c:pt idx="6">
                  <c:v>0.55395407930286822</c:v>
                </c:pt>
                <c:pt idx="7">
                  <c:v>0.8555275356028853</c:v>
                </c:pt>
                <c:pt idx="8">
                  <c:v>1.0694094195036066</c:v>
                </c:pt>
                <c:pt idx="9">
                  <c:v>1.4394250786518545</c:v>
                </c:pt>
                <c:pt idx="10">
                  <c:v>2.2949526142547398</c:v>
                </c:pt>
                <c:pt idx="11">
                  <c:v>3.6252979321172263</c:v>
                </c:pt>
                <c:pt idx="12">
                  <c:v>4.8700904964194249</c:v>
                </c:pt>
                <c:pt idx="13">
                  <c:v>8.0301953310525818</c:v>
                </c:pt>
                <c:pt idx="14">
                  <c:v>11.190300165685741</c:v>
                </c:pt>
                <c:pt idx="15">
                  <c:v>13.669191200095101</c:v>
                </c:pt>
                <c:pt idx="16">
                  <c:v>16.678509306578249</c:v>
                </c:pt>
                <c:pt idx="17">
                  <c:v>21.264136897409713</c:v>
                </c:pt>
                <c:pt idx="18">
                  <c:v>25.126843720656741</c:v>
                </c:pt>
                <c:pt idx="19">
                  <c:v>29.75097005059034</c:v>
                </c:pt>
                <c:pt idx="20">
                  <c:v>38.419602805086569</c:v>
                </c:pt>
                <c:pt idx="21">
                  <c:v>43.65329250413722</c:v>
                </c:pt>
                <c:pt idx="22">
                  <c:v>54.27038922096903</c:v>
                </c:pt>
                <c:pt idx="23">
                  <c:v>61.529540360559508</c:v>
                </c:pt>
                <c:pt idx="24">
                  <c:v>75.149538727357452</c:v>
                </c:pt>
                <c:pt idx="25">
                  <c:v>85.306789393802703</c:v>
                </c:pt>
                <c:pt idx="26">
                  <c:v>105.90361481344218</c:v>
                </c:pt>
                <c:pt idx="27">
                  <c:v>123.59378543087082</c:v>
                </c:pt>
                <c:pt idx="28">
                  <c:v>140.56103528071506</c:v>
                </c:pt>
                <c:pt idx="29">
                  <c:v>156.63639767469328</c:v>
                </c:pt>
                <c:pt idx="30">
                  <c:v>171.34077719286788</c:v>
                </c:pt>
                <c:pt idx="31">
                  <c:v>188.12194980371845</c:v>
                </c:pt>
                <c:pt idx="32">
                  <c:v>205.16191949408892</c:v>
                </c:pt>
                <c:pt idx="33">
                  <c:v>222.68953987975306</c:v>
                </c:pt>
                <c:pt idx="34">
                  <c:v>239.68673319334334</c:v>
                </c:pt>
                <c:pt idx="35">
                  <c:v>254.94506679082085</c:v>
                </c:pt>
                <c:pt idx="36">
                  <c:v>269.85049527986206</c:v>
                </c:pt>
                <c:pt idx="37">
                  <c:v>281.56694487994361</c:v>
                </c:pt>
                <c:pt idx="38">
                  <c:v>292.32306482131088</c:v>
                </c:pt>
                <c:pt idx="39">
                  <c:v>303.58822364636188</c:v>
                </c:pt>
                <c:pt idx="40">
                  <c:v>317.01572831764918</c:v>
                </c:pt>
                <c:pt idx="41">
                  <c:v>327.71410015036327</c:v>
                </c:pt>
                <c:pt idx="42">
                  <c:v>338.51727410618867</c:v>
                </c:pt>
                <c:pt idx="43">
                  <c:v>348.68521886682896</c:v>
                </c:pt>
                <c:pt idx="44">
                  <c:v>356.8212857304124</c:v>
                </c:pt>
                <c:pt idx="45">
                  <c:v>363.810945696288</c:v>
                </c:pt>
                <c:pt idx="46">
                  <c:v>369.03394130114356</c:v>
                </c:pt>
                <c:pt idx="47">
                  <c:v>379.94833383659739</c:v>
                </c:pt>
                <c:pt idx="48">
                  <c:v>395.57026663670609</c:v>
                </c:pt>
                <c:pt idx="49">
                  <c:v>408.17004841729755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2'!$E$122:$BV$122</c:f>
              <c:numCache>
                <c:formatCode>#,##0.00</c:formatCode>
                <c:ptCount val="70"/>
                <c:pt idx="0">
                  <c:v>0.34655987341653077</c:v>
                </c:pt>
                <c:pt idx="1">
                  <c:v>0.93076080289011143</c:v>
                </c:pt>
                <c:pt idx="2">
                  <c:v>1.0000727775734175</c:v>
                </c:pt>
                <c:pt idx="3">
                  <c:v>1.5941754177160419</c:v>
                </c:pt>
                <c:pt idx="4">
                  <c:v>2.0100472658158788</c:v>
                </c:pt>
                <c:pt idx="5">
                  <c:v>2.4556242459228468</c:v>
                </c:pt>
                <c:pt idx="6">
                  <c:v>3.5151072875105265</c:v>
                </c:pt>
                <c:pt idx="7">
                  <c:v>4.9508553345218687</c:v>
                </c:pt>
                <c:pt idx="8">
                  <c:v>5.9311246907571986</c:v>
                </c:pt>
                <c:pt idx="9">
                  <c:v>8.0599924846016027</c:v>
                </c:pt>
                <c:pt idx="10">
                  <c:v>9.5155439529510311</c:v>
                </c:pt>
                <c:pt idx="11">
                  <c:v>10.1195483037627</c:v>
                </c:pt>
                <c:pt idx="12">
                  <c:v>10.921586867955241</c:v>
                </c:pt>
                <c:pt idx="13">
                  <c:v>11.783035696162047</c:v>
                </c:pt>
                <c:pt idx="14">
                  <c:v>12.66428794570694</c:v>
                </c:pt>
                <c:pt idx="15">
                  <c:v>14.248561652753938</c:v>
                </c:pt>
                <c:pt idx="16">
                  <c:v>16.228903786562686</c:v>
                </c:pt>
                <c:pt idx="17">
                  <c:v>17.45671590952411</c:v>
                </c:pt>
                <c:pt idx="18">
                  <c:v>19.149908433930587</c:v>
                </c:pt>
                <c:pt idx="19">
                  <c:v>20.258900028863486</c:v>
                </c:pt>
                <c:pt idx="20">
                  <c:v>22.635310589433985</c:v>
                </c:pt>
                <c:pt idx="21">
                  <c:v>25.01172115000448</c:v>
                </c:pt>
                <c:pt idx="22">
                  <c:v>28.120858300084212</c:v>
                </c:pt>
                <c:pt idx="23">
                  <c:v>30.38835004329523</c:v>
                </c:pt>
                <c:pt idx="24">
                  <c:v>34.13119667619376</c:v>
                </c:pt>
                <c:pt idx="25">
                  <c:v>36.636329475461828</c:v>
                </c:pt>
                <c:pt idx="26">
                  <c:v>39.884090574908171</c:v>
                </c:pt>
                <c:pt idx="27">
                  <c:v>43.914086817208975</c:v>
                </c:pt>
                <c:pt idx="28">
                  <c:v>48.983762679759366</c:v>
                </c:pt>
                <c:pt idx="29">
                  <c:v>55.132725005235535</c:v>
                </c:pt>
                <c:pt idx="30">
                  <c:v>60.707388111907157</c:v>
                </c:pt>
                <c:pt idx="31">
                  <c:v>63.7967218406488</c:v>
                </c:pt>
                <c:pt idx="32">
                  <c:v>67.628683869568718</c:v>
                </c:pt>
                <c:pt idx="33">
                  <c:v>71.35172708112917</c:v>
                </c:pt>
                <c:pt idx="34">
                  <c:v>76.173860176953468</c:v>
                </c:pt>
                <c:pt idx="35">
                  <c:v>83.362502122679231</c:v>
                </c:pt>
                <c:pt idx="36">
                  <c:v>90.511537225728802</c:v>
                </c:pt>
                <c:pt idx="37">
                  <c:v>95.8980678296886</c:v>
                </c:pt>
                <c:pt idx="38">
                  <c:v>100.51226500146298</c:v>
                </c:pt>
                <c:pt idx="39">
                  <c:v>103.79963294358549</c:v>
                </c:pt>
                <c:pt idx="40">
                  <c:v>108.40392840469083</c:v>
                </c:pt>
                <c:pt idx="41">
                  <c:v>113.32507860720557</c:v>
                </c:pt>
                <c:pt idx="42">
                  <c:v>118.09770314968465</c:v>
                </c:pt>
                <c:pt idx="43">
                  <c:v>124.16745178980845</c:v>
                </c:pt>
                <c:pt idx="44">
                  <c:v>130.86100820208202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2'!$E$123:$BV$123</c:f>
              <c:numCache>
                <c:formatCode>#,##0.00</c:formatCode>
                <c:ptCount val="70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2'!$E$124:$BV$124</c:f>
              <c:numCache>
                <c:formatCode>#,##0.00</c:formatCode>
                <c:ptCount val="70"/>
                <c:pt idx="0">
                  <c:v>1.1782382975536954E-2</c:v>
                </c:pt>
                <c:pt idx="1">
                  <c:v>1.5407731583394479E-2</c:v>
                </c:pt>
                <c:pt idx="2">
                  <c:v>1.6314068735358862E-2</c:v>
                </c:pt>
                <c:pt idx="3">
                  <c:v>1.722040588732324E-2</c:v>
                </c:pt>
                <c:pt idx="4">
                  <c:v>1.752251827131137E-2</c:v>
                </c:pt>
                <c:pt idx="5">
                  <c:v>1.8126743039287622E-2</c:v>
                </c:pt>
                <c:pt idx="6">
                  <c:v>2.0543642111192639E-2</c:v>
                </c:pt>
                <c:pt idx="7">
                  <c:v>2.23563164151214E-2</c:v>
                </c:pt>
                <c:pt idx="8">
                  <c:v>2.9607013630836451E-2</c:v>
                </c:pt>
                <c:pt idx="9">
                  <c:v>3.5649261310598993E-2</c:v>
                </c:pt>
                <c:pt idx="10">
                  <c:v>4.5014745214230927E-2</c:v>
                </c:pt>
                <c:pt idx="11">
                  <c:v>6.5558387325423559E-2</c:v>
                </c:pt>
                <c:pt idx="12">
                  <c:v>7.9153444604889281E-2</c:v>
                </c:pt>
                <c:pt idx="13">
                  <c:v>0.12144917836322706</c:v>
                </c:pt>
                <c:pt idx="14">
                  <c:v>0.1564942149058498</c:v>
                </c:pt>
                <c:pt idx="15">
                  <c:v>0.17613151986507805</c:v>
                </c:pt>
                <c:pt idx="16">
                  <c:v>0.28972577624461382</c:v>
                </c:pt>
                <c:pt idx="17">
                  <c:v>0.38700596388879072</c:v>
                </c:pt>
                <c:pt idx="18">
                  <c:v>0.50241289457225524</c:v>
                </c:pt>
                <c:pt idx="19">
                  <c:v>0.65830288471012877</c:v>
                </c:pt>
                <c:pt idx="20">
                  <c:v>0.82386047113562244</c:v>
                </c:pt>
                <c:pt idx="21">
                  <c:v>1.0570912315744565</c:v>
                </c:pt>
                <c:pt idx="22">
                  <c:v>1.3993845626330044</c:v>
                </c:pt>
                <c:pt idx="23">
                  <c:v>1.9398636175877635</c:v>
                </c:pt>
                <c:pt idx="24">
                  <c:v>2.3513406845795926</c:v>
                </c:pt>
                <c:pt idx="25">
                  <c:v>4.153138942684782</c:v>
                </c:pt>
                <c:pt idx="26">
                  <c:v>5.8226119766031719</c:v>
                </c:pt>
                <c:pt idx="27">
                  <c:v>7.7340770300960529</c:v>
                </c:pt>
                <c:pt idx="28">
                  <c:v>10.053091689588916</c:v>
                </c:pt>
                <c:pt idx="29">
                  <c:v>13.245513251191454</c:v>
                </c:pt>
                <c:pt idx="30">
                  <c:v>16.234311065985995</c:v>
                </c:pt>
                <c:pt idx="31">
                  <c:v>19.87234839397102</c:v>
                </c:pt>
                <c:pt idx="32">
                  <c:v>25.327893824028621</c:v>
                </c:pt>
                <c:pt idx="33">
                  <c:v>30.711838619081028</c:v>
                </c:pt>
                <c:pt idx="34">
                  <c:v>36.696080721117852</c:v>
                </c:pt>
                <c:pt idx="35">
                  <c:v>42.570353915382988</c:v>
                </c:pt>
                <c:pt idx="36">
                  <c:v>48.89114921318258</c:v>
                </c:pt>
                <c:pt idx="37">
                  <c:v>56.849091519813832</c:v>
                </c:pt>
                <c:pt idx="38">
                  <c:v>64.462323596314633</c:v>
                </c:pt>
                <c:pt idx="39">
                  <c:v>73.643518945713822</c:v>
                </c:pt>
                <c:pt idx="40">
                  <c:v>83.257943453751977</c:v>
                </c:pt>
                <c:pt idx="41">
                  <c:v>93.308316131885007</c:v>
                </c:pt>
                <c:pt idx="42">
                  <c:v>101.83362549564595</c:v>
                </c:pt>
                <c:pt idx="43">
                  <c:v>110.77464149977457</c:v>
                </c:pt>
                <c:pt idx="44">
                  <c:v>119.70387512092765</c:v>
                </c:pt>
                <c:pt idx="45">
                  <c:v>129.62192257487388</c:v>
                </c:pt>
                <c:pt idx="46">
                  <c:v>139.40583213032937</c:v>
                </c:pt>
                <c:pt idx="47">
                  <c:v>150.00937258354466</c:v>
                </c:pt>
                <c:pt idx="48">
                  <c:v>159.0307504818141</c:v>
                </c:pt>
                <c:pt idx="49">
                  <c:v>167.76693428959877</c:v>
                </c:pt>
                <c:pt idx="50">
                  <c:v>175.41219027880234</c:v>
                </c:pt>
                <c:pt idx="51">
                  <c:v>183.58463237806515</c:v>
                </c:pt>
                <c:pt idx="52">
                  <c:v>192.24921555084464</c:v>
                </c:pt>
                <c:pt idx="53">
                  <c:v>201.7509521396552</c:v>
                </c:pt>
                <c:pt idx="54">
                  <c:v>211.38984775079641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2'!$E$125:$BV$125</c:f>
              <c:numCache>
                <c:formatCode>#,##0.00</c:formatCode>
                <c:ptCount val="70"/>
                <c:pt idx="0">
                  <c:v>5.3030071246931855E-2</c:v>
                </c:pt>
                <c:pt idx="1">
                  <c:v>5.8922301385479853E-2</c:v>
                </c:pt>
                <c:pt idx="2">
                  <c:v>7.512593426648681E-2</c:v>
                </c:pt>
                <c:pt idx="3">
                  <c:v>0.12520989044414468</c:v>
                </c:pt>
                <c:pt idx="4">
                  <c:v>0.16940161648325455</c:v>
                </c:pt>
                <c:pt idx="5">
                  <c:v>0.24010837814583039</c:v>
                </c:pt>
                <c:pt idx="6">
                  <c:v>0.30344985213522119</c:v>
                </c:pt>
                <c:pt idx="7">
                  <c:v>0.40214470695589993</c:v>
                </c:pt>
                <c:pt idx="8">
                  <c:v>0.47285146861847571</c:v>
                </c:pt>
                <c:pt idx="9">
                  <c:v>0.56270797823133256</c:v>
                </c:pt>
                <c:pt idx="10">
                  <c:v>0.6717142357944702</c:v>
                </c:pt>
                <c:pt idx="11">
                  <c:v>0.92360707421739652</c:v>
                </c:pt>
                <c:pt idx="12">
                  <c:v>1.1754999126403229</c:v>
                </c:pt>
                <c:pt idx="13">
                  <c:v>1.6792855894861758</c:v>
                </c:pt>
                <c:pt idx="14">
                  <c:v>1.9761066827155302</c:v>
                </c:pt>
                <c:pt idx="15">
                  <c:v>2.2729277759448849</c:v>
                </c:pt>
                <c:pt idx="16">
                  <c:v>2.8724621925421423</c:v>
                </c:pt>
                <c:pt idx="17">
                  <c:v>3.8682490859567515</c:v>
                </c:pt>
                <c:pt idx="18">
                  <c:v>3.9610517106388823</c:v>
                </c:pt>
                <c:pt idx="19">
                  <c:v>5.8671881604591558</c:v>
                </c:pt>
                <c:pt idx="20">
                  <c:v>7.3918027088084468</c:v>
                </c:pt>
                <c:pt idx="21">
                  <c:v>8.3713859693420485</c:v>
                </c:pt>
                <c:pt idx="22">
                  <c:v>9.7958326053360238</c:v>
                </c:pt>
                <c:pt idx="23">
                  <c:v>11.897885707263018</c:v>
                </c:pt>
                <c:pt idx="24">
                  <c:v>14.036765247555936</c:v>
                </c:pt>
                <c:pt idx="25">
                  <c:v>17.172904738798103</c:v>
                </c:pt>
                <c:pt idx="26">
                  <c:v>21.422675726225837</c:v>
                </c:pt>
                <c:pt idx="27">
                  <c:v>25.173080209411626</c:v>
                </c:pt>
                <c:pt idx="28">
                  <c:v>28.757029191183438</c:v>
                </c:pt>
                <c:pt idx="29">
                  <c:v>32.61496687439773</c:v>
                </c:pt>
                <c:pt idx="30">
                  <c:v>37.047396996120455</c:v>
                </c:pt>
                <c:pt idx="31">
                  <c:v>43.416897775890824</c:v>
                </c:pt>
                <c:pt idx="32">
                  <c:v>49.668553952890228</c:v>
                </c:pt>
                <c:pt idx="33">
                  <c:v>56.22365998202487</c:v>
                </c:pt>
                <c:pt idx="34">
                  <c:v>61.725529873894054</c:v>
                </c:pt>
                <c:pt idx="35">
                  <c:v>70.42098850085624</c:v>
                </c:pt>
                <c:pt idx="36">
                  <c:v>76.021553247546095</c:v>
                </c:pt>
                <c:pt idx="37">
                  <c:v>81.374644328416949</c:v>
                </c:pt>
                <c:pt idx="38">
                  <c:v>89.463203251108681</c:v>
                </c:pt>
                <c:pt idx="39">
                  <c:v>95.862165181571797</c:v>
                </c:pt>
                <c:pt idx="40">
                  <c:v>108.64977763975557</c:v>
                </c:pt>
                <c:pt idx="41">
                  <c:v>116.35828771851095</c:v>
                </c:pt>
                <c:pt idx="42">
                  <c:v>124.1478159616714</c:v>
                </c:pt>
                <c:pt idx="43">
                  <c:v>130.54383177706524</c:v>
                </c:pt>
                <c:pt idx="44">
                  <c:v>138.28032994897873</c:v>
                </c:pt>
                <c:pt idx="45">
                  <c:v>145.06081378091284</c:v>
                </c:pt>
                <c:pt idx="46">
                  <c:v>151.86192041833183</c:v>
                </c:pt>
                <c:pt idx="47">
                  <c:v>160.10956955476439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2'!$E$126:$BV$126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2'!$E$127:$BV$127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2'!$E$128:$BV$128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2'!$E$129:$BV$129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0.34800202549999998</c:v>
                </c:pt>
                <c:pt idx="6">
                  <c:v>0.3677823999</c:v>
                </c:pt>
                <c:pt idx="7">
                  <c:v>0.36292533300000002</c:v>
                </c:pt>
                <c:pt idx="8">
                  <c:v>0.35147031379999999</c:v>
                </c:pt>
                <c:pt idx="9">
                  <c:v>0.33688312009999999</c:v>
                </c:pt>
                <c:pt idx="10">
                  <c:v>0.32338581659999999</c:v>
                </c:pt>
                <c:pt idx="11">
                  <c:v>0.35291814960000001</c:v>
                </c:pt>
                <c:pt idx="12">
                  <c:v>0.36813369880000002</c:v>
                </c:pt>
                <c:pt idx="13">
                  <c:v>0.37857731509999998</c:v>
                </c:pt>
                <c:pt idx="14">
                  <c:v>0.36482849899999997</c:v>
                </c:pt>
                <c:pt idx="15">
                  <c:v>0.32166784199999998</c:v>
                </c:pt>
                <c:pt idx="16">
                  <c:v>0.28600843129999998</c:v>
                </c:pt>
                <c:pt idx="17">
                  <c:v>0.25389974119999997</c:v>
                </c:pt>
                <c:pt idx="18">
                  <c:v>0.2430144997</c:v>
                </c:pt>
                <c:pt idx="19">
                  <c:v>0.22442679709999999</c:v>
                </c:pt>
                <c:pt idx="20">
                  <c:v>0.21763384720000001</c:v>
                </c:pt>
                <c:pt idx="21">
                  <c:v>0.21481597290000001</c:v>
                </c:pt>
                <c:pt idx="22">
                  <c:v>0.2186972355</c:v>
                </c:pt>
                <c:pt idx="23">
                  <c:v>0.20762651330000001</c:v>
                </c:pt>
                <c:pt idx="24">
                  <c:v>0.19277865129999999</c:v>
                </c:pt>
                <c:pt idx="25">
                  <c:v>0.16689808610000001</c:v>
                </c:pt>
                <c:pt idx="26">
                  <c:v>0.1438759916</c:v>
                </c:pt>
                <c:pt idx="27">
                  <c:v>0.12655609979999999</c:v>
                </c:pt>
                <c:pt idx="28">
                  <c:v>0.1067545295</c:v>
                </c:pt>
                <c:pt idx="29">
                  <c:v>9.13097462E-2</c:v>
                </c:pt>
                <c:pt idx="30">
                  <c:v>7.5095961000000003E-2</c:v>
                </c:pt>
                <c:pt idx="31">
                  <c:v>6.6868236600000006E-2</c:v>
                </c:pt>
                <c:pt idx="32">
                  <c:v>5.7511943400000001E-2</c:v>
                </c:pt>
                <c:pt idx="33">
                  <c:v>4.7631435299999997E-2</c:v>
                </c:pt>
                <c:pt idx="34">
                  <c:v>3.7549410700000001E-2</c:v>
                </c:pt>
                <c:pt idx="35">
                  <c:v>3.0643938400000001E-2</c:v>
                </c:pt>
                <c:pt idx="36">
                  <c:v>2.6107232399999999E-2</c:v>
                </c:pt>
                <c:pt idx="37">
                  <c:v>2.4117744699999999E-2</c:v>
                </c:pt>
                <c:pt idx="38">
                  <c:v>2.3674970900000002E-2</c:v>
                </c:pt>
                <c:pt idx="39">
                  <c:v>2.4107890999999999E-2</c:v>
                </c:pt>
                <c:pt idx="40">
                  <c:v>2.36054791E-2</c:v>
                </c:pt>
                <c:pt idx="41">
                  <c:v>2.1895590699999998E-2</c:v>
                </c:pt>
                <c:pt idx="42">
                  <c:v>1.8580652600000001E-2</c:v>
                </c:pt>
                <c:pt idx="43">
                  <c:v>1.51945664E-2</c:v>
                </c:pt>
                <c:pt idx="44">
                  <c:v>1.2080755300000001E-2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0.63061443279999996</c:v>
                </c:pt>
                <c:pt idx="8">
                  <c:v>0.40340599780000003</c:v>
                </c:pt>
                <c:pt idx="9">
                  <c:v>0.25743342969999999</c:v>
                </c:pt>
                <c:pt idx="10">
                  <c:v>0.2078878988</c:v>
                </c:pt>
                <c:pt idx="11">
                  <c:v>0.21143601540000001</c:v>
                </c:pt>
                <c:pt idx="12">
                  <c:v>0.24284388130000001</c:v>
                </c:pt>
                <c:pt idx="13">
                  <c:v>0.2701211288</c:v>
                </c:pt>
                <c:pt idx="14">
                  <c:v>0.2683207869</c:v>
                </c:pt>
                <c:pt idx="15">
                  <c:v>0.24901927409999999</c:v>
                </c:pt>
                <c:pt idx="16">
                  <c:v>0.22449233939999999</c:v>
                </c:pt>
                <c:pt idx="17">
                  <c:v>0.20665202290000001</c:v>
                </c:pt>
                <c:pt idx="18">
                  <c:v>0.20427459049999999</c:v>
                </c:pt>
                <c:pt idx="19">
                  <c:v>0.2115636809</c:v>
                </c:pt>
                <c:pt idx="20">
                  <c:v>0.22302539630000001</c:v>
                </c:pt>
                <c:pt idx="21">
                  <c:v>0.2180729085</c:v>
                </c:pt>
                <c:pt idx="22">
                  <c:v>0.19815144670000001</c:v>
                </c:pt>
                <c:pt idx="23">
                  <c:v>0.1718372413</c:v>
                </c:pt>
                <c:pt idx="24">
                  <c:v>0.1618753933</c:v>
                </c:pt>
                <c:pt idx="25">
                  <c:v>0.16675712670000001</c:v>
                </c:pt>
                <c:pt idx="26">
                  <c:v>0.18694740949999999</c:v>
                </c:pt>
                <c:pt idx="27">
                  <c:v>0.20447698280000001</c:v>
                </c:pt>
                <c:pt idx="28">
                  <c:v>0.19859718479999999</c:v>
                </c:pt>
                <c:pt idx="29">
                  <c:v>0.17775043330000001</c:v>
                </c:pt>
                <c:pt idx="30">
                  <c:v>0.1428052538</c:v>
                </c:pt>
                <c:pt idx="31">
                  <c:v>0.1147550016</c:v>
                </c:pt>
                <c:pt idx="32">
                  <c:v>9.6581010300000006E-2</c:v>
                </c:pt>
                <c:pt idx="33">
                  <c:v>9.2296328900000002E-2</c:v>
                </c:pt>
                <c:pt idx="34">
                  <c:v>9.1751014399999997E-2</c:v>
                </c:pt>
                <c:pt idx="35">
                  <c:v>8.7822836700000004E-2</c:v>
                </c:pt>
                <c:pt idx="36">
                  <c:v>8.00213075E-2</c:v>
                </c:pt>
                <c:pt idx="37">
                  <c:v>7.0611398399999997E-2</c:v>
                </c:pt>
                <c:pt idx="38">
                  <c:v>6.4861559799999996E-2</c:v>
                </c:pt>
                <c:pt idx="39">
                  <c:v>6.2299188899999997E-2</c:v>
                </c:pt>
                <c:pt idx="40">
                  <c:v>6.1709797599999998E-2</c:v>
                </c:pt>
                <c:pt idx="41">
                  <c:v>6.1544232499999997E-2</c:v>
                </c:pt>
                <c:pt idx="42">
                  <c:v>5.7458143500000003E-2</c:v>
                </c:pt>
                <c:pt idx="43">
                  <c:v>5.03669941E-2</c:v>
                </c:pt>
                <c:pt idx="44">
                  <c:v>4.57565609E-2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2'!$AS$168:$CK$168</c:f>
              <c:numCache>
                <c:formatCode>0.0%</c:formatCode>
                <c:ptCount val="45"/>
                <c:pt idx="0">
                  <c:v>0.1850562415</c:v>
                </c:pt>
                <c:pt idx="1">
                  <c:v>0.20048048060000001</c:v>
                </c:pt>
                <c:pt idx="2">
                  <c:v>0.1763489329</c:v>
                </c:pt>
                <c:pt idx="3">
                  <c:v>0.14589019049999999</c:v>
                </c:pt>
                <c:pt idx="4">
                  <c:v>0.13781630559999999</c:v>
                </c:pt>
                <c:pt idx="5">
                  <c:v>0.1465968761</c:v>
                </c:pt>
                <c:pt idx="6">
                  <c:v>0.16712800620000001</c:v>
                </c:pt>
                <c:pt idx="7">
                  <c:v>0.18170385650000001</c:v>
                </c:pt>
                <c:pt idx="8">
                  <c:v>0.16605471629999999</c:v>
                </c:pt>
                <c:pt idx="9">
                  <c:v>0.17184176600000001</c:v>
                </c:pt>
                <c:pt idx="10">
                  <c:v>0.16155366139999999</c:v>
                </c:pt>
                <c:pt idx="11">
                  <c:v>0.2085501589</c:v>
                </c:pt>
                <c:pt idx="12">
                  <c:v>0.23027433420000001</c:v>
                </c:pt>
                <c:pt idx="13">
                  <c:v>0.24633237459999999</c:v>
                </c:pt>
                <c:pt idx="14">
                  <c:v>0.29652201369999998</c:v>
                </c:pt>
                <c:pt idx="15">
                  <c:v>0.28464799909999999</c:v>
                </c:pt>
                <c:pt idx="16">
                  <c:v>0.32018916330000002</c:v>
                </c:pt>
                <c:pt idx="17">
                  <c:v>0.31572953599999998</c:v>
                </c:pt>
                <c:pt idx="18">
                  <c:v>0.28908151319999997</c:v>
                </c:pt>
                <c:pt idx="19">
                  <c:v>0.27466665759999997</c:v>
                </c:pt>
                <c:pt idx="20">
                  <c:v>0.2431048163</c:v>
                </c:pt>
                <c:pt idx="21">
                  <c:v>0.25910972650000003</c:v>
                </c:pt>
                <c:pt idx="22">
                  <c:v>0.27700985839999998</c:v>
                </c:pt>
                <c:pt idx="23">
                  <c:v>0.28242810480000002</c:v>
                </c:pt>
                <c:pt idx="24">
                  <c:v>0.28743445940000001</c:v>
                </c:pt>
                <c:pt idx="25">
                  <c:v>0.25588432989999998</c:v>
                </c:pt>
                <c:pt idx="26">
                  <c:v>0.2262092101</c:v>
                </c:pt>
                <c:pt idx="27">
                  <c:v>0.19502578249999999</c:v>
                </c:pt>
                <c:pt idx="28">
                  <c:v>0.17607067530000001</c:v>
                </c:pt>
                <c:pt idx="29">
                  <c:v>0.1673662407</c:v>
                </c:pt>
                <c:pt idx="30">
                  <c:v>0.15575927070000001</c:v>
                </c:pt>
                <c:pt idx="31">
                  <c:v>0.15470491250000001</c:v>
                </c:pt>
                <c:pt idx="32">
                  <c:v>0.14686338900000001</c:v>
                </c:pt>
                <c:pt idx="33">
                  <c:v>0.1340345416</c:v>
                </c:pt>
                <c:pt idx="34">
                  <c:v>0.12756107780000001</c:v>
                </c:pt>
                <c:pt idx="35">
                  <c:v>0.11452142210000001</c:v>
                </c:pt>
                <c:pt idx="36">
                  <c:v>0.1082819953</c:v>
                </c:pt>
                <c:pt idx="37">
                  <c:v>9.9297885700000005E-2</c:v>
                </c:pt>
                <c:pt idx="38">
                  <c:v>8.7961256900000007E-2</c:v>
                </c:pt>
                <c:pt idx="39">
                  <c:v>8.1059577899999999E-2</c:v>
                </c:pt>
                <c:pt idx="40">
                  <c:v>7.1019721499999994E-2</c:v>
                </c:pt>
                <c:pt idx="41">
                  <c:v>6.7931476300000002E-2</c:v>
                </c:pt>
                <c:pt idx="42">
                  <c:v>6.1823697099999998E-2</c:v>
                </c:pt>
                <c:pt idx="43">
                  <c:v>5.6364884400000002E-2</c:v>
                </c:pt>
                <c:pt idx="44">
                  <c:v>5.2197984000000003E-2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2'!$AS$169:$CK$169</c:f>
              <c:numCache>
                <c:formatCode>0.0%</c:formatCode>
                <c:ptCount val="45"/>
                <c:pt idx="0">
                  <c:v>5.1871987999999999E-3</c:v>
                </c:pt>
                <c:pt idx="1">
                  <c:v>4.8804870999999998E-3</c:v>
                </c:pt>
                <c:pt idx="2">
                  <c:v>4.0897260000000001E-3</c:v>
                </c:pt>
                <c:pt idx="3">
                  <c:v>3.1003719000000001E-3</c:v>
                </c:pt>
                <c:pt idx="4">
                  <c:v>2.2778988999999999E-3</c:v>
                </c:pt>
                <c:pt idx="5">
                  <c:v>1.7306236999999999E-3</c:v>
                </c:pt>
                <c:pt idx="6">
                  <c:v>1.5537938E-3</c:v>
                </c:pt>
                <c:pt idx="7">
                  <c:v>1.3127983000000001E-3</c:v>
                </c:pt>
                <c:pt idx="8">
                  <c:v>9.8875250000000003E-4</c:v>
                </c:pt>
                <c:pt idx="9">
                  <c:v>6.9247079999999999E-4</c:v>
                </c:pt>
                <c:pt idx="10">
                  <c:v>4.7122279999999998E-4</c:v>
                </c:pt>
                <c:pt idx="11">
                  <c:v>3.5554940000000001E-4</c:v>
                </c:pt>
                <c:pt idx="12">
                  <c:v>2.9257060000000001E-4</c:v>
                </c:pt>
                <c:pt idx="13">
                  <c:v>2.6465990000000002E-4</c:v>
                </c:pt>
                <c:pt idx="14">
                  <c:v>2.8104649999999997E-4</c:v>
                </c:pt>
                <c:pt idx="15">
                  <c:v>3.0464089999999999E-4</c:v>
                </c:pt>
                <c:pt idx="16">
                  <c:v>3.4879259999999999E-4</c:v>
                </c:pt>
                <c:pt idx="17">
                  <c:v>4.0214489999999999E-4</c:v>
                </c:pt>
                <c:pt idx="18">
                  <c:v>5.0884349999999999E-4</c:v>
                </c:pt>
                <c:pt idx="19">
                  <c:v>6.3392519999999999E-4</c:v>
                </c:pt>
                <c:pt idx="20">
                  <c:v>8.1830309999999997E-4</c:v>
                </c:pt>
                <c:pt idx="21">
                  <c:v>9.4598459999999996E-4</c:v>
                </c:pt>
                <c:pt idx="22">
                  <c:v>1.0414587999999999E-3</c:v>
                </c:pt>
                <c:pt idx="23">
                  <c:v>1.0641118E-3</c:v>
                </c:pt>
                <c:pt idx="24">
                  <c:v>1.0680037999999999E-3</c:v>
                </c:pt>
                <c:pt idx="25">
                  <c:v>1.1260945E-3</c:v>
                </c:pt>
                <c:pt idx="26">
                  <c:v>1.177761E-3</c:v>
                </c:pt>
                <c:pt idx="27">
                  <c:v>1.2926903999999999E-3</c:v>
                </c:pt>
                <c:pt idx="28">
                  <c:v>1.3084722E-3</c:v>
                </c:pt>
                <c:pt idx="29">
                  <c:v>1.2804521000000001E-3</c:v>
                </c:pt>
                <c:pt idx="30">
                  <c:v>1.1783226000000001E-3</c:v>
                </c:pt>
                <c:pt idx="31">
                  <c:v>1.0693434000000001E-3</c:v>
                </c:pt>
                <c:pt idx="32">
                  <c:v>9.982242000000001E-4</c:v>
                </c:pt>
                <c:pt idx="33">
                  <c:v>8.980228E-4</c:v>
                </c:pt>
                <c:pt idx="34">
                  <c:v>8.2745099999999999E-4</c:v>
                </c:pt>
                <c:pt idx="35">
                  <c:v>7.459109E-4</c:v>
                </c:pt>
                <c:pt idx="36">
                  <c:v>6.8771420000000004E-4</c:v>
                </c:pt>
                <c:pt idx="37">
                  <c:v>7.1241000000000002E-4</c:v>
                </c:pt>
                <c:pt idx="38">
                  <c:v>7.6026900000000005E-4</c:v>
                </c:pt>
                <c:pt idx="39">
                  <c:v>8.2924120000000005E-4</c:v>
                </c:pt>
                <c:pt idx="40">
                  <c:v>8.58824E-4</c:v>
                </c:pt>
                <c:pt idx="41">
                  <c:v>9.0231239999999998E-4</c:v>
                </c:pt>
                <c:pt idx="42">
                  <c:v>9.5571610000000004E-4</c:v>
                </c:pt>
                <c:pt idx="43">
                  <c:v>1.0240340000000001E-3</c:v>
                </c:pt>
                <c:pt idx="44">
                  <c:v>1.0402183E-3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0.25491098280000002</c:v>
                </c:pt>
                <c:pt idx="9">
                  <c:v>0.29407059720000001</c:v>
                </c:pt>
                <c:pt idx="10">
                  <c:v>0.37878989289999998</c:v>
                </c:pt>
                <c:pt idx="11">
                  <c:v>0.45309207439999999</c:v>
                </c:pt>
                <c:pt idx="12">
                  <c:v>0.51273029049999996</c:v>
                </c:pt>
                <c:pt idx="13">
                  <c:v>0.48302584570000001</c:v>
                </c:pt>
                <c:pt idx="14">
                  <c:v>0.37948791999999998</c:v>
                </c:pt>
                <c:pt idx="15">
                  <c:v>0.27262885139999998</c:v>
                </c:pt>
                <c:pt idx="16">
                  <c:v>0.176804929</c:v>
                </c:pt>
                <c:pt idx="17">
                  <c:v>0.14083437700000001</c:v>
                </c:pt>
                <c:pt idx="18">
                  <c:v>0.1228880639</c:v>
                </c:pt>
                <c:pt idx="19">
                  <c:v>0.13002905849999999</c:v>
                </c:pt>
                <c:pt idx="20">
                  <c:v>0.1438666468</c:v>
                </c:pt>
                <c:pt idx="21">
                  <c:v>0.15004671280000001</c:v>
                </c:pt>
                <c:pt idx="22">
                  <c:v>0.15600660820000001</c:v>
                </c:pt>
                <c:pt idx="23">
                  <c:v>0.14646562299999999</c:v>
                </c:pt>
                <c:pt idx="24">
                  <c:v>0.1324703002</c:v>
                </c:pt>
                <c:pt idx="25">
                  <c:v>0.11705919670000001</c:v>
                </c:pt>
                <c:pt idx="26">
                  <c:v>0.1057227334</c:v>
                </c:pt>
                <c:pt idx="27">
                  <c:v>9.8027312899999997E-2</c:v>
                </c:pt>
                <c:pt idx="28">
                  <c:v>9.3400188199999998E-2</c:v>
                </c:pt>
                <c:pt idx="29">
                  <c:v>8.6364779000000003E-2</c:v>
                </c:pt>
                <c:pt idx="30">
                  <c:v>7.4230361600000003E-2</c:v>
                </c:pt>
                <c:pt idx="31">
                  <c:v>6.1759802000000003E-2</c:v>
                </c:pt>
                <c:pt idx="32">
                  <c:v>5.0568994899999997E-2</c:v>
                </c:pt>
                <c:pt idx="33">
                  <c:v>5.7503080599999999E-2</c:v>
                </c:pt>
                <c:pt idx="34">
                  <c:v>6.5012658299999998E-2</c:v>
                </c:pt>
                <c:pt idx="35">
                  <c:v>8.1055387300000004E-2</c:v>
                </c:pt>
                <c:pt idx="36">
                  <c:v>8.7774273599999994E-2</c:v>
                </c:pt>
                <c:pt idx="37">
                  <c:v>8.5815498599999998E-2</c:v>
                </c:pt>
                <c:pt idx="38">
                  <c:v>8.0756882099999996E-2</c:v>
                </c:pt>
                <c:pt idx="39">
                  <c:v>7.05412604E-2</c:v>
                </c:pt>
                <c:pt idx="40">
                  <c:v>6.6014289899999995E-2</c:v>
                </c:pt>
                <c:pt idx="41">
                  <c:v>5.5370983700000001E-2</c:v>
                </c:pt>
                <c:pt idx="42">
                  <c:v>4.8486583899999998E-2</c:v>
                </c:pt>
                <c:pt idx="43">
                  <c:v>4.0077510199999999E-2</c:v>
                </c:pt>
                <c:pt idx="44">
                  <c:v>3.3954113299999998E-2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2'!$AS$171:$CK$171</c:f>
              <c:numCache>
                <c:formatCode>0.0%</c:formatCode>
                <c:ptCount val="45"/>
                <c:pt idx="0">
                  <c:v>0.56601534740000004</c:v>
                </c:pt>
                <c:pt idx="1">
                  <c:v>0.46814927499999998</c:v>
                </c:pt>
                <c:pt idx="2">
                  <c:v>0.36652812769999998</c:v>
                </c:pt>
                <c:pt idx="3">
                  <c:v>0.31798054269999998</c:v>
                </c:pt>
                <c:pt idx="4">
                  <c:v>0.32941603949999998</c:v>
                </c:pt>
                <c:pt idx="5">
                  <c:v>0.39338657760000001</c:v>
                </c:pt>
                <c:pt idx="6">
                  <c:v>0.4152522803</c:v>
                </c:pt>
                <c:pt idx="7">
                  <c:v>0.39547260169999998</c:v>
                </c:pt>
                <c:pt idx="8">
                  <c:v>0.3303518252</c:v>
                </c:pt>
                <c:pt idx="9">
                  <c:v>0.27768437219999997</c:v>
                </c:pt>
                <c:pt idx="10">
                  <c:v>0.26727353729999997</c:v>
                </c:pt>
                <c:pt idx="11">
                  <c:v>0.28352753400000003</c:v>
                </c:pt>
                <c:pt idx="12">
                  <c:v>0.28127566469999998</c:v>
                </c:pt>
                <c:pt idx="13">
                  <c:v>0.2439622736</c:v>
                </c:pt>
                <c:pt idx="14">
                  <c:v>0.22027201499999999</c:v>
                </c:pt>
                <c:pt idx="15">
                  <c:v>0.2048723643</c:v>
                </c:pt>
                <c:pt idx="16">
                  <c:v>0.20400655400000001</c:v>
                </c:pt>
                <c:pt idx="17">
                  <c:v>0.2154894597</c:v>
                </c:pt>
                <c:pt idx="18">
                  <c:v>0.2016266598</c:v>
                </c:pt>
                <c:pt idx="19">
                  <c:v>0.19076305700000001</c:v>
                </c:pt>
                <c:pt idx="20">
                  <c:v>0.16459604899999999</c:v>
                </c:pt>
                <c:pt idx="21">
                  <c:v>0.16141461139999999</c:v>
                </c:pt>
                <c:pt idx="22">
                  <c:v>0.15646377210000001</c:v>
                </c:pt>
                <c:pt idx="23">
                  <c:v>0.15579636720000001</c:v>
                </c:pt>
                <c:pt idx="24">
                  <c:v>0.1562262549</c:v>
                </c:pt>
                <c:pt idx="25">
                  <c:v>0.1487816501</c:v>
                </c:pt>
                <c:pt idx="26">
                  <c:v>0.14413575689999999</c:v>
                </c:pt>
                <c:pt idx="27">
                  <c:v>0.1321291101</c:v>
                </c:pt>
                <c:pt idx="28">
                  <c:v>0.1237461338</c:v>
                </c:pt>
                <c:pt idx="29">
                  <c:v>0.1187796906</c:v>
                </c:pt>
                <c:pt idx="30">
                  <c:v>0.1142378262</c:v>
                </c:pt>
                <c:pt idx="31">
                  <c:v>0.11025066829999999</c:v>
                </c:pt>
                <c:pt idx="32">
                  <c:v>0.1021042174</c:v>
                </c:pt>
                <c:pt idx="33">
                  <c:v>8.8402824199999994E-2</c:v>
                </c:pt>
                <c:pt idx="34">
                  <c:v>7.2639517799999997E-2</c:v>
                </c:pt>
                <c:pt idx="35">
                  <c:v>6.13656801E-2</c:v>
                </c:pt>
                <c:pt idx="36">
                  <c:v>5.4422984899999999E-2</c:v>
                </c:pt>
                <c:pt idx="37">
                  <c:v>5.1312598199999997E-2</c:v>
                </c:pt>
                <c:pt idx="38">
                  <c:v>4.9244895599999998E-2</c:v>
                </c:pt>
                <c:pt idx="39">
                  <c:v>4.9575087300000001E-2</c:v>
                </c:pt>
                <c:pt idx="40">
                  <c:v>4.9708973699999999E-2</c:v>
                </c:pt>
                <c:pt idx="41">
                  <c:v>6.7888427400000007E-2</c:v>
                </c:pt>
                <c:pt idx="42">
                  <c:v>8.2641621799999995E-2</c:v>
                </c:pt>
                <c:pt idx="43">
                  <c:v>9.7013129000000003E-2</c:v>
                </c:pt>
                <c:pt idx="44">
                  <c:v>9.4086458100000006E-2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2'!$AS$172:$CK$172</c:f>
              <c:numCache>
                <c:formatCode>0.0%</c:formatCode>
                <c:ptCount val="45"/>
                <c:pt idx="0">
                  <c:v>0.42200566750000001</c:v>
                </c:pt>
                <c:pt idx="1">
                  <c:v>0.41494347929999997</c:v>
                </c:pt>
                <c:pt idx="2">
                  <c:v>0.3742310761</c:v>
                </c:pt>
                <c:pt idx="3">
                  <c:v>0.38292517469999998</c:v>
                </c:pt>
                <c:pt idx="4">
                  <c:v>0.40007208849999998</c:v>
                </c:pt>
                <c:pt idx="5">
                  <c:v>0.41621399809999998</c:v>
                </c:pt>
                <c:pt idx="6">
                  <c:v>0.42005077870000002</c:v>
                </c:pt>
                <c:pt idx="7">
                  <c:v>0.33825805390000002</c:v>
                </c:pt>
                <c:pt idx="8">
                  <c:v>0.2695297418</c:v>
                </c:pt>
                <c:pt idx="9">
                  <c:v>0.235160965</c:v>
                </c:pt>
                <c:pt idx="10">
                  <c:v>0.2136247322</c:v>
                </c:pt>
                <c:pt idx="11">
                  <c:v>0.26255276249999998</c:v>
                </c:pt>
                <c:pt idx="12">
                  <c:v>0.2952508915</c:v>
                </c:pt>
                <c:pt idx="13">
                  <c:v>0.32638571830000002</c:v>
                </c:pt>
                <c:pt idx="14">
                  <c:v>0.34195791479999998</c:v>
                </c:pt>
                <c:pt idx="15">
                  <c:v>0.30653677369999999</c:v>
                </c:pt>
                <c:pt idx="16">
                  <c:v>0.29255758450000002</c:v>
                </c:pt>
                <c:pt idx="17">
                  <c:v>0.27294795560000001</c:v>
                </c:pt>
                <c:pt idx="18">
                  <c:v>0.28074743070000002</c:v>
                </c:pt>
                <c:pt idx="19">
                  <c:v>0.26619042399999998</c:v>
                </c:pt>
                <c:pt idx="20">
                  <c:v>0.23410656469999999</c:v>
                </c:pt>
                <c:pt idx="21">
                  <c:v>0.1984990928</c:v>
                </c:pt>
                <c:pt idx="22">
                  <c:v>0.1630856852</c:v>
                </c:pt>
                <c:pt idx="23">
                  <c:v>0.14713975560000001</c:v>
                </c:pt>
                <c:pt idx="24">
                  <c:v>0.14300862189999999</c:v>
                </c:pt>
                <c:pt idx="25">
                  <c:v>0.1477463812</c:v>
                </c:pt>
                <c:pt idx="26">
                  <c:v>0.15092394349999999</c:v>
                </c:pt>
                <c:pt idx="27">
                  <c:v>0.1447883794</c:v>
                </c:pt>
                <c:pt idx="28">
                  <c:v>0.1306035344</c:v>
                </c:pt>
                <c:pt idx="29">
                  <c:v>0.1102797943</c:v>
                </c:pt>
                <c:pt idx="30">
                  <c:v>9.1633258499999995E-2</c:v>
                </c:pt>
                <c:pt idx="31">
                  <c:v>8.2655039E-2</c:v>
                </c:pt>
                <c:pt idx="32">
                  <c:v>7.9846583900000004E-2</c:v>
                </c:pt>
                <c:pt idx="33">
                  <c:v>7.8886474600000006E-2</c:v>
                </c:pt>
                <c:pt idx="34">
                  <c:v>7.3284360000000007E-2</c:v>
                </c:pt>
                <c:pt idx="35">
                  <c:v>6.3182434499999995E-2</c:v>
                </c:pt>
                <c:pt idx="36">
                  <c:v>5.2234027400000001E-2</c:v>
                </c:pt>
                <c:pt idx="37">
                  <c:v>4.4930961800000002E-2</c:v>
                </c:pt>
                <c:pt idx="38">
                  <c:v>4.2276355500000001E-2</c:v>
                </c:pt>
                <c:pt idx="39">
                  <c:v>4.2344635800000002E-2</c:v>
                </c:pt>
                <c:pt idx="40">
                  <c:v>4.0889405099999998E-2</c:v>
                </c:pt>
                <c:pt idx="41">
                  <c:v>3.69089711E-2</c:v>
                </c:pt>
                <c:pt idx="42">
                  <c:v>3.07607464E-2</c:v>
                </c:pt>
                <c:pt idx="43">
                  <c:v>2.4292790299999999E-2</c:v>
                </c:pt>
                <c:pt idx="44">
                  <c:v>2.0525132200000001E-2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0.1170572436</c:v>
                </c:pt>
                <c:pt idx="8">
                  <c:v>0.115892272</c:v>
                </c:pt>
                <c:pt idx="9">
                  <c:v>0.1409735262</c:v>
                </c:pt>
                <c:pt idx="10">
                  <c:v>0.1641260481</c:v>
                </c:pt>
                <c:pt idx="11">
                  <c:v>0.16950056550000001</c:v>
                </c:pt>
                <c:pt idx="12">
                  <c:v>0.16819006719999999</c:v>
                </c:pt>
                <c:pt idx="13">
                  <c:v>0.16542047360000001</c:v>
                </c:pt>
                <c:pt idx="14">
                  <c:v>0.14994819240000001</c:v>
                </c:pt>
                <c:pt idx="15">
                  <c:v>0.1457845639</c:v>
                </c:pt>
                <c:pt idx="16">
                  <c:v>0.1286277726</c:v>
                </c:pt>
                <c:pt idx="17">
                  <c:v>0.13449389549999999</c:v>
                </c:pt>
                <c:pt idx="18">
                  <c:v>0.15480856030000001</c:v>
                </c:pt>
                <c:pt idx="19">
                  <c:v>0.1970778762</c:v>
                </c:pt>
                <c:pt idx="20">
                  <c:v>0.2349771433</c:v>
                </c:pt>
                <c:pt idx="21">
                  <c:v>0.2561535976</c:v>
                </c:pt>
                <c:pt idx="22">
                  <c:v>0.24584294500000001</c:v>
                </c:pt>
                <c:pt idx="23">
                  <c:v>0.21831554240000001</c:v>
                </c:pt>
                <c:pt idx="24">
                  <c:v>0.18613022730000001</c:v>
                </c:pt>
                <c:pt idx="25">
                  <c:v>0.16686405409999999</c:v>
                </c:pt>
                <c:pt idx="26">
                  <c:v>0.16111485040000001</c:v>
                </c:pt>
                <c:pt idx="27">
                  <c:v>0.14399599909999999</c:v>
                </c:pt>
                <c:pt idx="28">
                  <c:v>0.14168338820000001</c:v>
                </c:pt>
                <c:pt idx="29">
                  <c:v>0.1276423672</c:v>
                </c:pt>
                <c:pt idx="30">
                  <c:v>0.156071549</c:v>
                </c:pt>
                <c:pt idx="31">
                  <c:v>0.1964249277</c:v>
                </c:pt>
                <c:pt idx="32">
                  <c:v>0.21497087040000001</c:v>
                </c:pt>
                <c:pt idx="33">
                  <c:v>0.2221424179</c:v>
                </c:pt>
                <c:pt idx="34">
                  <c:v>0.18744344530000001</c:v>
                </c:pt>
                <c:pt idx="35">
                  <c:v>0.1783447111</c:v>
                </c:pt>
                <c:pt idx="36">
                  <c:v>0.17777100100000001</c:v>
                </c:pt>
                <c:pt idx="37">
                  <c:v>0.18226935799999999</c:v>
                </c:pt>
                <c:pt idx="38">
                  <c:v>0.18071606940000001</c:v>
                </c:pt>
                <c:pt idx="39">
                  <c:v>0.15309438519999999</c:v>
                </c:pt>
                <c:pt idx="40">
                  <c:v>0.1358952346</c:v>
                </c:pt>
                <c:pt idx="41">
                  <c:v>0.1207200095</c:v>
                </c:pt>
                <c:pt idx="42">
                  <c:v>0.1185716919</c:v>
                </c:pt>
                <c:pt idx="43">
                  <c:v>0.11378104159999999</c:v>
                </c:pt>
                <c:pt idx="44">
                  <c:v>0.10755981069999999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2'!$AS$174:$CK$174</c:f>
              <c:numCache>
                <c:formatCode>0.0%</c:formatCode>
                <c:ptCount val="45"/>
                <c:pt idx="0">
                  <c:v>0.59137094489999997</c:v>
                </c:pt>
                <c:pt idx="1">
                  <c:v>0.58031894969999998</c:v>
                </c:pt>
                <c:pt idx="2">
                  <c:v>0.5323147922</c:v>
                </c:pt>
                <c:pt idx="3">
                  <c:v>0.4546337802</c:v>
                </c:pt>
                <c:pt idx="4">
                  <c:v>0.3812572454</c:v>
                </c:pt>
                <c:pt idx="5">
                  <c:v>0.30774997970000001</c:v>
                </c:pt>
                <c:pt idx="6">
                  <c:v>0.26184715180000001</c:v>
                </c:pt>
                <c:pt idx="7">
                  <c:v>0.22186834220000001</c:v>
                </c:pt>
                <c:pt idx="8">
                  <c:v>0.18121716099999999</c:v>
                </c:pt>
                <c:pt idx="9">
                  <c:v>0.14496841220000001</c:v>
                </c:pt>
                <c:pt idx="10">
                  <c:v>0.12158720670000001</c:v>
                </c:pt>
                <c:pt idx="11">
                  <c:v>0.1170456064</c:v>
                </c:pt>
                <c:pt idx="12">
                  <c:v>0.11929681960000001</c:v>
                </c:pt>
                <c:pt idx="13">
                  <c:v>0.11961094680000001</c:v>
                </c:pt>
                <c:pt idx="14">
                  <c:v>0.1133050874</c:v>
                </c:pt>
                <c:pt idx="15">
                  <c:v>0.1032697875</c:v>
                </c:pt>
                <c:pt idx="16">
                  <c:v>9.1635237699999997E-2</c:v>
                </c:pt>
                <c:pt idx="17">
                  <c:v>8.1022613199999996E-2</c:v>
                </c:pt>
                <c:pt idx="18">
                  <c:v>7.3930934700000006E-2</c:v>
                </c:pt>
                <c:pt idx="19">
                  <c:v>6.7942929999999999E-2</c:v>
                </c:pt>
                <c:pt idx="20">
                  <c:v>6.2737960100000004E-2</c:v>
                </c:pt>
                <c:pt idx="21">
                  <c:v>5.8897912400000002E-2</c:v>
                </c:pt>
                <c:pt idx="22">
                  <c:v>5.8259364700000003E-2</c:v>
                </c:pt>
                <c:pt idx="23">
                  <c:v>6.2917955299999995E-2</c:v>
                </c:pt>
                <c:pt idx="24">
                  <c:v>7.0350042000000002E-2</c:v>
                </c:pt>
                <c:pt idx="25">
                  <c:v>7.9754194799999997E-2</c:v>
                </c:pt>
                <c:pt idx="26">
                  <c:v>8.7334465299999997E-2</c:v>
                </c:pt>
                <c:pt idx="27">
                  <c:v>9.0911539E-2</c:v>
                </c:pt>
                <c:pt idx="28">
                  <c:v>9.12894816E-2</c:v>
                </c:pt>
                <c:pt idx="29">
                  <c:v>8.8089809000000005E-2</c:v>
                </c:pt>
                <c:pt idx="30">
                  <c:v>8.3105937000000005E-2</c:v>
                </c:pt>
                <c:pt idx="31">
                  <c:v>7.6969680100000007E-2</c:v>
                </c:pt>
                <c:pt idx="32">
                  <c:v>7.0397558299999996E-2</c:v>
                </c:pt>
                <c:pt idx="33">
                  <c:v>6.3910371300000005E-2</c:v>
                </c:pt>
                <c:pt idx="34">
                  <c:v>5.7427807900000002E-2</c:v>
                </c:pt>
                <c:pt idx="35">
                  <c:v>5.1597262099999999E-2</c:v>
                </c:pt>
                <c:pt idx="36">
                  <c:v>4.6378710300000001E-2</c:v>
                </c:pt>
                <c:pt idx="37">
                  <c:v>4.1678291999999999E-2</c:v>
                </c:pt>
                <c:pt idx="38">
                  <c:v>3.71305236E-2</c:v>
                </c:pt>
                <c:pt idx="39">
                  <c:v>3.3433676900000001E-2</c:v>
                </c:pt>
                <c:pt idx="40">
                  <c:v>3.04657596E-2</c:v>
                </c:pt>
                <c:pt idx="41">
                  <c:v>2.8383557699999999E-2</c:v>
                </c:pt>
                <c:pt idx="42">
                  <c:v>2.6850914100000001E-2</c:v>
                </c:pt>
                <c:pt idx="43">
                  <c:v>2.52442469E-2</c:v>
                </c:pt>
                <c:pt idx="44">
                  <c:v>2.3753624000000001E-2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2'!$AS$175:$CK$175</c:f>
              <c:numCache>
                <c:formatCode>0.0%</c:formatCode>
                <c:ptCount val="45"/>
                <c:pt idx="0">
                  <c:v>0.35762669289999999</c:v>
                </c:pt>
                <c:pt idx="1">
                  <c:v>0.3292807848</c:v>
                </c:pt>
                <c:pt idx="2">
                  <c:v>0.29992999399999998</c:v>
                </c:pt>
                <c:pt idx="3">
                  <c:v>0.26328978619999999</c:v>
                </c:pt>
                <c:pt idx="4">
                  <c:v>0.242627288</c:v>
                </c:pt>
                <c:pt idx="5">
                  <c:v>0.23242417000000001</c:v>
                </c:pt>
                <c:pt idx="6">
                  <c:v>0.23762314239999999</c:v>
                </c:pt>
                <c:pt idx="7">
                  <c:v>0.2412545576</c:v>
                </c:pt>
                <c:pt idx="8">
                  <c:v>0.2321292975</c:v>
                </c:pt>
                <c:pt idx="9">
                  <c:v>0.21935918439999999</c:v>
                </c:pt>
                <c:pt idx="10">
                  <c:v>0.20455826290000001</c:v>
                </c:pt>
                <c:pt idx="11">
                  <c:v>0.19134198520000001</c:v>
                </c:pt>
                <c:pt idx="12">
                  <c:v>0.19190411199999999</c:v>
                </c:pt>
                <c:pt idx="13">
                  <c:v>0.1891977608</c:v>
                </c:pt>
                <c:pt idx="14">
                  <c:v>0.1834037211</c:v>
                </c:pt>
                <c:pt idx="15">
                  <c:v>0.16849484649999999</c:v>
                </c:pt>
                <c:pt idx="16">
                  <c:v>0.15293607980000001</c:v>
                </c:pt>
                <c:pt idx="17">
                  <c:v>0.1423736665</c:v>
                </c:pt>
                <c:pt idx="18">
                  <c:v>0.13766754959999999</c:v>
                </c:pt>
                <c:pt idx="19">
                  <c:v>0.13873144379999999</c:v>
                </c:pt>
                <c:pt idx="20">
                  <c:v>0.13813370359999999</c:v>
                </c:pt>
                <c:pt idx="21">
                  <c:v>0.13022034269999999</c:v>
                </c:pt>
                <c:pt idx="22">
                  <c:v>0.11637096769999999</c:v>
                </c:pt>
                <c:pt idx="23">
                  <c:v>0.100162631</c:v>
                </c:pt>
                <c:pt idx="24">
                  <c:v>8.8388111300000002E-2</c:v>
                </c:pt>
                <c:pt idx="25">
                  <c:v>8.1292115999999998E-2</c:v>
                </c:pt>
                <c:pt idx="26">
                  <c:v>7.7947274699999999E-2</c:v>
                </c:pt>
                <c:pt idx="27">
                  <c:v>7.4576729100000003E-2</c:v>
                </c:pt>
                <c:pt idx="28">
                  <c:v>6.8251112000000003E-2</c:v>
                </c:pt>
                <c:pt idx="29">
                  <c:v>6.0317923099999997E-2</c:v>
                </c:pt>
                <c:pt idx="30">
                  <c:v>5.21643938E-2</c:v>
                </c:pt>
                <c:pt idx="31">
                  <c:v>4.6333304800000003E-2</c:v>
                </c:pt>
                <c:pt idx="32">
                  <c:v>4.3153975999999997E-2</c:v>
                </c:pt>
                <c:pt idx="33">
                  <c:v>4.1914697399999999E-2</c:v>
                </c:pt>
                <c:pt idx="34">
                  <c:v>4.0885574899999999E-2</c:v>
                </c:pt>
                <c:pt idx="35">
                  <c:v>3.8786490299999997E-2</c:v>
                </c:pt>
                <c:pt idx="36">
                  <c:v>3.5291945499999998E-2</c:v>
                </c:pt>
                <c:pt idx="37">
                  <c:v>3.17183267E-2</c:v>
                </c:pt>
                <c:pt idx="38">
                  <c:v>2.8994398399999999E-2</c:v>
                </c:pt>
                <c:pt idx="39">
                  <c:v>2.7642997200000002E-2</c:v>
                </c:pt>
                <c:pt idx="40">
                  <c:v>2.8009821899999999E-2</c:v>
                </c:pt>
                <c:pt idx="41">
                  <c:v>2.8596119999999999E-2</c:v>
                </c:pt>
                <c:pt idx="42">
                  <c:v>2.8342139200000002E-2</c:v>
                </c:pt>
                <c:pt idx="43">
                  <c:v>2.6633645800000001E-2</c:v>
                </c:pt>
                <c:pt idx="44">
                  <c:v>2.3765857599999999E-2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2'!$AS$176:$CK$176</c:f>
              <c:numCache>
                <c:formatCode>0.0%</c:formatCode>
                <c:ptCount val="45"/>
                <c:pt idx="0">
                  <c:v>7.70229038E-2</c:v>
                </c:pt>
                <c:pt idx="1">
                  <c:v>6.8667541900000004E-2</c:v>
                </c:pt>
                <c:pt idx="2">
                  <c:v>7.0813673699999996E-2</c:v>
                </c:pt>
                <c:pt idx="3">
                  <c:v>7.9354913700000002E-2</c:v>
                </c:pt>
                <c:pt idx="4">
                  <c:v>9.5632535000000005E-2</c:v>
                </c:pt>
                <c:pt idx="5">
                  <c:v>0.10813580239999999</c:v>
                </c:pt>
                <c:pt idx="6">
                  <c:v>0.1140032577</c:v>
                </c:pt>
                <c:pt idx="7">
                  <c:v>0.1063068368</c:v>
                </c:pt>
                <c:pt idx="8">
                  <c:v>9.4444050000000002E-2</c:v>
                </c:pt>
                <c:pt idx="9">
                  <c:v>8.67541857E-2</c:v>
                </c:pt>
                <c:pt idx="10">
                  <c:v>8.1209632099999998E-2</c:v>
                </c:pt>
                <c:pt idx="11">
                  <c:v>8.0624086499999997E-2</c:v>
                </c:pt>
                <c:pt idx="12">
                  <c:v>7.6921669999999998E-2</c:v>
                </c:pt>
                <c:pt idx="13">
                  <c:v>7.5151440700000002E-2</c:v>
                </c:pt>
                <c:pt idx="14">
                  <c:v>6.9253704400000005E-2</c:v>
                </c:pt>
                <c:pt idx="15">
                  <c:v>6.3938131300000006E-2</c:v>
                </c:pt>
                <c:pt idx="16">
                  <c:v>5.1954147899999997E-2</c:v>
                </c:pt>
                <c:pt idx="17">
                  <c:v>3.8566993500000001E-2</c:v>
                </c:pt>
                <c:pt idx="18">
                  <c:v>2.9576570199999999E-2</c:v>
                </c:pt>
                <c:pt idx="19">
                  <c:v>2.95779743E-2</c:v>
                </c:pt>
                <c:pt idx="20">
                  <c:v>3.9960749800000001E-2</c:v>
                </c:pt>
                <c:pt idx="21">
                  <c:v>4.7185701900000002E-2</c:v>
                </c:pt>
                <c:pt idx="22">
                  <c:v>5.3695525600000002E-2</c:v>
                </c:pt>
                <c:pt idx="23">
                  <c:v>5.8137699799999998E-2</c:v>
                </c:pt>
                <c:pt idx="24">
                  <c:v>6.0678293100000003E-2</c:v>
                </c:pt>
                <c:pt idx="25">
                  <c:v>6.4935711100000001E-2</c:v>
                </c:pt>
                <c:pt idx="26">
                  <c:v>7.3705339100000003E-2</c:v>
                </c:pt>
                <c:pt idx="27">
                  <c:v>8.4951692699999998E-2</c:v>
                </c:pt>
                <c:pt idx="28">
                  <c:v>8.9089118699999997E-2</c:v>
                </c:pt>
                <c:pt idx="29">
                  <c:v>8.31402891E-2</c:v>
                </c:pt>
                <c:pt idx="30">
                  <c:v>7.3527337200000001E-2</c:v>
                </c:pt>
                <c:pt idx="31">
                  <c:v>7.1483867500000006E-2</c:v>
                </c:pt>
                <c:pt idx="32">
                  <c:v>7.4520802999999997E-2</c:v>
                </c:pt>
                <c:pt idx="33">
                  <c:v>9.5510179599999995E-2</c:v>
                </c:pt>
                <c:pt idx="34">
                  <c:v>0.1094729348</c:v>
                </c:pt>
                <c:pt idx="35">
                  <c:v>0.11359009790000001</c:v>
                </c:pt>
                <c:pt idx="36">
                  <c:v>0.1072254985</c:v>
                </c:pt>
                <c:pt idx="37">
                  <c:v>9.3956774600000001E-2</c:v>
                </c:pt>
                <c:pt idx="38">
                  <c:v>8.8107314399999997E-2</c:v>
                </c:pt>
                <c:pt idx="39">
                  <c:v>9.1336785599999998E-2</c:v>
                </c:pt>
                <c:pt idx="40">
                  <c:v>0.10274271190000001</c:v>
                </c:pt>
                <c:pt idx="41">
                  <c:v>0.115282932</c:v>
                </c:pt>
                <c:pt idx="42">
                  <c:v>0.11909387220000001</c:v>
                </c:pt>
                <c:pt idx="43">
                  <c:v>0.10772683800000001</c:v>
                </c:pt>
                <c:pt idx="44">
                  <c:v>9.2902243499999995E-2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2'!$AS$177:$CK$177</c:f>
              <c:numCache>
                <c:formatCode>0.0%</c:formatCode>
                <c:ptCount val="45"/>
                <c:pt idx="0">
                  <c:v>0.29385132050000001</c:v>
                </c:pt>
                <c:pt idx="1">
                  <c:v>0.25383134219999998</c:v>
                </c:pt>
                <c:pt idx="2">
                  <c:v>0.20203300099999999</c:v>
                </c:pt>
                <c:pt idx="3">
                  <c:v>0.16337974129999999</c:v>
                </c:pt>
                <c:pt idx="4">
                  <c:v>0.13009966749999999</c:v>
                </c:pt>
                <c:pt idx="5">
                  <c:v>0.10440006759999999</c:v>
                </c:pt>
                <c:pt idx="6">
                  <c:v>8.4525657300000001E-2</c:v>
                </c:pt>
                <c:pt idx="7">
                  <c:v>6.6200310499999998E-2</c:v>
                </c:pt>
                <c:pt idx="8">
                  <c:v>5.06931942E-2</c:v>
                </c:pt>
                <c:pt idx="9">
                  <c:v>3.6307210899999998E-2</c:v>
                </c:pt>
                <c:pt idx="10">
                  <c:v>2.5158744E-2</c:v>
                </c:pt>
                <c:pt idx="11">
                  <c:v>1.96789359E-2</c:v>
                </c:pt>
                <c:pt idx="12">
                  <c:v>1.77784821E-2</c:v>
                </c:pt>
                <c:pt idx="13">
                  <c:v>1.58945983E-2</c:v>
                </c:pt>
                <c:pt idx="14">
                  <c:v>1.4247231799999999E-2</c:v>
                </c:pt>
                <c:pt idx="15">
                  <c:v>1.16063117E-2</c:v>
                </c:pt>
                <c:pt idx="16">
                  <c:v>1.0639959399999999E-2</c:v>
                </c:pt>
                <c:pt idx="17">
                  <c:v>1.08730939E-2</c:v>
                </c:pt>
                <c:pt idx="18">
                  <c:v>1.15015645E-2</c:v>
                </c:pt>
                <c:pt idx="19">
                  <c:v>1.28772088E-2</c:v>
                </c:pt>
                <c:pt idx="20">
                  <c:v>1.41449556E-2</c:v>
                </c:pt>
                <c:pt idx="21">
                  <c:v>1.4135353599999999E-2</c:v>
                </c:pt>
                <c:pt idx="22">
                  <c:v>1.3075295900000001E-2</c:v>
                </c:pt>
                <c:pt idx="23">
                  <c:v>1.0937405799999999E-2</c:v>
                </c:pt>
                <c:pt idx="24">
                  <c:v>9.3615114999999992E-3</c:v>
                </c:pt>
                <c:pt idx="25">
                  <c:v>8.7688464000000004E-3</c:v>
                </c:pt>
                <c:pt idx="26">
                  <c:v>9.6206168000000005E-3</c:v>
                </c:pt>
                <c:pt idx="27">
                  <c:v>1.10401988E-2</c:v>
                </c:pt>
                <c:pt idx="28">
                  <c:v>1.1711314400000001E-2</c:v>
                </c:pt>
                <c:pt idx="29">
                  <c:v>1.1702044199999999E-2</c:v>
                </c:pt>
                <c:pt idx="30">
                  <c:v>1.12434808E-2</c:v>
                </c:pt>
                <c:pt idx="31">
                  <c:v>1.0880204100000001E-2</c:v>
                </c:pt>
                <c:pt idx="32">
                  <c:v>1.03105087E-2</c:v>
                </c:pt>
                <c:pt idx="33">
                  <c:v>9.8768198000000005E-3</c:v>
                </c:pt>
                <c:pt idx="34">
                  <c:v>9.4198227000000002E-3</c:v>
                </c:pt>
                <c:pt idx="35">
                  <c:v>8.5576062999999994E-3</c:v>
                </c:pt>
                <c:pt idx="36">
                  <c:v>7.6559899999999997E-3</c:v>
                </c:pt>
                <c:pt idx="37">
                  <c:v>6.5996112999999997E-3</c:v>
                </c:pt>
                <c:pt idx="38">
                  <c:v>5.5600887000000002E-3</c:v>
                </c:pt>
                <c:pt idx="39">
                  <c:v>4.693521E-3</c:v>
                </c:pt>
                <c:pt idx="40">
                  <c:v>4.0352141999999997E-3</c:v>
                </c:pt>
                <c:pt idx="41">
                  <c:v>3.5537076999999999E-3</c:v>
                </c:pt>
                <c:pt idx="42">
                  <c:v>3.1245761E-3</c:v>
                </c:pt>
                <c:pt idx="43">
                  <c:v>2.8352811999999999E-3</c:v>
                </c:pt>
                <c:pt idx="44">
                  <c:v>2.6921991999999998E-3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0.3099383027</c:v>
                </c:pt>
                <c:pt idx="11">
                  <c:v>0.31607401299999999</c:v>
                </c:pt>
                <c:pt idx="12">
                  <c:v>0.36201249819999998</c:v>
                </c:pt>
                <c:pt idx="13">
                  <c:v>0.40365899230000002</c:v>
                </c:pt>
                <c:pt idx="14">
                  <c:v>0.4156408613</c:v>
                </c:pt>
                <c:pt idx="15">
                  <c:v>0.41352387010000002</c:v>
                </c:pt>
                <c:pt idx="16">
                  <c:v>0.39689565170000002</c:v>
                </c:pt>
                <c:pt idx="17">
                  <c:v>0.36935845569999998</c:v>
                </c:pt>
                <c:pt idx="18">
                  <c:v>0.3427094644</c:v>
                </c:pt>
                <c:pt idx="19">
                  <c:v>0.31746413979999999</c:v>
                </c:pt>
                <c:pt idx="20">
                  <c:v>0.29295583829999999</c:v>
                </c:pt>
                <c:pt idx="21">
                  <c:v>0.27840409560000001</c:v>
                </c:pt>
                <c:pt idx="22">
                  <c:v>0.2557814672</c:v>
                </c:pt>
                <c:pt idx="23">
                  <c:v>0.24521194369999999</c:v>
                </c:pt>
                <c:pt idx="24">
                  <c:v>0.22911791419999999</c:v>
                </c:pt>
                <c:pt idx="25">
                  <c:v>0.21617074050000001</c:v>
                </c:pt>
                <c:pt idx="26">
                  <c:v>0.2117142447</c:v>
                </c:pt>
                <c:pt idx="27">
                  <c:v>0.20039204990000001</c:v>
                </c:pt>
                <c:pt idx="28">
                  <c:v>0.1848072335</c:v>
                </c:pt>
                <c:pt idx="29">
                  <c:v>0.1636202541</c:v>
                </c:pt>
                <c:pt idx="30">
                  <c:v>0.1422797885</c:v>
                </c:pt>
                <c:pt idx="31">
                  <c:v>0.1256854892</c:v>
                </c:pt>
                <c:pt idx="32">
                  <c:v>0.1156269794</c:v>
                </c:pt>
                <c:pt idx="33">
                  <c:v>0.104108218</c:v>
                </c:pt>
                <c:pt idx="34">
                  <c:v>9.4248131499999999E-2</c:v>
                </c:pt>
                <c:pt idx="35">
                  <c:v>7.9114719099999994E-2</c:v>
                </c:pt>
                <c:pt idx="36">
                  <c:v>6.8753756599999993E-2</c:v>
                </c:pt>
                <c:pt idx="37">
                  <c:v>6.1001113699999998E-2</c:v>
                </c:pt>
                <c:pt idx="38">
                  <c:v>5.6897116300000002E-2</c:v>
                </c:pt>
                <c:pt idx="39">
                  <c:v>6.1471890100000003E-2</c:v>
                </c:pt>
                <c:pt idx="40">
                  <c:v>6.3887655599999996E-2</c:v>
                </c:pt>
                <c:pt idx="41">
                  <c:v>6.5233332399999996E-2</c:v>
                </c:pt>
                <c:pt idx="42">
                  <c:v>5.7810903099999998E-2</c:v>
                </c:pt>
                <c:pt idx="43">
                  <c:v>4.6041478099999998E-2</c:v>
                </c:pt>
                <c:pt idx="44">
                  <c:v>3.6774110999999998E-2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0.1246826504</c:v>
                </c:pt>
                <c:pt idx="11">
                  <c:v>0.17725376770000001</c:v>
                </c:pt>
                <c:pt idx="12">
                  <c:v>0.24185313219999999</c:v>
                </c:pt>
                <c:pt idx="13">
                  <c:v>0.27852467289999999</c:v>
                </c:pt>
                <c:pt idx="14">
                  <c:v>0.3099383027</c:v>
                </c:pt>
                <c:pt idx="15">
                  <c:v>0.28805640570000002</c:v>
                </c:pt>
                <c:pt idx="16">
                  <c:v>0.2769776504</c:v>
                </c:pt>
                <c:pt idx="17">
                  <c:v>0.28828022399999997</c:v>
                </c:pt>
                <c:pt idx="18">
                  <c:v>0.29650065460000002</c:v>
                </c:pt>
                <c:pt idx="19">
                  <c:v>0.29804421520000002</c:v>
                </c:pt>
                <c:pt idx="20">
                  <c:v>0.27445929050000001</c:v>
                </c:pt>
                <c:pt idx="21">
                  <c:v>0.24663425659999999</c:v>
                </c:pt>
                <c:pt idx="22">
                  <c:v>0.2137496914</c:v>
                </c:pt>
                <c:pt idx="23">
                  <c:v>0.20365006469999999</c:v>
                </c:pt>
                <c:pt idx="24">
                  <c:v>0.21122291330000001</c:v>
                </c:pt>
                <c:pt idx="25">
                  <c:v>0.22891865789999999</c:v>
                </c:pt>
                <c:pt idx="26">
                  <c:v>0.24665583460000001</c:v>
                </c:pt>
                <c:pt idx="27">
                  <c:v>0.24593527630000001</c:v>
                </c:pt>
                <c:pt idx="28">
                  <c:v>0.23484424679999999</c:v>
                </c:pt>
                <c:pt idx="29">
                  <c:v>0.22504012970000001</c:v>
                </c:pt>
                <c:pt idx="30">
                  <c:v>0.2197302344</c:v>
                </c:pt>
                <c:pt idx="31">
                  <c:v>0.22600295719999999</c:v>
                </c:pt>
                <c:pt idx="32">
                  <c:v>0.2261373871</c:v>
                </c:pt>
                <c:pt idx="33">
                  <c:v>0.2147819856</c:v>
                </c:pt>
                <c:pt idx="34">
                  <c:v>0.1970221405</c:v>
                </c:pt>
                <c:pt idx="35">
                  <c:v>0.17414761340000001</c:v>
                </c:pt>
                <c:pt idx="36">
                  <c:v>0.1640215817</c:v>
                </c:pt>
                <c:pt idx="37">
                  <c:v>0.16012078790000001</c:v>
                </c:pt>
                <c:pt idx="38">
                  <c:v>0.16517337630000001</c:v>
                </c:pt>
                <c:pt idx="39">
                  <c:v>0.16876731610000001</c:v>
                </c:pt>
                <c:pt idx="40">
                  <c:v>0.16673137029999999</c:v>
                </c:pt>
                <c:pt idx="41">
                  <c:v>0.16361075850000001</c:v>
                </c:pt>
                <c:pt idx="42">
                  <c:v>0.16037851419999999</c:v>
                </c:pt>
                <c:pt idx="43">
                  <c:v>0.1577891267</c:v>
                </c:pt>
                <c:pt idx="44">
                  <c:v>0.1573084968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2'!$AS$180:$CK$180</c:f>
              <c:numCache>
                <c:formatCode>0.0%</c:formatCode>
                <c:ptCount val="45"/>
                <c:pt idx="0">
                  <c:v>3.0699968599999999E-2</c:v>
                </c:pt>
                <c:pt idx="1">
                  <c:v>2.9883572000000001E-2</c:v>
                </c:pt>
                <c:pt idx="2">
                  <c:v>2.7854805900000001E-2</c:v>
                </c:pt>
                <c:pt idx="3">
                  <c:v>2.62299501E-2</c:v>
                </c:pt>
                <c:pt idx="4">
                  <c:v>3.3485877999999997E-2</c:v>
                </c:pt>
                <c:pt idx="5">
                  <c:v>4.4068347899999999E-2</c:v>
                </c:pt>
                <c:pt idx="6">
                  <c:v>5.9676216900000002E-2</c:v>
                </c:pt>
                <c:pt idx="7">
                  <c:v>6.8000983200000004E-2</c:v>
                </c:pt>
                <c:pt idx="8">
                  <c:v>6.5704797800000006E-2</c:v>
                </c:pt>
                <c:pt idx="9">
                  <c:v>6.3767082899999994E-2</c:v>
                </c:pt>
                <c:pt idx="10">
                  <c:v>5.9640584099999998E-2</c:v>
                </c:pt>
                <c:pt idx="11">
                  <c:v>6.36404208E-2</c:v>
                </c:pt>
                <c:pt idx="12">
                  <c:v>6.6241003500000006E-2</c:v>
                </c:pt>
                <c:pt idx="13">
                  <c:v>6.6580010100000003E-2</c:v>
                </c:pt>
                <c:pt idx="14">
                  <c:v>6.6188819900000001E-2</c:v>
                </c:pt>
                <c:pt idx="15">
                  <c:v>6.7028624300000006E-2</c:v>
                </c:pt>
                <c:pt idx="16">
                  <c:v>8.1432298799999997E-2</c:v>
                </c:pt>
                <c:pt idx="17">
                  <c:v>9.7015649699999998E-2</c:v>
                </c:pt>
                <c:pt idx="18">
                  <c:v>0.1124597306</c:v>
                </c:pt>
                <c:pt idx="19">
                  <c:v>0.1213203328</c:v>
                </c:pt>
                <c:pt idx="20">
                  <c:v>0.11533112869999999</c:v>
                </c:pt>
                <c:pt idx="21">
                  <c:v>0.10867272090000001</c:v>
                </c:pt>
                <c:pt idx="22">
                  <c:v>9.9088303200000005E-2</c:v>
                </c:pt>
                <c:pt idx="23">
                  <c:v>9.9468748600000004E-2</c:v>
                </c:pt>
                <c:pt idx="24">
                  <c:v>0.1014243747</c:v>
                </c:pt>
                <c:pt idx="25">
                  <c:v>0.1002846464</c:v>
                </c:pt>
                <c:pt idx="26">
                  <c:v>9.8595359399999999E-2</c:v>
                </c:pt>
                <c:pt idx="27">
                  <c:v>8.7848810200000002E-2</c:v>
                </c:pt>
                <c:pt idx="28">
                  <c:v>7.7677670899999995E-2</c:v>
                </c:pt>
                <c:pt idx="29">
                  <c:v>6.6704389500000003E-2</c:v>
                </c:pt>
                <c:pt idx="30">
                  <c:v>6.0575995000000001E-2</c:v>
                </c:pt>
                <c:pt idx="31">
                  <c:v>5.7593516999999997E-2</c:v>
                </c:pt>
                <c:pt idx="32">
                  <c:v>5.7936137800000002E-2</c:v>
                </c:pt>
                <c:pt idx="33">
                  <c:v>6.0609500199999999E-2</c:v>
                </c:pt>
                <c:pt idx="34">
                  <c:v>6.5255337699999999E-2</c:v>
                </c:pt>
                <c:pt idx="35">
                  <c:v>6.81693981E-2</c:v>
                </c:pt>
                <c:pt idx="36">
                  <c:v>7.1220693000000002E-2</c:v>
                </c:pt>
                <c:pt idx="37">
                  <c:v>7.5150504699999995E-2</c:v>
                </c:pt>
                <c:pt idx="38">
                  <c:v>8.5448310499999999E-2</c:v>
                </c:pt>
                <c:pt idx="39">
                  <c:v>9.8568521899999997E-2</c:v>
                </c:pt>
                <c:pt idx="40">
                  <c:v>0.1097469697</c:v>
                </c:pt>
                <c:pt idx="41">
                  <c:v>0.1156525342</c:v>
                </c:pt>
                <c:pt idx="42">
                  <c:v>0.1149755214</c:v>
                </c:pt>
                <c:pt idx="43">
                  <c:v>0.11446323160000001</c:v>
                </c:pt>
                <c:pt idx="44">
                  <c:v>0.11799681939999999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0.57477596929999997</c:v>
                </c:pt>
                <c:pt idx="2">
                  <c:v>0.5321632208</c:v>
                </c:pt>
                <c:pt idx="3">
                  <c:v>0.41531027790000002</c:v>
                </c:pt>
                <c:pt idx="4">
                  <c:v>0.37149472109999998</c:v>
                </c:pt>
                <c:pt idx="5">
                  <c:v>0.33126424360000001</c:v>
                </c:pt>
                <c:pt idx="6">
                  <c:v>0.3271811074</c:v>
                </c:pt>
                <c:pt idx="7">
                  <c:v>0.36550818750000003</c:v>
                </c:pt>
                <c:pt idx="8">
                  <c:v>0.40581182170000002</c:v>
                </c:pt>
                <c:pt idx="9">
                  <c:v>0.44442312779999998</c:v>
                </c:pt>
                <c:pt idx="10">
                  <c:v>0.48872170949999999</c:v>
                </c:pt>
                <c:pt idx="11">
                  <c:v>0.49646272250000001</c:v>
                </c:pt>
                <c:pt idx="12">
                  <c:v>0.45395265810000002</c:v>
                </c:pt>
                <c:pt idx="13">
                  <c:v>0.40072411130000002</c:v>
                </c:pt>
                <c:pt idx="14">
                  <c:v>0.32937689910000001</c:v>
                </c:pt>
                <c:pt idx="15">
                  <c:v>0.27201721410000002</c:v>
                </c:pt>
                <c:pt idx="16">
                  <c:v>0.2335054298</c:v>
                </c:pt>
                <c:pt idx="17">
                  <c:v>0.22421023840000001</c:v>
                </c:pt>
                <c:pt idx="18">
                  <c:v>0.21323881149999999</c:v>
                </c:pt>
                <c:pt idx="19">
                  <c:v>0.21256103509999999</c:v>
                </c:pt>
                <c:pt idx="20">
                  <c:v>0.20296315349999999</c:v>
                </c:pt>
                <c:pt idx="21">
                  <c:v>0.19608545399999999</c:v>
                </c:pt>
                <c:pt idx="22">
                  <c:v>0.18699176789999999</c:v>
                </c:pt>
                <c:pt idx="23">
                  <c:v>0.18224855070000001</c:v>
                </c:pt>
                <c:pt idx="24">
                  <c:v>0.18536418460000001</c:v>
                </c:pt>
                <c:pt idx="25">
                  <c:v>0.17988033749999999</c:v>
                </c:pt>
                <c:pt idx="26">
                  <c:v>0.1733709581</c:v>
                </c:pt>
                <c:pt idx="27">
                  <c:v>0.1516460577</c:v>
                </c:pt>
                <c:pt idx="28">
                  <c:v>0.13154845170000001</c:v>
                </c:pt>
                <c:pt idx="29">
                  <c:v>0.1114050884</c:v>
                </c:pt>
                <c:pt idx="30">
                  <c:v>9.9952229200000006E-2</c:v>
                </c:pt>
                <c:pt idx="31">
                  <c:v>9.2528502900000004E-2</c:v>
                </c:pt>
                <c:pt idx="32">
                  <c:v>8.5788298900000004E-2</c:v>
                </c:pt>
                <c:pt idx="33">
                  <c:v>7.87030336E-2</c:v>
                </c:pt>
                <c:pt idx="34">
                  <c:v>6.9650972699999994E-2</c:v>
                </c:pt>
                <c:pt idx="35">
                  <c:v>6.0310824399999997E-2</c:v>
                </c:pt>
                <c:pt idx="36">
                  <c:v>5.1672820899999999E-2</c:v>
                </c:pt>
                <c:pt idx="37">
                  <c:v>4.5363078100000002E-2</c:v>
                </c:pt>
                <c:pt idx="38">
                  <c:v>4.1372063600000002E-2</c:v>
                </c:pt>
                <c:pt idx="39">
                  <c:v>3.8994967999999998E-2</c:v>
                </c:pt>
                <c:pt idx="40">
                  <c:v>3.7047144900000002E-2</c:v>
                </c:pt>
                <c:pt idx="41">
                  <c:v>3.4114392799999997E-2</c:v>
                </c:pt>
                <c:pt idx="42">
                  <c:v>3.04766588E-2</c:v>
                </c:pt>
                <c:pt idx="43">
                  <c:v>2.6024422500000002E-2</c:v>
                </c:pt>
                <c:pt idx="44">
                  <c:v>2.3283637100000001E-2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0.53899069779999997</c:v>
                </c:pt>
                <c:pt idx="5">
                  <c:v>0.63350323320000002</c:v>
                </c:pt>
                <c:pt idx="6">
                  <c:v>0.59973722620000003</c:v>
                </c:pt>
                <c:pt idx="7">
                  <c:v>0.42123220750000001</c:v>
                </c:pt>
                <c:pt idx="8">
                  <c:v>0.36820697930000001</c:v>
                </c:pt>
                <c:pt idx="9">
                  <c:v>0.32672642299999999</c:v>
                </c:pt>
                <c:pt idx="10">
                  <c:v>0.32977408000000002</c:v>
                </c:pt>
                <c:pt idx="11">
                  <c:v>0.329660866</c:v>
                </c:pt>
                <c:pt idx="12">
                  <c:v>0.31004561619999998</c:v>
                </c:pt>
                <c:pt idx="13">
                  <c:v>0.26191248880000001</c:v>
                </c:pt>
                <c:pt idx="14">
                  <c:v>0.20700169169999999</c:v>
                </c:pt>
                <c:pt idx="15">
                  <c:v>0.14734001560000001</c:v>
                </c:pt>
                <c:pt idx="16">
                  <c:v>0.1075355721</c:v>
                </c:pt>
                <c:pt idx="17">
                  <c:v>8.7215216700000001E-2</c:v>
                </c:pt>
                <c:pt idx="18">
                  <c:v>9.0053740600000001E-2</c:v>
                </c:pt>
                <c:pt idx="19">
                  <c:v>9.9291544499999995E-2</c:v>
                </c:pt>
                <c:pt idx="20">
                  <c:v>0.1055441546</c:v>
                </c:pt>
                <c:pt idx="21">
                  <c:v>0.10102217350000001</c:v>
                </c:pt>
                <c:pt idx="22">
                  <c:v>9.50922555E-2</c:v>
                </c:pt>
                <c:pt idx="23">
                  <c:v>9.0977011699999999E-2</c:v>
                </c:pt>
                <c:pt idx="24">
                  <c:v>9.4308531500000001E-2</c:v>
                </c:pt>
                <c:pt idx="25">
                  <c:v>0.1008713455</c:v>
                </c:pt>
                <c:pt idx="26">
                  <c:v>0.10541398740000001</c:v>
                </c:pt>
                <c:pt idx="27">
                  <c:v>0.1047674012</c:v>
                </c:pt>
                <c:pt idx="28">
                  <c:v>9.9304846399999994E-2</c:v>
                </c:pt>
                <c:pt idx="29">
                  <c:v>9.5819198600000002E-2</c:v>
                </c:pt>
                <c:pt idx="30">
                  <c:v>9.4169592100000005E-2</c:v>
                </c:pt>
                <c:pt idx="31">
                  <c:v>9.9866760099999993E-2</c:v>
                </c:pt>
                <c:pt idx="32">
                  <c:v>0.1047540176</c:v>
                </c:pt>
                <c:pt idx="33">
                  <c:v>0.105124263</c:v>
                </c:pt>
                <c:pt idx="34">
                  <c:v>9.6770149900000005E-2</c:v>
                </c:pt>
                <c:pt idx="35">
                  <c:v>8.1849598699999998E-2</c:v>
                </c:pt>
                <c:pt idx="36">
                  <c:v>6.8888642299999997E-2</c:v>
                </c:pt>
                <c:pt idx="37">
                  <c:v>6.4759524999999998E-2</c:v>
                </c:pt>
                <c:pt idx="38">
                  <c:v>6.8084046400000001E-2</c:v>
                </c:pt>
                <c:pt idx="39">
                  <c:v>7.3975852100000003E-2</c:v>
                </c:pt>
                <c:pt idx="40">
                  <c:v>7.4616291299999998E-2</c:v>
                </c:pt>
                <c:pt idx="41">
                  <c:v>6.7839284E-2</c:v>
                </c:pt>
                <c:pt idx="42">
                  <c:v>5.7503132800000002E-2</c:v>
                </c:pt>
                <c:pt idx="43">
                  <c:v>4.8088702999999997E-2</c:v>
                </c:pt>
                <c:pt idx="44">
                  <c:v>4.32141391E-2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0.4550782149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0.2560493512</c:v>
                </c:pt>
                <c:pt idx="11">
                  <c:v>0.28706665329999997</c:v>
                </c:pt>
                <c:pt idx="12">
                  <c:v>0.29624127589999999</c:v>
                </c:pt>
                <c:pt idx="13">
                  <c:v>0.32657515079999999</c:v>
                </c:pt>
                <c:pt idx="14">
                  <c:v>0.31030642949999998</c:v>
                </c:pt>
                <c:pt idx="15">
                  <c:v>0.28610114110000001</c:v>
                </c:pt>
                <c:pt idx="16">
                  <c:v>0.24594770129999999</c:v>
                </c:pt>
                <c:pt idx="17">
                  <c:v>0.20188107720000001</c:v>
                </c:pt>
                <c:pt idx="18">
                  <c:v>0.19847395179999999</c:v>
                </c:pt>
                <c:pt idx="19">
                  <c:v>0.2136053621</c:v>
                </c:pt>
                <c:pt idx="20">
                  <c:v>0.24013561889999999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7.3671723100000003E-2</c:v>
                </c:pt>
                <c:pt idx="30">
                  <c:v>6.6918646900000003E-2</c:v>
                </c:pt>
                <c:pt idx="31">
                  <c:v>6.1935539400000003E-2</c:v>
                </c:pt>
                <c:pt idx="32">
                  <c:v>5.8159394500000003E-2</c:v>
                </c:pt>
                <c:pt idx="33">
                  <c:v>5.6221723899999999E-2</c:v>
                </c:pt>
                <c:pt idx="34">
                  <c:v>5.0330956099999997E-2</c:v>
                </c:pt>
                <c:pt idx="35">
                  <c:v>4.4258024799999997E-2</c:v>
                </c:pt>
                <c:pt idx="36">
                  <c:v>3.7072291E-2</c:v>
                </c:pt>
                <c:pt idx="37">
                  <c:v>3.3302099199999997E-2</c:v>
                </c:pt>
                <c:pt idx="38">
                  <c:v>3.2571131500000003E-2</c:v>
                </c:pt>
                <c:pt idx="39">
                  <c:v>3.2450665599999998E-2</c:v>
                </c:pt>
                <c:pt idx="40">
                  <c:v>3.1894002499999997E-2</c:v>
                </c:pt>
                <c:pt idx="41">
                  <c:v>2.8122307999999999E-2</c:v>
                </c:pt>
                <c:pt idx="42">
                  <c:v>2.3000021499999999E-2</c:v>
                </c:pt>
                <c:pt idx="43">
                  <c:v>1.74723621E-2</c:v>
                </c:pt>
                <c:pt idx="44">
                  <c:v>1.4116450799999999E-2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2'!$AS$184:$CK$184</c:f>
              <c:numCache>
                <c:formatCode>0.0%</c:formatCode>
                <c:ptCount val="45"/>
                <c:pt idx="0">
                  <c:v>9.1644256800000004E-2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0.35040770770000002</c:v>
                </c:pt>
                <c:pt idx="18">
                  <c:v>0.39230878850000001</c:v>
                </c:pt>
                <c:pt idx="19">
                  <c:v>0.41670942119999999</c:v>
                </c:pt>
                <c:pt idx="20">
                  <c:v>0.42719621689999998</c:v>
                </c:pt>
                <c:pt idx="21">
                  <c:v>0.38456502910000001</c:v>
                </c:pt>
                <c:pt idx="22">
                  <c:v>0.33821088040000002</c:v>
                </c:pt>
                <c:pt idx="23">
                  <c:v>0.29203114829999999</c:v>
                </c:pt>
                <c:pt idx="24">
                  <c:v>0.27007739920000001</c:v>
                </c:pt>
                <c:pt idx="25">
                  <c:v>0.25061287770000001</c:v>
                </c:pt>
                <c:pt idx="26">
                  <c:v>0.23757679809999999</c:v>
                </c:pt>
                <c:pt idx="27">
                  <c:v>0.22180009589999999</c:v>
                </c:pt>
                <c:pt idx="28">
                  <c:v>0.20180194239999999</c:v>
                </c:pt>
                <c:pt idx="29">
                  <c:v>0.1822663263</c:v>
                </c:pt>
                <c:pt idx="30">
                  <c:v>0.16393748129999999</c:v>
                </c:pt>
                <c:pt idx="31">
                  <c:v>0.15386987129999999</c:v>
                </c:pt>
                <c:pt idx="32">
                  <c:v>0.1464115839</c:v>
                </c:pt>
                <c:pt idx="33">
                  <c:v>0.1396802587</c:v>
                </c:pt>
                <c:pt idx="34">
                  <c:v>0.13090399480000001</c:v>
                </c:pt>
                <c:pt idx="35">
                  <c:v>0.1192244712</c:v>
                </c:pt>
                <c:pt idx="36">
                  <c:v>0.10690387799999999</c:v>
                </c:pt>
                <c:pt idx="37">
                  <c:v>9.5291817299999998E-2</c:v>
                </c:pt>
                <c:pt idx="38">
                  <c:v>8.7039203300000006E-2</c:v>
                </c:pt>
                <c:pt idx="39">
                  <c:v>8.1838345800000004E-2</c:v>
                </c:pt>
                <c:pt idx="40">
                  <c:v>7.78069391E-2</c:v>
                </c:pt>
                <c:pt idx="41">
                  <c:v>7.2703644100000006E-2</c:v>
                </c:pt>
                <c:pt idx="42">
                  <c:v>6.6126754699999998E-2</c:v>
                </c:pt>
                <c:pt idx="43">
                  <c:v>5.8865615400000001E-2</c:v>
                </c:pt>
                <c:pt idx="44">
                  <c:v>5.2952651400000002E-2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2'!$AS$185:$CK$185</c:f>
              <c:numCache>
                <c:formatCode>0.0%</c:formatCode>
                <c:ptCount val="45"/>
                <c:pt idx="0">
                  <c:v>0.2318042119</c:v>
                </c:pt>
                <c:pt idx="1">
                  <c:v>0.26667679659999999</c:v>
                </c:pt>
                <c:pt idx="2">
                  <c:v>0.3198396423</c:v>
                </c:pt>
                <c:pt idx="3">
                  <c:v>0.3350934263</c:v>
                </c:pt>
                <c:pt idx="4">
                  <c:v>0.38378257519999998</c:v>
                </c:pt>
                <c:pt idx="5">
                  <c:v>0.39720589779999999</c:v>
                </c:pt>
                <c:pt idx="6">
                  <c:v>0.38199219420000002</c:v>
                </c:pt>
                <c:pt idx="7">
                  <c:v>0.33614646300000001</c:v>
                </c:pt>
                <c:pt idx="8">
                  <c:v>0.28051832589999998</c:v>
                </c:pt>
                <c:pt idx="9">
                  <c:v>0.2439688877</c:v>
                </c:pt>
                <c:pt idx="10">
                  <c:v>0.22906725750000001</c:v>
                </c:pt>
                <c:pt idx="11">
                  <c:v>0.2382966618</c:v>
                </c:pt>
                <c:pt idx="12">
                  <c:v>0.2732374025</c:v>
                </c:pt>
                <c:pt idx="13">
                  <c:v>0.29697334240000001</c:v>
                </c:pt>
                <c:pt idx="14">
                  <c:v>0.2874150352</c:v>
                </c:pt>
                <c:pt idx="15">
                  <c:v>0.26616613090000002</c:v>
                </c:pt>
                <c:pt idx="16">
                  <c:v>0.24279149050000001</c:v>
                </c:pt>
                <c:pt idx="17">
                  <c:v>0.2199920366</c:v>
                </c:pt>
                <c:pt idx="18">
                  <c:v>0.2328760117</c:v>
                </c:pt>
                <c:pt idx="19">
                  <c:v>0.24699794180000001</c:v>
                </c:pt>
                <c:pt idx="20">
                  <c:v>0.2446320515</c:v>
                </c:pt>
                <c:pt idx="21">
                  <c:v>0.24314624579999999</c:v>
                </c:pt>
                <c:pt idx="22">
                  <c:v>0.2172039855</c:v>
                </c:pt>
                <c:pt idx="23">
                  <c:v>0.2001932176</c:v>
                </c:pt>
                <c:pt idx="24">
                  <c:v>0.18815288829999999</c:v>
                </c:pt>
                <c:pt idx="25">
                  <c:v>0.19791809899999999</c:v>
                </c:pt>
                <c:pt idx="26">
                  <c:v>0.20680234459999999</c:v>
                </c:pt>
                <c:pt idx="27">
                  <c:v>0.2050778496</c:v>
                </c:pt>
                <c:pt idx="28">
                  <c:v>0.1903433273</c:v>
                </c:pt>
                <c:pt idx="29">
                  <c:v>0.1693835739</c:v>
                </c:pt>
                <c:pt idx="30">
                  <c:v>0.153968402</c:v>
                </c:pt>
                <c:pt idx="31">
                  <c:v>0.14636233130000001</c:v>
                </c:pt>
                <c:pt idx="32">
                  <c:v>0.14606958370000001</c:v>
                </c:pt>
                <c:pt idx="33">
                  <c:v>0.14237799000000001</c:v>
                </c:pt>
                <c:pt idx="34">
                  <c:v>0.13607576690000001</c:v>
                </c:pt>
                <c:pt idx="35">
                  <c:v>0.1246225711</c:v>
                </c:pt>
                <c:pt idx="36">
                  <c:v>0.11141190099999999</c:v>
                </c:pt>
                <c:pt idx="37">
                  <c:v>0.10162154230000001</c:v>
                </c:pt>
                <c:pt idx="38">
                  <c:v>9.0819070200000004E-2</c:v>
                </c:pt>
                <c:pt idx="39">
                  <c:v>9.0119539100000007E-2</c:v>
                </c:pt>
                <c:pt idx="40">
                  <c:v>8.9395898299999998E-2</c:v>
                </c:pt>
                <c:pt idx="41">
                  <c:v>9.0542066899999996E-2</c:v>
                </c:pt>
                <c:pt idx="42">
                  <c:v>8.6056279400000005E-2</c:v>
                </c:pt>
                <c:pt idx="43">
                  <c:v>7.5258147299999995E-2</c:v>
                </c:pt>
                <c:pt idx="44">
                  <c:v>6.5706362800000001E-2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0.34800202549999998</c:v>
                </c:pt>
                <c:pt idx="6">
                  <c:v>0.3677823999</c:v>
                </c:pt>
                <c:pt idx="7">
                  <c:v>0.36292533300000002</c:v>
                </c:pt>
                <c:pt idx="8">
                  <c:v>0.3553755395</c:v>
                </c:pt>
                <c:pt idx="9">
                  <c:v>0.33964445710000002</c:v>
                </c:pt>
                <c:pt idx="10">
                  <c:v>0.32663049030000002</c:v>
                </c:pt>
                <c:pt idx="11">
                  <c:v>0.35503143190000003</c:v>
                </c:pt>
                <c:pt idx="12">
                  <c:v>0.37326249649999999</c:v>
                </c:pt>
                <c:pt idx="13">
                  <c:v>0.38484218790000002</c:v>
                </c:pt>
                <c:pt idx="14">
                  <c:v>0.37139541199999998</c:v>
                </c:pt>
                <c:pt idx="15">
                  <c:v>0.32682041610000001</c:v>
                </c:pt>
                <c:pt idx="16">
                  <c:v>0.2911378342</c:v>
                </c:pt>
                <c:pt idx="17">
                  <c:v>0.25917858980000003</c:v>
                </c:pt>
                <c:pt idx="18">
                  <c:v>0.24874351710000001</c:v>
                </c:pt>
                <c:pt idx="19">
                  <c:v>0.23090932619999999</c:v>
                </c:pt>
                <c:pt idx="20">
                  <c:v>0.2241415873</c:v>
                </c:pt>
                <c:pt idx="21">
                  <c:v>0.22129557050000001</c:v>
                </c:pt>
                <c:pt idx="22">
                  <c:v>0.2265001951</c:v>
                </c:pt>
                <c:pt idx="23">
                  <c:v>0.2171877492</c:v>
                </c:pt>
                <c:pt idx="24">
                  <c:v>0.20159038930000001</c:v>
                </c:pt>
                <c:pt idx="25">
                  <c:v>0.1786577164</c:v>
                </c:pt>
                <c:pt idx="26">
                  <c:v>0.1562497803</c:v>
                </c:pt>
                <c:pt idx="27">
                  <c:v>0.14028443560000001</c:v>
                </c:pt>
                <c:pt idx="28">
                  <c:v>0.11939128659999999</c:v>
                </c:pt>
                <c:pt idx="29">
                  <c:v>0.1050557433</c:v>
                </c:pt>
                <c:pt idx="30">
                  <c:v>8.8731697499999998E-2</c:v>
                </c:pt>
                <c:pt idx="31">
                  <c:v>8.1634116399999998E-2</c:v>
                </c:pt>
                <c:pt idx="32">
                  <c:v>7.2544618599999999E-2</c:v>
                </c:pt>
                <c:pt idx="33">
                  <c:v>6.2579005199999996E-2</c:v>
                </c:pt>
                <c:pt idx="34">
                  <c:v>5.3431095599999999E-2</c:v>
                </c:pt>
                <c:pt idx="35">
                  <c:v>4.8169309799999997E-2</c:v>
                </c:pt>
                <c:pt idx="36">
                  <c:v>4.4857165599999999E-2</c:v>
                </c:pt>
                <c:pt idx="37">
                  <c:v>4.2443819899999999E-2</c:v>
                </c:pt>
                <c:pt idx="38">
                  <c:v>4.9495077300000002E-2</c:v>
                </c:pt>
                <c:pt idx="39">
                  <c:v>5.5405639600000001E-2</c:v>
                </c:pt>
                <c:pt idx="40">
                  <c:v>5.8879357600000001E-2</c:v>
                </c:pt>
                <c:pt idx="41">
                  <c:v>5.9207681300000002E-2</c:v>
                </c:pt>
                <c:pt idx="42">
                  <c:v>5.8985065099999998E-2</c:v>
                </c:pt>
                <c:pt idx="43">
                  <c:v>5.3425086900000002E-2</c:v>
                </c:pt>
                <c:pt idx="44">
                  <c:v>4.7776471199999997E-2</c:v>
                </c:pt>
                <c:pt idx="45">
                  <c:v>4.4642590900000001E-2</c:v>
                </c:pt>
                <c:pt idx="46">
                  <c:v>4.5263100000000001E-2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0.63326407330000001</c:v>
                </c:pt>
                <c:pt idx="8">
                  <c:v>0.40492256170000002</c:v>
                </c:pt>
                <c:pt idx="9">
                  <c:v>0.25991671039999997</c:v>
                </c:pt>
                <c:pt idx="10">
                  <c:v>0.2093265694</c:v>
                </c:pt>
                <c:pt idx="11">
                  <c:v>0.2125768572</c:v>
                </c:pt>
                <c:pt idx="12">
                  <c:v>0.24426194779999999</c:v>
                </c:pt>
                <c:pt idx="13">
                  <c:v>0.27134616789999999</c:v>
                </c:pt>
                <c:pt idx="14">
                  <c:v>0.27036513579999999</c:v>
                </c:pt>
                <c:pt idx="15">
                  <c:v>0.25165118510000001</c:v>
                </c:pt>
                <c:pt idx="16">
                  <c:v>0.22802161060000001</c:v>
                </c:pt>
                <c:pt idx="17">
                  <c:v>0.2125732843</c:v>
                </c:pt>
                <c:pt idx="18">
                  <c:v>0.21464047989999999</c:v>
                </c:pt>
                <c:pt idx="19">
                  <c:v>0.2250762516</c:v>
                </c:pt>
                <c:pt idx="20">
                  <c:v>0.23696012899999999</c:v>
                </c:pt>
                <c:pt idx="21">
                  <c:v>0.23294717370000001</c:v>
                </c:pt>
                <c:pt idx="22">
                  <c:v>0.2113714458</c:v>
                </c:pt>
                <c:pt idx="23">
                  <c:v>0.18350864380000001</c:v>
                </c:pt>
                <c:pt idx="24">
                  <c:v>0.17406106360000001</c:v>
                </c:pt>
                <c:pt idx="25">
                  <c:v>0.1806184254</c:v>
                </c:pt>
                <c:pt idx="26">
                  <c:v>0.2021998388</c:v>
                </c:pt>
                <c:pt idx="27">
                  <c:v>0.22268468199999999</c:v>
                </c:pt>
                <c:pt idx="28">
                  <c:v>0.2179787752</c:v>
                </c:pt>
                <c:pt idx="29">
                  <c:v>0.19690962410000001</c:v>
                </c:pt>
                <c:pt idx="30">
                  <c:v>0.15981187399999999</c:v>
                </c:pt>
                <c:pt idx="31">
                  <c:v>0.12995349849999999</c:v>
                </c:pt>
                <c:pt idx="32">
                  <c:v>0.111600878</c:v>
                </c:pt>
                <c:pt idx="33">
                  <c:v>0.1089340188</c:v>
                </c:pt>
                <c:pt idx="34">
                  <c:v>0.11090664359999999</c:v>
                </c:pt>
                <c:pt idx="35">
                  <c:v>0.1070789364</c:v>
                </c:pt>
                <c:pt idx="36">
                  <c:v>9.9079101700000005E-2</c:v>
                </c:pt>
                <c:pt idx="37">
                  <c:v>8.9489795100000005E-2</c:v>
                </c:pt>
                <c:pt idx="38">
                  <c:v>8.6432491400000006E-2</c:v>
                </c:pt>
                <c:pt idx="39">
                  <c:v>8.57108018E-2</c:v>
                </c:pt>
                <c:pt idx="40">
                  <c:v>9.1558203199999993E-2</c:v>
                </c:pt>
                <c:pt idx="41">
                  <c:v>9.6996537199999996E-2</c:v>
                </c:pt>
                <c:pt idx="42">
                  <c:v>9.4038905899999997E-2</c:v>
                </c:pt>
                <c:pt idx="43">
                  <c:v>8.5443223400000004E-2</c:v>
                </c:pt>
                <c:pt idx="44">
                  <c:v>7.83408139E-2</c:v>
                </c:pt>
                <c:pt idx="45">
                  <c:v>7.5514227700000006E-2</c:v>
                </c:pt>
                <c:pt idx="46">
                  <c:v>8.0599253900000001E-2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2'!$AS$234:$CO$234</c:f>
              <c:numCache>
                <c:formatCode>0.0%</c:formatCode>
                <c:ptCount val="49"/>
                <c:pt idx="0">
                  <c:v>0.262974659</c:v>
                </c:pt>
                <c:pt idx="1">
                  <c:v>0.27652480080000003</c:v>
                </c:pt>
                <c:pt idx="2">
                  <c:v>0.23753121569999999</c:v>
                </c:pt>
                <c:pt idx="3">
                  <c:v>0.19107741759999999</c:v>
                </c:pt>
                <c:pt idx="4">
                  <c:v>0.16882497439999999</c:v>
                </c:pt>
                <c:pt idx="5">
                  <c:v>0.17722905920000001</c:v>
                </c:pt>
                <c:pt idx="6">
                  <c:v>0.19686243680000001</c:v>
                </c:pt>
                <c:pt idx="7">
                  <c:v>0.20882383509999999</c:v>
                </c:pt>
                <c:pt idx="8">
                  <c:v>0.19291650860000001</c:v>
                </c:pt>
                <c:pt idx="9">
                  <c:v>0.19332198680000001</c:v>
                </c:pt>
                <c:pt idx="10">
                  <c:v>0.18174786909999999</c:v>
                </c:pt>
                <c:pt idx="11">
                  <c:v>0.22504565169999999</c:v>
                </c:pt>
                <c:pt idx="12">
                  <c:v>0.25644187219999998</c:v>
                </c:pt>
                <c:pt idx="13">
                  <c:v>0.27249156479999997</c:v>
                </c:pt>
                <c:pt idx="14">
                  <c:v>0.31726319079999998</c:v>
                </c:pt>
                <c:pt idx="15">
                  <c:v>0.30405581720000002</c:v>
                </c:pt>
                <c:pt idx="16">
                  <c:v>0.33737004520000002</c:v>
                </c:pt>
                <c:pt idx="17">
                  <c:v>0.33122289519999998</c:v>
                </c:pt>
                <c:pt idx="18">
                  <c:v>0.3051052622</c:v>
                </c:pt>
                <c:pt idx="19">
                  <c:v>0.28689419220000001</c:v>
                </c:pt>
                <c:pt idx="20">
                  <c:v>0.25428204920000003</c:v>
                </c:pt>
                <c:pt idx="21">
                  <c:v>0.26909543670000002</c:v>
                </c:pt>
                <c:pt idx="22">
                  <c:v>0.28512096990000002</c:v>
                </c:pt>
                <c:pt idx="23">
                  <c:v>0.2921732279</c:v>
                </c:pt>
                <c:pt idx="24">
                  <c:v>0.29603104219999998</c:v>
                </c:pt>
                <c:pt idx="25">
                  <c:v>0.26679855660000001</c:v>
                </c:pt>
                <c:pt idx="26">
                  <c:v>0.2344702508</c:v>
                </c:pt>
                <c:pt idx="27">
                  <c:v>0.20312889789999999</c:v>
                </c:pt>
                <c:pt idx="28">
                  <c:v>0.18650056470000001</c:v>
                </c:pt>
                <c:pt idx="29">
                  <c:v>0.17714522290000001</c:v>
                </c:pt>
                <c:pt idx="30">
                  <c:v>0.1671012201</c:v>
                </c:pt>
                <c:pt idx="31">
                  <c:v>0.16638159050000001</c:v>
                </c:pt>
                <c:pt idx="32">
                  <c:v>0.15878781180000001</c:v>
                </c:pt>
                <c:pt idx="33">
                  <c:v>0.1485517039</c:v>
                </c:pt>
                <c:pt idx="34">
                  <c:v>0.14056093289999999</c:v>
                </c:pt>
                <c:pt idx="35">
                  <c:v>0.1309381372</c:v>
                </c:pt>
                <c:pt idx="36">
                  <c:v>0.12821960969999999</c:v>
                </c:pt>
                <c:pt idx="37">
                  <c:v>0.1195324077</c:v>
                </c:pt>
                <c:pt idx="38">
                  <c:v>0.10929498579999999</c:v>
                </c:pt>
                <c:pt idx="39">
                  <c:v>0.10283935399999999</c:v>
                </c:pt>
                <c:pt idx="40">
                  <c:v>9.3290449299999995E-2</c:v>
                </c:pt>
                <c:pt idx="41">
                  <c:v>9.1558012800000005E-2</c:v>
                </c:pt>
                <c:pt idx="42">
                  <c:v>8.6797332500000005E-2</c:v>
                </c:pt>
                <c:pt idx="43">
                  <c:v>8.2293705800000005E-2</c:v>
                </c:pt>
                <c:pt idx="44">
                  <c:v>7.8919746700000001E-2</c:v>
                </c:pt>
                <c:pt idx="45">
                  <c:v>8.5534884000000005E-2</c:v>
                </c:pt>
                <c:pt idx="46">
                  <c:v>9.3386234100000007E-2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2'!$AS$235:$CO$235</c:f>
              <c:numCache>
                <c:formatCode>0.0%</c:formatCode>
                <c:ptCount val="49"/>
                <c:pt idx="0">
                  <c:v>5.3970574299999997E-2</c:v>
                </c:pt>
                <c:pt idx="1">
                  <c:v>6.4745913200000005E-2</c:v>
                </c:pt>
                <c:pt idx="2">
                  <c:v>5.7006539699999997E-2</c:v>
                </c:pt>
                <c:pt idx="3">
                  <c:v>4.5731621200000003E-2</c:v>
                </c:pt>
                <c:pt idx="4">
                  <c:v>3.5759467400000002E-2</c:v>
                </c:pt>
                <c:pt idx="5">
                  <c:v>3.7087417400000003E-2</c:v>
                </c:pt>
                <c:pt idx="6">
                  <c:v>3.30392729E-2</c:v>
                </c:pt>
                <c:pt idx="7">
                  <c:v>2.9332100199999999E-2</c:v>
                </c:pt>
                <c:pt idx="8">
                  <c:v>2.5527361500000002E-2</c:v>
                </c:pt>
                <c:pt idx="9">
                  <c:v>2.0339538899999999E-2</c:v>
                </c:pt>
                <c:pt idx="10">
                  <c:v>1.6353775099999999E-2</c:v>
                </c:pt>
                <c:pt idx="11">
                  <c:v>1.42686892E-2</c:v>
                </c:pt>
                <c:pt idx="12">
                  <c:v>1.4615354400000001E-2</c:v>
                </c:pt>
                <c:pt idx="13">
                  <c:v>2.0017036299999999E-2</c:v>
                </c:pt>
                <c:pt idx="14">
                  <c:v>2.53891204E-2</c:v>
                </c:pt>
                <c:pt idx="15">
                  <c:v>3.09831645E-2</c:v>
                </c:pt>
                <c:pt idx="16">
                  <c:v>3.9508069100000001E-2</c:v>
                </c:pt>
                <c:pt idx="17">
                  <c:v>5.2724509699999998E-2</c:v>
                </c:pt>
                <c:pt idx="18">
                  <c:v>7.3827740000000003E-2</c:v>
                </c:pt>
                <c:pt idx="19">
                  <c:v>9.6338856799999997E-2</c:v>
                </c:pt>
                <c:pt idx="20">
                  <c:v>0.1088864591</c:v>
                </c:pt>
                <c:pt idx="21">
                  <c:v>0.12083989489999999</c:v>
                </c:pt>
                <c:pt idx="22">
                  <c:v>0.1207012286</c:v>
                </c:pt>
                <c:pt idx="23">
                  <c:v>0.11742761309999999</c:v>
                </c:pt>
                <c:pt idx="24">
                  <c:v>0.1027570433</c:v>
                </c:pt>
                <c:pt idx="25">
                  <c:v>9.6873698800000005E-2</c:v>
                </c:pt>
                <c:pt idx="26">
                  <c:v>9.4496305500000002E-2</c:v>
                </c:pt>
                <c:pt idx="27">
                  <c:v>9.4868919600000004E-2</c:v>
                </c:pt>
                <c:pt idx="28">
                  <c:v>9.2320856600000001E-2</c:v>
                </c:pt>
                <c:pt idx="29">
                  <c:v>8.6285272999999996E-2</c:v>
                </c:pt>
                <c:pt idx="30">
                  <c:v>7.7083262599999994E-2</c:v>
                </c:pt>
                <c:pt idx="31">
                  <c:v>6.9081594900000001E-2</c:v>
                </c:pt>
                <c:pt idx="32">
                  <c:v>6.5316793799999995E-2</c:v>
                </c:pt>
                <c:pt idx="33">
                  <c:v>5.98751987E-2</c:v>
                </c:pt>
                <c:pt idx="34">
                  <c:v>5.85682155E-2</c:v>
                </c:pt>
                <c:pt idx="35">
                  <c:v>5.2836953300000003E-2</c:v>
                </c:pt>
                <c:pt idx="36">
                  <c:v>5.0475903500000002E-2</c:v>
                </c:pt>
                <c:pt idx="37">
                  <c:v>5.1388466600000002E-2</c:v>
                </c:pt>
                <c:pt idx="38">
                  <c:v>5.7232856999999998E-2</c:v>
                </c:pt>
                <c:pt idx="39">
                  <c:v>6.5879400699999993E-2</c:v>
                </c:pt>
                <c:pt idx="40">
                  <c:v>7.0240803500000004E-2</c:v>
                </c:pt>
                <c:pt idx="41">
                  <c:v>7.4123358799999997E-2</c:v>
                </c:pt>
                <c:pt idx="42">
                  <c:v>7.8352713099999999E-2</c:v>
                </c:pt>
                <c:pt idx="43">
                  <c:v>8.3065410300000003E-2</c:v>
                </c:pt>
                <c:pt idx="44">
                  <c:v>8.7144157400000005E-2</c:v>
                </c:pt>
                <c:pt idx="45">
                  <c:v>8.4015724299999997E-2</c:v>
                </c:pt>
                <c:pt idx="46">
                  <c:v>7.7721172199999994E-2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0.26144716179999999</c:v>
                </c:pt>
                <c:pt idx="9">
                  <c:v>0.30438886380000002</c:v>
                </c:pt>
                <c:pt idx="10">
                  <c:v>0.38600493850000001</c:v>
                </c:pt>
                <c:pt idx="11">
                  <c:v>0.45901484660000003</c:v>
                </c:pt>
                <c:pt idx="12">
                  <c:v>0.51965907820000001</c:v>
                </c:pt>
                <c:pt idx="13">
                  <c:v>0.49520296790000001</c:v>
                </c:pt>
                <c:pt idx="14">
                  <c:v>0.39004880829999999</c:v>
                </c:pt>
                <c:pt idx="15">
                  <c:v>0.28049314520000002</c:v>
                </c:pt>
                <c:pt idx="16">
                  <c:v>0.18250831379999999</c:v>
                </c:pt>
                <c:pt idx="17">
                  <c:v>0.14519007940000001</c:v>
                </c:pt>
                <c:pt idx="18">
                  <c:v>0.12712558330000001</c:v>
                </c:pt>
                <c:pt idx="19">
                  <c:v>0.13493094759999999</c:v>
                </c:pt>
                <c:pt idx="20">
                  <c:v>0.14935409769999999</c:v>
                </c:pt>
                <c:pt idx="21">
                  <c:v>0.15676522230000001</c:v>
                </c:pt>
                <c:pt idx="22">
                  <c:v>0.16430483200000001</c:v>
                </c:pt>
                <c:pt idx="23">
                  <c:v>0.1569911672</c:v>
                </c:pt>
                <c:pt idx="24">
                  <c:v>0.1491263779</c:v>
                </c:pt>
                <c:pt idx="25">
                  <c:v>0.1375379501</c:v>
                </c:pt>
                <c:pt idx="26">
                  <c:v>0.13097497860000001</c:v>
                </c:pt>
                <c:pt idx="27">
                  <c:v>0.1220420361</c:v>
                </c:pt>
                <c:pt idx="28">
                  <c:v>0.11746702739999999</c:v>
                </c:pt>
                <c:pt idx="29">
                  <c:v>0.11163651469999999</c:v>
                </c:pt>
                <c:pt idx="30">
                  <c:v>9.6700092700000004E-2</c:v>
                </c:pt>
                <c:pt idx="31">
                  <c:v>8.3856332199999994E-2</c:v>
                </c:pt>
                <c:pt idx="32">
                  <c:v>7.0102083100000004E-2</c:v>
                </c:pt>
                <c:pt idx="33">
                  <c:v>7.9632669399999995E-2</c:v>
                </c:pt>
                <c:pt idx="34">
                  <c:v>9.6294690700000005E-2</c:v>
                </c:pt>
                <c:pt idx="35">
                  <c:v>0.1194962891</c:v>
                </c:pt>
                <c:pt idx="36">
                  <c:v>0.13362996269999999</c:v>
                </c:pt>
                <c:pt idx="37">
                  <c:v>0.13280842879999999</c:v>
                </c:pt>
                <c:pt idx="38">
                  <c:v>0.12773022340000001</c:v>
                </c:pt>
                <c:pt idx="39">
                  <c:v>0.11303747109999999</c:v>
                </c:pt>
                <c:pt idx="40">
                  <c:v>0.1103403407</c:v>
                </c:pt>
                <c:pt idx="41">
                  <c:v>9.4967304200000005E-2</c:v>
                </c:pt>
                <c:pt idx="42">
                  <c:v>8.6777390800000007E-2</c:v>
                </c:pt>
                <c:pt idx="43">
                  <c:v>7.2682162800000005E-2</c:v>
                </c:pt>
                <c:pt idx="44">
                  <c:v>6.1367652000000002E-2</c:v>
                </c:pt>
                <c:pt idx="45">
                  <c:v>5.6218698800000001E-2</c:v>
                </c:pt>
                <c:pt idx="46">
                  <c:v>5.7260869399999997E-2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2'!$AS$237:$CO$237</c:f>
              <c:numCache>
                <c:formatCode>0.0%</c:formatCode>
                <c:ptCount val="49"/>
                <c:pt idx="0">
                  <c:v>0.60531316550000003</c:v>
                </c:pt>
                <c:pt idx="1">
                  <c:v>0.49896787929999997</c:v>
                </c:pt>
                <c:pt idx="2">
                  <c:v>0.38376383689999999</c:v>
                </c:pt>
                <c:pt idx="3">
                  <c:v>0.3293369907</c:v>
                </c:pt>
                <c:pt idx="4">
                  <c:v>0.33621236920000003</c:v>
                </c:pt>
                <c:pt idx="5">
                  <c:v>0.39902080179999999</c:v>
                </c:pt>
                <c:pt idx="6">
                  <c:v>0.4223794649</c:v>
                </c:pt>
                <c:pt idx="7">
                  <c:v>0.40178687010000003</c:v>
                </c:pt>
                <c:pt idx="8">
                  <c:v>0.33657775909999998</c:v>
                </c:pt>
                <c:pt idx="9">
                  <c:v>0.28365340480000001</c:v>
                </c:pt>
                <c:pt idx="10">
                  <c:v>0.27166256560000002</c:v>
                </c:pt>
                <c:pt idx="11">
                  <c:v>0.28978065380000001</c:v>
                </c:pt>
                <c:pt idx="12">
                  <c:v>0.28771365199999999</c:v>
                </c:pt>
                <c:pt idx="13">
                  <c:v>0.25122139370000002</c:v>
                </c:pt>
                <c:pt idx="14">
                  <c:v>0.226802899</c:v>
                </c:pt>
                <c:pt idx="15">
                  <c:v>0.21048379859999999</c:v>
                </c:pt>
                <c:pt idx="16">
                  <c:v>0.21064526920000001</c:v>
                </c:pt>
                <c:pt idx="17">
                  <c:v>0.22323098120000001</c:v>
                </c:pt>
                <c:pt idx="18">
                  <c:v>0.2126361262</c:v>
                </c:pt>
                <c:pt idx="19">
                  <c:v>0.20434095699999999</c:v>
                </c:pt>
                <c:pt idx="20">
                  <c:v>0.17704133180000001</c:v>
                </c:pt>
                <c:pt idx="21">
                  <c:v>0.171880116</c:v>
                </c:pt>
                <c:pt idx="22">
                  <c:v>0.1700666653</c:v>
                </c:pt>
                <c:pt idx="23">
                  <c:v>0.1712796154</c:v>
                </c:pt>
                <c:pt idx="24">
                  <c:v>0.17395266049999999</c:v>
                </c:pt>
                <c:pt idx="25">
                  <c:v>0.16736983629999999</c:v>
                </c:pt>
                <c:pt idx="26">
                  <c:v>0.16359273439999999</c:v>
                </c:pt>
                <c:pt idx="27">
                  <c:v>0.14879200749999999</c:v>
                </c:pt>
                <c:pt idx="28">
                  <c:v>0.14539362980000001</c:v>
                </c:pt>
                <c:pt idx="29">
                  <c:v>0.13921548049999999</c:v>
                </c:pt>
                <c:pt idx="30">
                  <c:v>0.1357839961</c:v>
                </c:pt>
                <c:pt idx="31">
                  <c:v>0.1350990121</c:v>
                </c:pt>
                <c:pt idx="32">
                  <c:v>0.12699959669999999</c:v>
                </c:pt>
                <c:pt idx="33">
                  <c:v>0.1116447132</c:v>
                </c:pt>
                <c:pt idx="34">
                  <c:v>9.4004552599999999E-2</c:v>
                </c:pt>
                <c:pt idx="35">
                  <c:v>8.3709116200000003E-2</c:v>
                </c:pt>
                <c:pt idx="36">
                  <c:v>7.6152040899999995E-2</c:v>
                </c:pt>
                <c:pt idx="37">
                  <c:v>7.4101840299999999E-2</c:v>
                </c:pt>
                <c:pt idx="38">
                  <c:v>7.4354375200000003E-2</c:v>
                </c:pt>
                <c:pt idx="39">
                  <c:v>7.7891437100000002E-2</c:v>
                </c:pt>
                <c:pt idx="40">
                  <c:v>8.2935242300000003E-2</c:v>
                </c:pt>
                <c:pt idx="41">
                  <c:v>0.10178581220000001</c:v>
                </c:pt>
                <c:pt idx="42">
                  <c:v>0.12880809930000001</c:v>
                </c:pt>
                <c:pt idx="43">
                  <c:v>0.16174401399999999</c:v>
                </c:pt>
                <c:pt idx="44">
                  <c:v>0.1641939771</c:v>
                </c:pt>
                <c:pt idx="45">
                  <c:v>0.12850739820000001</c:v>
                </c:pt>
                <c:pt idx="46">
                  <c:v>0.10590794150000001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2'!$AS$238:$CO$238</c:f>
              <c:numCache>
                <c:formatCode>0.0%</c:formatCode>
                <c:ptCount val="49"/>
                <c:pt idx="0">
                  <c:v>0.47063357509999998</c:v>
                </c:pt>
                <c:pt idx="1">
                  <c:v>0.45308591609999999</c:v>
                </c:pt>
                <c:pt idx="2">
                  <c:v>0.39949929779999999</c:v>
                </c:pt>
                <c:pt idx="3">
                  <c:v>0.3966199661</c:v>
                </c:pt>
                <c:pt idx="4">
                  <c:v>0.41030791490000001</c:v>
                </c:pt>
                <c:pt idx="5">
                  <c:v>0.42514562900000002</c:v>
                </c:pt>
                <c:pt idx="6">
                  <c:v>0.42697147009999997</c:v>
                </c:pt>
                <c:pt idx="7">
                  <c:v>0.34319841000000001</c:v>
                </c:pt>
                <c:pt idx="8">
                  <c:v>0.27271169010000001</c:v>
                </c:pt>
                <c:pt idx="9">
                  <c:v>0.23853648120000001</c:v>
                </c:pt>
                <c:pt idx="10">
                  <c:v>0.21846072520000001</c:v>
                </c:pt>
                <c:pt idx="11">
                  <c:v>0.26602740619999998</c:v>
                </c:pt>
                <c:pt idx="12">
                  <c:v>0.3004272831</c:v>
                </c:pt>
                <c:pt idx="13">
                  <c:v>0.33387559360000002</c:v>
                </c:pt>
                <c:pt idx="14">
                  <c:v>0.34960184960000001</c:v>
                </c:pt>
                <c:pt idx="15">
                  <c:v>0.31316752170000001</c:v>
                </c:pt>
                <c:pt idx="16">
                  <c:v>0.29891067919999997</c:v>
                </c:pt>
                <c:pt idx="17">
                  <c:v>0.2818144413</c:v>
                </c:pt>
                <c:pt idx="18">
                  <c:v>0.29055558479999999</c:v>
                </c:pt>
                <c:pt idx="19">
                  <c:v>0.27612253139999998</c:v>
                </c:pt>
                <c:pt idx="20">
                  <c:v>0.24432226679999999</c:v>
                </c:pt>
                <c:pt idx="21">
                  <c:v>0.2068719383</c:v>
                </c:pt>
                <c:pt idx="22">
                  <c:v>0.170622107</c:v>
                </c:pt>
                <c:pt idx="23">
                  <c:v>0.15506697999999999</c:v>
                </c:pt>
                <c:pt idx="24">
                  <c:v>0.15010780770000001</c:v>
                </c:pt>
                <c:pt idx="25">
                  <c:v>0.1592509144</c:v>
                </c:pt>
                <c:pt idx="26">
                  <c:v>0.16395324650000001</c:v>
                </c:pt>
                <c:pt idx="27">
                  <c:v>0.15969155269999999</c:v>
                </c:pt>
                <c:pt idx="28">
                  <c:v>0.14653544360000001</c:v>
                </c:pt>
                <c:pt idx="29">
                  <c:v>0.12660023770000001</c:v>
                </c:pt>
                <c:pt idx="30">
                  <c:v>0.1088666581</c:v>
                </c:pt>
                <c:pt idx="31">
                  <c:v>0.1008816446</c:v>
                </c:pt>
                <c:pt idx="32">
                  <c:v>0.1020702941</c:v>
                </c:pt>
                <c:pt idx="33">
                  <c:v>0.1026050585</c:v>
                </c:pt>
                <c:pt idx="34">
                  <c:v>9.7507640899999998E-2</c:v>
                </c:pt>
                <c:pt idx="35">
                  <c:v>8.7884778699999999E-2</c:v>
                </c:pt>
                <c:pt idx="36">
                  <c:v>7.5306614999999993E-2</c:v>
                </c:pt>
                <c:pt idx="37">
                  <c:v>6.7004044200000001E-2</c:v>
                </c:pt>
                <c:pt idx="38">
                  <c:v>6.7296067900000006E-2</c:v>
                </c:pt>
                <c:pt idx="39">
                  <c:v>7.2556612899999998E-2</c:v>
                </c:pt>
                <c:pt idx="40">
                  <c:v>7.5988481600000005E-2</c:v>
                </c:pt>
                <c:pt idx="41">
                  <c:v>7.1761425700000006E-2</c:v>
                </c:pt>
                <c:pt idx="42">
                  <c:v>6.3321756100000001E-2</c:v>
                </c:pt>
                <c:pt idx="43">
                  <c:v>5.3585609700000002E-2</c:v>
                </c:pt>
                <c:pt idx="44">
                  <c:v>4.8624727800000003E-2</c:v>
                </c:pt>
                <c:pt idx="45">
                  <c:v>4.8730444300000002E-2</c:v>
                </c:pt>
                <c:pt idx="46">
                  <c:v>5.5348495900000003E-2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0.12583653689999999</c:v>
                </c:pt>
                <c:pt idx="8">
                  <c:v>0.1224522119</c:v>
                </c:pt>
                <c:pt idx="9">
                  <c:v>0.1481416716</c:v>
                </c:pt>
                <c:pt idx="10">
                  <c:v>0.17116002159999999</c:v>
                </c:pt>
                <c:pt idx="11">
                  <c:v>0.1759372958</c:v>
                </c:pt>
                <c:pt idx="12">
                  <c:v>0.17328673589999999</c:v>
                </c:pt>
                <c:pt idx="13">
                  <c:v>0.16993194110000001</c:v>
                </c:pt>
                <c:pt idx="14">
                  <c:v>0.1565248675</c:v>
                </c:pt>
                <c:pt idx="15">
                  <c:v>0.16495145880000001</c:v>
                </c:pt>
                <c:pt idx="16">
                  <c:v>0.15676509790000001</c:v>
                </c:pt>
                <c:pt idx="17">
                  <c:v>0.15909643740000001</c:v>
                </c:pt>
                <c:pt idx="18">
                  <c:v>0.17733938360000001</c:v>
                </c:pt>
                <c:pt idx="19">
                  <c:v>0.21971519980000001</c:v>
                </c:pt>
                <c:pt idx="20">
                  <c:v>0.2606469153</c:v>
                </c:pt>
                <c:pt idx="21">
                  <c:v>0.28030843249999998</c:v>
                </c:pt>
                <c:pt idx="22">
                  <c:v>0.27452462189999999</c:v>
                </c:pt>
                <c:pt idx="23">
                  <c:v>0.2410643888</c:v>
                </c:pt>
                <c:pt idx="24">
                  <c:v>0.20690623129999999</c:v>
                </c:pt>
                <c:pt idx="25">
                  <c:v>0.18386138630000001</c:v>
                </c:pt>
                <c:pt idx="26">
                  <c:v>0.17968401959999999</c:v>
                </c:pt>
                <c:pt idx="27">
                  <c:v>0.16185719330000001</c:v>
                </c:pt>
                <c:pt idx="28">
                  <c:v>0.1565776666</c:v>
                </c:pt>
                <c:pt idx="29">
                  <c:v>0.14208477050000001</c:v>
                </c:pt>
                <c:pt idx="30">
                  <c:v>0.1692893349</c:v>
                </c:pt>
                <c:pt idx="31">
                  <c:v>0.21264733550000001</c:v>
                </c:pt>
                <c:pt idx="32">
                  <c:v>0.23755067769999999</c:v>
                </c:pt>
                <c:pt idx="33">
                  <c:v>0.2487801352</c:v>
                </c:pt>
                <c:pt idx="34">
                  <c:v>0.21069770730000001</c:v>
                </c:pt>
                <c:pt idx="35">
                  <c:v>0.19914256359999999</c:v>
                </c:pt>
                <c:pt idx="36">
                  <c:v>0.19772602850000001</c:v>
                </c:pt>
                <c:pt idx="37">
                  <c:v>0.20504003079999999</c:v>
                </c:pt>
                <c:pt idx="38">
                  <c:v>0.20262013449999999</c:v>
                </c:pt>
                <c:pt idx="39">
                  <c:v>0.1733290327</c:v>
                </c:pt>
                <c:pt idx="40">
                  <c:v>0.1538773497</c:v>
                </c:pt>
                <c:pt idx="41">
                  <c:v>0.13583030039999999</c:v>
                </c:pt>
                <c:pt idx="42">
                  <c:v>0.13469136009999999</c:v>
                </c:pt>
                <c:pt idx="43">
                  <c:v>0.1295344722</c:v>
                </c:pt>
                <c:pt idx="44">
                  <c:v>0.12837582210000001</c:v>
                </c:pt>
                <c:pt idx="45">
                  <c:v>0.1258467768</c:v>
                </c:pt>
                <c:pt idx="46">
                  <c:v>0.1132103809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2'!$AS$240:$CO$240</c:f>
              <c:numCache>
                <c:formatCode>0.0%</c:formatCode>
                <c:ptCount val="49"/>
                <c:pt idx="0">
                  <c:v>0.61856988729999995</c:v>
                </c:pt>
                <c:pt idx="1">
                  <c:v>0.60009963099999997</c:v>
                </c:pt>
                <c:pt idx="2">
                  <c:v>0.54961972540000004</c:v>
                </c:pt>
                <c:pt idx="3">
                  <c:v>0.46891616850000001</c:v>
                </c:pt>
                <c:pt idx="4">
                  <c:v>0.3914834834</c:v>
                </c:pt>
                <c:pt idx="5">
                  <c:v>0.31560904049999999</c:v>
                </c:pt>
                <c:pt idx="6">
                  <c:v>0.26981927160000002</c:v>
                </c:pt>
                <c:pt idx="7">
                  <c:v>0.22946262249999999</c:v>
                </c:pt>
                <c:pt idx="8">
                  <c:v>0.1880206952</c:v>
                </c:pt>
                <c:pt idx="9">
                  <c:v>0.1509039683</c:v>
                </c:pt>
                <c:pt idx="10">
                  <c:v>0.126994724</c:v>
                </c:pt>
                <c:pt idx="11">
                  <c:v>0.1225904397</c:v>
                </c:pt>
                <c:pt idx="12">
                  <c:v>0.12531186799999999</c:v>
                </c:pt>
                <c:pt idx="13">
                  <c:v>0.1286371432</c:v>
                </c:pt>
                <c:pt idx="14">
                  <c:v>0.12591227320000001</c:v>
                </c:pt>
                <c:pt idx="15">
                  <c:v>0.12070911550000001</c:v>
                </c:pt>
                <c:pt idx="16">
                  <c:v>0.1101793311</c:v>
                </c:pt>
                <c:pt idx="17">
                  <c:v>0.10013315709999999</c:v>
                </c:pt>
                <c:pt idx="18">
                  <c:v>9.7489379200000004E-2</c:v>
                </c:pt>
                <c:pt idx="19">
                  <c:v>9.4698301700000001E-2</c:v>
                </c:pt>
                <c:pt idx="20">
                  <c:v>9.0069266199999998E-2</c:v>
                </c:pt>
                <c:pt idx="21">
                  <c:v>8.5444233600000002E-2</c:v>
                </c:pt>
                <c:pt idx="22">
                  <c:v>8.6199123200000005E-2</c:v>
                </c:pt>
                <c:pt idx="23">
                  <c:v>9.4347249699999997E-2</c:v>
                </c:pt>
                <c:pt idx="24">
                  <c:v>0.10701532950000001</c:v>
                </c:pt>
                <c:pt idx="25">
                  <c:v>0.12297847319999999</c:v>
                </c:pt>
                <c:pt idx="26">
                  <c:v>0.1363525176</c:v>
                </c:pt>
                <c:pt idx="27">
                  <c:v>0.14290468780000001</c:v>
                </c:pt>
                <c:pt idx="28">
                  <c:v>0.1429239752</c:v>
                </c:pt>
                <c:pt idx="29">
                  <c:v>0.138178574</c:v>
                </c:pt>
                <c:pt idx="30">
                  <c:v>0.13083027450000001</c:v>
                </c:pt>
                <c:pt idx="31">
                  <c:v>0.1211598458</c:v>
                </c:pt>
                <c:pt idx="32">
                  <c:v>0.11162984419999999</c:v>
                </c:pt>
                <c:pt idx="33">
                  <c:v>0.1014019818</c:v>
                </c:pt>
                <c:pt idx="34">
                  <c:v>9.1390388700000005E-2</c:v>
                </c:pt>
                <c:pt idx="35">
                  <c:v>8.3352496799999995E-2</c:v>
                </c:pt>
                <c:pt idx="36">
                  <c:v>7.6838294700000004E-2</c:v>
                </c:pt>
                <c:pt idx="37">
                  <c:v>7.1650407700000002E-2</c:v>
                </c:pt>
                <c:pt idx="38">
                  <c:v>6.6789353900000001E-2</c:v>
                </c:pt>
                <c:pt idx="39">
                  <c:v>6.3578061800000002E-2</c:v>
                </c:pt>
                <c:pt idx="40">
                  <c:v>6.1624062799999997E-2</c:v>
                </c:pt>
                <c:pt idx="41">
                  <c:v>6.0961252299999998E-2</c:v>
                </c:pt>
                <c:pt idx="42">
                  <c:v>6.1879167399999997E-2</c:v>
                </c:pt>
                <c:pt idx="43">
                  <c:v>6.2440984200000001E-2</c:v>
                </c:pt>
                <c:pt idx="44">
                  <c:v>6.3012765100000007E-2</c:v>
                </c:pt>
                <c:pt idx="45">
                  <c:v>6.3167840200000006E-2</c:v>
                </c:pt>
                <c:pt idx="46">
                  <c:v>6.4178712400000004E-2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2'!$AS$241:$CO$241</c:f>
              <c:numCache>
                <c:formatCode>0.0%</c:formatCode>
                <c:ptCount val="49"/>
                <c:pt idx="0">
                  <c:v>0.3669999732</c:v>
                </c:pt>
                <c:pt idx="1">
                  <c:v>0.34001672449999998</c:v>
                </c:pt>
                <c:pt idx="2">
                  <c:v>0.31069206960000001</c:v>
                </c:pt>
                <c:pt idx="3">
                  <c:v>0.27379299060000001</c:v>
                </c:pt>
                <c:pt idx="4">
                  <c:v>0.25339493289999998</c:v>
                </c:pt>
                <c:pt idx="5">
                  <c:v>0.2420090959</c:v>
                </c:pt>
                <c:pt idx="6">
                  <c:v>0.25003148450000001</c:v>
                </c:pt>
                <c:pt idx="7">
                  <c:v>0.25408046870000001</c:v>
                </c:pt>
                <c:pt idx="8">
                  <c:v>0.24751841150000001</c:v>
                </c:pt>
                <c:pt idx="9">
                  <c:v>0.2349509373</c:v>
                </c:pt>
                <c:pt idx="10">
                  <c:v>0.2164431641</c:v>
                </c:pt>
                <c:pt idx="11">
                  <c:v>0.20611805899999999</c:v>
                </c:pt>
                <c:pt idx="12">
                  <c:v>0.2059299705</c:v>
                </c:pt>
                <c:pt idx="13">
                  <c:v>0.20411879790000001</c:v>
                </c:pt>
                <c:pt idx="14">
                  <c:v>0.19873116399999999</c:v>
                </c:pt>
                <c:pt idx="15">
                  <c:v>0.1830361905</c:v>
                </c:pt>
                <c:pt idx="16">
                  <c:v>0.1674168164</c:v>
                </c:pt>
                <c:pt idx="17">
                  <c:v>0.15714832840000001</c:v>
                </c:pt>
                <c:pt idx="18">
                  <c:v>0.15272539460000001</c:v>
                </c:pt>
                <c:pt idx="19">
                  <c:v>0.15584344889999999</c:v>
                </c:pt>
                <c:pt idx="20">
                  <c:v>0.15781448070000001</c:v>
                </c:pt>
                <c:pt idx="21">
                  <c:v>0.15203352840000001</c:v>
                </c:pt>
                <c:pt idx="22">
                  <c:v>0.13637958999999999</c:v>
                </c:pt>
                <c:pt idx="23">
                  <c:v>0.1203200289</c:v>
                </c:pt>
                <c:pt idx="24">
                  <c:v>0.1087032948</c:v>
                </c:pt>
                <c:pt idx="25">
                  <c:v>0.1021471491</c:v>
                </c:pt>
                <c:pt idx="26">
                  <c:v>0.1010718697</c:v>
                </c:pt>
                <c:pt idx="27">
                  <c:v>9.98783429E-2</c:v>
                </c:pt>
                <c:pt idx="28">
                  <c:v>9.4141730300000004E-2</c:v>
                </c:pt>
                <c:pt idx="29">
                  <c:v>8.5899815899999996E-2</c:v>
                </c:pt>
                <c:pt idx="30">
                  <c:v>7.7049807999999997E-2</c:v>
                </c:pt>
                <c:pt idx="31">
                  <c:v>7.19547039E-2</c:v>
                </c:pt>
                <c:pt idx="32">
                  <c:v>7.1024523800000003E-2</c:v>
                </c:pt>
                <c:pt idx="33">
                  <c:v>7.3520316500000002E-2</c:v>
                </c:pt>
                <c:pt idx="34">
                  <c:v>7.55208869E-2</c:v>
                </c:pt>
                <c:pt idx="35">
                  <c:v>7.4920328300000005E-2</c:v>
                </c:pt>
                <c:pt idx="36">
                  <c:v>7.2053812999999994E-2</c:v>
                </c:pt>
                <c:pt idx="37">
                  <c:v>6.7996687099999994E-2</c:v>
                </c:pt>
                <c:pt idx="38">
                  <c:v>6.60619868E-2</c:v>
                </c:pt>
                <c:pt idx="39">
                  <c:v>6.6790068600000002E-2</c:v>
                </c:pt>
                <c:pt idx="40">
                  <c:v>7.1323660799999994E-2</c:v>
                </c:pt>
                <c:pt idx="41">
                  <c:v>7.62070953E-2</c:v>
                </c:pt>
                <c:pt idx="42">
                  <c:v>7.8249557400000003E-2</c:v>
                </c:pt>
                <c:pt idx="43">
                  <c:v>7.6330743600000001E-2</c:v>
                </c:pt>
                <c:pt idx="44">
                  <c:v>7.1912391000000006E-2</c:v>
                </c:pt>
                <c:pt idx="45">
                  <c:v>6.7406542200000003E-2</c:v>
                </c:pt>
                <c:pt idx="46">
                  <c:v>6.5208084499999999E-2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2'!$AS$242:$CO$242</c:f>
              <c:numCache>
                <c:formatCode>0.0%</c:formatCode>
                <c:ptCount val="49"/>
                <c:pt idx="0">
                  <c:v>0.1014628637</c:v>
                </c:pt>
                <c:pt idx="1">
                  <c:v>9.1870273000000002E-2</c:v>
                </c:pt>
                <c:pt idx="2">
                  <c:v>9.4896056699999995E-2</c:v>
                </c:pt>
                <c:pt idx="3">
                  <c:v>0.1073976276</c:v>
                </c:pt>
                <c:pt idx="4">
                  <c:v>0.12751004669999999</c:v>
                </c:pt>
                <c:pt idx="5">
                  <c:v>0.14705193189999999</c:v>
                </c:pt>
                <c:pt idx="6">
                  <c:v>0.16121024049999999</c:v>
                </c:pt>
                <c:pt idx="7">
                  <c:v>0.1543261182</c:v>
                </c:pt>
                <c:pt idx="8">
                  <c:v>0.13350849889999999</c:v>
                </c:pt>
                <c:pt idx="9">
                  <c:v>0.1231909437</c:v>
                </c:pt>
                <c:pt idx="10">
                  <c:v>0.11932117</c:v>
                </c:pt>
                <c:pt idx="11">
                  <c:v>0.1194872825</c:v>
                </c:pt>
                <c:pt idx="12">
                  <c:v>0.1117677649</c:v>
                </c:pt>
                <c:pt idx="13">
                  <c:v>0.1081510442</c:v>
                </c:pt>
                <c:pt idx="14">
                  <c:v>0.1017182296</c:v>
                </c:pt>
                <c:pt idx="15">
                  <c:v>9.5961844899999996E-2</c:v>
                </c:pt>
                <c:pt idx="16">
                  <c:v>8.2772826999999993E-2</c:v>
                </c:pt>
                <c:pt idx="17">
                  <c:v>6.3184223400000003E-2</c:v>
                </c:pt>
                <c:pt idx="18">
                  <c:v>5.2453475300000003E-2</c:v>
                </c:pt>
                <c:pt idx="19">
                  <c:v>5.45513189E-2</c:v>
                </c:pt>
                <c:pt idx="20">
                  <c:v>7.3450393200000005E-2</c:v>
                </c:pt>
                <c:pt idx="21">
                  <c:v>8.6264946100000003E-2</c:v>
                </c:pt>
                <c:pt idx="22">
                  <c:v>0.1046711798</c:v>
                </c:pt>
                <c:pt idx="23">
                  <c:v>0.1137514575</c:v>
                </c:pt>
                <c:pt idx="24">
                  <c:v>0.1173790691</c:v>
                </c:pt>
                <c:pt idx="25">
                  <c:v>0.1242837339</c:v>
                </c:pt>
                <c:pt idx="26">
                  <c:v>0.13563384680000001</c:v>
                </c:pt>
                <c:pt idx="27">
                  <c:v>0.1543523453</c:v>
                </c:pt>
                <c:pt idx="28">
                  <c:v>0.16186077269999999</c:v>
                </c:pt>
                <c:pt idx="29">
                  <c:v>0.15104463679999999</c:v>
                </c:pt>
                <c:pt idx="30">
                  <c:v>0.1242378126</c:v>
                </c:pt>
                <c:pt idx="31">
                  <c:v>0.1135278481</c:v>
                </c:pt>
                <c:pt idx="32">
                  <c:v>0.1179086708</c:v>
                </c:pt>
                <c:pt idx="33">
                  <c:v>0.1406221641</c:v>
                </c:pt>
                <c:pt idx="34">
                  <c:v>0.16197988369999999</c:v>
                </c:pt>
                <c:pt idx="35">
                  <c:v>0.16431441720000001</c:v>
                </c:pt>
                <c:pt idx="36">
                  <c:v>0.15437626139999999</c:v>
                </c:pt>
                <c:pt idx="37">
                  <c:v>0.13558440320000001</c:v>
                </c:pt>
                <c:pt idx="38">
                  <c:v>0.12536488909999999</c:v>
                </c:pt>
                <c:pt idx="39">
                  <c:v>0.12434574700000001</c:v>
                </c:pt>
                <c:pt idx="40">
                  <c:v>0.14308209299999999</c:v>
                </c:pt>
                <c:pt idx="41">
                  <c:v>0.15934642060000001</c:v>
                </c:pt>
                <c:pt idx="42">
                  <c:v>0.1607401956</c:v>
                </c:pt>
                <c:pt idx="43">
                  <c:v>0.14468933179999999</c:v>
                </c:pt>
                <c:pt idx="44">
                  <c:v>0.12706993790000001</c:v>
                </c:pt>
                <c:pt idx="45">
                  <c:v>0.1048178318</c:v>
                </c:pt>
                <c:pt idx="46">
                  <c:v>9.7426471700000003E-2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2'!$AS$243:$CO$243</c:f>
              <c:numCache>
                <c:formatCode>0.0%</c:formatCode>
                <c:ptCount val="49"/>
                <c:pt idx="0">
                  <c:v>0.29589906490000001</c:v>
                </c:pt>
                <c:pt idx="1">
                  <c:v>0.25535777700000001</c:v>
                </c:pt>
                <c:pt idx="2">
                  <c:v>0.2044886105</c:v>
                </c:pt>
                <c:pt idx="3">
                  <c:v>0.16621922880000001</c:v>
                </c:pt>
                <c:pt idx="4">
                  <c:v>0.1342537342</c:v>
                </c:pt>
                <c:pt idx="5">
                  <c:v>0.1112410527</c:v>
                </c:pt>
                <c:pt idx="6">
                  <c:v>9.2106772599999998E-2</c:v>
                </c:pt>
                <c:pt idx="7">
                  <c:v>7.4499010099999999E-2</c:v>
                </c:pt>
                <c:pt idx="8">
                  <c:v>5.8270802900000002E-2</c:v>
                </c:pt>
                <c:pt idx="9">
                  <c:v>4.33573176E-2</c:v>
                </c:pt>
                <c:pt idx="10">
                  <c:v>3.24388262E-2</c:v>
                </c:pt>
                <c:pt idx="11">
                  <c:v>2.78302427E-2</c:v>
                </c:pt>
                <c:pt idx="12">
                  <c:v>2.91241504E-2</c:v>
                </c:pt>
                <c:pt idx="13">
                  <c:v>2.9311276800000001E-2</c:v>
                </c:pt>
                <c:pt idx="14">
                  <c:v>3.0079518400000001E-2</c:v>
                </c:pt>
                <c:pt idx="15">
                  <c:v>3.0811906E-2</c:v>
                </c:pt>
                <c:pt idx="16">
                  <c:v>3.20608805E-2</c:v>
                </c:pt>
                <c:pt idx="17">
                  <c:v>3.7597113100000003E-2</c:v>
                </c:pt>
                <c:pt idx="18">
                  <c:v>4.8330032100000003E-2</c:v>
                </c:pt>
                <c:pt idx="19">
                  <c:v>6.4451968299999995E-2</c:v>
                </c:pt>
                <c:pt idx="20">
                  <c:v>7.6959895E-2</c:v>
                </c:pt>
                <c:pt idx="21">
                  <c:v>8.3631852100000001E-2</c:v>
                </c:pt>
                <c:pt idx="22">
                  <c:v>7.7533759199999996E-2</c:v>
                </c:pt>
                <c:pt idx="23">
                  <c:v>7.2311922400000006E-2</c:v>
                </c:pt>
                <c:pt idx="24">
                  <c:v>6.3053737400000004E-2</c:v>
                </c:pt>
                <c:pt idx="25">
                  <c:v>6.04810603E-2</c:v>
                </c:pt>
                <c:pt idx="26">
                  <c:v>6.5505895100000003E-2</c:v>
                </c:pt>
                <c:pt idx="27">
                  <c:v>7.4453360400000002E-2</c:v>
                </c:pt>
                <c:pt idx="28">
                  <c:v>7.9398602400000004E-2</c:v>
                </c:pt>
                <c:pt idx="29">
                  <c:v>7.8114737099999998E-2</c:v>
                </c:pt>
                <c:pt idx="30">
                  <c:v>7.5416753500000003E-2</c:v>
                </c:pt>
                <c:pt idx="31">
                  <c:v>7.6924816500000007E-2</c:v>
                </c:pt>
                <c:pt idx="32">
                  <c:v>7.3577545100000002E-2</c:v>
                </c:pt>
                <c:pt idx="33">
                  <c:v>7.3919662400000002E-2</c:v>
                </c:pt>
                <c:pt idx="34">
                  <c:v>7.5572668499999995E-2</c:v>
                </c:pt>
                <c:pt idx="35">
                  <c:v>6.8487488900000004E-2</c:v>
                </c:pt>
                <c:pt idx="36">
                  <c:v>6.1123672900000002E-2</c:v>
                </c:pt>
                <c:pt idx="37">
                  <c:v>5.4956185800000001E-2</c:v>
                </c:pt>
                <c:pt idx="38">
                  <c:v>4.9029445400000003E-2</c:v>
                </c:pt>
                <c:pt idx="39">
                  <c:v>4.3870567499999999E-2</c:v>
                </c:pt>
                <c:pt idx="40">
                  <c:v>4.2204635499999997E-2</c:v>
                </c:pt>
                <c:pt idx="41">
                  <c:v>4.0211598899999999E-2</c:v>
                </c:pt>
                <c:pt idx="42">
                  <c:v>3.7584084900000002E-2</c:v>
                </c:pt>
                <c:pt idx="43">
                  <c:v>3.8498599699999997E-2</c:v>
                </c:pt>
                <c:pt idx="44">
                  <c:v>4.0501536499999997E-2</c:v>
                </c:pt>
                <c:pt idx="45">
                  <c:v>4.3019412299999997E-2</c:v>
                </c:pt>
                <c:pt idx="46">
                  <c:v>4.5454752799999998E-2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0.3099383027</c:v>
                </c:pt>
                <c:pt idx="11">
                  <c:v>0.31607401299999999</c:v>
                </c:pt>
                <c:pt idx="12">
                  <c:v>0.36201249819999998</c:v>
                </c:pt>
                <c:pt idx="13">
                  <c:v>0.40365899230000002</c:v>
                </c:pt>
                <c:pt idx="14">
                  <c:v>0.41816755350000001</c:v>
                </c:pt>
                <c:pt idx="15">
                  <c:v>0.4153782372</c:v>
                </c:pt>
                <c:pt idx="16">
                  <c:v>0.40014091460000001</c:v>
                </c:pt>
                <c:pt idx="17">
                  <c:v>0.37316137420000001</c:v>
                </c:pt>
                <c:pt idx="18">
                  <c:v>0.34713371770000001</c:v>
                </c:pt>
                <c:pt idx="19">
                  <c:v>0.3225032531</c:v>
                </c:pt>
                <c:pt idx="20">
                  <c:v>0.29855372060000002</c:v>
                </c:pt>
                <c:pt idx="21">
                  <c:v>0.28328596540000001</c:v>
                </c:pt>
                <c:pt idx="22">
                  <c:v>0.26029979559999999</c:v>
                </c:pt>
                <c:pt idx="23">
                  <c:v>0.25013956790000003</c:v>
                </c:pt>
                <c:pt idx="24">
                  <c:v>0.23478209859999999</c:v>
                </c:pt>
                <c:pt idx="25">
                  <c:v>0.22199632350000001</c:v>
                </c:pt>
                <c:pt idx="26">
                  <c:v>0.2188687553</c:v>
                </c:pt>
                <c:pt idx="27">
                  <c:v>0.2089797799</c:v>
                </c:pt>
                <c:pt idx="28">
                  <c:v>0.194873252</c:v>
                </c:pt>
                <c:pt idx="29">
                  <c:v>0.17409943550000001</c:v>
                </c:pt>
                <c:pt idx="30">
                  <c:v>0.1537691447</c:v>
                </c:pt>
                <c:pt idx="31">
                  <c:v>0.13764610369999999</c:v>
                </c:pt>
                <c:pt idx="32">
                  <c:v>0.12892942909999999</c:v>
                </c:pt>
                <c:pt idx="33">
                  <c:v>0.1185238951</c:v>
                </c:pt>
                <c:pt idx="34">
                  <c:v>0.1098295544</c:v>
                </c:pt>
                <c:pt idx="35">
                  <c:v>9.5968526900000004E-2</c:v>
                </c:pt>
                <c:pt idx="36">
                  <c:v>8.4864507899999997E-2</c:v>
                </c:pt>
                <c:pt idx="37">
                  <c:v>7.9008045999999998E-2</c:v>
                </c:pt>
                <c:pt idx="38">
                  <c:v>7.6263556999999996E-2</c:v>
                </c:pt>
                <c:pt idx="39">
                  <c:v>8.4888707899999999E-2</c:v>
                </c:pt>
                <c:pt idx="40">
                  <c:v>9.4422848300000001E-2</c:v>
                </c:pt>
                <c:pt idx="41">
                  <c:v>0.1018445654</c:v>
                </c:pt>
                <c:pt idx="42">
                  <c:v>9.30049243E-2</c:v>
                </c:pt>
                <c:pt idx="43">
                  <c:v>8.0293024500000004E-2</c:v>
                </c:pt>
                <c:pt idx="44">
                  <c:v>6.7609800999999997E-2</c:v>
                </c:pt>
                <c:pt idx="45">
                  <c:v>6.0429426299999998E-2</c:v>
                </c:pt>
                <c:pt idx="46">
                  <c:v>6.4716202E-2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0.13427362349999999</c:v>
                </c:pt>
                <c:pt idx="11">
                  <c:v>0.18549812900000001</c:v>
                </c:pt>
                <c:pt idx="12">
                  <c:v>0.25033920700000001</c:v>
                </c:pt>
                <c:pt idx="13">
                  <c:v>0.28765662939999997</c:v>
                </c:pt>
                <c:pt idx="14">
                  <c:v>0.32062583039999998</c:v>
                </c:pt>
                <c:pt idx="15">
                  <c:v>0.29584171399999998</c:v>
                </c:pt>
                <c:pt idx="16">
                  <c:v>0.2827480181</c:v>
                </c:pt>
                <c:pt idx="17">
                  <c:v>0.29419366450000001</c:v>
                </c:pt>
                <c:pt idx="18">
                  <c:v>0.31256110669999998</c:v>
                </c:pt>
                <c:pt idx="19">
                  <c:v>0.31340731910000003</c:v>
                </c:pt>
                <c:pt idx="20">
                  <c:v>0.28779017029999998</c:v>
                </c:pt>
                <c:pt idx="21">
                  <c:v>0.25751085670000001</c:v>
                </c:pt>
                <c:pt idx="22">
                  <c:v>0.22274967840000001</c:v>
                </c:pt>
                <c:pt idx="23">
                  <c:v>0.21135921539999999</c:v>
                </c:pt>
                <c:pt idx="24">
                  <c:v>0.21850646200000001</c:v>
                </c:pt>
                <c:pt idx="25">
                  <c:v>0.2393135515</c:v>
                </c:pt>
                <c:pt idx="26">
                  <c:v>0.2587327593</c:v>
                </c:pt>
                <c:pt idx="27">
                  <c:v>0.25646819430000001</c:v>
                </c:pt>
                <c:pt idx="28">
                  <c:v>0.24694962030000001</c:v>
                </c:pt>
                <c:pt idx="29">
                  <c:v>0.23658064919999999</c:v>
                </c:pt>
                <c:pt idx="30">
                  <c:v>0.23201173420000001</c:v>
                </c:pt>
                <c:pt idx="31">
                  <c:v>0.23943221619999999</c:v>
                </c:pt>
                <c:pt idx="32">
                  <c:v>0.24082238680000001</c:v>
                </c:pt>
                <c:pt idx="33">
                  <c:v>0.22963470599999999</c:v>
                </c:pt>
                <c:pt idx="34">
                  <c:v>0.2114202141</c:v>
                </c:pt>
                <c:pt idx="35">
                  <c:v>0.18706491310000001</c:v>
                </c:pt>
                <c:pt idx="36">
                  <c:v>0.1756169377</c:v>
                </c:pt>
                <c:pt idx="37">
                  <c:v>0.17326771560000001</c:v>
                </c:pt>
                <c:pt idx="38">
                  <c:v>0.18010671349999999</c:v>
                </c:pt>
                <c:pt idx="39">
                  <c:v>0.18483596229999999</c:v>
                </c:pt>
                <c:pt idx="40">
                  <c:v>0.18383757580000001</c:v>
                </c:pt>
                <c:pt idx="41">
                  <c:v>0.18124063369999999</c:v>
                </c:pt>
                <c:pt idx="42">
                  <c:v>0.17823292560000001</c:v>
                </c:pt>
                <c:pt idx="43">
                  <c:v>0.17744024259999999</c:v>
                </c:pt>
                <c:pt idx="44">
                  <c:v>0.17742758189999999</c:v>
                </c:pt>
                <c:pt idx="45">
                  <c:v>0.1779222443</c:v>
                </c:pt>
                <c:pt idx="46">
                  <c:v>0.1764389522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2'!$AS$246:$CO$246</c:f>
              <c:numCache>
                <c:formatCode>0.0%</c:formatCode>
                <c:ptCount val="49"/>
                <c:pt idx="0">
                  <c:v>0.1069547293</c:v>
                </c:pt>
                <c:pt idx="1">
                  <c:v>0.11335148</c:v>
                </c:pt>
                <c:pt idx="2">
                  <c:v>0.10717018540000001</c:v>
                </c:pt>
                <c:pt idx="3">
                  <c:v>9.4427820400000001E-2</c:v>
                </c:pt>
                <c:pt idx="4">
                  <c:v>9.6736980900000005E-2</c:v>
                </c:pt>
                <c:pt idx="5">
                  <c:v>0.11924376489999999</c:v>
                </c:pt>
                <c:pt idx="6">
                  <c:v>0.14674479570000001</c:v>
                </c:pt>
                <c:pt idx="7">
                  <c:v>0.16215619070000001</c:v>
                </c:pt>
                <c:pt idx="8">
                  <c:v>0.1523589514</c:v>
                </c:pt>
                <c:pt idx="9">
                  <c:v>0.13353577359999999</c:v>
                </c:pt>
                <c:pt idx="10">
                  <c:v>0.121205058</c:v>
                </c:pt>
                <c:pt idx="11">
                  <c:v>0.12602063520000001</c:v>
                </c:pt>
                <c:pt idx="12">
                  <c:v>0.12766447950000001</c:v>
                </c:pt>
                <c:pt idx="13">
                  <c:v>0.12539235239999999</c:v>
                </c:pt>
                <c:pt idx="14">
                  <c:v>0.1191398758</c:v>
                </c:pt>
                <c:pt idx="15">
                  <c:v>0.1142923978</c:v>
                </c:pt>
                <c:pt idx="16">
                  <c:v>0.12776095000000001</c:v>
                </c:pt>
                <c:pt idx="17">
                  <c:v>0.14679999630000001</c:v>
                </c:pt>
                <c:pt idx="18">
                  <c:v>0.1697921423</c:v>
                </c:pt>
                <c:pt idx="19">
                  <c:v>0.17826661150000001</c:v>
                </c:pt>
                <c:pt idx="20">
                  <c:v>0.17205135590000001</c:v>
                </c:pt>
                <c:pt idx="21">
                  <c:v>0.15625540939999999</c:v>
                </c:pt>
                <c:pt idx="22">
                  <c:v>0.13892279690000001</c:v>
                </c:pt>
                <c:pt idx="23">
                  <c:v>0.138553599</c:v>
                </c:pt>
                <c:pt idx="24">
                  <c:v>0.14022843709999999</c:v>
                </c:pt>
                <c:pt idx="25">
                  <c:v>0.13798564129999999</c:v>
                </c:pt>
                <c:pt idx="26">
                  <c:v>0.13402284449999999</c:v>
                </c:pt>
                <c:pt idx="27">
                  <c:v>0.1199747505</c:v>
                </c:pt>
                <c:pt idx="28">
                  <c:v>0.1073564036</c:v>
                </c:pt>
                <c:pt idx="29">
                  <c:v>9.3588279799999993E-2</c:v>
                </c:pt>
                <c:pt idx="30">
                  <c:v>8.8174665200000002E-2</c:v>
                </c:pt>
                <c:pt idx="31">
                  <c:v>8.5817612700000004E-2</c:v>
                </c:pt>
                <c:pt idx="32">
                  <c:v>8.8533412199999995E-2</c:v>
                </c:pt>
                <c:pt idx="33">
                  <c:v>9.5197748700000001E-2</c:v>
                </c:pt>
                <c:pt idx="34">
                  <c:v>0.1000225258</c:v>
                </c:pt>
                <c:pt idx="35">
                  <c:v>0.10823663090000001</c:v>
                </c:pt>
                <c:pt idx="36">
                  <c:v>0.11427719</c:v>
                </c:pt>
                <c:pt idx="37">
                  <c:v>0.12295289230000001</c:v>
                </c:pt>
                <c:pt idx="38">
                  <c:v>0.13301244749999999</c:v>
                </c:pt>
                <c:pt idx="39">
                  <c:v>0.1510046833</c:v>
                </c:pt>
                <c:pt idx="40">
                  <c:v>0.16854260739999999</c:v>
                </c:pt>
                <c:pt idx="41">
                  <c:v>0.17347880130000001</c:v>
                </c:pt>
                <c:pt idx="42">
                  <c:v>0.16454074129999999</c:v>
                </c:pt>
                <c:pt idx="43">
                  <c:v>0.16003199879999999</c:v>
                </c:pt>
                <c:pt idx="44">
                  <c:v>0.16171553720000001</c:v>
                </c:pt>
                <c:pt idx="45">
                  <c:v>0.17246458719999999</c:v>
                </c:pt>
                <c:pt idx="46">
                  <c:v>0.1820833566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0.58182843520000005</c:v>
                </c:pt>
                <c:pt idx="2">
                  <c:v>0.53700106830000005</c:v>
                </c:pt>
                <c:pt idx="3">
                  <c:v>0.42017719520000002</c:v>
                </c:pt>
                <c:pt idx="4">
                  <c:v>0.37619718590000001</c:v>
                </c:pt>
                <c:pt idx="5">
                  <c:v>0.33802473840000002</c:v>
                </c:pt>
                <c:pt idx="6">
                  <c:v>0.33565988610000003</c:v>
                </c:pt>
                <c:pt idx="7">
                  <c:v>0.37530170829999998</c:v>
                </c:pt>
                <c:pt idx="8">
                  <c:v>0.41436809499999999</c:v>
                </c:pt>
                <c:pt idx="9">
                  <c:v>0.45521883130000002</c:v>
                </c:pt>
                <c:pt idx="10">
                  <c:v>0.4959874735</c:v>
                </c:pt>
                <c:pt idx="11">
                  <c:v>0.50941223069999997</c:v>
                </c:pt>
                <c:pt idx="12">
                  <c:v>0.46823941860000001</c:v>
                </c:pt>
                <c:pt idx="13">
                  <c:v>0.4161468398</c:v>
                </c:pt>
                <c:pt idx="14">
                  <c:v>0.3411109511</c:v>
                </c:pt>
                <c:pt idx="15">
                  <c:v>0.28494500499999997</c:v>
                </c:pt>
                <c:pt idx="16">
                  <c:v>0.24445401729999999</c:v>
                </c:pt>
                <c:pt idx="17">
                  <c:v>0.2350719963</c:v>
                </c:pt>
                <c:pt idx="18">
                  <c:v>0.22472268000000001</c:v>
                </c:pt>
                <c:pt idx="19">
                  <c:v>0.22473951850000001</c:v>
                </c:pt>
                <c:pt idx="20">
                  <c:v>0.21628552379999999</c:v>
                </c:pt>
                <c:pt idx="21">
                  <c:v>0.2098905868</c:v>
                </c:pt>
                <c:pt idx="22">
                  <c:v>0.20115345530000001</c:v>
                </c:pt>
                <c:pt idx="23">
                  <c:v>0.19673927329999999</c:v>
                </c:pt>
                <c:pt idx="24">
                  <c:v>0.2005101883</c:v>
                </c:pt>
                <c:pt idx="25">
                  <c:v>0.1954396135</c:v>
                </c:pt>
                <c:pt idx="26">
                  <c:v>0.18994707250000001</c:v>
                </c:pt>
                <c:pt idx="27">
                  <c:v>0.1679993042</c:v>
                </c:pt>
                <c:pt idx="28">
                  <c:v>0.14831281069999999</c:v>
                </c:pt>
                <c:pt idx="29">
                  <c:v>0.1269534933</c:v>
                </c:pt>
                <c:pt idx="30">
                  <c:v>0.1153647814</c:v>
                </c:pt>
                <c:pt idx="31">
                  <c:v>0.1101911402</c:v>
                </c:pt>
                <c:pt idx="32">
                  <c:v>0.1035123287</c:v>
                </c:pt>
                <c:pt idx="33">
                  <c:v>9.8515827799999997E-2</c:v>
                </c:pt>
                <c:pt idx="34">
                  <c:v>8.9127626400000007E-2</c:v>
                </c:pt>
                <c:pt idx="35">
                  <c:v>8.1180452099999995E-2</c:v>
                </c:pt>
                <c:pt idx="36">
                  <c:v>7.1867128599999996E-2</c:v>
                </c:pt>
                <c:pt idx="37">
                  <c:v>6.8119299300000005E-2</c:v>
                </c:pt>
                <c:pt idx="38">
                  <c:v>6.6422632199999998E-2</c:v>
                </c:pt>
                <c:pt idx="39">
                  <c:v>6.6683779999999998E-2</c:v>
                </c:pt>
                <c:pt idx="40">
                  <c:v>6.7263062299999996E-2</c:v>
                </c:pt>
                <c:pt idx="41">
                  <c:v>6.5628143900000005E-2</c:v>
                </c:pt>
                <c:pt idx="42">
                  <c:v>6.3110054200000001E-2</c:v>
                </c:pt>
                <c:pt idx="43">
                  <c:v>5.8606070099999998E-2</c:v>
                </c:pt>
                <c:pt idx="44">
                  <c:v>5.6254908899999997E-2</c:v>
                </c:pt>
                <c:pt idx="45">
                  <c:v>5.8996736399999999E-2</c:v>
                </c:pt>
                <c:pt idx="46">
                  <c:v>6.85389374E-2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0.54438060479999995</c:v>
                </c:pt>
                <c:pt idx="5">
                  <c:v>0.63746262840000001</c:v>
                </c:pt>
                <c:pt idx="6">
                  <c:v>0.60270622240000005</c:v>
                </c:pt>
                <c:pt idx="7">
                  <c:v>0.4229376011</c:v>
                </c:pt>
                <c:pt idx="8">
                  <c:v>0.36924711199999999</c:v>
                </c:pt>
                <c:pt idx="9">
                  <c:v>0.32803857730000002</c:v>
                </c:pt>
                <c:pt idx="10">
                  <c:v>0.33367343570000002</c:v>
                </c:pt>
                <c:pt idx="11">
                  <c:v>0.33355369159999998</c:v>
                </c:pt>
                <c:pt idx="12">
                  <c:v>0.31396610870000002</c:v>
                </c:pt>
                <c:pt idx="13">
                  <c:v>0.2655501623</c:v>
                </c:pt>
                <c:pt idx="14">
                  <c:v>0.20985557530000001</c:v>
                </c:pt>
                <c:pt idx="15">
                  <c:v>0.1499868422</c:v>
                </c:pt>
                <c:pt idx="16">
                  <c:v>0.11056109059999999</c:v>
                </c:pt>
                <c:pt idx="17">
                  <c:v>9.33105553E-2</c:v>
                </c:pt>
                <c:pt idx="18">
                  <c:v>9.59675428E-2</c:v>
                </c:pt>
                <c:pt idx="19">
                  <c:v>0.1092702827</c:v>
                </c:pt>
                <c:pt idx="20">
                  <c:v>0.1179216609</c:v>
                </c:pt>
                <c:pt idx="21">
                  <c:v>0.11495626640000001</c:v>
                </c:pt>
                <c:pt idx="22">
                  <c:v>0.11257426</c:v>
                </c:pt>
                <c:pt idx="23">
                  <c:v>0.11342938380000001</c:v>
                </c:pt>
                <c:pt idx="24">
                  <c:v>0.1195163898</c:v>
                </c:pt>
                <c:pt idx="25">
                  <c:v>0.1372834409</c:v>
                </c:pt>
                <c:pt idx="26">
                  <c:v>0.14616332039999999</c:v>
                </c:pt>
                <c:pt idx="27">
                  <c:v>0.14474958339999999</c:v>
                </c:pt>
                <c:pt idx="28">
                  <c:v>0.13675210979999999</c:v>
                </c:pt>
                <c:pt idx="29">
                  <c:v>0.13095782610000001</c:v>
                </c:pt>
                <c:pt idx="30">
                  <c:v>0.12700571760000001</c:v>
                </c:pt>
                <c:pt idx="31">
                  <c:v>0.13467137809999999</c:v>
                </c:pt>
                <c:pt idx="32">
                  <c:v>0.1429757083</c:v>
                </c:pt>
                <c:pt idx="33">
                  <c:v>0.14472556119999999</c:v>
                </c:pt>
                <c:pt idx="34">
                  <c:v>0.13499594030000001</c:v>
                </c:pt>
                <c:pt idx="35">
                  <c:v>0.1143039163</c:v>
                </c:pt>
                <c:pt idx="36">
                  <c:v>9.8013746099999993E-2</c:v>
                </c:pt>
                <c:pt idx="37">
                  <c:v>9.25183168E-2</c:v>
                </c:pt>
                <c:pt idx="38">
                  <c:v>9.8771031300000006E-2</c:v>
                </c:pt>
                <c:pt idx="39">
                  <c:v>0.10829143400000001</c:v>
                </c:pt>
                <c:pt idx="40">
                  <c:v>0.1129817979</c:v>
                </c:pt>
                <c:pt idx="41">
                  <c:v>0.10484434820000001</c:v>
                </c:pt>
                <c:pt idx="42">
                  <c:v>9.0974609499999998E-2</c:v>
                </c:pt>
                <c:pt idx="43">
                  <c:v>7.8512868200000002E-2</c:v>
                </c:pt>
                <c:pt idx="44">
                  <c:v>7.3841695900000004E-2</c:v>
                </c:pt>
                <c:pt idx="45">
                  <c:v>7.7759281E-2</c:v>
                </c:pt>
                <c:pt idx="46">
                  <c:v>8.4210805299999997E-2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0.4591054557</c:v>
                </c:pt>
                <c:pt idx="4">
                  <c:v>0.48277588960000001</c:v>
                </c:pt>
                <c:pt idx="5">
                  <c:v>0.47948158530000001</c:v>
                </c:pt>
                <c:pt idx="6">
                  <c:v>0.4473677767</c:v>
                </c:pt>
                <c:pt idx="7">
                  <c:v>0.39511683600000003</c:v>
                </c:pt>
                <c:pt idx="8">
                  <c:v>0.30407092679999997</c:v>
                </c:pt>
                <c:pt idx="9">
                  <c:v>0.26471557340000001</c:v>
                </c:pt>
                <c:pt idx="10">
                  <c:v>0.25835740169999999</c:v>
                </c:pt>
                <c:pt idx="11">
                  <c:v>0.29038092189999998</c:v>
                </c:pt>
                <c:pt idx="12">
                  <c:v>0.30021766890000001</c:v>
                </c:pt>
                <c:pt idx="13">
                  <c:v>0.33063291839999998</c:v>
                </c:pt>
                <c:pt idx="14">
                  <c:v>0.31571875090000001</c:v>
                </c:pt>
                <c:pt idx="15">
                  <c:v>0.2921607719</c:v>
                </c:pt>
                <c:pt idx="16">
                  <c:v>0.2534818378</c:v>
                </c:pt>
                <c:pt idx="17">
                  <c:v>0.20769133789999999</c:v>
                </c:pt>
                <c:pt idx="18">
                  <c:v>0.20683486240000001</c:v>
                </c:pt>
                <c:pt idx="19">
                  <c:v>0.2226819813</c:v>
                </c:pt>
                <c:pt idx="20">
                  <c:v>0.25147451529999998</c:v>
                </c:pt>
                <c:pt idx="21">
                  <c:v>0.24599051829999999</c:v>
                </c:pt>
                <c:pt idx="22">
                  <c:v>0.2158264879</c:v>
                </c:pt>
                <c:pt idx="23">
                  <c:v>0.17759652279999999</c:v>
                </c:pt>
                <c:pt idx="24">
                  <c:v>0.15068656450000001</c:v>
                </c:pt>
                <c:pt idx="25">
                  <c:v>0.12894168180000001</c:v>
                </c:pt>
                <c:pt idx="26">
                  <c:v>0.1149156197</c:v>
                </c:pt>
                <c:pt idx="27">
                  <c:v>0.1063977604</c:v>
                </c:pt>
                <c:pt idx="28">
                  <c:v>9.8100254900000003E-2</c:v>
                </c:pt>
                <c:pt idx="29">
                  <c:v>8.7976912099999999E-2</c:v>
                </c:pt>
                <c:pt idx="30">
                  <c:v>8.06655711E-2</c:v>
                </c:pt>
                <c:pt idx="31">
                  <c:v>7.9044224499999996E-2</c:v>
                </c:pt>
                <c:pt idx="32">
                  <c:v>7.9672518799999995E-2</c:v>
                </c:pt>
                <c:pt idx="33">
                  <c:v>8.2758539000000006E-2</c:v>
                </c:pt>
                <c:pt idx="34">
                  <c:v>7.7937998999999994E-2</c:v>
                </c:pt>
                <c:pt idx="35">
                  <c:v>7.45215397E-2</c:v>
                </c:pt>
                <c:pt idx="36">
                  <c:v>6.6658830899999993E-2</c:v>
                </c:pt>
                <c:pt idx="37">
                  <c:v>6.2607838900000004E-2</c:v>
                </c:pt>
                <c:pt idx="38">
                  <c:v>6.4000676800000003E-2</c:v>
                </c:pt>
                <c:pt idx="39">
                  <c:v>6.8544806900000005E-2</c:v>
                </c:pt>
                <c:pt idx="40">
                  <c:v>7.2592033400000006E-2</c:v>
                </c:pt>
                <c:pt idx="41">
                  <c:v>6.7516385600000006E-2</c:v>
                </c:pt>
                <c:pt idx="42">
                  <c:v>6.0498111E-2</c:v>
                </c:pt>
                <c:pt idx="43">
                  <c:v>4.85653396E-2</c:v>
                </c:pt>
                <c:pt idx="44">
                  <c:v>4.3390621900000002E-2</c:v>
                </c:pt>
                <c:pt idx="45">
                  <c:v>4.3424285200000003E-2</c:v>
                </c:pt>
                <c:pt idx="46">
                  <c:v>4.5911198399999999E-2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2'!$AS$250:$CO$250</c:f>
              <c:numCache>
                <c:formatCode>0.0%</c:formatCode>
                <c:ptCount val="49"/>
                <c:pt idx="0">
                  <c:v>0.1069182996</c:v>
                </c:pt>
                <c:pt idx="1">
                  <c:v>0.15307893319999999</c:v>
                </c:pt>
                <c:pt idx="2">
                  <c:v>0.20336318859999999</c:v>
                </c:pt>
                <c:pt idx="3">
                  <c:v>0.26195806589999998</c:v>
                </c:pt>
                <c:pt idx="4">
                  <c:v>0.28836285620000002</c:v>
                </c:pt>
                <c:pt idx="5">
                  <c:v>0.34326987660000002</c:v>
                </c:pt>
                <c:pt idx="6">
                  <c:v>0.36927298790000002</c:v>
                </c:pt>
                <c:pt idx="7">
                  <c:v>0.35887515980000001</c:v>
                </c:pt>
                <c:pt idx="8">
                  <c:v>0.3664214509</c:v>
                </c:pt>
                <c:pt idx="9">
                  <c:v>0.35366806649999999</c:v>
                </c:pt>
                <c:pt idx="10">
                  <c:v>0.36059299210000001</c:v>
                </c:pt>
                <c:pt idx="11">
                  <c:v>0.36891384170000002</c:v>
                </c:pt>
                <c:pt idx="12">
                  <c:v>0.34491313109999999</c:v>
                </c:pt>
                <c:pt idx="13">
                  <c:v>0.32035572289999997</c:v>
                </c:pt>
                <c:pt idx="14">
                  <c:v>0.2977805999</c:v>
                </c:pt>
                <c:pt idx="15">
                  <c:v>0.30380696880000002</c:v>
                </c:pt>
                <c:pt idx="16">
                  <c:v>0.30716525459999999</c:v>
                </c:pt>
                <c:pt idx="17">
                  <c:v>0.35602769829999997</c:v>
                </c:pt>
                <c:pt idx="18">
                  <c:v>0.39771539010000001</c:v>
                </c:pt>
                <c:pt idx="19">
                  <c:v>0.42335745629999999</c:v>
                </c:pt>
                <c:pt idx="20">
                  <c:v>0.43395144130000002</c:v>
                </c:pt>
                <c:pt idx="21">
                  <c:v>0.38974767850000003</c:v>
                </c:pt>
                <c:pt idx="22">
                  <c:v>0.34435644069999999</c:v>
                </c:pt>
                <c:pt idx="23">
                  <c:v>0.29783129250000001</c:v>
                </c:pt>
                <c:pt idx="24">
                  <c:v>0.27554316919999999</c:v>
                </c:pt>
                <c:pt idx="25">
                  <c:v>0.25610238749999997</c:v>
                </c:pt>
                <c:pt idx="26">
                  <c:v>0.2430331131</c:v>
                </c:pt>
                <c:pt idx="27">
                  <c:v>0.2274480002</c:v>
                </c:pt>
                <c:pt idx="28">
                  <c:v>0.2077482054</c:v>
                </c:pt>
                <c:pt idx="29">
                  <c:v>0.18870553200000001</c:v>
                </c:pt>
                <c:pt idx="30">
                  <c:v>0.17014367629999999</c:v>
                </c:pt>
                <c:pt idx="31">
                  <c:v>0.1630660069</c:v>
                </c:pt>
                <c:pt idx="32">
                  <c:v>0.15742074249999999</c:v>
                </c:pt>
                <c:pt idx="33">
                  <c:v>0.15230436019999999</c:v>
                </c:pt>
                <c:pt idx="34">
                  <c:v>0.14524243680000001</c:v>
                </c:pt>
                <c:pt idx="35">
                  <c:v>0.13541644729999999</c:v>
                </c:pt>
                <c:pt idx="36">
                  <c:v>0.1236770308</c:v>
                </c:pt>
                <c:pt idx="37">
                  <c:v>0.1125463006</c:v>
                </c:pt>
                <c:pt idx="38">
                  <c:v>0.10636388369999999</c:v>
                </c:pt>
                <c:pt idx="39">
                  <c:v>0.10290672820000001</c:v>
                </c:pt>
                <c:pt idx="40">
                  <c:v>0.1011462731</c:v>
                </c:pt>
                <c:pt idx="41">
                  <c:v>9.7424925199999998E-2</c:v>
                </c:pt>
                <c:pt idx="42">
                  <c:v>9.1679919600000007E-2</c:v>
                </c:pt>
                <c:pt idx="43">
                  <c:v>8.5270653299999999E-2</c:v>
                </c:pt>
                <c:pt idx="44">
                  <c:v>7.966471E-2</c:v>
                </c:pt>
                <c:pt idx="45">
                  <c:v>7.7330765199999998E-2</c:v>
                </c:pt>
                <c:pt idx="46">
                  <c:v>7.8895882099999995E-2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2'!$AS$251:$CO$251</c:f>
              <c:numCache>
                <c:formatCode>0.0%</c:formatCode>
                <c:ptCount val="49"/>
                <c:pt idx="0">
                  <c:v>0.31609665260000003</c:v>
                </c:pt>
                <c:pt idx="1">
                  <c:v>0.34001291569999997</c:v>
                </c:pt>
                <c:pt idx="2">
                  <c:v>0.36904574109999999</c:v>
                </c:pt>
                <c:pt idx="3">
                  <c:v>0.3729265551</c:v>
                </c:pt>
                <c:pt idx="4">
                  <c:v>0.41428185270000001</c:v>
                </c:pt>
                <c:pt idx="5">
                  <c:v>0.42250128199999998</c:v>
                </c:pt>
                <c:pt idx="6">
                  <c:v>0.40057824209999998</c:v>
                </c:pt>
                <c:pt idx="7">
                  <c:v>0.35033446309999999</c:v>
                </c:pt>
                <c:pt idx="8">
                  <c:v>0.2909266982</c:v>
                </c:pt>
                <c:pt idx="9">
                  <c:v>0.25188636860000002</c:v>
                </c:pt>
                <c:pt idx="10">
                  <c:v>0.2346816511</c:v>
                </c:pt>
                <c:pt idx="11">
                  <c:v>0.24442253999999999</c:v>
                </c:pt>
                <c:pt idx="12">
                  <c:v>0.27886359789999998</c:v>
                </c:pt>
                <c:pt idx="13">
                  <c:v>0.30516257279999998</c:v>
                </c:pt>
                <c:pt idx="14">
                  <c:v>0.29803857480000001</c:v>
                </c:pt>
                <c:pt idx="15">
                  <c:v>0.27389126930000002</c:v>
                </c:pt>
                <c:pt idx="16">
                  <c:v>0.25091320509999998</c:v>
                </c:pt>
                <c:pt idx="17">
                  <c:v>0.2318019539</c:v>
                </c:pt>
                <c:pt idx="18">
                  <c:v>0.24370603120000001</c:v>
                </c:pt>
                <c:pt idx="19">
                  <c:v>0.25902521880000001</c:v>
                </c:pt>
                <c:pt idx="20">
                  <c:v>0.2573572656</c:v>
                </c:pt>
                <c:pt idx="21">
                  <c:v>0.25604474020000001</c:v>
                </c:pt>
                <c:pt idx="22">
                  <c:v>0.22917786949999999</c:v>
                </c:pt>
                <c:pt idx="23">
                  <c:v>0.2104635007</c:v>
                </c:pt>
                <c:pt idx="24">
                  <c:v>0.1988474637</c:v>
                </c:pt>
                <c:pt idx="25">
                  <c:v>0.20940872420000001</c:v>
                </c:pt>
                <c:pt idx="26">
                  <c:v>0.22158412860000001</c:v>
                </c:pt>
                <c:pt idx="27">
                  <c:v>0.2202101031</c:v>
                </c:pt>
                <c:pt idx="28">
                  <c:v>0.2046019812</c:v>
                </c:pt>
                <c:pt idx="29">
                  <c:v>0.18362055529999999</c:v>
                </c:pt>
                <c:pt idx="30">
                  <c:v>0.16902803490000001</c:v>
                </c:pt>
                <c:pt idx="31">
                  <c:v>0.16024434479999999</c:v>
                </c:pt>
                <c:pt idx="32">
                  <c:v>0.1630886023</c:v>
                </c:pt>
                <c:pt idx="33">
                  <c:v>0.16174772709999999</c:v>
                </c:pt>
                <c:pt idx="34">
                  <c:v>0.1544343497</c:v>
                </c:pt>
                <c:pt idx="35">
                  <c:v>0.1430562225</c:v>
                </c:pt>
                <c:pt idx="36">
                  <c:v>0.13049117430000001</c:v>
                </c:pt>
                <c:pt idx="37">
                  <c:v>0.1205331835</c:v>
                </c:pt>
                <c:pt idx="38">
                  <c:v>0.1106391477</c:v>
                </c:pt>
                <c:pt idx="39">
                  <c:v>0.11225258740000001</c:v>
                </c:pt>
                <c:pt idx="40">
                  <c:v>0.11407501220000001</c:v>
                </c:pt>
                <c:pt idx="41">
                  <c:v>0.1178373744</c:v>
                </c:pt>
                <c:pt idx="42">
                  <c:v>0.114717111</c:v>
                </c:pt>
                <c:pt idx="43">
                  <c:v>0.1027997623</c:v>
                </c:pt>
                <c:pt idx="44">
                  <c:v>9.3772641099999998E-2</c:v>
                </c:pt>
                <c:pt idx="45">
                  <c:v>8.4136285300000002E-2</c:v>
                </c:pt>
                <c:pt idx="46">
                  <c:v>8.2432433400000005E-2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9" sqref="C9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Austria</v>
      </c>
      <c r="C9" s="31" t="str" cm="1">
        <f t="array" aca="1" ref="C9" ca="1">INDIRECT(ADDRESS($A9+1,C$6,1,1,C$4))</f>
        <v>Austria</v>
      </c>
      <c r="D9" s="7" cm="1">
        <f t="array" aca="1" ref="D9" ca="1">INDIRECT(ADDRESS($A9+1,D$6,1,1,D$4))</f>
        <v>9006398</v>
      </c>
      <c r="E9" s="7" cm="1">
        <f t="array" aca="1" ref="E9" ca="1">INDIRECT(ADDRESS($A9+1,E$6,1,1,E$4))</f>
        <v>82409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14595</v>
      </c>
      <c r="I9" s="7" cm="1">
        <f t="array" aca="1" ref="I9" ca="1">INDIRECT(ADDRESS($A9+1,I$6,1,1,I$4))</f>
        <v>162.05146608000001</v>
      </c>
      <c r="J9" s="9" cm="1">
        <f t="array" aca="1" ref="J9" ca="1">INDIRECT(ADDRESS($A9+1,J$6,1,1,J$4))</f>
        <v>0.37857731509999998</v>
      </c>
      <c r="K9" s="9" cm="1">
        <f t="array" aca="1" ref="K9" ca="1">INDIRECT(ADDRESS($A9+1,K$6,1,1,K$4))</f>
        <v>9.5240137000000002E-3</v>
      </c>
      <c r="L9" s="9" cm="1">
        <f t="array" aca="1" ref="L9" ca="1">INDIRECT(ADDRESS($A9+1,L$6,1,1,L$4))</f>
        <v>9.5240137000000002E-3</v>
      </c>
      <c r="M9" s="10" cm="1">
        <f t="array" aca="1" ref="M9" ca="1">INDIRECT(ADDRESS($A9+1,M$6,1,1,M$4))</f>
        <v>8.2205028999999992E-3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431</v>
      </c>
      <c r="R9" s="7" cm="1">
        <f t="array" aca="1" ref="R9" ca="1">INDIRECT(ADDRESS($A9+1,R$6,1,1,R$4))</f>
        <v>4.7854869394000001</v>
      </c>
      <c r="S9" s="9" cm="1">
        <f t="array" aca="1" ref="S9" ca="1">INDIRECT(ADDRESS($A9+1,S$6,1,1,S$4))</f>
        <v>2.9530661199999999E-2</v>
      </c>
      <c r="T9" s="10" cm="1">
        <f t="array" aca="1" ref="T9" ca="1">INDIRECT(ADDRESS($A9+1,T$6,1,1,T$4))</f>
        <v>3.1218310900000001E-2</v>
      </c>
      <c r="U9" s="11" cm="1">
        <f t="array" aca="1" ref="U9" ca="1">INDIRECT(ADDRESS($A9+1,U$6,1,1,U$4))</f>
        <v>11093</v>
      </c>
      <c r="V9" s="7" cm="1">
        <f t="array" aca="1" ref="V9" ca="1">INDIRECT(ADDRESS($A9+1,V$6,1,1,V$4))</f>
        <v>123.1679967952</v>
      </c>
      <c r="W9" s="10" cm="1">
        <f t="array" aca="1" ref="W9" ca="1">INDIRECT(ADDRESS($A9+1,W$6,1,1,W$4))</f>
        <v>0.76005481330000002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Belgium</v>
      </c>
      <c r="C10" s="31" t="str" cm="1">
        <f t="array" aca="1" ref="C10" ca="1">INDIRECT(ADDRESS($A10+1,C$6,1,1,C$4))</f>
        <v>Belgium</v>
      </c>
      <c r="D10" s="7" cm="1">
        <f t="array" aca="1" ref="D10" ca="1">INDIRECT(ADDRESS($A10+1,D$6,1,1,D$4))</f>
        <v>11589623</v>
      </c>
      <c r="E10" s="7" cm="1">
        <f t="array" aca="1" ref="E10" ca="1">INDIRECT(ADDRESS($A10+1,E$6,1,1,E$4))</f>
        <v>30280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36138</v>
      </c>
      <c r="I10" s="7" cm="1">
        <f t="array" aca="1" ref="I10" ca="1">INDIRECT(ADDRESS($A10+1,I$6,1,1,I$4))</f>
        <v>311.81342136839999</v>
      </c>
      <c r="J10" s="9" cm="1">
        <f t="array" aca="1" ref="J10" ca="1">INDIRECT(ADDRESS($A10+1,J$6,1,1,J$4))</f>
        <v>0.63061443279999996</v>
      </c>
      <c r="K10" s="9" cm="1">
        <f t="array" aca="1" ref="K10" ca="1">INDIRECT(ADDRESS($A10+1,K$6,1,1,K$4))</f>
        <v>4.2218460300000003E-2</v>
      </c>
      <c r="L10" s="9" cm="1">
        <f t="array" aca="1" ref="L10" ca="1">INDIRECT(ADDRESS($A10+1,L$6,1,1,L$4))</f>
        <v>4.3196810799999999E-2</v>
      </c>
      <c r="M10" s="10" cm="1">
        <f t="array" aca="1" ref="M10" ca="1">INDIRECT(ADDRESS($A10+1,M$6,1,1,M$4))</f>
        <v>3.8179781099999997E-2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5163</v>
      </c>
      <c r="R10" s="7" cm="1">
        <f t="array" aca="1" ref="R10" ca="1">INDIRECT(ADDRESS($A10+1,R$6,1,1,R$4))</f>
        <v>44.548472370500001</v>
      </c>
      <c r="S10" s="9" cm="1">
        <f t="array" aca="1" ref="S10" ca="1">INDIRECT(ADDRESS($A10+1,S$6,1,1,S$4))</f>
        <v>0.14286900220000001</v>
      </c>
      <c r="T10" s="10" cm="1">
        <f t="array" aca="1" ref="T10" ca="1">INDIRECT(ADDRESS($A10+1,T$6,1,1,T$4))</f>
        <v>0.18427439500000001</v>
      </c>
      <c r="U10" s="11" cm="1">
        <f t="array" aca="1" ref="U10" ca="1">INDIRECT(ADDRESS($A10+1,U$6,1,1,U$4))</f>
        <v>11607</v>
      </c>
      <c r="V10" s="7" cm="1">
        <f t="array" aca="1" ref="V10" ca="1">INDIRECT(ADDRESS($A10+1,V$6,1,1,V$4))</f>
        <v>100.1499358521</v>
      </c>
      <c r="W10" s="10" cm="1">
        <f t="array" aca="1" ref="W10" ca="1">INDIRECT(ADDRESS($A10+1,W$6,1,1,W$4))</f>
        <v>0.32118545580000002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Canada</v>
      </c>
      <c r="C11" s="31" t="str" cm="1">
        <f t="array" aca="1" ref="C11" ca="1">INDIRECT(ADDRESS($A11+1,C$6,1,1,C$4))</f>
        <v>Canada</v>
      </c>
      <c r="D11" s="7" cm="1">
        <f t="array" aca="1" ref="D11" ca="1">INDIRECT(ADDRESS($A11+1,D$6,1,1,D$4))</f>
        <v>37742154</v>
      </c>
      <c r="E11" s="7" cm="1">
        <f t="array" aca="1" ref="E11" ca="1">INDIRECT(ADDRESS($A11+1,E$6,1,1,E$4))</f>
        <v>9093510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32801</v>
      </c>
      <c r="I11" s="7" cm="1">
        <f t="array" aca="1" ref="I11" ca="1">INDIRECT(ADDRESS($A11+1,I$6,1,1,I$4))</f>
        <v>86.908129302800006</v>
      </c>
      <c r="J11" s="9" cm="1">
        <f t="array" aca="1" ref="J11" ca="1">INDIRECT(ADDRESS($A11+1,J$6,1,1,J$4))</f>
        <v>0.32018916330000002</v>
      </c>
      <c r="K11" s="9" cm="1">
        <f t="array" aca="1" ref="K11" ca="1">INDIRECT(ADDRESS($A11+1,K$6,1,1,K$4))</f>
        <v>5.2197984000000003E-2</v>
      </c>
      <c r="L11" s="9" cm="1">
        <f t="array" aca="1" ref="L11" ca="1">INDIRECT(ADDRESS($A11+1,L$6,1,1,L$4))</f>
        <v>5.8014429200000002E-2</v>
      </c>
      <c r="M11" s="10" cm="1">
        <f t="array" aca="1" ref="M11" ca="1">INDIRECT(ADDRESS($A11+1,M$6,1,1,M$4))</f>
        <v>6.5105857899999994E-2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1355</v>
      </c>
      <c r="R11" s="7" cm="1">
        <f t="array" aca="1" ref="R11" ca="1">INDIRECT(ADDRESS($A11+1,R$6,1,1,R$4))</f>
        <v>3.5901501540999998</v>
      </c>
      <c r="S11" s="9" cm="1">
        <f t="array" aca="1" ref="S11" ca="1">INDIRECT(ADDRESS($A11+1,S$6,1,1,S$4))</f>
        <v>4.1309716199999999E-2</v>
      </c>
      <c r="T11" s="10" cm="1">
        <f t="array" aca="1" ref="T11" ca="1">INDIRECT(ADDRESS($A11+1,T$6,1,1,T$4))</f>
        <v>5.8147019699999997E-2</v>
      </c>
      <c r="U11" s="11" cm="1">
        <f t="array" aca="1" ref="U11" ca="1">INDIRECT(ADDRESS($A11+1,U$6,1,1,U$4))</f>
        <v>11069</v>
      </c>
      <c r="V11" s="7" cm="1">
        <f t="array" aca="1" ref="V11" ca="1">INDIRECT(ADDRESS($A11+1,V$6,1,1,V$4))</f>
        <v>29.3279498568</v>
      </c>
      <c r="W11" s="10" cm="1">
        <f t="array" aca="1" ref="W11" ca="1">INDIRECT(ADDRESS($A11+1,W$6,1,1,W$4))</f>
        <v>0.33745922379999999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China</v>
      </c>
      <c r="C12" s="31" t="str" cm="1">
        <f t="array" aca="1" ref="C12" ca="1">INDIRECT(ADDRESS($A12+1,C$6,1,1,C$4))</f>
        <v>China</v>
      </c>
      <c r="D12" s="7" cm="1">
        <f t="array" aca="1" ref="D12" ca="1">INDIRECT(ADDRESS($A12+1,D$6,1,1,D$4))</f>
        <v>1439323776</v>
      </c>
      <c r="E12" s="7" cm="1">
        <f t="array" aca="1" ref="E12" ca="1">INDIRECT(ADDRESS($A12+1,E$6,1,1,E$4))</f>
        <v>9388211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83760</v>
      </c>
      <c r="I12" s="7" cm="1">
        <f t="array" aca="1" ref="I12" ca="1">INDIRECT(ADDRESS($A12+1,I$6,1,1,I$4))</f>
        <v>5.8193994567000003</v>
      </c>
      <c r="J12" s="9" cm="1">
        <f t="array" aca="1" ref="J12" ca="1">INDIRECT(ADDRESS($A12+1,J$6,1,1,J$4))</f>
        <v>0.4920083106</v>
      </c>
      <c r="K12" s="9" cm="1">
        <f t="array" aca="1" ref="K12" ca="1">INDIRECT(ADDRESS($A12+1,K$6,1,1,K$4))</f>
        <v>2.6465990000000002E-4</v>
      </c>
      <c r="L12" s="9" cm="1">
        <f t="array" aca="1" ref="L12" ca="1">INDIRECT(ADDRESS($A12+1,L$6,1,1,L$4))</f>
        <v>1.1589510999999999E-3</v>
      </c>
      <c r="M12" s="10" cm="1">
        <f t="array" aca="1" ref="M12" ca="1">INDIRECT(ADDRESS($A12+1,M$6,1,1,M$4))</f>
        <v>4.2804215999999997E-3</v>
      </c>
      <c r="N12" s="11" cm="1">
        <f t="array" aca="1" ref="N12" ca="1">INDIRECT(ADDRESS($A12+1,N$6,1,1,N$4))</f>
        <v>0</v>
      </c>
      <c r="O12" s="7" cm="1">
        <f t="array" aca="1" ref="O12" ca="1">INDIRECT(ADDRESS($A12+1,O$6,1,1,O$4))</f>
        <v>0</v>
      </c>
      <c r="P12" s="10" cm="1">
        <f t="array" aca="1" ref="P12" ca="1">INDIRECT(ADDRESS($A12+1,P$6,1,1,P$4))</f>
        <v>0</v>
      </c>
      <c r="Q12" s="11" cm="1">
        <f t="array" aca="1" ref="Q12" ca="1">INDIRECT(ADDRESS($A12+1,Q$6,1,1,Q$4))</f>
        <v>4636</v>
      </c>
      <c r="R12" s="7" cm="1">
        <f t="array" aca="1" ref="R12" ca="1">INDIRECT(ADDRESS($A12+1,R$6,1,1,R$4))</f>
        <v>0.32209570059999998</v>
      </c>
      <c r="S12" s="9" cm="1">
        <f t="array" aca="1" ref="S12" ca="1">INDIRECT(ADDRESS($A12+1,S$6,1,1,S$4))</f>
        <v>5.5348615099999998E-2</v>
      </c>
      <c r="T12" s="10" cm="1">
        <f t="array" aca="1" ref="T12" ca="1">INDIRECT(ADDRESS($A12+1,T$6,1,1,T$4))</f>
        <v>5.5846001899999997E-2</v>
      </c>
      <c r="U12" s="11" cm="1">
        <f t="array" aca="1" ref="U12" ca="1">INDIRECT(ADDRESS($A12+1,U$6,1,1,U$4))</f>
        <v>79086</v>
      </c>
      <c r="V12" s="7" cm="1">
        <f t="array" aca="1" ref="V12" ca="1">INDIRECT(ADDRESS($A12+1,V$6,1,1,V$4))</f>
        <v>5.4946636273999996</v>
      </c>
      <c r="W12" s="10" cm="1">
        <f t="array" aca="1" ref="W12" ca="1">INDIRECT(ADDRESS($A12+1,W$6,1,1,W$4))</f>
        <v>0.9441977077</v>
      </c>
      <c r="X12" s="70" cm="1">
        <f t="array" aca="1" ref="X12" ca="1">INDIRECT(ADDRESS($A12+1,X$6,1,1,X$4))</f>
        <v>0</v>
      </c>
      <c r="Y12" s="71" t="str" cm="1">
        <f t="array" aca="1" ref="Y12" ca="1">INDIRECT(ADDRESS($A12+1,Y$6,1,1,Y$4))</f>
        <v>2020-01-23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Finland</v>
      </c>
      <c r="C13" s="31" t="str" cm="1">
        <f t="array" aca="1" ref="C13" ca="1">INDIRECT(ADDRESS($A13+1,C$6,1,1,C$4))</f>
        <v>Finland</v>
      </c>
      <c r="D13" s="7" cm="1">
        <f t="array" aca="1" ref="D13" ca="1">INDIRECT(ADDRESS($A13+1,D$6,1,1,D$4))</f>
        <v>5540720</v>
      </c>
      <c r="E13" s="7" cm="1">
        <f t="array" aca="1" ref="E13" ca="1">INDIRECT(ADDRESS($A13+1,E$6,1,1,E$4))</f>
        <v>303890</v>
      </c>
      <c r="F13" s="11" cm="1">
        <f t="array" aca="1" ref="F13" ca="1">INDIRECT(ADDRESS($A13+1,F$6,1,1,F$4))</f>
        <v>0</v>
      </c>
      <c r="G13" s="7" cm="1">
        <f t="array" aca="1" ref="G13" ca="1">INDIRECT(ADDRESS($A13+1,G$6,1,1,G$4))</f>
        <v>0</v>
      </c>
      <c r="H13" s="11" cm="1">
        <f t="array" aca="1" ref="H13" ca="1">INDIRECT(ADDRESS($A13+1,H$6,1,1,H$4))</f>
        <v>3489</v>
      </c>
      <c r="I13" s="7" cm="1">
        <f t="array" aca="1" ref="I13" ca="1">INDIRECT(ADDRESS($A13+1,I$6,1,1,I$4))</f>
        <v>62.970155503299999</v>
      </c>
      <c r="J13" s="9" cm="1">
        <f t="array" aca="1" ref="J13" ca="1">INDIRECT(ADDRESS($A13+1,J$6,1,1,J$4))</f>
        <v>0.51273029049999996</v>
      </c>
      <c r="K13" s="9" cm="1">
        <f t="array" aca="1" ref="K13" ca="1">INDIRECT(ADDRESS($A13+1,K$6,1,1,K$4))</f>
        <v>3.07557665E-2</v>
      </c>
      <c r="L13" s="9" cm="1">
        <f t="array" aca="1" ref="L13" ca="1">INDIRECT(ADDRESS($A13+1,L$6,1,1,L$4))</f>
        <v>3.07557665E-2</v>
      </c>
      <c r="M13" s="10" cm="1">
        <f t="array" aca="1" ref="M13" ca="1">INDIRECT(ADDRESS($A13+1,M$6,1,1,M$4))</f>
        <v>3.5618878E-2</v>
      </c>
      <c r="N13" s="11" cm="1">
        <f t="array" aca="1" ref="N13" ca="1">INDIRECT(ADDRESS($A13+1,N$6,1,1,N$4))</f>
        <v>0</v>
      </c>
      <c r="O13" s="7" cm="1">
        <f t="array" aca="1" ref="O13" ca="1">INDIRECT(ADDRESS($A13+1,O$6,1,1,O$4))</f>
        <v>0</v>
      </c>
      <c r="P13" s="10" cm="1">
        <f t="array" aca="1" ref="P13" ca="1">INDIRECT(ADDRESS($A13+1,P$6,1,1,P$4))</f>
        <v>0</v>
      </c>
      <c r="Q13" s="11" cm="1">
        <f t="array" aca="1" ref="Q13" ca="1">INDIRECT(ADDRESS($A13+1,Q$6,1,1,Q$4))</f>
        <v>82</v>
      </c>
      <c r="R13" s="7" cm="1">
        <f t="array" aca="1" ref="R13" ca="1">INDIRECT(ADDRESS($A13+1,R$6,1,1,R$4))</f>
        <v>1.4799520639999999</v>
      </c>
      <c r="S13" s="9" cm="1">
        <f t="array" aca="1" ref="S13" ca="1">INDIRECT(ADDRESS($A13+1,S$6,1,1,S$4))</f>
        <v>2.3502436200000001E-2</v>
      </c>
      <c r="T13" s="10" cm="1">
        <f t="array" aca="1" ref="T13" ca="1">INDIRECT(ADDRESS($A13+1,T$6,1,1,T$4))</f>
        <v>2.82271945E-2</v>
      </c>
      <c r="U13" s="11" cm="1">
        <f t="array" aca="1" ref="U13" ca="1">INDIRECT(ADDRESS($A13+1,U$6,1,1,U$4))</f>
        <v>1533</v>
      </c>
      <c r="V13" s="7" cm="1">
        <f t="array" aca="1" ref="V13" ca="1">INDIRECT(ADDRESS($A13+1,V$6,1,1,V$4))</f>
        <v>27.667884318300001</v>
      </c>
      <c r="W13" s="10" cm="1">
        <f t="array" aca="1" ref="W13" ca="1">INDIRECT(ADDRESS($A13+1,W$6,1,1,W$4))</f>
        <v>0.43938091140000002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France</v>
      </c>
      <c r="C14" s="31" t="str" cm="1">
        <f t="array" aca="1" ref="C14" ca="1">INDIRECT(ADDRESS($A14+1,C$6,1,1,C$4))</f>
        <v>France</v>
      </c>
      <c r="D14" s="7" cm="1">
        <f t="array" aca="1" ref="D14" ca="1">INDIRECT(ADDRESS($A14+1,D$6,1,1,D$4))</f>
        <v>65273511</v>
      </c>
      <c r="E14" s="7" cm="1">
        <f t="array" aca="1" ref="E14" ca="1">INDIRECT(ADDRESS($A14+1,E$6,1,1,E$4))</f>
        <v>547557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147969</v>
      </c>
      <c r="I14" s="7" cm="1">
        <f t="array" aca="1" ref="I14" ca="1">INDIRECT(ADDRESS($A14+1,I$6,1,1,I$4))</f>
        <v>226.69073217159999</v>
      </c>
      <c r="J14" s="9" cm="1">
        <f t="array" aca="1" ref="J14" ca="1">INDIRECT(ADDRESS($A14+1,J$6,1,1,J$4))</f>
        <v>0.5821734945</v>
      </c>
      <c r="K14" s="9" cm="1">
        <f t="array" aca="1" ref="K14" ca="1">INDIRECT(ADDRESS($A14+1,K$6,1,1,K$4))</f>
        <v>1.2424742500000001E-2</v>
      </c>
      <c r="L14" s="9" cm="1">
        <f t="array" aca="1" ref="L14" ca="1">INDIRECT(ADDRESS($A14+1,L$6,1,1,L$4))</f>
        <v>5.98583964E-2</v>
      </c>
      <c r="M14" s="10" cm="1">
        <f t="array" aca="1" ref="M14" ca="1">INDIRECT(ADDRESS($A14+1,M$6,1,1,M$4))</f>
        <v>1.3764044899999999E-2</v>
      </c>
      <c r="N14" s="11" cm="1">
        <f t="array" aca="1" ref="N14" ca="1">INDIRECT(ADDRESS($A14+1,N$6,1,1,N$4))</f>
        <v>0</v>
      </c>
      <c r="O14" s="7" cm="1">
        <f t="array" aca="1" ref="O14" ca="1">INDIRECT(ADDRESS($A14+1,O$6,1,1,O$4))</f>
        <v>0</v>
      </c>
      <c r="P14" s="10" cm="1">
        <f t="array" aca="1" ref="P14" ca="1">INDIRECT(ADDRESS($A14+1,P$6,1,1,P$4))</f>
        <v>0</v>
      </c>
      <c r="Q14" s="11" cm="1">
        <f t="array" aca="1" ref="Q14" ca="1">INDIRECT(ADDRESS($A14+1,Q$6,1,1,Q$4))</f>
        <v>18681</v>
      </c>
      <c r="R14" s="7" cm="1">
        <f t="array" aca="1" ref="R14" ca="1">INDIRECT(ADDRESS($A14+1,R$6,1,1,R$4))</f>
        <v>28.6195728004</v>
      </c>
      <c r="S14" s="9" cm="1">
        <f t="array" aca="1" ref="S14" ca="1">INDIRECT(ADDRESS($A14+1,S$6,1,1,S$4))</f>
        <v>0.12624941710000001</v>
      </c>
      <c r="T14" s="10" cm="1">
        <f t="array" aca="1" ref="T14" ca="1">INDIRECT(ADDRESS($A14+1,T$6,1,1,T$4))</f>
        <v>0.19917901700000001</v>
      </c>
      <c r="U14" s="11" cm="1">
        <f t="array" aca="1" ref="U14" ca="1">INDIRECT(ADDRESS($A14+1,U$6,1,1,U$4))</f>
        <v>45657</v>
      </c>
      <c r="V14" s="7" cm="1">
        <f t="array" aca="1" ref="V14" ca="1">INDIRECT(ADDRESS($A14+1,V$6,1,1,V$4))</f>
        <v>69.947210285699995</v>
      </c>
      <c r="W14" s="10" cm="1">
        <f t="array" aca="1" ref="W14" ca="1">INDIRECT(ADDRESS($A14+1,W$6,1,1,W$4))</f>
        <v>0.30855787359999998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Germany</v>
      </c>
      <c r="C15" s="31" t="str" cm="1">
        <f t="array" aca="1" ref="C15" ca="1">INDIRECT(ADDRESS($A15+1,C$6,1,1,C$4))</f>
        <v>Germany</v>
      </c>
      <c r="D15" s="7" cm="1">
        <f t="array" aca="1" ref="D15" ca="1">INDIRECT(ADDRESS($A15+1,D$6,1,1,D$4))</f>
        <v>83783942</v>
      </c>
      <c r="E15" s="7" cm="1">
        <f t="array" aca="1" ref="E15" ca="1">INDIRECT(ADDRESS($A15+1,E$6,1,1,E$4))</f>
        <v>348560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141397</v>
      </c>
      <c r="I15" s="7" cm="1">
        <f t="array" aca="1" ref="I15" ca="1">INDIRECT(ADDRESS($A15+1,I$6,1,1,I$4))</f>
        <v>168.7638425989</v>
      </c>
      <c r="J15" s="9" cm="1">
        <f t="array" aca="1" ref="J15" ca="1">INDIRECT(ADDRESS($A15+1,J$6,1,1,J$4))</f>
        <v>0.43310506840000002</v>
      </c>
      <c r="K15" s="9" cm="1">
        <f t="array" aca="1" ref="K15" ca="1">INDIRECT(ADDRESS($A15+1,K$6,1,1,K$4))</f>
        <v>4.2644891000000002E-3</v>
      </c>
      <c r="L15" s="9" cm="1">
        <f t="array" aca="1" ref="L15" ca="1">INDIRECT(ADDRESS($A15+1,L$6,1,1,L$4))</f>
        <v>1.9665182E-2</v>
      </c>
      <c r="M15" s="10" cm="1">
        <f t="array" aca="1" ref="M15" ca="1">INDIRECT(ADDRESS($A15+1,M$6,1,1,M$4))</f>
        <v>2.68631353E-2</v>
      </c>
      <c r="N15" s="11" cm="1">
        <f t="array" aca="1" ref="N15" ca="1">INDIRECT(ADDRESS($A15+1,N$6,1,1,N$4))</f>
        <v>0</v>
      </c>
      <c r="O15" s="7" cm="1">
        <f t="array" aca="1" ref="O15" ca="1">INDIRECT(ADDRESS($A15+1,O$6,1,1,O$4))</f>
        <v>0</v>
      </c>
      <c r="P15" s="10" cm="1">
        <f t="array" aca="1" ref="P15" ca="1">INDIRECT(ADDRESS($A15+1,P$6,1,1,P$4))</f>
        <v>0</v>
      </c>
      <c r="Q15" s="11" cm="1">
        <f t="array" aca="1" ref="Q15" ca="1">INDIRECT(ADDRESS($A15+1,Q$6,1,1,Q$4))</f>
        <v>4352</v>
      </c>
      <c r="R15" s="7" cm="1">
        <f t="array" aca="1" ref="R15" ca="1">INDIRECT(ADDRESS($A15+1,R$6,1,1,R$4))</f>
        <v>5.1943127718</v>
      </c>
      <c r="S15" s="9" cm="1">
        <f t="array" aca="1" ref="S15" ca="1">INDIRECT(ADDRESS($A15+1,S$6,1,1,S$4))</f>
        <v>3.0778587900000001E-2</v>
      </c>
      <c r="T15" s="10" cm="1">
        <f t="array" aca="1" ref="T15" ca="1">INDIRECT(ADDRESS($A15+1,T$6,1,1,T$4))</f>
        <v>3.4841643399999997E-2</v>
      </c>
      <c r="U15" s="11" cm="1">
        <f t="array" aca="1" ref="U15" ca="1">INDIRECT(ADDRESS($A15+1,U$6,1,1,U$4))</f>
        <v>86807</v>
      </c>
      <c r="V15" s="7" cm="1">
        <f t="array" aca="1" ref="V15" ca="1">INDIRECT(ADDRESS($A15+1,V$6,1,1,V$4))</f>
        <v>103.6081591864</v>
      </c>
      <c r="W15" s="10" cm="1">
        <f t="array" aca="1" ref="W15" ca="1">INDIRECT(ADDRESS($A15+1,W$6,1,1,W$4))</f>
        <v>0.61392391629999998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India</v>
      </c>
      <c r="C16" s="31" t="str" cm="1">
        <f t="array" aca="1" ref="C16" ca="1">INDIRECT(ADDRESS($A16+1,C$6,1,1,C$4))</f>
        <v>India</v>
      </c>
      <c r="D16" s="7" cm="1">
        <f t="array" aca="1" ref="D16" ca="1">INDIRECT(ADDRESS($A16+1,D$6,1,1,D$4))</f>
        <v>1380004385</v>
      </c>
      <c r="E16" s="7" cm="1">
        <f t="array" aca="1" ref="E16" ca="1">INDIRECT(ADDRESS($A16+1,E$6,1,1,E$4))</f>
        <v>2973190</v>
      </c>
      <c r="F16" s="11" cm="1">
        <f t="array" aca="1" ref="F16" ca="1">INDIRECT(ADDRESS($A16+1,F$6,1,1,F$4))</f>
        <v>0</v>
      </c>
      <c r="G16" s="7" cm="1">
        <f t="array" aca="1" ref="G16" ca="1">INDIRECT(ADDRESS($A16+1,G$6,1,1,G$4))</f>
        <v>0</v>
      </c>
      <c r="H16" s="11" cm="1">
        <f t="array" aca="1" ref="H16" ca="1">INDIRECT(ADDRESS($A16+1,H$6,1,1,H$4))</f>
        <v>14352</v>
      </c>
      <c r="I16" s="7" cm="1">
        <f t="array" aca="1" ref="I16" ca="1">INDIRECT(ADDRESS($A16+1,I$6,1,1,I$4))</f>
        <v>1.0399966953999999</v>
      </c>
      <c r="J16" s="9" cm="1">
        <f t="array" aca="1" ref="J16" ca="1">INDIRECT(ADDRESS($A16+1,J$6,1,1,J$4))</f>
        <v>0.2561535976</v>
      </c>
      <c r="K16" s="9" cm="1">
        <f t="array" aca="1" ref="K16" ca="1">INDIRECT(ADDRESS($A16+1,K$6,1,1,K$4))</f>
        <v>9.2961562100000006E-2</v>
      </c>
      <c r="L16" s="9" cm="1">
        <f t="array" aca="1" ref="L16" ca="1">INDIRECT(ADDRESS($A16+1,L$6,1,1,L$4))</f>
        <v>9.2961562100000006E-2</v>
      </c>
      <c r="M16" s="10" cm="1">
        <f t="array" aca="1" ref="M16" ca="1">INDIRECT(ADDRESS($A16+1,M$6,1,1,M$4))</f>
        <v>6.8652271000000001E-2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486</v>
      </c>
      <c r="R16" s="7" cm="1">
        <f t="array" aca="1" ref="R16" ca="1">INDIRECT(ADDRESS($A16+1,R$6,1,1,R$4))</f>
        <v>3.5217279400000003E-2</v>
      </c>
      <c r="S16" s="9" cm="1">
        <f t="array" aca="1" ref="S16" ca="1">INDIRECT(ADDRESS($A16+1,S$6,1,1,S$4))</f>
        <v>3.3862876299999997E-2</v>
      </c>
      <c r="T16" s="10" cm="1">
        <f t="array" aca="1" ref="T16" ca="1">INDIRECT(ADDRESS($A16+1,T$6,1,1,T$4))</f>
        <v>5.7542031700000003E-2</v>
      </c>
      <c r="U16" s="11" cm="1">
        <f t="array" aca="1" ref="U16" ca="1">INDIRECT(ADDRESS($A16+1,U$6,1,1,U$4))</f>
        <v>2095</v>
      </c>
      <c r="V16" s="7" cm="1">
        <f t="array" aca="1" ref="V16" ca="1">INDIRECT(ADDRESS($A16+1,V$6,1,1,V$4))</f>
        <v>0.15181111180000001</v>
      </c>
      <c r="W16" s="10" cm="1">
        <f t="array" aca="1" ref="W16" ca="1">INDIRECT(ADDRESS($A16+1,W$6,1,1,W$4))</f>
        <v>0.14597268669999999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Iran</v>
      </c>
      <c r="C17" s="31" t="str" cm="1">
        <f t="array" aca="1" ref="C17" ca="1">INDIRECT(ADDRESS($A17+1,C$6,1,1,C$4))</f>
        <v>Iran</v>
      </c>
      <c r="D17" s="7" cm="1">
        <f t="array" aca="1" ref="D17" ca="1">INDIRECT(ADDRESS($A17+1,D$6,1,1,D$4))</f>
        <v>83992949</v>
      </c>
      <c r="E17" s="7" cm="1">
        <f t="array" aca="1" ref="E17" ca="1">INDIRECT(ADDRESS($A17+1,E$6,1,1,E$4))</f>
        <v>1628550</v>
      </c>
      <c r="F17" s="11" cm="1">
        <f t="array" aca="1" ref="F17" ca="1">INDIRECT(ADDRESS($A17+1,F$6,1,1,F$4))</f>
        <v>0</v>
      </c>
      <c r="G17" s="7" cm="1">
        <f t="array" aca="1" ref="G17" ca="1">INDIRECT(ADDRESS($A17+1,G$6,1,1,G$4))</f>
        <v>0</v>
      </c>
      <c r="H17" s="11" cm="1">
        <f t="array" aca="1" ref="H17" ca="1">INDIRECT(ADDRESS($A17+1,H$6,1,1,H$4))</f>
        <v>79494</v>
      </c>
      <c r="I17" s="7" cm="1">
        <f t="array" aca="1" ref="I17" ca="1">INDIRECT(ADDRESS($A17+1,I$6,1,1,I$4))</f>
        <v>94.643658719499996</v>
      </c>
      <c r="J17" s="9" cm="1">
        <f t="array" aca="1" ref="J17" ca="1">INDIRECT(ADDRESS($A17+1,J$6,1,1,J$4))</f>
        <v>0.6052885388</v>
      </c>
      <c r="K17" s="9" cm="1">
        <f t="array" aca="1" ref="K17" ca="1">INDIRECT(ADDRESS($A17+1,K$6,1,1,K$4))</f>
        <v>2.1241931499999998E-2</v>
      </c>
      <c r="L17" s="9" cm="1">
        <f t="array" aca="1" ref="L17" ca="1">INDIRECT(ADDRESS($A17+1,L$6,1,1,L$4))</f>
        <v>2.1241931499999998E-2</v>
      </c>
      <c r="M17" s="10" cm="1">
        <f t="array" aca="1" ref="M17" ca="1">INDIRECT(ADDRESS($A17+1,M$6,1,1,M$4))</f>
        <v>1.9219180700000001E-2</v>
      </c>
      <c r="N17" s="11" cm="1">
        <f t="array" aca="1" ref="N17" ca="1">INDIRECT(ADDRESS($A17+1,N$6,1,1,N$4))</f>
        <v>0</v>
      </c>
      <c r="O17" s="7" cm="1">
        <f t="array" aca="1" ref="O17" ca="1">INDIRECT(ADDRESS($A17+1,O$6,1,1,O$4))</f>
        <v>0</v>
      </c>
      <c r="P17" s="10" cm="1">
        <f t="array" aca="1" ref="P17" ca="1">INDIRECT(ADDRESS($A17+1,P$6,1,1,P$4))</f>
        <v>0</v>
      </c>
      <c r="Q17" s="11" cm="1">
        <f t="array" aca="1" ref="Q17" ca="1">INDIRECT(ADDRESS($A17+1,Q$6,1,1,Q$4))</f>
        <v>4958</v>
      </c>
      <c r="R17" s="7" cm="1">
        <f t="array" aca="1" ref="R17" ca="1">INDIRECT(ADDRESS($A17+1,R$6,1,1,R$4))</f>
        <v>5.9028764426000002</v>
      </c>
      <c r="S17" s="9" cm="1">
        <f t="array" aca="1" ref="S17" ca="1">INDIRECT(ADDRESS($A17+1,S$6,1,1,S$4))</f>
        <v>6.2369487000000001E-2</v>
      </c>
      <c r="T17" s="10" cm="1">
        <f t="array" aca="1" ref="T17" ca="1">INDIRECT(ADDRESS($A17+1,T$6,1,1,T$4))</f>
        <v>7.0799240299999996E-2</v>
      </c>
      <c r="U17" s="11" cm="1">
        <f t="array" aca="1" ref="U17" ca="1">INDIRECT(ADDRESS($A17+1,U$6,1,1,U$4))</f>
        <v>48225</v>
      </c>
      <c r="V17" s="7" cm="1">
        <f t="array" aca="1" ref="V17" ca="1">INDIRECT(ADDRESS($A17+1,V$6,1,1,V$4))</f>
        <v>57.415533773</v>
      </c>
      <c r="W17" s="10" cm="1">
        <f t="array" aca="1" ref="W17" ca="1">INDIRECT(ADDRESS($A17+1,W$6,1,1,W$4))</f>
        <v>0.60664955850000002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Italy</v>
      </c>
      <c r="C18" s="31" t="str" cm="1">
        <f t="array" aca="1" ref="C18" ca="1">INDIRECT(ADDRESS($A18+1,C$6,1,1,C$4))</f>
        <v>Italy</v>
      </c>
      <c r="D18" s="7" cm="1">
        <f t="array" aca="1" ref="D18" ca="1">INDIRECT(ADDRESS($A18+1,D$6,1,1,D$4))</f>
        <v>60461826</v>
      </c>
      <c r="E18" s="7" cm="1">
        <f t="array" aca="1" ref="E18" ca="1">INDIRECT(ADDRESS($A18+1,E$6,1,1,E$4))</f>
        <v>294140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172434</v>
      </c>
      <c r="I18" s="7" cm="1">
        <f t="array" aca="1" ref="I18" ca="1">INDIRECT(ADDRESS($A18+1,I$6,1,1,I$4))</f>
        <v>285.19482689789999</v>
      </c>
      <c r="J18" s="9" cm="1">
        <f t="array" aca="1" ref="J18" ca="1">INDIRECT(ADDRESS($A18+1,J$6,1,1,J$4))</f>
        <v>0.56728119539999999</v>
      </c>
      <c r="K18" s="9" cm="1">
        <f t="array" aca="1" ref="K18" ca="1">INDIRECT(ADDRESS($A18+1,K$6,1,1,K$4))</f>
        <v>1.98939983E-2</v>
      </c>
      <c r="L18" s="9" cm="1">
        <f t="array" aca="1" ref="L18" ca="1">INDIRECT(ADDRESS($A18+1,L$6,1,1,L$4))</f>
        <v>1.98939983E-2</v>
      </c>
      <c r="M18" s="10" cm="1">
        <f t="array" aca="1" ref="M18" ca="1">INDIRECT(ADDRESS($A18+1,M$6,1,1,M$4))</f>
        <v>2.0675857299999999E-2</v>
      </c>
      <c r="N18" s="11" cm="1">
        <f t="array" aca="1" ref="N18" ca="1">INDIRECT(ADDRESS($A18+1,N$6,1,1,N$4))</f>
        <v>0</v>
      </c>
      <c r="O18" s="7" cm="1">
        <f t="array" aca="1" ref="O18" ca="1">INDIRECT(ADDRESS($A18+1,O$6,1,1,O$4))</f>
        <v>0</v>
      </c>
      <c r="P18" s="10" cm="1">
        <f t="array" aca="1" ref="P18" ca="1">INDIRECT(ADDRESS($A18+1,P$6,1,1,P$4))</f>
        <v>0</v>
      </c>
      <c r="Q18" s="11" cm="1">
        <f t="array" aca="1" ref="Q18" ca="1">INDIRECT(ADDRESS($A18+1,Q$6,1,1,Q$4))</f>
        <v>22745</v>
      </c>
      <c r="R18" s="7" cm="1">
        <f t="array" aca="1" ref="R18" ca="1">INDIRECT(ADDRESS($A18+1,R$6,1,1,R$4))</f>
        <v>37.6187778384</v>
      </c>
      <c r="S18" s="9" cm="1">
        <f t="array" aca="1" ref="S18" ca="1">INDIRECT(ADDRESS($A18+1,S$6,1,1,S$4))</f>
        <v>0.13190554069999999</v>
      </c>
      <c r="T18" s="10" cm="1">
        <f t="array" aca="1" ref="T18" ca="1">INDIRECT(ADDRESS($A18+1,T$6,1,1,T$4))</f>
        <v>0.1493718436</v>
      </c>
      <c r="U18" s="11" cm="1">
        <f t="array" aca="1" ref="U18" ca="1">INDIRECT(ADDRESS($A18+1,U$6,1,1,U$4))</f>
        <v>97082</v>
      </c>
      <c r="V18" s="7" cm="1">
        <f t="array" aca="1" ref="V18" ca="1">INDIRECT(ADDRESS($A18+1,V$6,1,1,V$4))</f>
        <v>160.5674297697</v>
      </c>
      <c r="W18" s="10" cm="1">
        <f t="array" aca="1" ref="W18" ca="1">INDIRECT(ADDRESS($A18+1,W$6,1,1,W$4))</f>
        <v>0.56300961530000004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Japan</v>
      </c>
      <c r="C19" s="31" t="str" cm="1">
        <f t="array" aca="1" ref="C19" ca="1">INDIRECT(ADDRESS($A19+1,C$6,1,1,C$4))</f>
        <v>Japan</v>
      </c>
      <c r="D19" s="7" cm="1">
        <f t="array" aca="1" ref="D19" ca="1">INDIRECT(ADDRESS($A19+1,D$6,1,1,D$4))</f>
        <v>126476461</v>
      </c>
      <c r="E19" s="7" cm="1">
        <f t="array" aca="1" ref="E19" ca="1">INDIRECT(ADDRESS($A19+1,E$6,1,1,E$4))</f>
        <v>364555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9787</v>
      </c>
      <c r="I19" s="7" cm="1">
        <f t="array" aca="1" ref="I19" ca="1">INDIRECT(ADDRESS($A19+1,I$6,1,1,I$4))</f>
        <v>7.7381988100000001</v>
      </c>
      <c r="J19" s="9" cm="1">
        <f t="array" aca="1" ref="J19" ca="1">INDIRECT(ADDRESS($A19+1,J$6,1,1,J$4))</f>
        <v>0.2351557953</v>
      </c>
      <c r="K19" s="9" cm="1">
        <f t="array" aca="1" ref="K19" ca="1">INDIRECT(ADDRESS($A19+1,K$6,1,1,K$4))</f>
        <v>2.2671447000000001E-2</v>
      </c>
      <c r="L19" s="9" cm="1">
        <f t="array" aca="1" ref="L19" ca="1">INDIRECT(ADDRESS($A19+1,L$6,1,1,L$4))</f>
        <v>7.1375069200000002E-2</v>
      </c>
      <c r="M19" s="10" cm="1">
        <f t="array" aca="1" ref="M19" ca="1">INDIRECT(ADDRESS($A19+1,M$6,1,1,M$4))</f>
        <v>0.1345930907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190</v>
      </c>
      <c r="R19" s="7" cm="1">
        <f t="array" aca="1" ref="R19" ca="1">INDIRECT(ADDRESS($A19+1,R$6,1,1,R$4))</f>
        <v>0.15022558229999999</v>
      </c>
      <c r="S19" s="9" cm="1">
        <f t="array" aca="1" ref="S19" ca="1">INDIRECT(ADDRESS($A19+1,S$6,1,1,S$4))</f>
        <v>1.9413507699999999E-2</v>
      </c>
      <c r="T19" s="10" cm="1">
        <f t="array" aca="1" ref="T19" ca="1">INDIRECT(ADDRESS($A19+1,T$6,1,1,T$4))</f>
        <v>3.16402998E-2</v>
      </c>
      <c r="U19" s="11" cm="1">
        <f t="array" aca="1" ref="U19" ca="1">INDIRECT(ADDRESS($A19+1,U$6,1,1,U$4))</f>
        <v>2427</v>
      </c>
      <c r="V19" s="7" cm="1">
        <f t="array" aca="1" ref="V19" ca="1">INDIRECT(ADDRESS($A19+1,V$6,1,1,V$4))</f>
        <v>1.9189341485</v>
      </c>
      <c r="W19" s="10" cm="1">
        <f t="array" aca="1" ref="W19" ca="1">INDIRECT(ADDRESS($A19+1,W$6,1,1,W$4))</f>
        <v>0.247982017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Korea, South</v>
      </c>
      <c r="C20" s="31" t="str" cm="1">
        <f t="array" aca="1" ref="C20" ca="1">INDIRECT(ADDRESS($A20+1,C$6,1,1,C$4))</f>
        <v>Korea, South</v>
      </c>
      <c r="D20" s="7" cm="1">
        <f t="array" aca="1" ref="D20" ca="1">INDIRECT(ADDRESS($A20+1,D$6,1,1,D$4))</f>
        <v>51269185</v>
      </c>
      <c r="E20" s="7" cm="1">
        <f t="array" aca="1" ref="E20" ca="1">INDIRECT(ADDRESS($A20+1,E$6,1,1,E$4))</f>
        <v>97230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10635</v>
      </c>
      <c r="I20" s="7" cm="1">
        <f t="array" aca="1" ref="I20" ca="1">INDIRECT(ADDRESS($A20+1,I$6,1,1,I$4))</f>
        <v>20.743454377100001</v>
      </c>
      <c r="J20" s="9" cm="1">
        <f t="array" aca="1" ref="J20" ca="1">INDIRECT(ADDRESS($A20+1,J$6,1,1,J$4))</f>
        <v>0.76214663410000005</v>
      </c>
      <c r="K20" s="9" cm="1">
        <f t="array" aca="1" ref="K20" ca="1">INDIRECT(ADDRESS($A20+1,K$6,1,1,K$4))</f>
        <v>2.4490431000000002E-3</v>
      </c>
      <c r="L20" s="9" cm="1">
        <f t="array" aca="1" ref="L20" ca="1">INDIRECT(ADDRESS($A20+1,L$6,1,1,L$4))</f>
        <v>2.4490431000000002E-3</v>
      </c>
      <c r="M20" s="10" cm="1">
        <f t="array" aca="1" ref="M20" ca="1">INDIRECT(ADDRESS($A20+1,M$6,1,1,M$4))</f>
        <v>2.0729294E-3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230</v>
      </c>
      <c r="R20" s="7" cm="1">
        <f t="array" aca="1" ref="R20" ca="1">INDIRECT(ADDRESS($A20+1,R$6,1,1,R$4))</f>
        <v>0.44861255350000001</v>
      </c>
      <c r="S20" s="9" cm="1">
        <f t="array" aca="1" ref="S20" ca="1">INDIRECT(ADDRESS($A20+1,S$6,1,1,S$4))</f>
        <v>2.1626704300000001E-2</v>
      </c>
      <c r="T20" s="10" cm="1">
        <f t="array" aca="1" ref="T20" ca="1">INDIRECT(ADDRESS($A20+1,T$6,1,1,T$4))</f>
        <v>2.19465649E-2</v>
      </c>
      <c r="U20" s="11" cm="1">
        <f t="array" aca="1" ref="U20" ca="1">INDIRECT(ADDRESS($A20+1,U$6,1,1,U$4))</f>
        <v>9832</v>
      </c>
      <c r="V20" s="7" cm="1">
        <f t="array" aca="1" ref="V20" ca="1">INDIRECT(ADDRESS($A20+1,V$6,1,1,V$4))</f>
        <v>19.177211418500001</v>
      </c>
      <c r="W20" s="10" cm="1">
        <f t="array" aca="1" ref="W20" ca="1">INDIRECT(ADDRESS($A20+1,W$6,1,1,W$4))</f>
        <v>0.92449459329999994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Portugal</v>
      </c>
      <c r="C21" s="31" t="str" cm="1">
        <f t="array" aca="1" ref="C21" ca="1">INDIRECT(ADDRESS($A21+1,C$6,1,1,C$4))</f>
        <v>Portugal</v>
      </c>
      <c r="D21" s="7" cm="1">
        <f t="array" aca="1" ref="D21" ca="1">INDIRECT(ADDRESS($A21+1,D$6,1,1,D$4))</f>
        <v>10196709</v>
      </c>
      <c r="E21" s="7" cm="1">
        <f t="array" aca="1" ref="E21" ca="1">INDIRECT(ADDRESS($A21+1,E$6,1,1,E$4))</f>
        <v>91590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19022</v>
      </c>
      <c r="I21" s="7" cm="1">
        <f t="array" aca="1" ref="I21" ca="1">INDIRECT(ADDRESS($A21+1,I$6,1,1,I$4))</f>
        <v>186.55038601179999</v>
      </c>
      <c r="J21" s="9" cm="1">
        <f t="array" aca="1" ref="J21" ca="1">INDIRECT(ADDRESS($A21+1,J$6,1,1,J$4))</f>
        <v>0.4156408613</v>
      </c>
      <c r="K21" s="9" cm="1">
        <f t="array" aca="1" ref="K21" ca="1">INDIRECT(ADDRESS($A21+1,K$6,1,1,K$4))</f>
        <v>3.1082284799999998E-2</v>
      </c>
      <c r="L21" s="9" cm="1">
        <f t="array" aca="1" ref="L21" ca="1">INDIRECT(ADDRESS($A21+1,L$6,1,1,L$4))</f>
        <v>3.1082284799999998E-2</v>
      </c>
      <c r="M21" s="10" cm="1">
        <f t="array" aca="1" ref="M21" ca="1">INDIRECT(ADDRESS($A21+1,M$6,1,1,M$4))</f>
        <v>9.6067088000000005E-3</v>
      </c>
      <c r="N21" s="11" cm="1">
        <f t="array" aca="1" ref="N21" ca="1">INDIRECT(ADDRESS($A21+1,N$6,1,1,N$4))</f>
        <v>0</v>
      </c>
      <c r="O21" s="7" cm="1">
        <f t="array" aca="1" ref="O21" ca="1">INDIRECT(ADDRESS($A21+1,O$6,1,1,O$4))</f>
        <v>0</v>
      </c>
      <c r="P21" s="10" cm="1">
        <f t="array" aca="1" ref="P21" ca="1">INDIRECT(ADDRESS($A21+1,P$6,1,1,P$4))</f>
        <v>0</v>
      </c>
      <c r="Q21" s="11" cm="1">
        <f t="array" aca="1" ref="Q21" ca="1">INDIRECT(ADDRESS($A21+1,Q$6,1,1,Q$4))</f>
        <v>657</v>
      </c>
      <c r="R21" s="7" cm="1">
        <f t="array" aca="1" ref="R21" ca="1">INDIRECT(ADDRESS($A21+1,R$6,1,1,R$4))</f>
        <v>6.443255368</v>
      </c>
      <c r="S21" s="9" cm="1">
        <f t="array" aca="1" ref="S21" ca="1">INDIRECT(ADDRESS($A21+1,S$6,1,1,S$4))</f>
        <v>3.4538954900000002E-2</v>
      </c>
      <c r="T21" s="10" cm="1">
        <f t="array" aca="1" ref="T21" ca="1">INDIRECT(ADDRESS($A21+1,T$6,1,1,T$4))</f>
        <v>4.1095890400000001E-2</v>
      </c>
      <c r="U21" s="11" cm="1">
        <f t="array" aca="1" ref="U21" ca="1">INDIRECT(ADDRESS($A21+1,U$6,1,1,U$4))</f>
        <v>9229</v>
      </c>
      <c r="V21" s="7" cm="1">
        <f t="array" aca="1" ref="V21" ca="1">INDIRECT(ADDRESS($A21+1,V$6,1,1,V$4))</f>
        <v>90.509594811400007</v>
      </c>
      <c r="W21" s="10" cm="1">
        <f t="array" aca="1" ref="W21" ca="1">INDIRECT(ADDRESS($A21+1,W$6,1,1,W$4))</f>
        <v>0.48517506049999998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Russia</v>
      </c>
      <c r="C22" s="31" t="str" cm="1">
        <f t="array" aca="1" ref="C22" ca="1">INDIRECT(ADDRESS($A22+1,C$6,1,1,C$4))</f>
        <v>Russia</v>
      </c>
      <c r="D22" s="7" cm="1">
        <f t="array" aca="1" ref="D22" ca="1">INDIRECT(ADDRESS($A22+1,D$6,1,1,D$4))</f>
        <v>145934462</v>
      </c>
      <c r="E22" s="7" cm="1">
        <f t="array" aca="1" ref="E22" ca="1">INDIRECT(ADDRESS($A22+1,E$6,1,1,E$4))</f>
        <v>16376870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32008</v>
      </c>
      <c r="I22" s="7" cm="1">
        <f t="array" aca="1" ref="I22" ca="1">INDIRECT(ADDRESS($A22+1,I$6,1,1,I$4))</f>
        <v>21.9331332444</v>
      </c>
      <c r="J22" s="9" cm="1">
        <f t="array" aca="1" ref="J22" ca="1">INDIRECT(ADDRESS($A22+1,J$6,1,1,J$4))</f>
        <v>0.3099383027</v>
      </c>
      <c r="K22" s="9" cm="1">
        <f t="array" aca="1" ref="K22" ca="1">INDIRECT(ADDRESS($A22+1,K$6,1,1,K$4))</f>
        <v>0.1246826504</v>
      </c>
      <c r="L22" s="9" cm="1">
        <f t="array" aca="1" ref="L22" ca="1">INDIRECT(ADDRESS($A22+1,L$6,1,1,L$4))</f>
        <v>0.15356825700000001</v>
      </c>
      <c r="M22" s="10" cm="1">
        <f t="array" aca="1" ref="M22" ca="1">INDIRECT(ADDRESS($A22+1,M$6,1,1,M$4))</f>
        <v>0.14567971939999999</v>
      </c>
      <c r="N22" s="11" cm="1">
        <f t="array" aca="1" ref="N22" ca="1">INDIRECT(ADDRESS($A22+1,N$6,1,1,N$4))</f>
        <v>0</v>
      </c>
      <c r="O22" s="7" cm="1">
        <f t="array" aca="1" ref="O22" ca="1">INDIRECT(ADDRESS($A22+1,O$6,1,1,O$4))</f>
        <v>0</v>
      </c>
      <c r="P22" s="10" cm="1">
        <f t="array" aca="1" ref="P22" ca="1">INDIRECT(ADDRESS($A22+1,P$6,1,1,P$4))</f>
        <v>0</v>
      </c>
      <c r="Q22" s="11" cm="1">
        <f t="array" aca="1" ref="Q22" ca="1">INDIRECT(ADDRESS($A22+1,Q$6,1,1,Q$4))</f>
        <v>273</v>
      </c>
      <c r="R22" s="7" cm="1">
        <f t="array" aca="1" ref="R22" ca="1">INDIRECT(ADDRESS($A22+1,R$6,1,1,R$4))</f>
        <v>0.18707027540000001</v>
      </c>
      <c r="S22" s="9" cm="1">
        <f t="array" aca="1" ref="S22" ca="1">INDIRECT(ADDRESS($A22+1,S$6,1,1,S$4))</f>
        <v>8.5291176999999999E-3</v>
      </c>
      <c r="T22" s="10" cm="1">
        <f t="array" aca="1" ref="T22" ca="1">INDIRECT(ADDRESS($A22+1,T$6,1,1,T$4))</f>
        <v>2.0097173100000001E-2</v>
      </c>
      <c r="U22" s="11" cm="1">
        <f t="array" aca="1" ref="U22" ca="1">INDIRECT(ADDRESS($A22+1,U$6,1,1,U$4))</f>
        <v>3876</v>
      </c>
      <c r="V22" s="7" cm="1">
        <f t="array" aca="1" ref="V22" ca="1">INDIRECT(ADDRESS($A22+1,V$6,1,1,V$4))</f>
        <v>2.6559867675</v>
      </c>
      <c r="W22" s="10" cm="1">
        <f t="array" aca="1" ref="W22" ca="1">INDIRECT(ADDRESS($A22+1,W$6,1,1,W$4))</f>
        <v>0.1210947263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Singapore</v>
      </c>
      <c r="C23" s="31" t="str" cm="1">
        <f t="array" aca="1" ref="C23" ca="1">INDIRECT(ADDRESS($A23+1,C$6,1,1,C$4))</f>
        <v>Singapore</v>
      </c>
      <c r="D23" s="7" cm="1">
        <f t="array" aca="1" ref="D23" ca="1">INDIRECT(ADDRESS($A23+1,D$6,1,1,D$4))</f>
        <v>5850342</v>
      </c>
      <c r="E23" s="7" cm="1">
        <f t="array" aca="1" ref="E23" ca="1">INDIRECT(ADDRESS($A23+1,E$6,1,1,E$4))</f>
        <v>700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5050</v>
      </c>
      <c r="I23" s="7" cm="1">
        <f t="array" aca="1" ref="I23" ca="1">INDIRECT(ADDRESS($A23+1,I$6,1,1,I$4))</f>
        <v>86.319739940000005</v>
      </c>
      <c r="J23" s="9" cm="1">
        <f t="array" aca="1" ref="J23" ca="1">INDIRECT(ADDRESS($A23+1,J$6,1,1,J$4))</f>
        <v>0.16967326460000001</v>
      </c>
      <c r="K23" s="9" cm="1">
        <f t="array" aca="1" ref="K23" ca="1">INDIRECT(ADDRESS($A23+1,K$6,1,1,K$4))</f>
        <v>1.58894498E-2</v>
      </c>
      <c r="L23" s="9" cm="1">
        <f t="array" aca="1" ref="L23" ca="1">INDIRECT(ADDRESS($A23+1,L$6,1,1,L$4))</f>
        <v>0.14191684979999999</v>
      </c>
      <c r="M23" s="10" cm="1">
        <f t="array" aca="1" ref="M23" ca="1">INDIRECT(ADDRESS($A23+1,M$6,1,1,M$4))</f>
        <v>0.14072735489999999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11</v>
      </c>
      <c r="R23" s="7" cm="1">
        <f t="array" aca="1" ref="R23" ca="1">INDIRECT(ADDRESS($A23+1,R$6,1,1,R$4))</f>
        <v>0.1880231959</v>
      </c>
      <c r="S23" s="9" cm="1">
        <f t="array" aca="1" ref="S23" ca="1">INDIRECT(ADDRESS($A23+1,S$6,1,1,S$4))</f>
        <v>2.1782177999999999E-3</v>
      </c>
      <c r="T23" s="10" cm="1">
        <f t="array" aca="1" ref="T23" ca="1">INDIRECT(ADDRESS($A23+1,T$6,1,1,T$4))</f>
        <v>4.784689E-3</v>
      </c>
      <c r="U23" s="11" cm="1">
        <f t="array" aca="1" ref="U23" ca="1">INDIRECT(ADDRESS($A23+1,U$6,1,1,U$4))</f>
        <v>1103</v>
      </c>
      <c r="V23" s="7" cm="1">
        <f t="array" aca="1" ref="V23" ca="1">INDIRECT(ADDRESS($A23+1,V$6,1,1,V$4))</f>
        <v>18.8535986443</v>
      </c>
      <c r="W23" s="10" cm="1">
        <f t="array" aca="1" ref="W23" ca="1">INDIRECT(ADDRESS($A23+1,W$6,1,1,W$4))</f>
        <v>0.21841584159999999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Spain</v>
      </c>
      <c r="C24" s="31" t="str" cm="1">
        <f t="array" aca="1" ref="C24" ca="1">INDIRECT(ADDRESS($A24+1,C$6,1,1,C$4))</f>
        <v>Spain</v>
      </c>
      <c r="D24" s="7" cm="1">
        <f t="array" aca="1" ref="D24" ca="1">INDIRECT(ADDRESS($A24+1,D$6,1,1,D$4))</f>
        <v>46754778</v>
      </c>
      <c r="E24" s="7" cm="1">
        <f t="array" aca="1" ref="E24" ca="1">INDIRECT(ADDRESS($A24+1,E$6,1,1,E$4))</f>
        <v>498800</v>
      </c>
      <c r="F24" s="11" cm="1">
        <f t="array" aca="1" ref="F24" ca="1">INDIRECT(ADDRESS($A24+1,F$6,1,1,F$4))</f>
        <v>0</v>
      </c>
      <c r="G24" s="7" cm="1">
        <f t="array" aca="1" ref="G24" ca="1">INDIRECT(ADDRESS($A24+1,G$6,1,1,G$4))</f>
        <v>0</v>
      </c>
      <c r="H24" s="11" cm="1">
        <f t="array" aca="1" ref="H24" ca="1">INDIRECT(ADDRESS($A24+1,H$6,1,1,H$4))</f>
        <v>190839</v>
      </c>
      <c r="I24" s="7" cm="1">
        <f t="array" aca="1" ref="I24" ca="1">INDIRECT(ADDRESS($A24+1,I$6,1,1,I$4))</f>
        <v>408.17004841729999</v>
      </c>
      <c r="J24" s="9" cm="1">
        <f t="array" aca="1" ref="J24" ca="1">INDIRECT(ADDRESS($A24+1,J$6,1,1,J$4))</f>
        <v>0.57477596929999997</v>
      </c>
      <c r="K24" s="9" cm="1">
        <f t="array" aca="1" ref="K24" ca="1">INDIRECT(ADDRESS($A24+1,K$6,1,1,K$4))</f>
        <v>2.32490167E-2</v>
      </c>
      <c r="L24" s="9" cm="1">
        <f t="array" aca="1" ref="L24" ca="1">INDIRECT(ADDRESS($A24+1,L$6,1,1,L$4))</f>
        <v>2.5729172099999999E-2</v>
      </c>
      <c r="M24" s="10" cm="1">
        <f t="array" aca="1" ref="M24" ca="1">INDIRECT(ADDRESS($A24+1,M$6,1,1,M$4))</f>
        <v>3.1852196300000003E-2</v>
      </c>
      <c r="N24" s="11" cm="1">
        <f t="array" aca="1" ref="N24" ca="1">INDIRECT(ADDRESS($A24+1,N$6,1,1,N$4))</f>
        <v>0</v>
      </c>
      <c r="O24" s="7" cm="1">
        <f t="array" aca="1" ref="O24" ca="1">INDIRECT(ADDRESS($A24+1,O$6,1,1,O$4))</f>
        <v>0</v>
      </c>
      <c r="P24" s="10" cm="1">
        <f t="array" aca="1" ref="P24" ca="1">INDIRECT(ADDRESS($A24+1,P$6,1,1,P$4))</f>
        <v>0</v>
      </c>
      <c r="Q24" s="11" cm="1">
        <f t="array" aca="1" ref="Q24" ca="1">INDIRECT(ADDRESS($A24+1,Q$6,1,1,Q$4))</f>
        <v>20002</v>
      </c>
      <c r="R24" s="7" cm="1">
        <f t="array" aca="1" ref="R24" ca="1">INDIRECT(ADDRESS($A24+1,R$6,1,1,R$4))</f>
        <v>42.780654417800001</v>
      </c>
      <c r="S24" s="9" cm="1">
        <f t="array" aca="1" ref="S24" ca="1">INDIRECT(ADDRESS($A24+1,S$6,1,1,S$4))</f>
        <v>0.1048108615</v>
      </c>
      <c r="T24" s="10" cm="1">
        <f t="array" aca="1" ref="T24" ca="1">INDIRECT(ADDRESS($A24+1,T$6,1,1,T$4))</f>
        <v>0.1226913333</v>
      </c>
      <c r="U24" s="11" cm="1">
        <f t="array" aca="1" ref="U24" ca="1">INDIRECT(ADDRESS($A24+1,U$6,1,1,U$4))</f>
        <v>99197</v>
      </c>
      <c r="V24" s="7" cm="1">
        <f t="array" aca="1" ref="V24" ca="1">INDIRECT(ADDRESS($A24+1,V$6,1,1,V$4))</f>
        <v>212.164412373</v>
      </c>
      <c r="W24" s="10" cm="1">
        <f t="array" aca="1" ref="W24" ca="1">INDIRECT(ADDRESS($A24+1,W$6,1,1,W$4))</f>
        <v>0.51979417210000001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Sweden</v>
      </c>
      <c r="C25" s="31" t="str" cm="1">
        <f t="array" aca="1" ref="C25" ca="1">INDIRECT(ADDRESS($A25+1,C$6,1,1,C$4))</f>
        <v>Sweden</v>
      </c>
      <c r="D25" s="7" cm="1">
        <f t="array" aca="1" ref="D25" ca="1">INDIRECT(ADDRESS($A25+1,D$6,1,1,D$4))</f>
        <v>10099265</v>
      </c>
      <c r="E25" s="7" cm="1">
        <f t="array" aca="1" ref="E25" ca="1">INDIRECT(ADDRESS($A25+1,E$6,1,1,E$4))</f>
        <v>410340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13216</v>
      </c>
      <c r="I25" s="7" cm="1">
        <f t="array" aca="1" ref="I25" ca="1">INDIRECT(ADDRESS($A25+1,I$6,1,1,I$4))</f>
        <v>130.86100820210001</v>
      </c>
      <c r="J25" s="9" cm="1">
        <f t="array" aca="1" ref="J25" ca="1">INDIRECT(ADDRESS($A25+1,J$6,1,1,J$4))</f>
        <v>0.63350323320000002</v>
      </c>
      <c r="K25" s="9" cm="1">
        <f t="array" aca="1" ref="K25" ca="1">INDIRECT(ADDRESS($A25+1,K$6,1,1,K$4))</f>
        <v>4.32141391E-2</v>
      </c>
      <c r="L25" s="9" cm="1">
        <f t="array" aca="1" ref="L25" ca="1">INDIRECT(ADDRESS($A25+1,L$6,1,1,L$4))</f>
        <v>4.5144790800000001E-2</v>
      </c>
      <c r="M25" s="10" cm="1">
        <f t="array" aca="1" ref="M25" ca="1">INDIRECT(ADDRESS($A25+1,M$6,1,1,M$4))</f>
        <v>5.3907495999999999E-2</v>
      </c>
      <c r="N25" s="11" cm="1">
        <f t="array" aca="1" ref="N25" ca="1">INDIRECT(ADDRESS($A25+1,N$6,1,1,N$4))</f>
        <v>0</v>
      </c>
      <c r="O25" s="7" cm="1">
        <f t="array" aca="1" ref="O25" ca="1">INDIRECT(ADDRESS($A25+1,O$6,1,1,O$4))</f>
        <v>0</v>
      </c>
      <c r="P25" s="10" cm="1">
        <f t="array" aca="1" ref="P25" ca="1">INDIRECT(ADDRESS($A25+1,P$6,1,1,P$4))</f>
        <v>0</v>
      </c>
      <c r="Q25" s="11" cm="1">
        <f t="array" aca="1" ref="Q25" ca="1">INDIRECT(ADDRESS($A25+1,Q$6,1,1,Q$4))</f>
        <v>1400</v>
      </c>
      <c r="R25" s="7" cm="1">
        <f t="array" aca="1" ref="R25" ca="1">INDIRECT(ADDRESS($A25+1,R$6,1,1,R$4))</f>
        <v>13.862394936699999</v>
      </c>
      <c r="S25" s="9" cm="1">
        <f t="array" aca="1" ref="S25" ca="1">INDIRECT(ADDRESS($A25+1,S$6,1,1,S$4))</f>
        <v>0.10593220339999999</v>
      </c>
      <c r="T25" s="10" cm="1">
        <f t="array" aca="1" ref="T25" ca="1">INDIRECT(ADDRESS($A25+1,T$6,1,1,T$4))</f>
        <v>0.13791744659999999</v>
      </c>
      <c r="U25" s="11" cm="1">
        <f t="array" aca="1" ref="U25" ca="1">INDIRECT(ADDRESS($A25+1,U$6,1,1,U$4))</f>
        <v>4731</v>
      </c>
      <c r="V25" s="7" cm="1">
        <f t="array" aca="1" ref="V25" ca="1">INDIRECT(ADDRESS($A25+1,V$6,1,1,V$4))</f>
        <v>46.844993175200003</v>
      </c>
      <c r="W25" s="10" cm="1">
        <f t="array" aca="1" ref="W25" ca="1">INDIRECT(ADDRESS($A25+1,W$6,1,1,W$4))</f>
        <v>0.35797518160000003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Switzerland</v>
      </c>
      <c r="C26" s="31" t="str" cm="1">
        <f t="array" aca="1" ref="C26" ca="1">INDIRECT(ADDRESS($A26+1,C$6,1,1,C$4))</f>
        <v>Switzerland</v>
      </c>
      <c r="D26" s="7" cm="1">
        <f t="array" aca="1" ref="D26" ca="1">INDIRECT(ADDRESS($A26+1,D$6,1,1,D$4))</f>
        <v>8654622</v>
      </c>
      <c r="E26" s="7" cm="1">
        <f t="array" aca="1" ref="E26" ca="1">INDIRECT(ADDRESS($A26+1,E$6,1,1,E$4))</f>
        <v>39516</v>
      </c>
      <c r="F26" s="11" cm="1">
        <f t="array" aca="1" ref="F26" ca="1">INDIRECT(ADDRESS($A26+1,F$6,1,1,F$4))</f>
        <v>0</v>
      </c>
      <c r="G26" s="7" cm="1">
        <f t="array" aca="1" ref="G26" ca="1">INDIRECT(ADDRESS($A26+1,G$6,1,1,G$4))</f>
        <v>0</v>
      </c>
      <c r="H26" s="11" cm="1">
        <f t="array" aca="1" ref="H26" ca="1">INDIRECT(ADDRESS($A26+1,H$6,1,1,H$4))</f>
        <v>27078</v>
      </c>
      <c r="I26" s="7" cm="1">
        <f t="array" aca="1" ref="I26" ca="1">INDIRECT(ADDRESS($A26+1,I$6,1,1,I$4))</f>
        <v>312.87328320059999</v>
      </c>
      <c r="J26" s="9" cm="1">
        <f t="array" aca="1" ref="J26" ca="1">INDIRECT(ADDRESS($A26+1,J$6,1,1,J$4))</f>
        <v>0.4805199275</v>
      </c>
      <c r="K26" s="9" cm="1">
        <f t="array" aca="1" ref="K26" ca="1">INDIRECT(ADDRESS($A26+1,K$6,1,1,K$4))</f>
        <v>1.26689E-2</v>
      </c>
      <c r="L26" s="9" cm="1">
        <f t="array" aca="1" ref="L26" ca="1">INDIRECT(ADDRESS($A26+1,L$6,1,1,L$4))</f>
        <v>1.26689E-2</v>
      </c>
      <c r="M26" s="10" cm="1">
        <f t="array" aca="1" ref="M26" ca="1">INDIRECT(ADDRESS($A26+1,M$6,1,1,M$4))</f>
        <v>1.2943288900000001E-2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1327</v>
      </c>
      <c r="R26" s="7" cm="1">
        <f t="array" aca="1" ref="R26" ca="1">INDIRECT(ADDRESS($A26+1,R$6,1,1,R$4))</f>
        <v>15.332847581299999</v>
      </c>
      <c r="S26" s="9" cm="1">
        <f t="array" aca="1" ref="S26" ca="1">INDIRECT(ADDRESS($A26+1,S$6,1,1,S$4))</f>
        <v>4.9006573599999999E-2</v>
      </c>
      <c r="T26" s="10" cm="1">
        <f t="array" aca="1" ref="T26" ca="1">INDIRECT(ADDRESS($A26+1,T$6,1,1,T$4))</f>
        <v>5.2853785799999997E-2</v>
      </c>
      <c r="U26" s="11" cm="1">
        <f t="array" aca="1" ref="U26" ca="1">INDIRECT(ADDRESS($A26+1,U$6,1,1,U$4))</f>
        <v>18279</v>
      </c>
      <c r="V26" s="7" cm="1">
        <f t="array" aca="1" ref="V26" ca="1">INDIRECT(ADDRESS($A26+1,V$6,1,1,V$4))</f>
        <v>211.20506476189999</v>
      </c>
      <c r="W26" s="10" cm="1">
        <f t="array" aca="1" ref="W26" ca="1">INDIRECT(ADDRESS($A26+1,W$6,1,1,W$4))</f>
        <v>0.675049856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US</v>
      </c>
      <c r="C27" s="31" t="str" cm="1">
        <f t="array" aca="1" ref="C27" ca="1">INDIRECT(ADDRESS($A27+1,C$6,1,1,C$4))</f>
        <v>US</v>
      </c>
      <c r="D27" s="7" cm="1">
        <f t="array" aca="1" ref="D27" ca="1">INDIRECT(ADDRESS($A27+1,D$6,1,1,D$4))</f>
        <v>331002651</v>
      </c>
      <c r="E27" s="7" cm="1">
        <f t="array" aca="1" ref="E27" ca="1">INDIRECT(ADDRESS($A27+1,E$6,1,1,E$4))</f>
        <v>9147420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699706</v>
      </c>
      <c r="I27" s="7" cm="1">
        <f t="array" aca="1" ref="I27" ca="1">INDIRECT(ADDRESS($A27+1,I$6,1,1,I$4))</f>
        <v>211.38984775079999</v>
      </c>
      <c r="J27" s="9" cm="1">
        <f t="array" aca="1" ref="J27" ca="1">INDIRECT(ADDRESS($A27+1,J$6,1,1,J$4))</f>
        <v>0.42719621689999998</v>
      </c>
      <c r="K27" s="9" cm="1">
        <f t="array" aca="1" ref="K27" ca="1">INDIRECT(ADDRESS($A27+1,K$6,1,1,K$4))</f>
        <v>1.08123821E-2</v>
      </c>
      <c r="L27" s="9" cm="1">
        <f t="array" aca="1" ref="L27" ca="1">INDIRECT(ADDRESS($A27+1,L$6,1,1,L$4))</f>
        <v>4.7821973099999998E-2</v>
      </c>
      <c r="M27" s="10" cm="1">
        <f t="array" aca="1" ref="M27" ca="1">INDIRECT(ADDRESS($A27+1,M$6,1,1,M$4))</f>
        <v>4.7776208799999997E-2</v>
      </c>
      <c r="N27" s="11" cm="1">
        <f t="array" aca="1" ref="N27" ca="1">INDIRECT(ADDRESS($A27+1,N$6,1,1,N$4))</f>
        <v>0</v>
      </c>
      <c r="O27" s="7" cm="1">
        <f t="array" aca="1" ref="O27" ca="1">INDIRECT(ADDRESS($A27+1,O$6,1,1,O$4))</f>
        <v>0</v>
      </c>
      <c r="P27" s="10" cm="1">
        <f t="array" aca="1" ref="P27" ca="1">INDIRECT(ADDRESS($A27+1,P$6,1,1,P$4))</f>
        <v>0</v>
      </c>
      <c r="Q27" s="11" cm="1">
        <f t="array" aca="1" ref="Q27" ca="1">INDIRECT(ADDRESS($A27+1,Q$6,1,1,Q$4))</f>
        <v>36773</v>
      </c>
      <c r="R27" s="7" cm="1">
        <f t="array" aca="1" ref="R27" ca="1">INDIRECT(ADDRESS($A27+1,R$6,1,1,R$4))</f>
        <v>11.1095786964</v>
      </c>
      <c r="S27" s="9" cm="1">
        <f t="array" aca="1" ref="S27" ca="1">INDIRECT(ADDRESS($A27+1,S$6,1,1,S$4))</f>
        <v>5.2554930200000002E-2</v>
      </c>
      <c r="T27" s="10" cm="1">
        <f t="array" aca="1" ref="T27" ca="1">INDIRECT(ADDRESS($A27+1,T$6,1,1,T$4))</f>
        <v>6.9858053599999997E-2</v>
      </c>
      <c r="U27" s="11" cm="1">
        <f t="array" aca="1" ref="U27" ca="1">INDIRECT(ADDRESS($A27+1,U$6,1,1,U$4))</f>
        <v>238813</v>
      </c>
      <c r="V27" s="7" cm="1">
        <f t="array" aca="1" ref="V27" ca="1">INDIRECT(ADDRESS($A27+1,V$6,1,1,V$4))</f>
        <v>72.148364757400003</v>
      </c>
      <c r="W27" s="10" cm="1">
        <f t="array" aca="1" ref="W27" ca="1">INDIRECT(ADDRESS($A27+1,W$6,1,1,W$4))</f>
        <v>0.34130477660000003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United Kingdom</v>
      </c>
      <c r="C28" s="31" t="str" cm="1">
        <f t="array" aca="1" ref="C28" ca="1">INDIRECT(ADDRESS($A28+1,C$6,1,1,C$4))</f>
        <v>United Kingdom</v>
      </c>
      <c r="D28" s="7" cm="1">
        <f t="array" aca="1" ref="D28" ca="1">INDIRECT(ADDRESS($A28+1,D$6,1,1,D$4))</f>
        <v>67886011</v>
      </c>
      <c r="E28" s="7" cm="1">
        <f t="array" aca="1" ref="E28" ca="1">INDIRECT(ADDRESS($A28+1,E$6,1,1,E$4))</f>
        <v>241930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108692</v>
      </c>
      <c r="I28" s="7" cm="1">
        <f t="array" aca="1" ref="I28" ca="1">INDIRECT(ADDRESS($A28+1,I$6,1,1,I$4))</f>
        <v>160.1095695548</v>
      </c>
      <c r="J28" s="9" cm="1">
        <f t="array" aca="1" ref="J28" ca="1">INDIRECT(ADDRESS($A28+1,J$6,1,1,J$4))</f>
        <v>0.39720589779999999</v>
      </c>
      <c r="K28" s="9" cm="1">
        <f t="array" aca="1" ref="K28" ca="1">INDIRECT(ADDRESS($A28+1,K$6,1,1,K$4))</f>
        <v>2.8196615299999998E-2</v>
      </c>
      <c r="L28" s="9" cm="1">
        <f t="array" aca="1" ref="L28" ca="1">INDIRECT(ADDRESS($A28+1,L$6,1,1,L$4))</f>
        <v>5.3485674499999997E-2</v>
      </c>
      <c r="M28" s="10" cm="1">
        <f t="array" aca="1" ref="M28" ca="1">INDIRECT(ADDRESS($A28+1,M$6,1,1,M$4))</f>
        <v>5.4310185900000002E-2</v>
      </c>
      <c r="N28" s="11" cm="1">
        <f t="array" aca="1" ref="N28" ca="1">INDIRECT(ADDRESS($A28+1,N$6,1,1,N$4))</f>
        <v>0</v>
      </c>
      <c r="O28" s="7" cm="1">
        <f t="array" aca="1" ref="O28" ca="1">INDIRECT(ADDRESS($A28+1,O$6,1,1,O$4))</f>
        <v>0</v>
      </c>
      <c r="P28" s="10" cm="1">
        <f t="array" aca="1" ref="P28" ca="1">INDIRECT(ADDRESS($A28+1,P$6,1,1,P$4))</f>
        <v>0</v>
      </c>
      <c r="Q28" s="11" cm="1">
        <f t="array" aca="1" ref="Q28" ca="1">INDIRECT(ADDRESS($A28+1,Q$6,1,1,Q$4))</f>
        <v>14576</v>
      </c>
      <c r="R28" s="7" cm="1">
        <f t="array" aca="1" ref="R28" ca="1">INDIRECT(ADDRESS($A28+1,R$6,1,1,R$4))</f>
        <v>21.471286624899999</v>
      </c>
      <c r="S28" s="9" cm="1">
        <f t="array" aca="1" ref="S28" ca="1">INDIRECT(ADDRESS($A28+1,S$6,1,1,S$4))</f>
        <v>0.13410370590000001</v>
      </c>
      <c r="T28" s="10" cm="1">
        <f t="array" aca="1" ref="T28" ca="1">INDIRECT(ADDRESS($A28+1,T$6,1,1,T$4))</f>
        <v>0.18452735119999999</v>
      </c>
      <c r="U28" s="11" cm="1">
        <f t="array" aca="1" ref="U28" ca="1">INDIRECT(ADDRESS($A28+1,U$6,1,1,U$4))</f>
        <v>23592</v>
      </c>
      <c r="V28" s="7" cm="1">
        <f t="array" aca="1" ref="V28" ca="1">INDIRECT(ADDRESS($A28+1,V$6,1,1,V$4))</f>
        <v>34.7523733572</v>
      </c>
      <c r="W28" s="10" cm="1">
        <f t="array" aca="1" ref="W28" ca="1">INDIRECT(ADDRESS($A28+1,W$6,1,1,W$4))</f>
        <v>0.21705369299999999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cm="1">
        <f t="array" aca="1" ref="B29" ca="1">INDIRECT(ADDRESS($A29+1,B$6,1,1,B$4))</f>
        <v>0</v>
      </c>
      <c r="C29" s="31" cm="1">
        <f t="array" aca="1" ref="C29" ca="1">INDIRECT(ADDRESS($A29+1,C$6,1,1,C$4))</f>
        <v>0</v>
      </c>
      <c r="D29" s="7" cm="1">
        <f t="array" aca="1" ref="D29" ca="1">INDIRECT(ADDRESS($A29+1,D$6,1,1,D$4))</f>
        <v>0</v>
      </c>
      <c r="E29" s="7" cm="1">
        <f t="array" aca="1" ref="E29" ca="1">INDIRECT(ADDRESS($A29+1,E$6,1,1,E$4))</f>
        <v>0</v>
      </c>
      <c r="F29" s="11" cm="1">
        <f t="array" aca="1" ref="F29" ca="1">INDIRECT(ADDRESS($A29+1,F$6,1,1,F$4))</f>
        <v>0</v>
      </c>
      <c r="G29" s="7" cm="1">
        <f t="array" aca="1" ref="G29" ca="1">INDIRECT(ADDRESS($A29+1,G$6,1,1,G$4))</f>
        <v>0</v>
      </c>
      <c r="H29" s="11" cm="1">
        <f t="array" aca="1" ref="H29" ca="1">INDIRECT(ADDRESS($A29+1,H$6,1,1,H$4))</f>
        <v>0</v>
      </c>
      <c r="I29" s="7" cm="1">
        <f t="array" aca="1" ref="I29" ca="1">INDIRECT(ADDRESS($A29+1,I$6,1,1,I$4))</f>
        <v>0</v>
      </c>
      <c r="J29" s="9" cm="1">
        <f t="array" aca="1" ref="J29" ca="1">INDIRECT(ADDRESS($A29+1,J$6,1,1,J$4))</f>
        <v>0</v>
      </c>
      <c r="K29" s="9" cm="1">
        <f t="array" aca="1" ref="K29" ca="1">INDIRECT(ADDRESS($A29+1,K$6,1,1,K$4))</f>
        <v>0</v>
      </c>
      <c r="L29" s="9" cm="1">
        <f t="array" aca="1" ref="L29" ca="1">INDIRECT(ADDRESS($A29+1,L$6,1,1,L$4))</f>
        <v>0</v>
      </c>
      <c r="M29" s="10" cm="1">
        <f t="array" aca="1" ref="M29" ca="1">INDIRECT(ADDRESS($A29+1,M$6,1,1,M$4))</f>
        <v>0</v>
      </c>
      <c r="N29" s="11" cm="1">
        <f t="array" aca="1" ref="N29" ca="1">INDIRECT(ADDRESS($A29+1,N$6,1,1,N$4))</f>
        <v>0</v>
      </c>
      <c r="O29" s="7" cm="1">
        <f t="array" aca="1" ref="O29" ca="1">INDIRECT(ADDRESS($A29+1,O$6,1,1,O$4))</f>
        <v>0</v>
      </c>
      <c r="P29" s="10" cm="1">
        <f t="array" aca="1" ref="P29" ca="1">INDIRECT(ADDRESS($A29+1,P$6,1,1,P$4))</f>
        <v>0</v>
      </c>
      <c r="Q29" s="11" cm="1">
        <f t="array" aca="1" ref="Q29" ca="1">INDIRECT(ADDRESS($A29+1,Q$6,1,1,Q$4))</f>
        <v>0</v>
      </c>
      <c r="R29" s="7" cm="1">
        <f t="array" aca="1" ref="R29" ca="1">INDIRECT(ADDRESS($A29+1,R$6,1,1,R$4))</f>
        <v>0</v>
      </c>
      <c r="S29" s="9" cm="1">
        <f t="array" aca="1" ref="S29" ca="1">INDIRECT(ADDRESS($A29+1,S$6,1,1,S$4))</f>
        <v>0</v>
      </c>
      <c r="T29" s="10" cm="1">
        <f t="array" aca="1" ref="T29" ca="1">INDIRECT(ADDRESS($A29+1,T$6,1,1,T$4))</f>
        <v>0</v>
      </c>
      <c r="U29" s="11" cm="1">
        <f t="array" aca="1" ref="U29" ca="1">INDIRECT(ADDRESS($A29+1,U$6,1,1,U$4))</f>
        <v>0</v>
      </c>
      <c r="V29" s="7" cm="1">
        <f t="array" aca="1" ref="V29" ca="1">INDIRECT(ADDRESS($A29+1,V$6,1,1,V$4))</f>
        <v>0</v>
      </c>
      <c r="W29" s="10" cm="1">
        <f t="array" aca="1" ref="W29" ca="1">INDIRECT(ADDRESS($A29+1,W$6,1,1,W$4))</f>
        <v>0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cm="1">
        <f t="array" aca="1" ref="B30" ca="1">INDIRECT(ADDRESS($A30+1,B$6,1,1,B$4))</f>
        <v>0</v>
      </c>
      <c r="C30" s="31" cm="1">
        <f t="array" aca="1" ref="C30" ca="1">INDIRECT(ADDRESS($A30+1,C$6,1,1,C$4))</f>
        <v>0</v>
      </c>
      <c r="D30" s="7" cm="1">
        <f t="array" aca="1" ref="D30" ca="1">INDIRECT(ADDRESS($A30+1,D$6,1,1,D$4))</f>
        <v>0</v>
      </c>
      <c r="E30" s="7" cm="1">
        <f t="array" aca="1" ref="E30" ca="1">INDIRECT(ADDRESS($A30+1,E$6,1,1,E$4))</f>
        <v>0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0</v>
      </c>
      <c r="I30" s="7" cm="1">
        <f t="array" aca="1" ref="I30" ca="1">INDIRECT(ADDRESS($A30+1,I$6,1,1,I$4))</f>
        <v>0</v>
      </c>
      <c r="J30" s="9" cm="1">
        <f t="array" aca="1" ref="J30" ca="1">INDIRECT(ADDRESS($A30+1,J$6,1,1,J$4))</f>
        <v>0</v>
      </c>
      <c r="K30" s="9" cm="1">
        <f t="array" aca="1" ref="K30" ca="1">INDIRECT(ADDRESS($A30+1,K$6,1,1,K$4))</f>
        <v>0</v>
      </c>
      <c r="L30" s="9" cm="1">
        <f t="array" aca="1" ref="L30" ca="1">INDIRECT(ADDRESS($A30+1,L$6,1,1,L$4))</f>
        <v>0</v>
      </c>
      <c r="M30" s="10" cm="1">
        <f t="array" aca="1" ref="M30" ca="1">INDIRECT(ADDRESS($A30+1,M$6,1,1,M$4))</f>
        <v>0</v>
      </c>
      <c r="N30" s="11" cm="1">
        <f t="array" aca="1" ref="N30" ca="1">INDIRECT(ADDRESS($A30+1,N$6,1,1,N$4))</f>
        <v>0</v>
      </c>
      <c r="O30" s="7" cm="1">
        <f t="array" aca="1" ref="O30" ca="1">INDIRECT(ADDRESS($A30+1,O$6,1,1,O$4))</f>
        <v>0</v>
      </c>
      <c r="P30" s="10" cm="1">
        <f t="array" aca="1" ref="P30" ca="1">INDIRECT(ADDRESS($A30+1,P$6,1,1,P$4))</f>
        <v>0</v>
      </c>
      <c r="Q30" s="11" cm="1">
        <f t="array" aca="1" ref="Q30" ca="1">INDIRECT(ADDRESS($A30+1,Q$6,1,1,Q$4))</f>
        <v>0</v>
      </c>
      <c r="R30" s="7" cm="1">
        <f t="array" aca="1" ref="R30" ca="1">INDIRECT(ADDRESS($A30+1,R$6,1,1,R$4))</f>
        <v>0</v>
      </c>
      <c r="S30" s="9" cm="1">
        <f t="array" aca="1" ref="S30" ca="1">INDIRECT(ADDRESS($A30+1,S$6,1,1,S$4))</f>
        <v>0</v>
      </c>
      <c r="T30" s="10" cm="1">
        <f t="array" aca="1" ref="T30" ca="1">INDIRECT(ADDRESS($A30+1,T$6,1,1,T$4))</f>
        <v>0</v>
      </c>
      <c r="U30" s="11" cm="1">
        <f t="array" aca="1" ref="U30" ca="1">INDIRECT(ADDRESS($A30+1,U$6,1,1,U$4))</f>
        <v>0</v>
      </c>
      <c r="V30" s="7" cm="1">
        <f t="array" aca="1" ref="V30" ca="1">INDIRECT(ADDRESS($A30+1,V$6,1,1,V$4))</f>
        <v>0</v>
      </c>
      <c r="W30" s="10" cm="1">
        <f t="array" aca="1" ref="W30" ca="1">INDIRECT(ADDRESS($A30+1,W$6,1,1,W$4))</f>
        <v>0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cm="1">
        <f t="array" aca="1" ref="B31" ca="1">INDIRECT(ADDRESS($A31+1,B$6,1,1,B$4))</f>
        <v>0</v>
      </c>
      <c r="C31" s="31" cm="1">
        <f t="array" aca="1" ref="C31" ca="1">INDIRECT(ADDRESS($A31+1,C$6,1,1,C$4))</f>
        <v>0</v>
      </c>
      <c r="D31" s="7" cm="1">
        <f t="array" aca="1" ref="D31" ca="1">INDIRECT(ADDRESS($A31+1,D$6,1,1,D$4))</f>
        <v>0</v>
      </c>
      <c r="E31" s="7" cm="1">
        <f t="array" aca="1" ref="E31" ca="1">INDIRECT(ADDRESS($A31+1,E$6,1,1,E$4))</f>
        <v>0</v>
      </c>
      <c r="F31" s="11" cm="1">
        <f t="array" aca="1" ref="F31" ca="1">INDIRECT(ADDRESS($A31+1,F$6,1,1,F$4))</f>
        <v>0</v>
      </c>
      <c r="G31" s="7" cm="1">
        <f t="array" aca="1" ref="G31" ca="1">INDIRECT(ADDRESS($A31+1,G$6,1,1,G$4))</f>
        <v>0</v>
      </c>
      <c r="H31" s="11" cm="1">
        <f t="array" aca="1" ref="H31" ca="1">INDIRECT(ADDRESS($A31+1,H$6,1,1,H$4))</f>
        <v>0</v>
      </c>
      <c r="I31" s="7" cm="1">
        <f t="array" aca="1" ref="I31" ca="1">INDIRECT(ADDRESS($A31+1,I$6,1,1,I$4))</f>
        <v>0</v>
      </c>
      <c r="J31" s="9" cm="1">
        <f t="array" aca="1" ref="J31" ca="1">INDIRECT(ADDRESS($A31+1,J$6,1,1,J$4))</f>
        <v>0</v>
      </c>
      <c r="K31" s="9" cm="1">
        <f t="array" aca="1" ref="K31" ca="1">INDIRECT(ADDRESS($A31+1,K$6,1,1,K$4))</f>
        <v>0</v>
      </c>
      <c r="L31" s="9" cm="1">
        <f t="array" aca="1" ref="L31" ca="1">INDIRECT(ADDRESS($A31+1,L$6,1,1,L$4))</f>
        <v>0</v>
      </c>
      <c r="M31" s="10" cm="1">
        <f t="array" aca="1" ref="M31" ca="1">INDIRECT(ADDRESS($A31+1,M$6,1,1,M$4))</f>
        <v>0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0</v>
      </c>
      <c r="R31" s="7" cm="1">
        <f t="array" aca="1" ref="R31" ca="1">INDIRECT(ADDRESS($A31+1,R$6,1,1,R$4))</f>
        <v>0</v>
      </c>
      <c r="S31" s="9" cm="1">
        <f t="array" aca="1" ref="S31" ca="1">INDIRECT(ADDRESS($A31+1,S$6,1,1,S$4))</f>
        <v>0</v>
      </c>
      <c r="T31" s="10" cm="1">
        <f t="array" aca="1" ref="T31" ca="1">INDIRECT(ADDRESS($A31+1,T$6,1,1,T$4))</f>
        <v>0</v>
      </c>
      <c r="U31" s="11" cm="1">
        <f t="array" aca="1" ref="U31" ca="1">INDIRECT(ADDRESS($A31+1,U$6,1,1,U$4))</f>
        <v>0</v>
      </c>
      <c r="V31" s="7" cm="1">
        <f t="array" aca="1" ref="V31" ca="1">INDIRECT(ADDRESS($A31+1,V$6,1,1,V$4))</f>
        <v>0</v>
      </c>
      <c r="W31" s="10" cm="1">
        <f t="array" aca="1" ref="W31" ca="1">INDIRECT(ADDRESS($A31+1,W$6,1,1,W$4))</f>
        <v>0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cm="1">
        <f t="array" aca="1" ref="B32" ca="1">INDIRECT(ADDRESS($A32+1,B$6,1,1,B$4))</f>
        <v>0</v>
      </c>
      <c r="C32" s="31" cm="1">
        <f t="array" aca="1" ref="C32" ca="1">INDIRECT(ADDRESS($A32+1,C$6,1,1,C$4))</f>
        <v>0</v>
      </c>
      <c r="D32" s="7" cm="1">
        <f t="array" aca="1" ref="D32" ca="1">INDIRECT(ADDRESS($A32+1,D$6,1,1,D$4))</f>
        <v>0</v>
      </c>
      <c r="E32" s="7" cm="1">
        <f t="array" aca="1" ref="E32" ca="1">INDIRECT(ADDRESS($A32+1,E$6,1,1,E$4))</f>
        <v>0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0</v>
      </c>
      <c r="I32" s="7" cm="1">
        <f t="array" aca="1" ref="I32" ca="1">INDIRECT(ADDRESS($A32+1,I$6,1,1,I$4))</f>
        <v>0</v>
      </c>
      <c r="J32" s="9" cm="1">
        <f t="array" aca="1" ref="J32" ca="1">INDIRECT(ADDRESS($A32+1,J$6,1,1,J$4))</f>
        <v>0</v>
      </c>
      <c r="K32" s="9" cm="1">
        <f t="array" aca="1" ref="K32" ca="1">INDIRECT(ADDRESS($A32+1,K$6,1,1,K$4))</f>
        <v>0</v>
      </c>
      <c r="L32" s="9" cm="1">
        <f t="array" aca="1" ref="L32" ca="1">INDIRECT(ADDRESS($A32+1,L$6,1,1,L$4))</f>
        <v>0</v>
      </c>
      <c r="M32" s="10" cm="1">
        <f t="array" aca="1" ref="M32" ca="1">INDIRECT(ADDRESS($A32+1,M$6,1,1,M$4))</f>
        <v>0</v>
      </c>
      <c r="N32" s="11" cm="1">
        <f t="array" aca="1" ref="N32" ca="1">INDIRECT(ADDRESS($A32+1,N$6,1,1,N$4))</f>
        <v>0</v>
      </c>
      <c r="O32" s="7" cm="1">
        <f t="array" aca="1" ref="O32" ca="1">INDIRECT(ADDRESS($A32+1,O$6,1,1,O$4))</f>
        <v>0</v>
      </c>
      <c r="P32" s="10" cm="1">
        <f t="array" aca="1" ref="P32" ca="1">INDIRECT(ADDRESS($A32+1,P$6,1,1,P$4))</f>
        <v>0</v>
      </c>
      <c r="Q32" s="11" cm="1">
        <f t="array" aca="1" ref="Q32" ca="1">INDIRECT(ADDRESS($A32+1,Q$6,1,1,Q$4))</f>
        <v>0</v>
      </c>
      <c r="R32" s="7" cm="1">
        <f t="array" aca="1" ref="R32" ca="1">INDIRECT(ADDRESS($A32+1,R$6,1,1,R$4))</f>
        <v>0</v>
      </c>
      <c r="S32" s="9" cm="1">
        <f t="array" aca="1" ref="S32" ca="1">INDIRECT(ADDRESS($A32+1,S$6,1,1,S$4))</f>
        <v>0</v>
      </c>
      <c r="T32" s="10" cm="1">
        <f t="array" aca="1" ref="T32" ca="1">INDIRECT(ADDRESS($A32+1,T$6,1,1,T$4))</f>
        <v>0</v>
      </c>
      <c r="U32" s="11" cm="1">
        <f t="array" aca="1" ref="U32" ca="1">INDIRECT(ADDRESS($A32+1,U$6,1,1,U$4))</f>
        <v>0</v>
      </c>
      <c r="V32" s="7" cm="1">
        <f t="array" aca="1" ref="V32" ca="1">INDIRECT(ADDRESS($A32+1,V$6,1,1,V$4))</f>
        <v>0</v>
      </c>
      <c r="W32" s="10" cm="1">
        <f t="array" aca="1" ref="W32" ca="1">INDIRECT(ADDRESS($A32+1,W$6,1,1,W$4))</f>
        <v>0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cm="1">
        <f t="array" aca="1" ref="B33" ca="1">INDIRECT(ADDRESS($A33+1,B$6,1,1,B$4))</f>
        <v>0</v>
      </c>
      <c r="C33" s="31" cm="1">
        <f t="array" aca="1" ref="C33" ca="1">INDIRECT(ADDRESS($A33+1,C$6,1,1,C$4))</f>
        <v>0</v>
      </c>
      <c r="D33" s="7" cm="1">
        <f t="array" aca="1" ref="D33" ca="1">INDIRECT(ADDRESS($A33+1,D$6,1,1,D$4))</f>
        <v>0</v>
      </c>
      <c r="E33" s="7" cm="1">
        <f t="array" aca="1" ref="E33" ca="1">INDIRECT(ADDRESS($A33+1,E$6,1,1,E$4))</f>
        <v>0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0</v>
      </c>
      <c r="I33" s="7" cm="1">
        <f t="array" aca="1" ref="I33" ca="1">INDIRECT(ADDRESS($A33+1,I$6,1,1,I$4))</f>
        <v>0</v>
      </c>
      <c r="J33" s="9" cm="1">
        <f t="array" aca="1" ref="J33" ca="1">INDIRECT(ADDRESS($A33+1,J$6,1,1,J$4))</f>
        <v>0</v>
      </c>
      <c r="K33" s="9" cm="1">
        <f t="array" aca="1" ref="K33" ca="1">INDIRECT(ADDRESS($A33+1,K$6,1,1,K$4))</f>
        <v>0</v>
      </c>
      <c r="L33" s="9" cm="1">
        <f t="array" aca="1" ref="L33" ca="1">INDIRECT(ADDRESS($A33+1,L$6,1,1,L$4))</f>
        <v>0</v>
      </c>
      <c r="M33" s="10" cm="1">
        <f t="array" aca="1" ref="M33" ca="1">INDIRECT(ADDRESS($A33+1,M$6,1,1,M$4))</f>
        <v>0</v>
      </c>
      <c r="N33" s="11" cm="1">
        <f t="array" aca="1" ref="N33" ca="1">INDIRECT(ADDRESS($A33+1,N$6,1,1,N$4))</f>
        <v>0</v>
      </c>
      <c r="O33" s="7" cm="1">
        <f t="array" aca="1" ref="O33" ca="1">INDIRECT(ADDRESS($A33+1,O$6,1,1,O$4))</f>
        <v>0</v>
      </c>
      <c r="P33" s="10" cm="1">
        <f t="array" aca="1" ref="P33" ca="1">INDIRECT(ADDRESS($A33+1,P$6,1,1,P$4))</f>
        <v>0</v>
      </c>
      <c r="Q33" s="11" cm="1">
        <f t="array" aca="1" ref="Q33" ca="1">INDIRECT(ADDRESS($A33+1,Q$6,1,1,Q$4))</f>
        <v>0</v>
      </c>
      <c r="R33" s="7" cm="1">
        <f t="array" aca="1" ref="R33" ca="1">INDIRECT(ADDRESS($A33+1,R$6,1,1,R$4))</f>
        <v>0</v>
      </c>
      <c r="S33" s="9" cm="1">
        <f t="array" aca="1" ref="S33" ca="1">INDIRECT(ADDRESS($A33+1,S$6,1,1,S$4))</f>
        <v>0</v>
      </c>
      <c r="T33" s="10" cm="1">
        <f t="array" aca="1" ref="T33" ca="1">INDIRECT(ADDRESS($A33+1,T$6,1,1,T$4))</f>
        <v>0</v>
      </c>
      <c r="U33" s="11" cm="1">
        <f t="array" aca="1" ref="U33" ca="1">INDIRECT(ADDRESS($A33+1,U$6,1,1,U$4))</f>
        <v>0</v>
      </c>
      <c r="V33" s="7" cm="1">
        <f t="array" aca="1" ref="V33" ca="1">INDIRECT(ADDRESS($A33+1,V$6,1,1,V$4))</f>
        <v>0</v>
      </c>
      <c r="W33" s="10" cm="1">
        <f t="array" aca="1" ref="W33" ca="1">INDIRECT(ADDRESS($A33+1,W$6,1,1,W$4))</f>
        <v>0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cm="1">
        <f t="array" aca="1" ref="B34" ca="1">INDIRECT(ADDRESS($A34+1,B$6,1,1,B$4))</f>
        <v>0</v>
      </c>
      <c r="C34" s="31" cm="1">
        <f t="array" aca="1" ref="C34" ca="1">INDIRECT(ADDRESS($A34+1,C$6,1,1,C$4))</f>
        <v>0</v>
      </c>
      <c r="D34" s="7" cm="1">
        <f t="array" aca="1" ref="D34" ca="1">INDIRECT(ADDRESS($A34+1,D$6,1,1,D$4))</f>
        <v>0</v>
      </c>
      <c r="E34" s="7" cm="1">
        <f t="array" aca="1" ref="E34" ca="1">INDIRECT(ADDRESS($A34+1,E$6,1,1,E$4))</f>
        <v>0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0</v>
      </c>
      <c r="I34" s="7" cm="1">
        <f t="array" aca="1" ref="I34" ca="1">INDIRECT(ADDRESS($A34+1,I$6,1,1,I$4))</f>
        <v>0</v>
      </c>
      <c r="J34" s="9" cm="1">
        <f t="array" aca="1" ref="J34" ca="1">INDIRECT(ADDRESS($A34+1,J$6,1,1,J$4))</f>
        <v>0</v>
      </c>
      <c r="K34" s="9" cm="1">
        <f t="array" aca="1" ref="K34" ca="1">INDIRECT(ADDRESS($A34+1,K$6,1,1,K$4))</f>
        <v>0</v>
      </c>
      <c r="L34" s="9" cm="1">
        <f t="array" aca="1" ref="L34" ca="1">INDIRECT(ADDRESS($A34+1,L$6,1,1,L$4))</f>
        <v>0</v>
      </c>
      <c r="M34" s="10" cm="1">
        <f t="array" aca="1" ref="M34" ca="1">INDIRECT(ADDRESS($A34+1,M$6,1,1,M$4))</f>
        <v>0</v>
      </c>
      <c r="N34" s="11" cm="1">
        <f t="array" aca="1" ref="N34" ca="1">INDIRECT(ADDRESS($A34+1,N$6,1,1,N$4))</f>
        <v>0</v>
      </c>
      <c r="O34" s="7" cm="1">
        <f t="array" aca="1" ref="O34" ca="1">INDIRECT(ADDRESS($A34+1,O$6,1,1,O$4))</f>
        <v>0</v>
      </c>
      <c r="P34" s="10" cm="1">
        <f t="array" aca="1" ref="P34" ca="1">INDIRECT(ADDRESS($A34+1,P$6,1,1,P$4))</f>
        <v>0</v>
      </c>
      <c r="Q34" s="11" cm="1">
        <f t="array" aca="1" ref="Q34" ca="1">INDIRECT(ADDRESS($A34+1,Q$6,1,1,Q$4))</f>
        <v>0</v>
      </c>
      <c r="R34" s="7" cm="1">
        <f t="array" aca="1" ref="R34" ca="1">INDIRECT(ADDRESS($A34+1,R$6,1,1,R$4))</f>
        <v>0</v>
      </c>
      <c r="S34" s="9" cm="1">
        <f t="array" aca="1" ref="S34" ca="1">INDIRECT(ADDRESS($A34+1,S$6,1,1,S$4))</f>
        <v>0</v>
      </c>
      <c r="T34" s="10" cm="1">
        <f t="array" aca="1" ref="T34" ca="1">INDIRECT(ADDRESS($A34+1,T$6,1,1,T$4))</f>
        <v>0</v>
      </c>
      <c r="U34" s="11" cm="1">
        <f t="array" aca="1" ref="U34" ca="1">INDIRECT(ADDRESS($A34+1,U$6,1,1,U$4))</f>
        <v>0</v>
      </c>
      <c r="V34" s="7" cm="1">
        <f t="array" aca="1" ref="V34" ca="1">INDIRECT(ADDRESS($A34+1,V$6,1,1,V$4))</f>
        <v>0</v>
      </c>
      <c r="W34" s="10" cm="1">
        <f t="array" aca="1" ref="W34" ca="1">INDIRECT(ADDRESS($A34+1,W$6,1,1,W$4))</f>
        <v>0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cm="1">
        <f t="array" aca="1" ref="B35" ca="1">INDIRECT(ADDRESS($A35+1,B$6,1,1,B$4))</f>
        <v>0</v>
      </c>
      <c r="C35" s="31" cm="1">
        <f t="array" aca="1" ref="C35" ca="1">INDIRECT(ADDRESS($A35+1,C$6,1,1,C$4))</f>
        <v>0</v>
      </c>
      <c r="D35" s="7" cm="1">
        <f t="array" aca="1" ref="D35" ca="1">INDIRECT(ADDRESS($A35+1,D$6,1,1,D$4))</f>
        <v>0</v>
      </c>
      <c r="E35" s="7" cm="1">
        <f t="array" aca="1" ref="E35" ca="1">INDIRECT(ADDRESS($A35+1,E$6,1,1,E$4))</f>
        <v>0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0</v>
      </c>
      <c r="I35" s="7" cm="1">
        <f t="array" aca="1" ref="I35" ca="1">INDIRECT(ADDRESS($A35+1,I$6,1,1,I$4))</f>
        <v>0</v>
      </c>
      <c r="J35" s="9" cm="1">
        <f t="array" aca="1" ref="J35" ca="1">INDIRECT(ADDRESS($A35+1,J$6,1,1,J$4))</f>
        <v>0</v>
      </c>
      <c r="K35" s="9" cm="1">
        <f t="array" aca="1" ref="K35" ca="1">INDIRECT(ADDRESS($A35+1,K$6,1,1,K$4))</f>
        <v>0</v>
      </c>
      <c r="L35" s="9" cm="1">
        <f t="array" aca="1" ref="L35" ca="1">INDIRECT(ADDRESS($A35+1,L$6,1,1,L$4))</f>
        <v>0</v>
      </c>
      <c r="M35" s="10" cm="1">
        <f t="array" aca="1" ref="M35" ca="1">INDIRECT(ADDRESS($A35+1,M$6,1,1,M$4))</f>
        <v>0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0</v>
      </c>
      <c r="R35" s="7" cm="1">
        <f t="array" aca="1" ref="R35" ca="1">INDIRECT(ADDRESS($A35+1,R$6,1,1,R$4))</f>
        <v>0</v>
      </c>
      <c r="S35" s="9" cm="1">
        <f t="array" aca="1" ref="S35" ca="1">INDIRECT(ADDRESS($A35+1,S$6,1,1,S$4))</f>
        <v>0</v>
      </c>
      <c r="T35" s="10" cm="1">
        <f t="array" aca="1" ref="T35" ca="1">INDIRECT(ADDRESS($A35+1,T$6,1,1,T$4))</f>
        <v>0</v>
      </c>
      <c r="U35" s="11" cm="1">
        <f t="array" aca="1" ref="U35" ca="1">INDIRECT(ADDRESS($A35+1,U$6,1,1,U$4))</f>
        <v>0</v>
      </c>
      <c r="V35" s="7" cm="1">
        <f t="array" aca="1" ref="V35" ca="1">INDIRECT(ADDRESS($A35+1,V$6,1,1,V$4))</f>
        <v>0</v>
      </c>
      <c r="W35" s="10" cm="1">
        <f t="array" aca="1" ref="W35" ca="1">INDIRECT(ADDRESS($A35+1,W$6,1,1,W$4))</f>
        <v>0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CO130"/>
  <sheetViews>
    <sheetView zoomScale="70" zoomScaleNormal="70" workbookViewId="0">
      <selection activeCell="A20" sqref="A20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248</v>
      </c>
      <c r="D8"/>
    </row>
    <row r="9" spans="2:21" s="1" customFormat="1" x14ac:dyDescent="0.25">
      <c r="C9" s="11" t="s">
        <v>262</v>
      </c>
      <c r="D9"/>
    </row>
    <row r="10" spans="2:21" s="1" customFormat="1" x14ac:dyDescent="0.25">
      <c r="C10" s="11" t="s">
        <v>264</v>
      </c>
      <c r="D10"/>
    </row>
    <row r="11" spans="2:21" s="1" customFormat="1" x14ac:dyDescent="0.25">
      <c r="C11" s="11" t="s">
        <v>256</v>
      </c>
      <c r="D11"/>
    </row>
    <row r="12" spans="2:21" s="1" customFormat="1" x14ac:dyDescent="0.25">
      <c r="C12" s="11" t="s">
        <v>260</v>
      </c>
      <c r="D12"/>
    </row>
    <row r="13" spans="2:21" s="1" customFormat="1" x14ac:dyDescent="0.25">
      <c r="C13" s="11" t="s">
        <v>0</v>
      </c>
      <c r="D13"/>
    </row>
    <row r="14" spans="2:21" s="1" customFormat="1" x14ac:dyDescent="0.25">
      <c r="C14" s="11" t="s">
        <v>259</v>
      </c>
      <c r="D14"/>
    </row>
    <row r="15" spans="2:21" s="1" customFormat="1" x14ac:dyDescent="0.25">
      <c r="C15" s="11" t="s">
        <v>251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93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</row>
    <row r="41" spans="1:93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cm="1">
        <f t="array" aca="1" ref="CN41" ca="1">INDIRECT(ADDRESS($B41,CN$39+$A41,1,1,$C41))</f>
        <v>0</v>
      </c>
      <c r="CO41" s="5" cm="1">
        <f t="array" aca="1" ref="CO41" ca="1">INDIRECT(ADDRESS($B41,CO$39+$A41,1,1,$C41))</f>
        <v>0</v>
      </c>
    </row>
    <row r="42" spans="1:93" x14ac:dyDescent="0.25">
      <c r="A42">
        <v>8</v>
      </c>
      <c r="B42">
        <f ca="1">MATCH($C42,INDIRECT("'"&amp;$C$41&amp;"'!A:A"),0)</f>
        <v>20</v>
      </c>
      <c r="C42" s="1" t="str">
        <f t="shared" ref="C42:C49" si="22">C8</f>
        <v>US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</row>
    <row r="43" spans="1:93" x14ac:dyDescent="0.25">
      <c r="A43">
        <v>8</v>
      </c>
      <c r="B43">
        <f t="shared" ref="B43:B49" ca="1" si="23">MATCH($C43,INDIRECT("'"&amp;$C$41&amp;"'!A:A"),0)</f>
        <v>5</v>
      </c>
      <c r="C43" s="1" t="str">
        <f t="shared" si="22"/>
        <v>China</v>
      </c>
      <c r="D43" t="str">
        <f t="shared" ref="D43:D49" si="24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</row>
    <row r="44" spans="1:93" x14ac:dyDescent="0.25">
      <c r="A44">
        <v>8</v>
      </c>
      <c r="B44">
        <f t="shared" ca="1" si="23"/>
        <v>3</v>
      </c>
      <c r="C44" s="1" t="str">
        <f t="shared" si="22"/>
        <v>Belgium</v>
      </c>
      <c r="D44" t="str">
        <f t="shared" si="24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</row>
    <row r="45" spans="1:93" x14ac:dyDescent="0.25">
      <c r="A45">
        <v>8</v>
      </c>
      <c r="B45">
        <f t="shared" ca="1" si="23"/>
        <v>11</v>
      </c>
      <c r="C45" s="1" t="str">
        <f t="shared" si="22"/>
        <v>Italy</v>
      </c>
      <c r="D45" t="str">
        <f t="shared" si="24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</row>
    <row r="46" spans="1:93" x14ac:dyDescent="0.25">
      <c r="A46">
        <v>8</v>
      </c>
      <c r="B46">
        <f ca="1">MATCH($C46,INDIRECT("'"&amp;$C$41&amp;"'!A:A"),0)</f>
        <v>7</v>
      </c>
      <c r="C46" s="1" t="str">
        <f t="shared" si="22"/>
        <v>France</v>
      </c>
      <c r="D46" t="str">
        <f t="shared" si="24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0</v>
      </c>
      <c r="AV46" s="1" cm="1">
        <f t="array" aca="1" ref="AV46" ca="1">INDIRECT(ADDRESS($B46,AV$39+$A46,1,1,$D46))</f>
        <v>0</v>
      </c>
      <c r="AW46" s="1" cm="1">
        <f t="array" aca="1" ref="AW46" ca="1">INDIRECT(ADDRESS($B46,AW$39+$A46,1,1,$D46))</f>
        <v>0</v>
      </c>
      <c r="AX46" s="1" cm="1">
        <f t="array" aca="1" ref="AX46" ca="1">INDIRECT(ADDRESS($B46,AX$39+$A46,1,1,$D46))</f>
        <v>0</v>
      </c>
      <c r="AY46" s="1" cm="1">
        <f t="array" aca="1" ref="AY46" ca="1">INDIRECT(ADDRESS($B46,AY$39+$A46,1,1,$D46))</f>
        <v>0</v>
      </c>
      <c r="AZ46" s="1" cm="1">
        <f t="array" aca="1" ref="AZ46" ca="1">INDIRECT(ADDRESS($B46,AZ$39+$A46,1,1,$D46))</f>
        <v>0</v>
      </c>
      <c r="BA46" s="1" cm="1">
        <f t="array" aca="1" ref="BA46" ca="1">INDIRECT(ADDRESS($B46,BA$39+$A46,1,1,$D46))</f>
        <v>0</v>
      </c>
      <c r="BB46" s="1" cm="1">
        <f t="array" aca="1" ref="BB46" ca="1">INDIRECT(ADDRESS($B46,BB$39+$A46,1,1,$D46))</f>
        <v>0</v>
      </c>
      <c r="BC46" s="1" cm="1">
        <f t="array" aca="1" ref="BC46" ca="1">INDIRECT(ADDRESS($B46,BC$39+$A46,1,1,$D46))</f>
        <v>0</v>
      </c>
      <c r="BD46" s="1" cm="1">
        <f t="array" aca="1" ref="BD46" ca="1">INDIRECT(ADDRESS($B46,BD$39+$A46,1,1,$D46))</f>
        <v>0</v>
      </c>
      <c r="BE46" s="1" cm="1">
        <f t="array" aca="1" ref="BE46" ca="1">INDIRECT(ADDRESS($B46,BE$39+$A46,1,1,$D46))</f>
        <v>0</v>
      </c>
      <c r="BF46" s="1" cm="1">
        <f t="array" aca="1" ref="BF46" ca="1">INDIRECT(ADDRESS($B46,BF$39+$A46,1,1,$D46))</f>
        <v>0</v>
      </c>
      <c r="BG46" s="1" cm="1">
        <f t="array" aca="1" ref="BG46" ca="1">INDIRECT(ADDRESS($B46,BG$39+$A46,1,1,$D46))</f>
        <v>0</v>
      </c>
      <c r="BH46" s="1" cm="1">
        <f t="array" aca="1" ref="BH46" ca="1">INDIRECT(ADDRESS($B46,BH$39+$A46,1,1,$D46))</f>
        <v>0</v>
      </c>
      <c r="BI46" s="1" cm="1">
        <f t="array" aca="1" ref="BI46" ca="1">INDIRECT(ADDRESS($B46,BI$39+$A46,1,1,$D46))</f>
        <v>0</v>
      </c>
      <c r="BJ46" s="1" cm="1">
        <f t="array" aca="1" ref="BJ46" ca="1">INDIRECT(ADDRESS($B46,BJ$39+$A46,1,1,$D46))</f>
        <v>0</v>
      </c>
      <c r="BK46" s="1" cm="1">
        <f t="array" aca="1" ref="BK46" ca="1">INDIRECT(ADDRESS($B46,BK$39+$A46,1,1,$D46))</f>
        <v>0</v>
      </c>
      <c r="BL46" s="1" cm="1">
        <f t="array" aca="1" ref="BL46" ca="1">INDIRECT(ADDRESS($B46,BL$39+$A46,1,1,$D46))</f>
        <v>0</v>
      </c>
      <c r="BM46" s="1" cm="1">
        <f t="array" aca="1" ref="BM46" ca="1">INDIRECT(ADDRESS($B46,BM$39+$A46,1,1,$D46))</f>
        <v>0</v>
      </c>
      <c r="BN46" s="1" cm="1">
        <f t="array" aca="1" ref="BN46" ca="1">INDIRECT(ADDRESS($B46,BN$39+$A46,1,1,$D46))</f>
        <v>0</v>
      </c>
      <c r="BO46" s="1" cm="1">
        <f t="array" aca="1" ref="BO46" ca="1">INDIRECT(ADDRESS($B46,BO$39+$A46,1,1,$D46))</f>
        <v>0</v>
      </c>
      <c r="BP46" s="1" cm="1">
        <f t="array" aca="1" ref="BP46" ca="1">INDIRECT(ADDRESS($B46,BP$39+$A46,1,1,$D46))</f>
        <v>0</v>
      </c>
      <c r="BQ46" s="1" cm="1">
        <f t="array" aca="1" ref="BQ46" ca="1">INDIRECT(ADDRESS($B46,BQ$39+$A46,1,1,$D46))</f>
        <v>0</v>
      </c>
      <c r="BR46" s="1" cm="1">
        <f t="array" aca="1" ref="BR46" ca="1">INDIRECT(ADDRESS($B46,BR$39+$A46,1,1,$D46))</f>
        <v>0</v>
      </c>
      <c r="BS46" s="1" cm="1">
        <f t="array" aca="1" ref="BS46" ca="1">INDIRECT(ADDRESS($B46,BS$39+$A46,1,1,$D46))</f>
        <v>0</v>
      </c>
      <c r="BT46" s="1" cm="1">
        <f t="array" aca="1" ref="BT46" ca="1">INDIRECT(ADDRESS($B46,BT$39+$A46,1,1,$D46))</f>
        <v>0</v>
      </c>
      <c r="BU46" s="1" cm="1">
        <f t="array" aca="1" ref="BU46" ca="1">INDIRECT(ADDRESS($B46,BU$39+$A46,1,1,$D46))</f>
        <v>0</v>
      </c>
      <c r="BV46" s="1" cm="1">
        <f t="array" aca="1" ref="BV46" ca="1">INDIRECT(ADDRESS($B46,BV$39+$A46,1,1,$D46))</f>
        <v>0</v>
      </c>
      <c r="BW46" s="1" cm="1">
        <f t="array" aca="1" ref="BW46" ca="1">INDIRECT(ADDRESS($B46,BW$39+$A46,1,1,$D46))</f>
        <v>0</v>
      </c>
      <c r="BX46" s="1" cm="1">
        <f t="array" aca="1" ref="BX46" ca="1">INDIRECT(ADDRESS($B46,BX$39+$A46,1,1,$D46))</f>
        <v>0</v>
      </c>
      <c r="BY46" s="1" cm="1">
        <f t="array" aca="1" ref="BY46" ca="1">INDIRECT(ADDRESS($B46,BY$39+$A46,1,1,$D46))</f>
        <v>0</v>
      </c>
      <c r="BZ46" s="1" cm="1">
        <f t="array" aca="1" ref="BZ46" ca="1">INDIRECT(ADDRESS($B46,BZ$39+$A46,1,1,$D46))</f>
        <v>0</v>
      </c>
      <c r="CA46" s="1" cm="1">
        <f t="array" aca="1" ref="CA46" ca="1">INDIRECT(ADDRESS($B46,CA$39+$A46,1,1,$D46))</f>
        <v>0</v>
      </c>
      <c r="CB46" s="1" cm="1">
        <f t="array" aca="1" ref="CB46" ca="1">INDIRECT(ADDRESS($B46,CB$39+$A46,1,1,$D46))</f>
        <v>0</v>
      </c>
      <c r="CC46" s="1" cm="1">
        <f t="array" aca="1" ref="CC46" ca="1">INDIRECT(ADDRESS($B46,CC$39+$A46,1,1,$D46))</f>
        <v>0</v>
      </c>
      <c r="CD46" s="1" cm="1">
        <f t="array" aca="1" ref="CD46" ca="1">INDIRECT(ADDRESS($B46,CD$39+$A46,1,1,$D46))</f>
        <v>0</v>
      </c>
      <c r="CE46" s="1" cm="1">
        <f t="array" aca="1" ref="CE46" ca="1">INDIRECT(ADDRESS($B46,CE$39+$A46,1,1,$D46))</f>
        <v>0</v>
      </c>
      <c r="CF46" s="1" cm="1">
        <f t="array" aca="1" ref="CF46" ca="1">INDIRECT(ADDRESS($B46,CF$39+$A46,1,1,$D46))</f>
        <v>0</v>
      </c>
      <c r="CG46" s="1" cm="1">
        <f t="array" aca="1" ref="CG46" ca="1">INDIRECT(ADDRESS($B46,CG$39+$A46,1,1,$D46))</f>
        <v>0</v>
      </c>
      <c r="CH46" s="1" cm="1">
        <f t="array" aca="1" ref="CH46" ca="1">INDIRECT(ADDRESS($B46,CH$39+$A46,1,1,$D46))</f>
        <v>0</v>
      </c>
      <c r="CI46" s="1" cm="1">
        <f t="array" aca="1" ref="CI46" ca="1">INDIRECT(ADDRESS($B46,CI$39+$A46,1,1,$D46))</f>
        <v>0</v>
      </c>
      <c r="CJ46" s="1" cm="1">
        <f t="array" aca="1" ref="CJ46" ca="1">INDIRECT(ADDRESS($B46,CJ$39+$A46,1,1,$D46))</f>
        <v>0</v>
      </c>
      <c r="CK46" s="1" cm="1">
        <f t="array" aca="1" ref="CK46" ca="1">INDIRECT(ADDRESS($B46,CK$39+$A46,1,1,$D46))</f>
        <v>0</v>
      </c>
      <c r="CL46" s="1" cm="1">
        <f t="array" aca="1" ref="CL46" ca="1">INDIRECT(ADDRESS($B46,CL$39+$A46,1,1,$D46))</f>
        <v>0</v>
      </c>
      <c r="CM46" s="1" cm="1">
        <f t="array" aca="1" ref="CM46" ca="1">INDIRECT(ADDRESS($B46,CM$39+$A46,1,1,$D46))</f>
        <v>0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</row>
    <row r="47" spans="1:93" x14ac:dyDescent="0.25">
      <c r="A47">
        <v>8</v>
      </c>
      <c r="B47">
        <f t="shared" ca="1" si="23"/>
        <v>19</v>
      </c>
      <c r="C47" s="1" t="str">
        <f t="shared" si="22"/>
        <v>Switzerland</v>
      </c>
      <c r="D47" t="str">
        <f t="shared" si="24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</row>
    <row r="48" spans="1:93" x14ac:dyDescent="0.25">
      <c r="A48">
        <v>8</v>
      </c>
      <c r="B48">
        <f t="shared" ca="1" si="23"/>
        <v>8</v>
      </c>
      <c r="C48" s="1" t="str">
        <f t="shared" si="22"/>
        <v>Germany</v>
      </c>
      <c r="D48" t="str">
        <f t="shared" si="24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</row>
    <row r="49" spans="1:93" x14ac:dyDescent="0.25">
      <c r="A49">
        <v>8</v>
      </c>
      <c r="B49">
        <f t="shared" ca="1" si="23"/>
        <v>16</v>
      </c>
      <c r="C49" s="1" t="str">
        <f t="shared" si="22"/>
        <v>Singapore</v>
      </c>
      <c r="D49" t="str">
        <f t="shared" si="24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</row>
    <row r="50" spans="1:93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</row>
    <row r="51" spans="1:93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</row>
    <row r="52" spans="1:93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cm="1">
        <f t="array" aca="1" ref="CN52" ca="1">INDIRECT(ADDRESS($B52,CN$39+$A52,1,1,$C52))</f>
        <v>0</v>
      </c>
      <c r="CO52" s="5" cm="1">
        <f t="array" aca="1" ref="CO52" ca="1">INDIRECT(ADDRESS($B52,CO$39+$A52,1,1,$C52))</f>
        <v>0</v>
      </c>
    </row>
    <row r="53" spans="1:93" x14ac:dyDescent="0.25">
      <c r="A53">
        <v>8</v>
      </c>
      <c r="B53">
        <f ca="1">MATCH($C53,INDIRECT("'"&amp;$C$52&amp;"'!A:A"),0)</f>
        <v>20</v>
      </c>
      <c r="C53" s="1" t="str">
        <f t="shared" ref="C53:C60" si="25">C8</f>
        <v>US</v>
      </c>
      <c r="D53" t="str">
        <f>C52</f>
        <v>Confirmed</v>
      </c>
      <c r="E53" s="1" cm="1">
        <f t="array" aca="1" ref="E53" ca="1">INDIRECT(ADDRESS($B53,E$39+$A53,1,1,$D53))</f>
        <v>1</v>
      </c>
      <c r="F53" s="1" cm="1">
        <f t="array" aca="1" ref="F53" ca="1">INDIRECT(ADDRESS($B53,F$39+$A53,1,1,$D53))</f>
        <v>1</v>
      </c>
      <c r="G53" s="1" cm="1">
        <f t="array" aca="1" ref="G53" ca="1">INDIRECT(ADDRESS($B53,G$39+$A53,1,1,$D53))</f>
        <v>2</v>
      </c>
      <c r="H53" s="1" cm="1">
        <f t="array" aca="1" ref="H53" ca="1">INDIRECT(ADDRESS($B53,H$39+$A53,1,1,$D53))</f>
        <v>2</v>
      </c>
      <c r="I53" s="1" cm="1">
        <f t="array" aca="1" ref="I53" ca="1">INDIRECT(ADDRESS($B53,I$39+$A53,1,1,$D53))</f>
        <v>5</v>
      </c>
      <c r="J53" s="1" cm="1">
        <f t="array" aca="1" ref="J53" ca="1">INDIRECT(ADDRESS($B53,J$39+$A53,1,1,$D53))</f>
        <v>5.4</v>
      </c>
      <c r="K53" s="1" cm="1">
        <f t="array" aca="1" ref="K53" ca="1">INDIRECT(ADDRESS($B53,K$39+$A53,1,1,$D53))</f>
        <v>5.8</v>
      </c>
      <c r="L53" s="1" cm="1">
        <f t="array" aca="1" ref="L53" ca="1">INDIRECT(ADDRESS($B53,L$39+$A53,1,1,$D53))</f>
        <v>6.2</v>
      </c>
      <c r="M53" s="1" cm="1">
        <f t="array" aca="1" ref="M53" ca="1">INDIRECT(ADDRESS($B53,M$39+$A53,1,1,$D53))</f>
        <v>6.6</v>
      </c>
      <c r="N53" s="1" cm="1">
        <f t="array" aca="1" ref="N53" ca="1">INDIRECT(ADDRESS($B53,N$39+$A53,1,1,$D53))</f>
        <v>7</v>
      </c>
      <c r="O53" s="1" cm="1">
        <f t="array" aca="1" ref="O53" ca="1">INDIRECT(ADDRESS($B53,O$39+$A53,1,1,$D53))</f>
        <v>8</v>
      </c>
      <c r="P53" s="1" cm="1">
        <f t="array" aca="1" ref="P53" ca="1">INDIRECT(ADDRESS($B53,P$39+$A53,1,1,$D53))</f>
        <v>9.5</v>
      </c>
      <c r="Q53" s="1" cm="1">
        <f t="array" aca="1" ref="Q53" ca="1">INDIRECT(ADDRESS($B53,Q$39+$A53,1,1,$D53))</f>
        <v>11</v>
      </c>
      <c r="R53" s="1" cm="1">
        <f t="array" aca="1" ref="R53" ca="1">INDIRECT(ADDRESS($B53,R$39+$A53,1,1,$D53))</f>
        <v>11.125</v>
      </c>
      <c r="S53" s="1" cm="1">
        <f t="array" aca="1" ref="S53" ca="1">INDIRECT(ADDRESS($B53,S$39+$A53,1,1,$D53))</f>
        <v>11.25</v>
      </c>
      <c r="T53" s="1" cm="1">
        <f t="array" aca="1" ref="T53" ca="1">INDIRECT(ADDRESS($B53,T$39+$A53,1,1,$D53))</f>
        <v>11.375</v>
      </c>
      <c r="U53" s="1" cm="1">
        <f t="array" aca="1" ref="U53" ca="1">INDIRECT(ADDRESS($B53,U$39+$A53,1,1,$D53))</f>
        <v>11.5</v>
      </c>
      <c r="V53" s="1" cm="1">
        <f t="array" aca="1" ref="V53" ca="1">INDIRECT(ADDRESS($B53,V$39+$A53,1,1,$D53))</f>
        <v>11.625</v>
      </c>
      <c r="W53" s="1" cm="1">
        <f t="array" aca="1" ref="W53" ca="1">INDIRECT(ADDRESS($B53,W$39+$A53,1,1,$D53))</f>
        <v>11.75</v>
      </c>
      <c r="X53" s="1" cm="1">
        <f t="array" aca="1" ref="X53" ca="1">INDIRECT(ADDRESS($B53,X$39+$A53,1,1,$D53))</f>
        <v>11.875</v>
      </c>
      <c r="Y53" s="1" cm="1">
        <f t="array" aca="1" ref="Y53" ca="1">INDIRECT(ADDRESS($B53,Y$39+$A53,1,1,$D53))</f>
        <v>12</v>
      </c>
      <c r="Z53" s="1" cm="1">
        <f t="array" aca="1" ref="Z53" ca="1">INDIRECT(ADDRESS($B53,Z$39+$A53,1,1,$D53))</f>
        <v>12.5</v>
      </c>
      <c r="AA53" s="1" cm="1">
        <f t="array" aca="1" ref="AA53" ca="1">INDIRECT(ADDRESS($B53,AA$39+$A53,1,1,$D53))</f>
        <v>13</v>
      </c>
      <c r="AB53" s="1" cm="1">
        <f t="array" aca="1" ref="AB53" ca="1">INDIRECT(ADDRESS($B53,AB$39+$A53,1,1,$D53))</f>
        <v>13.25</v>
      </c>
      <c r="AC53" s="1" cm="1">
        <f t="array" aca="1" ref="AC53" ca="1">INDIRECT(ADDRESS($B53,AC$39+$A53,1,1,$D53))</f>
        <v>13.5</v>
      </c>
      <c r="AD53" s="1" cm="1">
        <f t="array" aca="1" ref="AD53" ca="1">INDIRECT(ADDRESS($B53,AD$39+$A53,1,1,$D53))</f>
        <v>13.75</v>
      </c>
      <c r="AE53" s="1" cm="1">
        <f t="array" aca="1" ref="AE53" ca="1">INDIRECT(ADDRESS($B53,AE$39+$A53,1,1,$D53))</f>
        <v>14</v>
      </c>
      <c r="AF53" s="1" cm="1">
        <f t="array" aca="1" ref="AF53" ca="1">INDIRECT(ADDRESS($B53,AF$39+$A53,1,1,$D53))</f>
        <v>14.25</v>
      </c>
      <c r="AG53" s="1" cm="1">
        <f t="array" aca="1" ref="AG53" ca="1">INDIRECT(ADDRESS($B53,AG$39+$A53,1,1,$D53))</f>
        <v>14.5</v>
      </c>
      <c r="AH53" s="1" cm="1">
        <f t="array" aca="1" ref="AH53" ca="1">INDIRECT(ADDRESS($B53,AH$39+$A53,1,1,$D53))</f>
        <v>14.75</v>
      </c>
      <c r="AI53" s="1" cm="1">
        <f t="array" aca="1" ref="AI53" ca="1">INDIRECT(ADDRESS($B53,AI$39+$A53,1,1,$D53))</f>
        <v>15</v>
      </c>
      <c r="AJ53" s="1" cm="1">
        <f t="array" aca="1" ref="AJ53" ca="1">INDIRECT(ADDRESS($B53,AJ$39+$A53,1,1,$D53))</f>
        <v>27</v>
      </c>
      <c r="AK53" s="1" cm="1">
        <f t="array" aca="1" ref="AK53" ca="1">INDIRECT(ADDRESS($B53,AK$39+$A53,1,1,$D53))</f>
        <v>39</v>
      </c>
      <c r="AL53" s="1" cm="1">
        <f t="array" aca="1" ref="AL53" ca="1">INDIRECT(ADDRESS($B53,AL$39+$A53,1,1,$D53))</f>
        <v>51</v>
      </c>
      <c r="AM53" s="1" cm="1">
        <f t="array" aca="1" ref="AM53" ca="1">INDIRECT(ADDRESS($B53,AM$39+$A53,1,1,$D53))</f>
        <v>54</v>
      </c>
      <c r="AN53" s="1" cm="1">
        <f t="array" aca="1" ref="AN53" ca="1">INDIRECT(ADDRESS($B53,AN$39+$A53,1,1,$D53))</f>
        <v>57</v>
      </c>
      <c r="AO53" s="1" cm="1">
        <f t="array" aca="1" ref="AO53" ca="1">INDIRECT(ADDRESS($B53,AO$39+$A53,1,1,$D53))</f>
        <v>58</v>
      </c>
      <c r="AP53" s="1" cm="1">
        <f t="array" aca="1" ref="AP53" ca="1">INDIRECT(ADDRESS($B53,AP$39+$A53,1,1,$D53))</f>
        <v>60</v>
      </c>
      <c r="AQ53" s="1" cm="1">
        <f t="array" aca="1" ref="AQ53" ca="1">INDIRECT(ADDRESS($B53,AQ$39+$A53,1,1,$D53))</f>
        <v>68</v>
      </c>
      <c r="AR53" s="1" cm="1">
        <f t="array" aca="1" ref="AR53" ca="1">INDIRECT(ADDRESS($B53,AR$39+$A53,1,1,$D53))</f>
        <v>74</v>
      </c>
      <c r="AS53" s="1" cm="1">
        <f t="array" aca="1" ref="AS53" ca="1">INDIRECT(ADDRESS($B53,AS$39+$A53,1,1,$D53))</f>
        <v>98</v>
      </c>
      <c r="AT53" s="1" cm="1">
        <f t="array" aca="1" ref="AT53" ca="1">INDIRECT(ADDRESS($B53,AT$39+$A53,1,1,$D53))</f>
        <v>118</v>
      </c>
      <c r="AU53" s="1" cm="1">
        <f t="array" aca="1" ref="AU53" ca="1">INDIRECT(ADDRESS($B53,AU$39+$A53,1,1,$D53))</f>
        <v>149</v>
      </c>
      <c r="AV53" s="1" cm="1">
        <f t="array" aca="1" ref="AV53" ca="1">INDIRECT(ADDRESS($B53,AV$39+$A53,1,1,$D53))</f>
        <v>217</v>
      </c>
      <c r="AW53" s="1" cm="1">
        <f t="array" aca="1" ref="AW53" ca="1">INDIRECT(ADDRESS($B53,AW$39+$A53,1,1,$D53))</f>
        <v>262</v>
      </c>
      <c r="AX53" s="1" cm="1">
        <f t="array" aca="1" ref="AX53" ca="1">INDIRECT(ADDRESS($B53,AX$39+$A53,1,1,$D53))</f>
        <v>402</v>
      </c>
      <c r="AY53" s="1" cm="1">
        <f t="array" aca="1" ref="AY53" ca="1">INDIRECT(ADDRESS($B53,AY$39+$A53,1,1,$D53))</f>
        <v>518</v>
      </c>
      <c r="AZ53" s="1" cm="1">
        <f t="array" aca="1" ref="AZ53" ca="1">INDIRECT(ADDRESS($B53,AZ$39+$A53,1,1,$D53))</f>
        <v>583</v>
      </c>
      <c r="BA53" s="1" cm="1">
        <f t="array" aca="1" ref="BA53" ca="1">INDIRECT(ADDRESS($B53,BA$39+$A53,1,1,$D53))</f>
        <v>959</v>
      </c>
      <c r="BB53" s="1" cm="1">
        <f t="array" aca="1" ref="BB53" ca="1">INDIRECT(ADDRESS($B53,BB$39+$A53,1,1,$D53))</f>
        <v>1281</v>
      </c>
      <c r="BC53" s="1" cm="1">
        <f t="array" aca="1" ref="BC53" ca="1">INDIRECT(ADDRESS($B53,BC$39+$A53,1,1,$D53))</f>
        <v>1663</v>
      </c>
      <c r="BD53" s="1" cm="1">
        <f t="array" aca="1" ref="BD53" ca="1">INDIRECT(ADDRESS($B53,BD$39+$A53,1,1,$D53))</f>
        <v>2179</v>
      </c>
      <c r="BE53" s="1" cm="1">
        <f t="array" aca="1" ref="BE53" ca="1">INDIRECT(ADDRESS($B53,BE$39+$A53,1,1,$D53))</f>
        <v>2727</v>
      </c>
      <c r="BF53" s="1" cm="1">
        <f t="array" aca="1" ref="BF53" ca="1">INDIRECT(ADDRESS($B53,BF$39+$A53,1,1,$D53))</f>
        <v>3499</v>
      </c>
      <c r="BG53" s="1" cm="1">
        <f t="array" aca="1" ref="BG53" ca="1">INDIRECT(ADDRESS($B53,BG$39+$A53,1,1,$D53))</f>
        <v>4632</v>
      </c>
      <c r="BH53" s="1" cm="1">
        <f t="array" aca="1" ref="BH53" ca="1">INDIRECT(ADDRESS($B53,BH$39+$A53,1,1,$D53))</f>
        <v>6421</v>
      </c>
      <c r="BI53" s="1" cm="1">
        <f t="array" aca="1" ref="BI53" ca="1">INDIRECT(ADDRESS($B53,BI$39+$A53,1,1,$D53))</f>
        <v>7783</v>
      </c>
      <c r="BJ53" s="1" cm="1">
        <f t="array" aca="1" ref="BJ53" ca="1">INDIRECT(ADDRESS($B53,BJ$39+$A53,1,1,$D53))</f>
        <v>13747</v>
      </c>
      <c r="BK53" s="1" cm="1">
        <f t="array" aca="1" ref="BK53" ca="1">INDIRECT(ADDRESS($B53,BK$39+$A53,1,1,$D53))</f>
        <v>19273</v>
      </c>
      <c r="BL53" s="1" cm="1">
        <f t="array" aca="1" ref="BL53" ca="1">INDIRECT(ADDRESS($B53,BL$39+$A53,1,1,$D53))</f>
        <v>25600</v>
      </c>
      <c r="BM53" s="1" cm="1">
        <f t="array" aca="1" ref="BM53" ca="1">INDIRECT(ADDRESS($B53,BM$39+$A53,1,1,$D53))</f>
        <v>33276</v>
      </c>
      <c r="BN53" s="1" cm="1">
        <f t="array" aca="1" ref="BN53" ca="1">INDIRECT(ADDRESS($B53,BN$39+$A53,1,1,$D53))</f>
        <v>43843</v>
      </c>
      <c r="BO53" s="1" cm="1">
        <f t="array" aca="1" ref="BO53" ca="1">INDIRECT(ADDRESS($B53,BO$39+$A53,1,1,$D53))</f>
        <v>53736</v>
      </c>
      <c r="BP53" s="1" cm="1">
        <f t="array" aca="1" ref="BP53" ca="1">INDIRECT(ADDRESS($B53,BP$39+$A53,1,1,$D53))</f>
        <v>65778</v>
      </c>
      <c r="BQ53" s="1" cm="1">
        <f t="array" aca="1" ref="BQ53" ca="1">INDIRECT(ADDRESS($B53,BQ$39+$A53,1,1,$D53))</f>
        <v>83836</v>
      </c>
      <c r="BR53" s="1" cm="1">
        <f t="array" aca="1" ref="BR53" ca="1">INDIRECT(ADDRESS($B53,BR$39+$A53,1,1,$D53))</f>
        <v>101657</v>
      </c>
      <c r="BS53" s="1" cm="1">
        <f t="array" aca="1" ref="BS53" ca="1">INDIRECT(ADDRESS($B53,BS$39+$A53,1,1,$D53))</f>
        <v>121465</v>
      </c>
      <c r="BT53" s="1" cm="1">
        <f t="array" aca="1" ref="BT53" ca="1">INDIRECT(ADDRESS($B53,BT$39+$A53,1,1,$D53))</f>
        <v>140909</v>
      </c>
      <c r="BU53" s="1" cm="1">
        <f t="array" aca="1" ref="BU53" ca="1">INDIRECT(ADDRESS($B53,BU$39+$A53,1,1,$D53))</f>
        <v>161831</v>
      </c>
      <c r="BV53" s="1" cm="1">
        <f t="array" aca="1" ref="BV53" ca="1">INDIRECT(ADDRESS($B53,BV$39+$A53,1,1,$D53))</f>
        <v>188172</v>
      </c>
      <c r="BW53" s="1" cm="1">
        <f t="array" aca="1" ref="BW53" ca="1">INDIRECT(ADDRESS($B53,BW$39+$A53,1,1,$D53))</f>
        <v>213372</v>
      </c>
      <c r="BX53" s="1" cm="1">
        <f t="array" aca="1" ref="BX53" ca="1">INDIRECT(ADDRESS($B53,BX$39+$A53,1,1,$D53))</f>
        <v>243762</v>
      </c>
      <c r="BY53" s="1" cm="1">
        <f t="array" aca="1" ref="BY53" ca="1">INDIRECT(ADDRESS($B53,BY$39+$A53,1,1,$D53))</f>
        <v>275586</v>
      </c>
      <c r="BZ53" s="1" cm="1">
        <f t="array" aca="1" ref="BZ53" ca="1">INDIRECT(ADDRESS($B53,BZ$39+$A53,1,1,$D53))</f>
        <v>308853</v>
      </c>
      <c r="CA53" s="1" cm="1">
        <f t="array" aca="1" ref="CA53" ca="1">INDIRECT(ADDRESS($B53,CA$39+$A53,1,1,$D53))</f>
        <v>337072</v>
      </c>
      <c r="CB53" s="1" cm="1">
        <f t="array" aca="1" ref="CB53" ca="1">INDIRECT(ADDRESS($B53,CB$39+$A53,1,1,$D53))</f>
        <v>366667</v>
      </c>
      <c r="CC53" s="1" cm="1">
        <f t="array" aca="1" ref="CC53" ca="1">INDIRECT(ADDRESS($B53,CC$39+$A53,1,1,$D53))</f>
        <v>396223</v>
      </c>
      <c r="CD53" s="1" cm="1">
        <f t="array" aca="1" ref="CD53" ca="1">INDIRECT(ADDRESS($B53,CD$39+$A53,1,1,$D53))</f>
        <v>429052</v>
      </c>
      <c r="CE53" s="1" cm="1">
        <f t="array" aca="1" ref="CE53" ca="1">INDIRECT(ADDRESS($B53,CE$39+$A53,1,1,$D53))</f>
        <v>461437</v>
      </c>
      <c r="CF53" s="1" cm="1">
        <f t="array" aca="1" ref="CF53" ca="1">INDIRECT(ADDRESS($B53,CF$39+$A53,1,1,$D53))</f>
        <v>496535</v>
      </c>
      <c r="CG53" s="1" cm="1">
        <f t="array" aca="1" ref="CG53" ca="1">INDIRECT(ADDRESS($B53,CG$39+$A53,1,1,$D53))</f>
        <v>526396</v>
      </c>
      <c r="CH53" s="1" cm="1">
        <f t="array" aca="1" ref="CH53" ca="1">INDIRECT(ADDRESS($B53,CH$39+$A53,1,1,$D53))</f>
        <v>555313</v>
      </c>
      <c r="CI53" s="1" cm="1">
        <f t="array" aca="1" ref="CI53" ca="1">INDIRECT(ADDRESS($B53,CI$39+$A53,1,1,$D53))</f>
        <v>580619</v>
      </c>
      <c r="CJ53" s="1" cm="1">
        <f t="array" aca="1" ref="CJ53" ca="1">INDIRECT(ADDRESS($B53,CJ$39+$A53,1,1,$D53))</f>
        <v>607670</v>
      </c>
      <c r="CK53" s="1" cm="1">
        <f t="array" aca="1" ref="CK53" ca="1">INDIRECT(ADDRESS($B53,CK$39+$A53,1,1,$D53))</f>
        <v>636350</v>
      </c>
      <c r="CL53" s="1" cm="1">
        <f t="array" aca="1" ref="CL53" ca="1">INDIRECT(ADDRESS($B53,CL$39+$A53,1,1,$D53))</f>
        <v>667801</v>
      </c>
      <c r="CM53" s="1" cm="1">
        <f t="array" aca="1" ref="CM53" ca="1">INDIRECT(ADDRESS($B53,CM$39+$A53,1,1,$D53))</f>
        <v>699706</v>
      </c>
      <c r="CN53" s="1" cm="1">
        <f t="array" aca="1" ref="CN53" ca="1">INDIRECT(ADDRESS($B53,CN$39+$A53,1,1,$D53))</f>
        <v>0</v>
      </c>
      <c r="CO53" s="1" cm="1">
        <f t="array" aca="1" ref="CO53" ca="1">INDIRECT(ADDRESS($B53,CO$39+$A53,1,1,$D53))</f>
        <v>0</v>
      </c>
    </row>
    <row r="54" spans="1:93" x14ac:dyDescent="0.25">
      <c r="A54">
        <v>8</v>
      </c>
      <c r="B54">
        <f ca="1">MATCH($C54,INDIRECT("'"&amp;$C$122&amp;"'!A:A"),0)</f>
        <v>5</v>
      </c>
      <c r="C54" s="1" t="str">
        <f t="shared" si="25"/>
        <v>China</v>
      </c>
      <c r="D54" t="str">
        <f>D53</f>
        <v>Confirmed</v>
      </c>
      <c r="E54" s="1" cm="1">
        <f t="array" aca="1" ref="E54" ca="1">INDIRECT(ADDRESS($B54,E$39+$A54,1,1,$D54))</f>
        <v>548</v>
      </c>
      <c r="F54" s="1" cm="1">
        <f t="array" aca="1" ref="F54" ca="1">INDIRECT(ADDRESS($B54,F$39+$A54,1,1,$D54))</f>
        <v>643</v>
      </c>
      <c r="G54" s="1" cm="1">
        <f t="array" aca="1" ref="G54" ca="1">INDIRECT(ADDRESS($B54,G$39+$A54,1,1,$D54))</f>
        <v>920</v>
      </c>
      <c r="H54" s="1" cm="1">
        <f t="array" aca="1" ref="H54" ca="1">INDIRECT(ADDRESS($B54,H$39+$A54,1,1,$D54))</f>
        <v>1406</v>
      </c>
      <c r="I54" s="1" cm="1">
        <f t="array" aca="1" ref="I54" ca="1">INDIRECT(ADDRESS($B54,I$39+$A54,1,1,$D54))</f>
        <v>2075</v>
      </c>
      <c r="J54" s="1" cm="1">
        <f t="array" aca="1" ref="J54" ca="1">INDIRECT(ADDRESS($B54,J$39+$A54,1,1,$D54))</f>
        <v>2877</v>
      </c>
      <c r="K54" s="1" cm="1">
        <f t="array" aca="1" ref="K54" ca="1">INDIRECT(ADDRESS($B54,K$39+$A54,1,1,$D54))</f>
        <v>5509</v>
      </c>
      <c r="L54" s="1" cm="1">
        <f t="array" aca="1" ref="L54" ca="1">INDIRECT(ADDRESS($B54,L$39+$A54,1,1,$D54))</f>
        <v>6087</v>
      </c>
      <c r="M54" s="1" cm="1">
        <f t="array" aca="1" ref="M54" ca="1">INDIRECT(ADDRESS($B54,M$39+$A54,1,1,$D54))</f>
        <v>8141</v>
      </c>
      <c r="N54" s="1" cm="1">
        <f t="array" aca="1" ref="N54" ca="1">INDIRECT(ADDRESS($B54,N$39+$A54,1,1,$D54))</f>
        <v>9802</v>
      </c>
      <c r="O54" s="1" cm="1">
        <f t="array" aca="1" ref="O54" ca="1">INDIRECT(ADDRESS($B54,O$39+$A54,1,1,$D54))</f>
        <v>11891</v>
      </c>
      <c r="P54" s="1" cm="1">
        <f t="array" aca="1" ref="P54" ca="1">INDIRECT(ADDRESS($B54,P$39+$A54,1,1,$D54))</f>
        <v>16630</v>
      </c>
      <c r="Q54" s="1" cm="1">
        <f t="array" aca="1" ref="Q54" ca="1">INDIRECT(ADDRESS($B54,Q$39+$A54,1,1,$D54))</f>
        <v>19716</v>
      </c>
      <c r="R54" s="1" cm="1">
        <f t="array" aca="1" ref="R54" ca="1">INDIRECT(ADDRESS($B54,R$39+$A54,1,1,$D54))</f>
        <v>23707</v>
      </c>
      <c r="S54" s="1" cm="1">
        <f t="array" aca="1" ref="S54" ca="1">INDIRECT(ADDRESS($B54,S$39+$A54,1,1,$D54))</f>
        <v>27440</v>
      </c>
      <c r="T54" s="1" cm="1">
        <f t="array" aca="1" ref="T54" ca="1">INDIRECT(ADDRESS($B54,T$39+$A54,1,1,$D54))</f>
        <v>30587</v>
      </c>
      <c r="U54" s="1" cm="1">
        <f t="array" aca="1" ref="U54" ca="1">INDIRECT(ADDRESS($B54,U$39+$A54,1,1,$D54))</f>
        <v>34110</v>
      </c>
      <c r="V54" s="1" cm="1">
        <f t="array" aca="1" ref="V54" ca="1">INDIRECT(ADDRESS($B54,V$39+$A54,1,1,$D54))</f>
        <v>36814</v>
      </c>
      <c r="W54" s="1" cm="1">
        <f t="array" aca="1" ref="W54" ca="1">INDIRECT(ADDRESS($B54,W$39+$A54,1,1,$D54))</f>
        <v>39829</v>
      </c>
      <c r="X54" s="1" cm="1">
        <f t="array" aca="1" ref="X54" ca="1">INDIRECT(ADDRESS($B54,X$39+$A54,1,1,$D54))</f>
        <v>42354</v>
      </c>
      <c r="Y54" s="1" cm="1">
        <f t="array" aca="1" ref="Y54" ca="1">INDIRECT(ADDRESS($B54,Y$39+$A54,1,1,$D54))</f>
        <v>44386</v>
      </c>
      <c r="Z54" s="1" cm="1">
        <f t="array" aca="1" ref="Z54" ca="1">INDIRECT(ADDRESS($B54,Z$39+$A54,1,1,$D54))</f>
        <v>44759</v>
      </c>
      <c r="AA54" s="1" cm="1">
        <f t="array" aca="1" ref="AA54" ca="1">INDIRECT(ADDRESS($B54,AA$39+$A54,1,1,$D54))</f>
        <v>59895</v>
      </c>
      <c r="AB54" s="1" cm="1">
        <f t="array" aca="1" ref="AB54" ca="1">INDIRECT(ADDRESS($B54,AB$39+$A54,1,1,$D54))</f>
        <v>66358</v>
      </c>
      <c r="AC54" s="1" cm="1">
        <f t="array" aca="1" ref="AC54" ca="1">INDIRECT(ADDRESS($B54,AC$39+$A54,1,1,$D54))</f>
        <v>68413</v>
      </c>
      <c r="AD54" s="1" cm="1">
        <f t="array" aca="1" ref="AD54" ca="1">INDIRECT(ADDRESS($B54,AD$39+$A54,1,1,$D54))</f>
        <v>70513</v>
      </c>
      <c r="AE54" s="1" cm="1">
        <f t="array" aca="1" ref="AE54" ca="1">INDIRECT(ADDRESS($B54,AE$39+$A54,1,1,$D54))</f>
        <v>72434</v>
      </c>
      <c r="AF54" s="1" cm="1">
        <f t="array" aca="1" ref="AF54" ca="1">INDIRECT(ADDRESS($B54,AF$39+$A54,1,1,$D54))</f>
        <v>74211</v>
      </c>
      <c r="AG54" s="1" cm="1">
        <f t="array" aca="1" ref="AG54" ca="1">INDIRECT(ADDRESS($B54,AG$39+$A54,1,1,$D54))</f>
        <v>74619</v>
      </c>
      <c r="AH54" s="1" cm="1">
        <f t="array" aca="1" ref="AH54" ca="1">INDIRECT(ADDRESS($B54,AH$39+$A54,1,1,$D54))</f>
        <v>75077</v>
      </c>
      <c r="AI54" s="1" cm="1">
        <f t="array" aca="1" ref="AI54" ca="1">INDIRECT(ADDRESS($B54,AI$39+$A54,1,1,$D54))</f>
        <v>75550</v>
      </c>
      <c r="AJ54" s="1" cm="1">
        <f t="array" aca="1" ref="AJ54" ca="1">INDIRECT(ADDRESS($B54,AJ$39+$A54,1,1,$D54))</f>
        <v>77001</v>
      </c>
      <c r="AK54" s="1" cm="1">
        <f t="array" aca="1" ref="AK54" ca="1">INDIRECT(ADDRESS($B54,AK$39+$A54,1,1,$D54))</f>
        <v>77022</v>
      </c>
      <c r="AL54" s="1" cm="1">
        <f t="array" aca="1" ref="AL54" ca="1">INDIRECT(ADDRESS($B54,AL$39+$A54,1,1,$D54))</f>
        <v>77241</v>
      </c>
      <c r="AM54" s="1" cm="1">
        <f t="array" aca="1" ref="AM54" ca="1">INDIRECT(ADDRESS($B54,AM$39+$A54,1,1,$D54))</f>
        <v>77754</v>
      </c>
      <c r="AN54" s="1" cm="1">
        <f t="array" aca="1" ref="AN54" ca="1">INDIRECT(ADDRESS($B54,AN$39+$A54,1,1,$D54))</f>
        <v>78166</v>
      </c>
      <c r="AO54" s="1" cm="1">
        <f t="array" aca="1" ref="AO54" ca="1">INDIRECT(ADDRESS($B54,AO$39+$A54,1,1,$D54))</f>
        <v>78600</v>
      </c>
      <c r="AP54" s="1" cm="1">
        <f t="array" aca="1" ref="AP54" ca="1">INDIRECT(ADDRESS($B54,AP$39+$A54,1,1,$D54))</f>
        <v>78928</v>
      </c>
      <c r="AQ54" s="1" cm="1">
        <f t="array" aca="1" ref="AQ54" ca="1">INDIRECT(ADDRESS($B54,AQ$39+$A54,1,1,$D54))</f>
        <v>79356</v>
      </c>
      <c r="AR54" s="1" cm="1">
        <f t="array" aca="1" ref="AR54" ca="1">INDIRECT(ADDRESS($B54,AR$39+$A54,1,1,$D54))</f>
        <v>79932</v>
      </c>
      <c r="AS54" s="1" cm="1">
        <f t="array" aca="1" ref="AS54" ca="1">INDIRECT(ADDRESS($B54,AS$39+$A54,1,1,$D54))</f>
        <v>80136</v>
      </c>
      <c r="AT54" s="1" cm="1">
        <f t="array" aca="1" ref="AT54" ca="1">INDIRECT(ADDRESS($B54,AT$39+$A54,1,1,$D54))</f>
        <v>80261</v>
      </c>
      <c r="AU54" s="1" cm="1">
        <f t="array" aca="1" ref="AU54" ca="1">INDIRECT(ADDRESS($B54,AU$39+$A54,1,1,$D54))</f>
        <v>80386</v>
      </c>
      <c r="AV54" s="1" cm="1">
        <f t="array" aca="1" ref="AV54" ca="1">INDIRECT(ADDRESS($B54,AV$39+$A54,1,1,$D54))</f>
        <v>80537</v>
      </c>
      <c r="AW54" s="1" cm="1">
        <f t="array" aca="1" ref="AW54" ca="1">INDIRECT(ADDRESS($B54,AW$39+$A54,1,1,$D54))</f>
        <v>80690</v>
      </c>
      <c r="AX54" s="1" cm="1">
        <f t="array" aca="1" ref="AX54" ca="1">INDIRECT(ADDRESS($B54,AX$39+$A54,1,1,$D54))</f>
        <v>80770</v>
      </c>
      <c r="AY54" s="1" cm="1">
        <f t="array" aca="1" ref="AY54" ca="1">INDIRECT(ADDRESS($B54,AY$39+$A54,1,1,$D54))</f>
        <v>80823</v>
      </c>
      <c r="AZ54" s="1" cm="1">
        <f t="array" aca="1" ref="AZ54" ca="1">INDIRECT(ADDRESS($B54,AZ$39+$A54,1,1,$D54))</f>
        <v>80860</v>
      </c>
      <c r="BA54" s="1" cm="1">
        <f t="array" aca="1" ref="BA54" ca="1">INDIRECT(ADDRESS($B54,BA$39+$A54,1,1,$D54))</f>
        <v>80887</v>
      </c>
      <c r="BB54" s="1" cm="1">
        <f t="array" aca="1" ref="BB54" ca="1">INDIRECT(ADDRESS($B54,BB$39+$A54,1,1,$D54))</f>
        <v>80921</v>
      </c>
      <c r="BC54" s="1" cm="1">
        <f t="array" aca="1" ref="BC54" ca="1">INDIRECT(ADDRESS($B54,BC$39+$A54,1,1,$D54))</f>
        <v>80932</v>
      </c>
      <c r="BD54" s="1" cm="1">
        <f t="array" aca="1" ref="BD54" ca="1">INDIRECT(ADDRESS($B54,BD$39+$A54,1,1,$D54))</f>
        <v>80945</v>
      </c>
      <c r="BE54" s="1" cm="1">
        <f t="array" aca="1" ref="BE54" ca="1">INDIRECT(ADDRESS($B54,BE$39+$A54,1,1,$D54))</f>
        <v>80977</v>
      </c>
      <c r="BF54" s="1" cm="1">
        <f t="array" aca="1" ref="BF54" ca="1">INDIRECT(ADDRESS($B54,BF$39+$A54,1,1,$D54))</f>
        <v>81003</v>
      </c>
      <c r="BG54" s="1" cm="1">
        <f t="array" aca="1" ref="BG54" ca="1">INDIRECT(ADDRESS($B54,BG$39+$A54,1,1,$D54))</f>
        <v>81033</v>
      </c>
      <c r="BH54" s="1" cm="1">
        <f t="array" aca="1" ref="BH54" ca="1">INDIRECT(ADDRESS($B54,BH$39+$A54,1,1,$D54))</f>
        <v>81058</v>
      </c>
      <c r="BI54" s="1" cm="1">
        <f t="array" aca="1" ref="BI54" ca="1">INDIRECT(ADDRESS($B54,BI$39+$A54,1,1,$D54))</f>
        <v>81102</v>
      </c>
      <c r="BJ54" s="1" cm="1">
        <f t="array" aca="1" ref="BJ54" ca="1">INDIRECT(ADDRESS($B54,BJ$39+$A54,1,1,$D54))</f>
        <v>81156</v>
      </c>
      <c r="BK54" s="1" cm="1">
        <f t="array" aca="1" ref="BK54" ca="1">INDIRECT(ADDRESS($B54,BK$39+$A54,1,1,$D54))</f>
        <v>81250</v>
      </c>
      <c r="BL54" s="1" cm="1">
        <f t="array" aca="1" ref="BL54" ca="1">INDIRECT(ADDRESS($B54,BL$39+$A54,1,1,$D54))</f>
        <v>81305</v>
      </c>
      <c r="BM54" s="1" cm="1">
        <f t="array" aca="1" ref="BM54" ca="1">INDIRECT(ADDRESS($B54,BM$39+$A54,1,1,$D54))</f>
        <v>81435</v>
      </c>
      <c r="BN54" s="1" cm="1">
        <f t="array" aca="1" ref="BN54" ca="1">INDIRECT(ADDRESS($B54,BN$39+$A54,1,1,$D54))</f>
        <v>81498</v>
      </c>
      <c r="BO54" s="1" cm="1">
        <f t="array" aca="1" ref="BO54" ca="1">INDIRECT(ADDRESS($B54,BO$39+$A54,1,1,$D54))</f>
        <v>81591</v>
      </c>
      <c r="BP54" s="1" cm="1">
        <f t="array" aca="1" ref="BP54" ca="1">INDIRECT(ADDRESS($B54,BP$39+$A54,1,1,$D54))</f>
        <v>81661</v>
      </c>
      <c r="BQ54" s="1" cm="1">
        <f t="array" aca="1" ref="BQ54" ca="1">INDIRECT(ADDRESS($B54,BQ$39+$A54,1,1,$D54))</f>
        <v>81782</v>
      </c>
      <c r="BR54" s="1" cm="1">
        <f t="array" aca="1" ref="BR54" ca="1">INDIRECT(ADDRESS($B54,BR$39+$A54,1,1,$D54))</f>
        <v>81897</v>
      </c>
      <c r="BS54" s="1" cm="1">
        <f t="array" aca="1" ref="BS54" ca="1">INDIRECT(ADDRESS($B54,BS$39+$A54,1,1,$D54))</f>
        <v>81999</v>
      </c>
      <c r="BT54" s="1" cm="1">
        <f t="array" aca="1" ref="BT54" ca="1">INDIRECT(ADDRESS($B54,BT$39+$A54,1,1,$D54))</f>
        <v>82122</v>
      </c>
      <c r="BU54" s="1" cm="1">
        <f t="array" aca="1" ref="BU54" ca="1">INDIRECT(ADDRESS($B54,BU$39+$A54,1,1,$D54))</f>
        <v>82198</v>
      </c>
      <c r="BV54" s="1" cm="1">
        <f t="array" aca="1" ref="BV54" ca="1">INDIRECT(ADDRESS($B54,BV$39+$A54,1,1,$D54))</f>
        <v>82279</v>
      </c>
      <c r="BW54" s="1" cm="1">
        <f t="array" aca="1" ref="BW54" ca="1">INDIRECT(ADDRESS($B54,BW$39+$A54,1,1,$D54))</f>
        <v>82361</v>
      </c>
      <c r="BX54" s="1" cm="1">
        <f t="array" aca="1" ref="BX54" ca="1">INDIRECT(ADDRESS($B54,BX$39+$A54,1,1,$D54))</f>
        <v>82432</v>
      </c>
      <c r="BY54" s="1" cm="1">
        <f t="array" aca="1" ref="BY54" ca="1">INDIRECT(ADDRESS($B54,BY$39+$A54,1,1,$D54))</f>
        <v>82511</v>
      </c>
      <c r="BZ54" s="1" cm="1">
        <f t="array" aca="1" ref="BZ54" ca="1">INDIRECT(ADDRESS($B54,BZ$39+$A54,1,1,$D54))</f>
        <v>82543</v>
      </c>
      <c r="CA54" s="1" cm="1">
        <f t="array" aca="1" ref="CA54" ca="1">INDIRECT(ADDRESS($B54,CA$39+$A54,1,1,$D54))</f>
        <v>82602</v>
      </c>
      <c r="CB54" s="1" cm="1">
        <f t="array" aca="1" ref="CB54" ca="1">INDIRECT(ADDRESS($B54,CB$39+$A54,1,1,$D54))</f>
        <v>82665</v>
      </c>
      <c r="CC54" s="1" cm="1">
        <f t="array" aca="1" ref="CC54" ca="1">INDIRECT(ADDRESS($B54,CC$39+$A54,1,1,$D54))</f>
        <v>82718</v>
      </c>
      <c r="CD54" s="1" cm="1">
        <f t="array" aca="1" ref="CD54" ca="1">INDIRECT(ADDRESS($B54,CD$39+$A54,1,1,$D54))</f>
        <v>82809</v>
      </c>
      <c r="CE54" s="1" cm="1">
        <f t="array" aca="1" ref="CE54" ca="1">INDIRECT(ADDRESS($B54,CE$39+$A54,1,1,$D54))</f>
        <v>82883</v>
      </c>
      <c r="CF54" s="1" cm="1">
        <f t="array" aca="1" ref="CF54" ca="1">INDIRECT(ADDRESS($B54,CF$39+$A54,1,1,$D54))</f>
        <v>82941</v>
      </c>
      <c r="CG54" s="1" cm="1">
        <f t="array" aca="1" ref="CG54" ca="1">INDIRECT(ADDRESS($B54,CG$39+$A54,1,1,$D54))</f>
        <v>83014</v>
      </c>
      <c r="CH54" s="1" cm="1">
        <f t="array" aca="1" ref="CH54" ca="1">INDIRECT(ADDRESS($B54,CH$39+$A54,1,1,$D54))</f>
        <v>83134</v>
      </c>
      <c r="CI54" s="1" cm="1">
        <f t="array" aca="1" ref="CI54" ca="1">INDIRECT(ADDRESS($B54,CI$39+$A54,1,1,$D54))</f>
        <v>83213</v>
      </c>
      <c r="CJ54" s="1" cm="1">
        <f t="array" aca="1" ref="CJ54" ca="1">INDIRECT(ADDRESS($B54,CJ$39+$A54,1,1,$D54))</f>
        <v>83306</v>
      </c>
      <c r="CK54" s="1" cm="1">
        <f t="array" aca="1" ref="CK54" ca="1">INDIRECT(ADDRESS($B54,CK$39+$A54,1,1,$D54))</f>
        <v>83356</v>
      </c>
      <c r="CL54" s="1" cm="1">
        <f t="array" aca="1" ref="CL54" ca="1">INDIRECT(ADDRESS($B54,CL$39+$A54,1,1,$D54))</f>
        <v>83403</v>
      </c>
      <c r="CM54" s="1" cm="1">
        <f t="array" aca="1" ref="CM54" ca="1">INDIRECT(ADDRESS($B54,CM$39+$A54,1,1,$D54))</f>
        <v>83760</v>
      </c>
      <c r="CN54" s="1" cm="1">
        <f t="array" aca="1" ref="CN54" ca="1">INDIRECT(ADDRESS($B54,CN$39+$A54,1,1,$D54))</f>
        <v>0</v>
      </c>
      <c r="CO54" s="1" cm="1">
        <f t="array" aca="1" ref="CO54" ca="1">INDIRECT(ADDRESS($B54,CO$39+$A54,1,1,$D54))</f>
        <v>0</v>
      </c>
    </row>
    <row r="55" spans="1:93" x14ac:dyDescent="0.25">
      <c r="A55">
        <v>8</v>
      </c>
      <c r="B55">
        <f ca="1">MATCH($C55,INDIRECT("'"&amp;$C$122&amp;"'!A:A"),0)</f>
        <v>3</v>
      </c>
      <c r="C55" s="1" t="str">
        <f t="shared" si="25"/>
        <v>Belgium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1</v>
      </c>
      <c r="S55" s="1" cm="1">
        <f t="array" aca="1" ref="S55" ca="1">INDIRECT(ADDRESS($B55,S$39+$A55,1,1,$D55))</f>
        <v>1</v>
      </c>
      <c r="T55" s="1" cm="1">
        <f t="array" aca="1" ref="T55" ca="1">INDIRECT(ADDRESS($B55,T$39+$A55,1,1,$D55))</f>
        <v>1</v>
      </c>
      <c r="U55" s="1" cm="1">
        <f t="array" aca="1" ref="U55" ca="1">INDIRECT(ADDRESS($B55,U$39+$A55,1,1,$D55))</f>
        <v>1</v>
      </c>
      <c r="V55" s="1" cm="1">
        <f t="array" aca="1" ref="V55" ca="1">INDIRECT(ADDRESS($B55,V$39+$A55,1,1,$D55))</f>
        <v>1</v>
      </c>
      <c r="W55" s="1" cm="1">
        <f t="array" aca="1" ref="W55" ca="1">INDIRECT(ADDRESS($B55,W$39+$A55,1,1,$D55))</f>
        <v>1</v>
      </c>
      <c r="X55" s="1" cm="1">
        <f t="array" aca="1" ref="X55" ca="1">INDIRECT(ADDRESS($B55,X$39+$A55,1,1,$D55))</f>
        <v>1</v>
      </c>
      <c r="Y55" s="1" cm="1">
        <f t="array" aca="1" ref="Y55" ca="1">INDIRECT(ADDRESS($B55,Y$39+$A55,1,1,$D55))</f>
        <v>1</v>
      </c>
      <c r="Z55" s="1" cm="1">
        <f t="array" aca="1" ref="Z55" ca="1">INDIRECT(ADDRESS($B55,Z$39+$A55,1,1,$D55))</f>
        <v>1</v>
      </c>
      <c r="AA55" s="1" cm="1">
        <f t="array" aca="1" ref="AA55" ca="1">INDIRECT(ADDRESS($B55,AA$39+$A55,1,1,$D55))</f>
        <v>1</v>
      </c>
      <c r="AB55" s="1" cm="1">
        <f t="array" aca="1" ref="AB55" ca="1">INDIRECT(ADDRESS($B55,AB$39+$A55,1,1,$D55))</f>
        <v>1</v>
      </c>
      <c r="AC55" s="1" cm="1">
        <f t="array" aca="1" ref="AC55" ca="1">INDIRECT(ADDRESS($B55,AC$39+$A55,1,1,$D55))</f>
        <v>1</v>
      </c>
      <c r="AD55" s="1" cm="1">
        <f t="array" aca="1" ref="AD55" ca="1">INDIRECT(ADDRESS($B55,AD$39+$A55,1,1,$D55))</f>
        <v>1</v>
      </c>
      <c r="AE55" s="1" cm="1">
        <f t="array" aca="1" ref="AE55" ca="1">INDIRECT(ADDRESS($B55,AE$39+$A55,1,1,$D55))</f>
        <v>1</v>
      </c>
      <c r="AF55" s="1" cm="1">
        <f t="array" aca="1" ref="AF55" ca="1">INDIRECT(ADDRESS($B55,AF$39+$A55,1,1,$D55))</f>
        <v>1</v>
      </c>
      <c r="AG55" s="1" cm="1">
        <f t="array" aca="1" ref="AG55" ca="1">INDIRECT(ADDRESS($B55,AG$39+$A55,1,1,$D55))</f>
        <v>1</v>
      </c>
      <c r="AH55" s="1" cm="1">
        <f t="array" aca="1" ref="AH55" ca="1">INDIRECT(ADDRESS($B55,AH$39+$A55,1,1,$D55))</f>
        <v>1</v>
      </c>
      <c r="AI55" s="1" cm="1">
        <f t="array" aca="1" ref="AI55" ca="1">INDIRECT(ADDRESS($B55,AI$39+$A55,1,1,$D55))</f>
        <v>1</v>
      </c>
      <c r="AJ55" s="1" cm="1">
        <f t="array" aca="1" ref="AJ55" ca="1">INDIRECT(ADDRESS($B55,AJ$39+$A55,1,1,$D55))</f>
        <v>1</v>
      </c>
      <c r="AK55" s="1" cm="1">
        <f t="array" aca="1" ref="AK55" ca="1">INDIRECT(ADDRESS($B55,AK$39+$A55,1,1,$D55))</f>
        <v>1</v>
      </c>
      <c r="AL55" s="1" cm="1">
        <f t="array" aca="1" ref="AL55" ca="1">INDIRECT(ADDRESS($B55,AL$39+$A55,1,1,$D55))</f>
        <v>1</v>
      </c>
      <c r="AM55" s="1" cm="1">
        <f t="array" aca="1" ref="AM55" ca="1">INDIRECT(ADDRESS($B55,AM$39+$A55,1,1,$D55))</f>
        <v>1</v>
      </c>
      <c r="AN55" s="1" cm="1">
        <f t="array" aca="1" ref="AN55" ca="1">INDIRECT(ADDRESS($B55,AN$39+$A55,1,1,$D55))</f>
        <v>1</v>
      </c>
      <c r="AO55" s="1" cm="1">
        <f t="array" aca="1" ref="AO55" ca="1">INDIRECT(ADDRESS($B55,AO$39+$A55,1,1,$D55))</f>
        <v>1</v>
      </c>
      <c r="AP55" s="1" cm="1">
        <f t="array" aca="1" ref="AP55" ca="1">INDIRECT(ADDRESS($B55,AP$39+$A55,1,1,$D55))</f>
        <v>1</v>
      </c>
      <c r="AQ55" s="1" cm="1">
        <f t="array" aca="1" ref="AQ55" ca="1">INDIRECT(ADDRESS($B55,AQ$39+$A55,1,1,$D55))</f>
        <v>1</v>
      </c>
      <c r="AR55" s="1" cm="1">
        <f t="array" aca="1" ref="AR55" ca="1">INDIRECT(ADDRESS($B55,AR$39+$A55,1,1,$D55))</f>
        <v>2</v>
      </c>
      <c r="AS55" s="1" cm="1">
        <f t="array" aca="1" ref="AS55" ca="1">INDIRECT(ADDRESS($B55,AS$39+$A55,1,1,$D55))</f>
        <v>8</v>
      </c>
      <c r="AT55" s="1" cm="1">
        <f t="array" aca="1" ref="AT55" ca="1">INDIRECT(ADDRESS($B55,AT$39+$A55,1,1,$D55))</f>
        <v>13</v>
      </c>
      <c r="AU55" s="1" cm="1">
        <f t="array" aca="1" ref="AU55" ca="1">INDIRECT(ADDRESS($B55,AU$39+$A55,1,1,$D55))</f>
        <v>23</v>
      </c>
      <c r="AV55" s="1" cm="1">
        <f t="array" aca="1" ref="AV55" ca="1">INDIRECT(ADDRESS($B55,AV$39+$A55,1,1,$D55))</f>
        <v>50</v>
      </c>
      <c r="AW55" s="1" cm="1">
        <f t="array" aca="1" ref="AW55" ca="1">INDIRECT(ADDRESS($B55,AW$39+$A55,1,1,$D55))</f>
        <v>109</v>
      </c>
      <c r="AX55" s="1" cm="1">
        <f t="array" aca="1" ref="AX55" ca="1">INDIRECT(ADDRESS($B55,AX$39+$A55,1,1,$D55))</f>
        <v>169</v>
      </c>
      <c r="AY55" s="1" cm="1">
        <f t="array" aca="1" ref="AY55" ca="1">INDIRECT(ADDRESS($B55,AY$39+$A55,1,1,$D55))</f>
        <v>200</v>
      </c>
      <c r="AZ55" s="1" cm="1">
        <f t="array" aca="1" ref="AZ55" ca="1">INDIRECT(ADDRESS($B55,AZ$39+$A55,1,1,$D55))</f>
        <v>239</v>
      </c>
      <c r="BA55" s="1" cm="1">
        <f t="array" aca="1" ref="BA55" ca="1">INDIRECT(ADDRESS($B55,BA$39+$A55,1,1,$D55))</f>
        <v>267</v>
      </c>
      <c r="BB55" s="1" cm="1">
        <f t="array" aca="1" ref="BB55" ca="1">INDIRECT(ADDRESS($B55,BB$39+$A55,1,1,$D55))</f>
        <v>314</v>
      </c>
      <c r="BC55" s="1" cm="1">
        <f t="array" aca="1" ref="BC55" ca="1">INDIRECT(ADDRESS($B55,BC$39+$A55,1,1,$D55))</f>
        <v>436.5</v>
      </c>
      <c r="BD55" s="1" cm="1">
        <f t="array" aca="1" ref="BD55" ca="1">INDIRECT(ADDRESS($B55,BD$39+$A55,1,1,$D55))</f>
        <v>559</v>
      </c>
      <c r="BE55" s="1" cm="1">
        <f t="array" aca="1" ref="BE55" ca="1">INDIRECT(ADDRESS($B55,BE$39+$A55,1,1,$D55))</f>
        <v>689</v>
      </c>
      <c r="BF55" s="1" cm="1">
        <f t="array" aca="1" ref="BF55" ca="1">INDIRECT(ADDRESS($B55,BF$39+$A55,1,1,$D55))</f>
        <v>886</v>
      </c>
      <c r="BG55" s="1" cm="1">
        <f t="array" aca="1" ref="BG55" ca="1">INDIRECT(ADDRESS($B55,BG$39+$A55,1,1,$D55))</f>
        <v>1058</v>
      </c>
      <c r="BH55" s="1" cm="1">
        <f t="array" aca="1" ref="BH55" ca="1">INDIRECT(ADDRESS($B55,BH$39+$A55,1,1,$D55))</f>
        <v>1243</v>
      </c>
      <c r="BI55" s="1" cm="1">
        <f t="array" aca="1" ref="BI55" ca="1">INDIRECT(ADDRESS($B55,BI$39+$A55,1,1,$D55))</f>
        <v>1486</v>
      </c>
      <c r="BJ55" s="1" cm="1">
        <f t="array" aca="1" ref="BJ55" ca="1">INDIRECT(ADDRESS($B55,BJ$39+$A55,1,1,$D55))</f>
        <v>1795</v>
      </c>
      <c r="BK55" s="1" cm="1">
        <f t="array" aca="1" ref="BK55" ca="1">INDIRECT(ADDRESS($B55,BK$39+$A55,1,1,$D55))</f>
        <v>2257</v>
      </c>
      <c r="BL55" s="1" cm="1">
        <f t="array" aca="1" ref="BL55" ca="1">INDIRECT(ADDRESS($B55,BL$39+$A55,1,1,$D55))</f>
        <v>2815</v>
      </c>
      <c r="BM55" s="1" cm="1">
        <f t="array" aca="1" ref="BM55" ca="1">INDIRECT(ADDRESS($B55,BM$39+$A55,1,1,$D55))</f>
        <v>3401</v>
      </c>
      <c r="BN55" s="1" cm="1">
        <f t="array" aca="1" ref="BN55" ca="1">INDIRECT(ADDRESS($B55,BN$39+$A55,1,1,$D55))</f>
        <v>3743</v>
      </c>
      <c r="BO55" s="1" cm="1">
        <f t="array" aca="1" ref="BO55" ca="1">INDIRECT(ADDRESS($B55,BO$39+$A55,1,1,$D55))</f>
        <v>4269</v>
      </c>
      <c r="BP55" s="1" cm="1">
        <f t="array" aca="1" ref="BP55" ca="1">INDIRECT(ADDRESS($B55,BP$39+$A55,1,1,$D55))</f>
        <v>4937</v>
      </c>
      <c r="BQ55" s="1" cm="1">
        <f t="array" aca="1" ref="BQ55" ca="1">INDIRECT(ADDRESS($B55,BQ$39+$A55,1,1,$D55))</f>
        <v>6235</v>
      </c>
      <c r="BR55" s="1" cm="1">
        <f t="array" aca="1" ref="BR55" ca="1">INDIRECT(ADDRESS($B55,BR$39+$A55,1,1,$D55))</f>
        <v>7284</v>
      </c>
      <c r="BS55" s="1" cm="1">
        <f t="array" aca="1" ref="BS55" ca="1">INDIRECT(ADDRESS($B55,BS$39+$A55,1,1,$D55))</f>
        <v>9134</v>
      </c>
      <c r="BT55" s="1" cm="1">
        <f t="array" aca="1" ref="BT55" ca="1">INDIRECT(ADDRESS($B55,BT$39+$A55,1,1,$D55))</f>
        <v>10836</v>
      </c>
      <c r="BU55" s="1" cm="1">
        <f t="array" aca="1" ref="BU55" ca="1">INDIRECT(ADDRESS($B55,BU$39+$A55,1,1,$D55))</f>
        <v>11899</v>
      </c>
      <c r="BV55" s="1" cm="1">
        <f t="array" aca="1" ref="BV55" ca="1">INDIRECT(ADDRESS($B55,BV$39+$A55,1,1,$D55))</f>
        <v>12775</v>
      </c>
      <c r="BW55" s="1" cm="1">
        <f t="array" aca="1" ref="BW55" ca="1">INDIRECT(ADDRESS($B55,BW$39+$A55,1,1,$D55))</f>
        <v>13964</v>
      </c>
      <c r="BX55" s="1" cm="1">
        <f t="array" aca="1" ref="BX55" ca="1">INDIRECT(ADDRESS($B55,BX$39+$A55,1,1,$D55))</f>
        <v>15348</v>
      </c>
      <c r="BY55" s="1" cm="1">
        <f t="array" aca="1" ref="BY55" ca="1">INDIRECT(ADDRESS($B55,BY$39+$A55,1,1,$D55))</f>
        <v>16770</v>
      </c>
      <c r="BZ55" s="1" cm="1">
        <f t="array" aca="1" ref="BZ55" ca="1">INDIRECT(ADDRESS($B55,BZ$39+$A55,1,1,$D55))</f>
        <v>18431</v>
      </c>
      <c r="CA55" s="1" cm="1">
        <f t="array" aca="1" ref="CA55" ca="1">INDIRECT(ADDRESS($B55,CA$39+$A55,1,1,$D55))</f>
        <v>19691</v>
      </c>
      <c r="CB55" s="1" cm="1">
        <f t="array" aca="1" ref="CB55" ca="1">INDIRECT(ADDRESS($B55,CB$39+$A55,1,1,$D55))</f>
        <v>20814</v>
      </c>
      <c r="CC55" s="1" cm="1">
        <f t="array" aca="1" ref="CC55" ca="1">INDIRECT(ADDRESS($B55,CC$39+$A55,1,1,$D55))</f>
        <v>22194</v>
      </c>
      <c r="CD55" s="1" cm="1">
        <f t="array" aca="1" ref="CD55" ca="1">INDIRECT(ADDRESS($B55,CD$39+$A55,1,1,$D55))</f>
        <v>23403</v>
      </c>
      <c r="CE55" s="1" cm="1">
        <f t="array" aca="1" ref="CE55" ca="1">INDIRECT(ADDRESS($B55,CE$39+$A55,1,1,$D55))</f>
        <v>24983</v>
      </c>
      <c r="CF55" s="1" cm="1">
        <f t="array" aca="1" ref="CF55" ca="1">INDIRECT(ADDRESS($B55,CF$39+$A55,1,1,$D55))</f>
        <v>26667</v>
      </c>
      <c r="CG55" s="1" cm="1">
        <f t="array" aca="1" ref="CG55" ca="1">INDIRECT(ADDRESS($B55,CG$39+$A55,1,1,$D55))</f>
        <v>28018</v>
      </c>
      <c r="CH55" s="1" cm="1">
        <f t="array" aca="1" ref="CH55" ca="1">INDIRECT(ADDRESS($B55,CH$39+$A55,1,1,$D55))</f>
        <v>29647</v>
      </c>
      <c r="CI55" s="1" cm="1">
        <f t="array" aca="1" ref="CI55" ca="1">INDIRECT(ADDRESS($B55,CI$39+$A55,1,1,$D55))</f>
        <v>30589</v>
      </c>
      <c r="CJ55" s="1" cm="1">
        <f t="array" aca="1" ref="CJ55" ca="1">INDIRECT(ADDRESS($B55,CJ$39+$A55,1,1,$D55))</f>
        <v>31119</v>
      </c>
      <c r="CK55" s="1" cm="1">
        <f t="array" aca="1" ref="CK55" ca="1">INDIRECT(ADDRESS($B55,CK$39+$A55,1,1,$D55))</f>
        <v>33573</v>
      </c>
      <c r="CL55" s="1" cm="1">
        <f t="array" aca="1" ref="CL55" ca="1">INDIRECT(ADDRESS($B55,CL$39+$A55,1,1,$D55))</f>
        <v>34809</v>
      </c>
      <c r="CM55" s="1" cm="1">
        <f t="array" aca="1" ref="CM55" ca="1">INDIRECT(ADDRESS($B55,CM$39+$A55,1,1,$D55))</f>
        <v>36138</v>
      </c>
      <c r="CN55" s="1" cm="1">
        <f t="array" aca="1" ref="CN55" ca="1">INDIRECT(ADDRESS($B55,CN$39+$A55,1,1,$D55))</f>
        <v>0</v>
      </c>
      <c r="CO55" s="1" cm="1">
        <f t="array" aca="1" ref="CO55" ca="1">INDIRECT(ADDRESS($B55,CO$39+$A55,1,1,$D55))</f>
        <v>0</v>
      </c>
    </row>
    <row r="56" spans="1:93" x14ac:dyDescent="0.25">
      <c r="A56">
        <v>8</v>
      </c>
      <c r="B56">
        <f ca="1">MATCH($C56,INDIRECT("'"&amp;$C$122&amp;"'!A:A"),0)</f>
        <v>11</v>
      </c>
      <c r="C56" s="1" t="str">
        <f t="shared" si="25"/>
        <v>Italy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2</v>
      </c>
      <c r="O56" s="1" cm="1">
        <f t="array" aca="1" ref="O56" ca="1">INDIRECT(ADDRESS($B56,O$39+$A56,1,1,$D56))</f>
        <v>2</v>
      </c>
      <c r="P56" s="1" cm="1">
        <f t="array" aca="1" ref="P56" ca="1">INDIRECT(ADDRESS($B56,P$39+$A56,1,1,$D56))</f>
        <v>2</v>
      </c>
      <c r="Q56" s="1" cm="1">
        <f t="array" aca="1" ref="Q56" ca="1">INDIRECT(ADDRESS($B56,Q$39+$A56,1,1,$D56))</f>
        <v>2</v>
      </c>
      <c r="R56" s="1" cm="1">
        <f t="array" aca="1" ref="R56" ca="1">INDIRECT(ADDRESS($B56,R$39+$A56,1,1,$D56))</f>
        <v>2</v>
      </c>
      <c r="S56" s="1" cm="1">
        <f t="array" aca="1" ref="S56" ca="1">INDIRECT(ADDRESS($B56,S$39+$A56,1,1,$D56))</f>
        <v>2</v>
      </c>
      <c r="T56" s="1" cm="1">
        <f t="array" aca="1" ref="T56" ca="1">INDIRECT(ADDRESS($B56,T$39+$A56,1,1,$D56))</f>
        <v>2</v>
      </c>
      <c r="U56" s="1" cm="1">
        <f t="array" aca="1" ref="U56" ca="1">INDIRECT(ADDRESS($B56,U$39+$A56,1,1,$D56))</f>
        <v>3</v>
      </c>
      <c r="V56" s="1" cm="1">
        <f t="array" aca="1" ref="V56" ca="1">INDIRECT(ADDRESS($B56,V$39+$A56,1,1,$D56))</f>
        <v>3</v>
      </c>
      <c r="W56" s="1" cm="1">
        <f t="array" aca="1" ref="W56" ca="1">INDIRECT(ADDRESS($B56,W$39+$A56,1,1,$D56))</f>
        <v>3</v>
      </c>
      <c r="X56" s="1" cm="1">
        <f t="array" aca="1" ref="X56" ca="1">INDIRECT(ADDRESS($B56,X$39+$A56,1,1,$D56))</f>
        <v>3</v>
      </c>
      <c r="Y56" s="1" cm="1">
        <f t="array" aca="1" ref="Y56" ca="1">INDIRECT(ADDRESS($B56,Y$39+$A56,1,1,$D56))</f>
        <v>3</v>
      </c>
      <c r="Z56" s="1" cm="1">
        <f t="array" aca="1" ref="Z56" ca="1">INDIRECT(ADDRESS($B56,Z$39+$A56,1,1,$D56))</f>
        <v>3</v>
      </c>
      <c r="AA56" s="1" cm="1">
        <f t="array" aca="1" ref="AA56" ca="1">INDIRECT(ADDRESS($B56,AA$39+$A56,1,1,$D56))</f>
        <v>3</v>
      </c>
      <c r="AB56" s="1" cm="1">
        <f t="array" aca="1" ref="AB56" ca="1">INDIRECT(ADDRESS($B56,AB$39+$A56,1,1,$D56))</f>
        <v>3</v>
      </c>
      <c r="AC56" s="1" cm="1">
        <f t="array" aca="1" ref="AC56" ca="1">INDIRECT(ADDRESS($B56,AC$39+$A56,1,1,$D56))</f>
        <v>3</v>
      </c>
      <c r="AD56" s="1" cm="1">
        <f t="array" aca="1" ref="AD56" ca="1">INDIRECT(ADDRESS($B56,AD$39+$A56,1,1,$D56))</f>
        <v>3</v>
      </c>
      <c r="AE56" s="1" cm="1">
        <f t="array" aca="1" ref="AE56" ca="1">INDIRECT(ADDRESS($B56,AE$39+$A56,1,1,$D56))</f>
        <v>3</v>
      </c>
      <c r="AF56" s="1" cm="1">
        <f t="array" aca="1" ref="AF56" ca="1">INDIRECT(ADDRESS($B56,AF$39+$A56,1,1,$D56))</f>
        <v>3</v>
      </c>
      <c r="AG56" s="1" cm="1">
        <f t="array" aca="1" ref="AG56" ca="1">INDIRECT(ADDRESS($B56,AG$39+$A56,1,1,$D56))</f>
        <v>3</v>
      </c>
      <c r="AH56" s="1" cm="1">
        <f t="array" aca="1" ref="AH56" ca="1">INDIRECT(ADDRESS($B56,AH$39+$A56,1,1,$D56))</f>
        <v>3</v>
      </c>
      <c r="AI56" s="1" cm="1">
        <f t="array" aca="1" ref="AI56" ca="1">INDIRECT(ADDRESS($B56,AI$39+$A56,1,1,$D56))</f>
        <v>20</v>
      </c>
      <c r="AJ56" s="1" cm="1">
        <f t="array" aca="1" ref="AJ56" ca="1">INDIRECT(ADDRESS($B56,AJ$39+$A56,1,1,$D56))</f>
        <v>62</v>
      </c>
      <c r="AK56" s="1" cm="1">
        <f t="array" aca="1" ref="AK56" ca="1">INDIRECT(ADDRESS($B56,AK$39+$A56,1,1,$D56))</f>
        <v>155</v>
      </c>
      <c r="AL56" s="1" cm="1">
        <f t="array" aca="1" ref="AL56" ca="1">INDIRECT(ADDRESS($B56,AL$39+$A56,1,1,$D56))</f>
        <v>229</v>
      </c>
      <c r="AM56" s="1" cm="1">
        <f t="array" aca="1" ref="AM56" ca="1">INDIRECT(ADDRESS($B56,AM$39+$A56,1,1,$D56))</f>
        <v>322</v>
      </c>
      <c r="AN56" s="1" cm="1">
        <f t="array" aca="1" ref="AN56" ca="1">INDIRECT(ADDRESS($B56,AN$39+$A56,1,1,$D56))</f>
        <v>453</v>
      </c>
      <c r="AO56" s="1" cm="1">
        <f t="array" aca="1" ref="AO56" ca="1">INDIRECT(ADDRESS($B56,AO$39+$A56,1,1,$D56))</f>
        <v>655</v>
      </c>
      <c r="AP56" s="1" cm="1">
        <f t="array" aca="1" ref="AP56" ca="1">INDIRECT(ADDRESS($B56,AP$39+$A56,1,1,$D56))</f>
        <v>888</v>
      </c>
      <c r="AQ56" s="1" cm="1">
        <f t="array" aca="1" ref="AQ56" ca="1">INDIRECT(ADDRESS($B56,AQ$39+$A56,1,1,$D56))</f>
        <v>1128</v>
      </c>
      <c r="AR56" s="1" cm="1">
        <f t="array" aca="1" ref="AR56" ca="1">INDIRECT(ADDRESS($B56,AR$39+$A56,1,1,$D56))</f>
        <v>1694</v>
      </c>
      <c r="AS56" s="1" cm="1">
        <f t="array" aca="1" ref="AS56" ca="1">INDIRECT(ADDRESS($B56,AS$39+$A56,1,1,$D56))</f>
        <v>2036</v>
      </c>
      <c r="AT56" s="1" cm="1">
        <f t="array" aca="1" ref="AT56" ca="1">INDIRECT(ADDRESS($B56,AT$39+$A56,1,1,$D56))</f>
        <v>2502</v>
      </c>
      <c r="AU56" s="1" cm="1">
        <f t="array" aca="1" ref="AU56" ca="1">INDIRECT(ADDRESS($B56,AU$39+$A56,1,1,$D56))</f>
        <v>3089</v>
      </c>
      <c r="AV56" s="1" cm="1">
        <f t="array" aca="1" ref="AV56" ca="1">INDIRECT(ADDRESS($B56,AV$39+$A56,1,1,$D56))</f>
        <v>3858</v>
      </c>
      <c r="AW56" s="1" cm="1">
        <f t="array" aca="1" ref="AW56" ca="1">INDIRECT(ADDRESS($B56,AW$39+$A56,1,1,$D56))</f>
        <v>4636</v>
      </c>
      <c r="AX56" s="1" cm="1">
        <f t="array" aca="1" ref="AX56" ca="1">INDIRECT(ADDRESS($B56,AX$39+$A56,1,1,$D56))</f>
        <v>5883</v>
      </c>
      <c r="AY56" s="1" cm="1">
        <f t="array" aca="1" ref="AY56" ca="1">INDIRECT(ADDRESS($B56,AY$39+$A56,1,1,$D56))</f>
        <v>7375</v>
      </c>
      <c r="AZ56" s="1" cm="1">
        <f t="array" aca="1" ref="AZ56" ca="1">INDIRECT(ADDRESS($B56,AZ$39+$A56,1,1,$D56))</f>
        <v>9172</v>
      </c>
      <c r="BA56" s="1" cm="1">
        <f t="array" aca="1" ref="BA56" ca="1">INDIRECT(ADDRESS($B56,BA$39+$A56,1,1,$D56))</f>
        <v>10149</v>
      </c>
      <c r="BB56" s="1" cm="1">
        <f t="array" aca="1" ref="BB56" ca="1">INDIRECT(ADDRESS($B56,BB$39+$A56,1,1,$D56))</f>
        <v>12462</v>
      </c>
      <c r="BC56" s="1" cm="1">
        <f t="array" aca="1" ref="BC56" ca="1">INDIRECT(ADDRESS($B56,BC$39+$A56,1,1,$D56))</f>
        <v>15061</v>
      </c>
      <c r="BD56" s="1" cm="1">
        <f t="array" aca="1" ref="BD56" ca="1">INDIRECT(ADDRESS($B56,BD$39+$A56,1,1,$D56))</f>
        <v>17660</v>
      </c>
      <c r="BE56" s="1" cm="1">
        <f t="array" aca="1" ref="BE56" ca="1">INDIRECT(ADDRESS($B56,BE$39+$A56,1,1,$D56))</f>
        <v>21157</v>
      </c>
      <c r="BF56" s="1" cm="1">
        <f t="array" aca="1" ref="BF56" ca="1">INDIRECT(ADDRESS($B56,BF$39+$A56,1,1,$D56))</f>
        <v>24747</v>
      </c>
      <c r="BG56" s="1" cm="1">
        <f t="array" aca="1" ref="BG56" ca="1">INDIRECT(ADDRESS($B56,BG$39+$A56,1,1,$D56))</f>
        <v>27980</v>
      </c>
      <c r="BH56" s="1" cm="1">
        <f t="array" aca="1" ref="BH56" ca="1">INDIRECT(ADDRESS($B56,BH$39+$A56,1,1,$D56))</f>
        <v>31506</v>
      </c>
      <c r="BI56" s="1" cm="1">
        <f t="array" aca="1" ref="BI56" ca="1">INDIRECT(ADDRESS($B56,BI$39+$A56,1,1,$D56))</f>
        <v>35713</v>
      </c>
      <c r="BJ56" s="1" cm="1">
        <f t="array" aca="1" ref="BJ56" ca="1">INDIRECT(ADDRESS($B56,BJ$39+$A56,1,1,$D56))</f>
        <v>41035</v>
      </c>
      <c r="BK56" s="1" cm="1">
        <f t="array" aca="1" ref="BK56" ca="1">INDIRECT(ADDRESS($B56,BK$39+$A56,1,1,$D56))</f>
        <v>47021</v>
      </c>
      <c r="BL56" s="1" cm="1">
        <f t="array" aca="1" ref="BL56" ca="1">INDIRECT(ADDRESS($B56,BL$39+$A56,1,1,$D56))</f>
        <v>53578</v>
      </c>
      <c r="BM56" s="1" cm="1">
        <f t="array" aca="1" ref="BM56" ca="1">INDIRECT(ADDRESS($B56,BM$39+$A56,1,1,$D56))</f>
        <v>59138</v>
      </c>
      <c r="BN56" s="1" cm="1">
        <f t="array" aca="1" ref="BN56" ca="1">INDIRECT(ADDRESS($B56,BN$39+$A56,1,1,$D56))</f>
        <v>63927</v>
      </c>
      <c r="BO56" s="1" cm="1">
        <f t="array" aca="1" ref="BO56" ca="1">INDIRECT(ADDRESS($B56,BO$39+$A56,1,1,$D56))</f>
        <v>69176</v>
      </c>
      <c r="BP56" s="1" cm="1">
        <f t="array" aca="1" ref="BP56" ca="1">INDIRECT(ADDRESS($B56,BP$39+$A56,1,1,$D56))</f>
        <v>74386</v>
      </c>
      <c r="BQ56" s="1" cm="1">
        <f t="array" aca="1" ref="BQ56" ca="1">INDIRECT(ADDRESS($B56,BQ$39+$A56,1,1,$D56))</f>
        <v>80589</v>
      </c>
      <c r="BR56" s="1" cm="1">
        <f t="array" aca="1" ref="BR56" ca="1">INDIRECT(ADDRESS($B56,BR$39+$A56,1,1,$D56))</f>
        <v>86498</v>
      </c>
      <c r="BS56" s="1" cm="1">
        <f t="array" aca="1" ref="BS56" ca="1">INDIRECT(ADDRESS($B56,BS$39+$A56,1,1,$D56))</f>
        <v>92472</v>
      </c>
      <c r="BT56" s="1" cm="1">
        <f t="array" aca="1" ref="BT56" ca="1">INDIRECT(ADDRESS($B56,BT$39+$A56,1,1,$D56))</f>
        <v>97689</v>
      </c>
      <c r="BU56" s="1" cm="1">
        <f t="array" aca="1" ref="BU56" ca="1">INDIRECT(ADDRESS($B56,BU$39+$A56,1,1,$D56))</f>
        <v>101739</v>
      </c>
      <c r="BV56" s="1" cm="1">
        <f t="array" aca="1" ref="BV56" ca="1">INDIRECT(ADDRESS($B56,BV$39+$A56,1,1,$D56))</f>
        <v>105792</v>
      </c>
      <c r="BW56" s="1" cm="1">
        <f t="array" aca="1" ref="BW56" ca="1">INDIRECT(ADDRESS($B56,BW$39+$A56,1,1,$D56))</f>
        <v>110574</v>
      </c>
      <c r="BX56" s="1" cm="1">
        <f t="array" aca="1" ref="BX56" ca="1">INDIRECT(ADDRESS($B56,BX$39+$A56,1,1,$D56))</f>
        <v>115242</v>
      </c>
      <c r="BY56" s="1" cm="1">
        <f t="array" aca="1" ref="BY56" ca="1">INDIRECT(ADDRESS($B56,BY$39+$A56,1,1,$D56))</f>
        <v>119827</v>
      </c>
      <c r="BZ56" s="1" cm="1">
        <f t="array" aca="1" ref="BZ56" ca="1">INDIRECT(ADDRESS($B56,BZ$39+$A56,1,1,$D56))</f>
        <v>124632</v>
      </c>
      <c r="CA56" s="1" cm="1">
        <f t="array" aca="1" ref="CA56" ca="1">INDIRECT(ADDRESS($B56,CA$39+$A56,1,1,$D56))</f>
        <v>128948</v>
      </c>
      <c r="CB56" s="1" cm="1">
        <f t="array" aca="1" ref="CB56" ca="1">INDIRECT(ADDRESS($B56,CB$39+$A56,1,1,$D56))</f>
        <v>132547</v>
      </c>
      <c r="CC56" s="1" cm="1">
        <f t="array" aca="1" ref="CC56" ca="1">INDIRECT(ADDRESS($B56,CC$39+$A56,1,1,$D56))</f>
        <v>135586</v>
      </c>
      <c r="CD56" s="1" cm="1">
        <f t="array" aca="1" ref="CD56" ca="1">INDIRECT(ADDRESS($B56,CD$39+$A56,1,1,$D56))</f>
        <v>139422</v>
      </c>
      <c r="CE56" s="1" cm="1">
        <f t="array" aca="1" ref="CE56" ca="1">INDIRECT(ADDRESS($B56,CE$39+$A56,1,1,$D56))</f>
        <v>143626</v>
      </c>
      <c r="CF56" s="1" cm="1">
        <f t="array" aca="1" ref="CF56" ca="1">INDIRECT(ADDRESS($B56,CF$39+$A56,1,1,$D56))</f>
        <v>147577</v>
      </c>
      <c r="CG56" s="1" cm="1">
        <f t="array" aca="1" ref="CG56" ca="1">INDIRECT(ADDRESS($B56,CG$39+$A56,1,1,$D56))</f>
        <v>152271</v>
      </c>
      <c r="CH56" s="1" cm="1">
        <f t="array" aca="1" ref="CH56" ca="1">INDIRECT(ADDRESS($B56,CH$39+$A56,1,1,$D56))</f>
        <v>156363</v>
      </c>
      <c r="CI56" s="1" cm="1">
        <f t="array" aca="1" ref="CI56" ca="1">INDIRECT(ADDRESS($B56,CI$39+$A56,1,1,$D56))</f>
        <v>159516</v>
      </c>
      <c r="CJ56" s="1" cm="1">
        <f t="array" aca="1" ref="CJ56" ca="1">INDIRECT(ADDRESS($B56,CJ$39+$A56,1,1,$D56))</f>
        <v>162488</v>
      </c>
      <c r="CK56" s="1" cm="1">
        <f t="array" aca="1" ref="CK56" ca="1">INDIRECT(ADDRESS($B56,CK$39+$A56,1,1,$D56))</f>
        <v>165155</v>
      </c>
      <c r="CL56" s="1" cm="1">
        <f t="array" aca="1" ref="CL56" ca="1">INDIRECT(ADDRESS($B56,CL$39+$A56,1,1,$D56))</f>
        <v>168941</v>
      </c>
      <c r="CM56" s="1" cm="1">
        <f t="array" aca="1" ref="CM56" ca="1">INDIRECT(ADDRESS($B56,CM$39+$A56,1,1,$D56))</f>
        <v>172434</v>
      </c>
      <c r="CN56" s="1" cm="1">
        <f t="array" aca="1" ref="CN56" ca="1">INDIRECT(ADDRESS($B56,CN$39+$A56,1,1,$D56))</f>
        <v>0</v>
      </c>
      <c r="CO56" s="1" cm="1">
        <f t="array" aca="1" ref="CO56" ca="1">INDIRECT(ADDRESS($B56,CO$39+$A56,1,1,$D56))</f>
        <v>0</v>
      </c>
    </row>
    <row r="57" spans="1:93" x14ac:dyDescent="0.25">
      <c r="A57">
        <v>8</v>
      </c>
      <c r="B57">
        <f t="shared" ref="B57:B60" ca="1" si="26">MATCH($C57,INDIRECT("'"&amp;$C$122&amp;"'!A:A"),0)</f>
        <v>7</v>
      </c>
      <c r="C57" s="1" t="str">
        <f t="shared" si="25"/>
        <v>France</v>
      </c>
      <c r="D57" t="str">
        <f t="shared" ref="D57:D60" si="27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2</v>
      </c>
      <c r="H57" s="1" cm="1">
        <f t="array" aca="1" ref="H57" ca="1">INDIRECT(ADDRESS($B57,H$39+$A57,1,1,$D57))</f>
        <v>3</v>
      </c>
      <c r="I57" s="1" cm="1">
        <f t="array" aca="1" ref="I57" ca="1">INDIRECT(ADDRESS($B57,I$39+$A57,1,1,$D57))</f>
        <v>3</v>
      </c>
      <c r="J57" s="1" cm="1">
        <f t="array" aca="1" ref="J57" ca="1">INDIRECT(ADDRESS($B57,J$39+$A57,1,1,$D57))</f>
        <v>3</v>
      </c>
      <c r="K57" s="1" cm="1">
        <f t="array" aca="1" ref="K57" ca="1">INDIRECT(ADDRESS($B57,K$39+$A57,1,1,$D57))</f>
        <v>4</v>
      </c>
      <c r="L57" s="1" cm="1">
        <f t="array" aca="1" ref="L57" ca="1">INDIRECT(ADDRESS($B57,L$39+$A57,1,1,$D57))</f>
        <v>5</v>
      </c>
      <c r="M57" s="1" cm="1">
        <f t="array" aca="1" ref="M57" ca="1">INDIRECT(ADDRESS($B57,M$39+$A57,1,1,$D57))</f>
        <v>5.3333333332999997</v>
      </c>
      <c r="N57" s="1" cm="1">
        <f t="array" aca="1" ref="N57" ca="1">INDIRECT(ADDRESS($B57,N$39+$A57,1,1,$D57))</f>
        <v>5.6666666667000003</v>
      </c>
      <c r="O57" s="1" cm="1">
        <f t="array" aca="1" ref="O57" ca="1">INDIRECT(ADDRESS($B57,O$39+$A57,1,1,$D57))</f>
        <v>6</v>
      </c>
      <c r="P57" s="1" cm="1">
        <f t="array" aca="1" ref="P57" ca="1">INDIRECT(ADDRESS($B57,P$39+$A57,1,1,$D57))</f>
        <v>6.7142857142999999</v>
      </c>
      <c r="Q57" s="1" cm="1">
        <f t="array" aca="1" ref="Q57" ca="1">INDIRECT(ADDRESS($B57,Q$39+$A57,1,1,$D57))</f>
        <v>7.4285714285999997</v>
      </c>
      <c r="R57" s="1" cm="1">
        <f t="array" aca="1" ref="R57" ca="1">INDIRECT(ADDRESS($B57,R$39+$A57,1,1,$D57))</f>
        <v>8.1428571429000005</v>
      </c>
      <c r="S57" s="1" cm="1">
        <f t="array" aca="1" ref="S57" ca="1">INDIRECT(ADDRESS($B57,S$39+$A57,1,1,$D57))</f>
        <v>8.8571428570999995</v>
      </c>
      <c r="T57" s="1" cm="1">
        <f t="array" aca="1" ref="T57" ca="1">INDIRECT(ADDRESS($B57,T$39+$A57,1,1,$D57))</f>
        <v>9.5714285714000003</v>
      </c>
      <c r="U57" s="1" cm="1">
        <f t="array" aca="1" ref="U57" ca="1">INDIRECT(ADDRESS($B57,U$39+$A57,1,1,$D57))</f>
        <v>10.285714285699999</v>
      </c>
      <c r="V57" s="1" cm="1">
        <f t="array" aca="1" ref="V57" ca="1">INDIRECT(ADDRESS($B57,V$39+$A57,1,1,$D57))</f>
        <v>11</v>
      </c>
      <c r="W57" s="1" cm="1">
        <f t="array" aca="1" ref="W57" ca="1">INDIRECT(ADDRESS($B57,W$39+$A57,1,1,$D57))</f>
        <v>11.142857142900001</v>
      </c>
      <c r="X57" s="1" cm="1">
        <f t="array" aca="1" ref="X57" ca="1">INDIRECT(ADDRESS($B57,X$39+$A57,1,1,$D57))</f>
        <v>11.285714285699999</v>
      </c>
      <c r="Y57" s="1" cm="1">
        <f t="array" aca="1" ref="Y57" ca="1">INDIRECT(ADDRESS($B57,Y$39+$A57,1,1,$D57))</f>
        <v>11.4285714286</v>
      </c>
      <c r="Z57" s="1" cm="1">
        <f t="array" aca="1" ref="Z57" ca="1">INDIRECT(ADDRESS($B57,Z$39+$A57,1,1,$D57))</f>
        <v>11.5714285714</v>
      </c>
      <c r="AA57" s="1" cm="1">
        <f t="array" aca="1" ref="AA57" ca="1">INDIRECT(ADDRESS($B57,AA$39+$A57,1,1,$D57))</f>
        <v>11.714285714300001</v>
      </c>
      <c r="AB57" s="1" cm="1">
        <f t="array" aca="1" ref="AB57" ca="1">INDIRECT(ADDRESS($B57,AB$39+$A57,1,1,$D57))</f>
        <v>11.857142857099999</v>
      </c>
      <c r="AC57" s="1" cm="1">
        <f t="array" aca="1" ref="AC57" ca="1">INDIRECT(ADDRESS($B57,AC$39+$A57,1,1,$D57))</f>
        <v>12</v>
      </c>
      <c r="AD57" s="1" cm="1">
        <f t="array" aca="1" ref="AD57" ca="1">INDIRECT(ADDRESS($B57,AD$39+$A57,1,1,$D57))</f>
        <v>12.2</v>
      </c>
      <c r="AE57" s="1" cm="1">
        <f t="array" aca="1" ref="AE57" ca="1">INDIRECT(ADDRESS($B57,AE$39+$A57,1,1,$D57))</f>
        <v>12.4</v>
      </c>
      <c r="AF57" s="1" cm="1">
        <f t="array" aca="1" ref="AF57" ca="1">INDIRECT(ADDRESS($B57,AF$39+$A57,1,1,$D57))</f>
        <v>12.6</v>
      </c>
      <c r="AG57" s="1" cm="1">
        <f t="array" aca="1" ref="AG57" ca="1">INDIRECT(ADDRESS($B57,AG$39+$A57,1,1,$D57))</f>
        <v>12.8</v>
      </c>
      <c r="AH57" s="1" cm="1">
        <f t="array" aca="1" ref="AH57" ca="1">INDIRECT(ADDRESS($B57,AH$39+$A57,1,1,$D57))</f>
        <v>13</v>
      </c>
      <c r="AI57" s="1" cm="1">
        <f t="array" aca="1" ref="AI57" ca="1">INDIRECT(ADDRESS($B57,AI$39+$A57,1,1,$D57))</f>
        <v>13.2</v>
      </c>
      <c r="AJ57" s="1" cm="1">
        <f t="array" aca="1" ref="AJ57" ca="1">INDIRECT(ADDRESS($B57,AJ$39+$A57,1,1,$D57))</f>
        <v>13.4</v>
      </c>
      <c r="AK57" s="1" cm="1">
        <f t="array" aca="1" ref="AK57" ca="1">INDIRECT(ADDRESS($B57,AK$39+$A57,1,1,$D57))</f>
        <v>13.6</v>
      </c>
      <c r="AL57" s="1" cm="1">
        <f t="array" aca="1" ref="AL57" ca="1">INDIRECT(ADDRESS($B57,AL$39+$A57,1,1,$D57))</f>
        <v>13.8</v>
      </c>
      <c r="AM57" s="1" cm="1">
        <f t="array" aca="1" ref="AM57" ca="1">INDIRECT(ADDRESS($B57,AM$39+$A57,1,1,$D57))</f>
        <v>14</v>
      </c>
      <c r="AN57" s="1" cm="1">
        <f t="array" aca="1" ref="AN57" ca="1">INDIRECT(ADDRESS($B57,AN$39+$A57,1,1,$D57))</f>
        <v>18</v>
      </c>
      <c r="AO57" s="1" cm="1">
        <f t="array" aca="1" ref="AO57" ca="1">INDIRECT(ADDRESS($B57,AO$39+$A57,1,1,$D57))</f>
        <v>38</v>
      </c>
      <c r="AP57" s="1" cm="1">
        <f t="array" aca="1" ref="AP57" ca="1">INDIRECT(ADDRESS($B57,AP$39+$A57,1,1,$D57))</f>
        <v>57</v>
      </c>
      <c r="AQ57" s="1" cm="1">
        <f t="array" aca="1" ref="AQ57" ca="1">INDIRECT(ADDRESS($B57,AQ$39+$A57,1,1,$D57))</f>
        <v>100</v>
      </c>
      <c r="AR57" s="1" cm="1">
        <f t="array" aca="1" ref="AR57" ca="1">INDIRECT(ADDRESS($B57,AR$39+$A57,1,1,$D57))</f>
        <v>130</v>
      </c>
      <c r="AS57" s="1" cm="1">
        <f t="array" aca="1" ref="AS57" ca="1">INDIRECT(ADDRESS($B57,AS$39+$A57,1,1,$D57))</f>
        <v>191</v>
      </c>
      <c r="AT57" s="1" cm="1">
        <f t="array" aca="1" ref="AT57" ca="1">INDIRECT(ADDRESS($B57,AT$39+$A57,1,1,$D57))</f>
        <v>204</v>
      </c>
      <c r="AU57" s="1" cm="1">
        <f t="array" aca="1" ref="AU57" ca="1">INDIRECT(ADDRESS($B57,AU$39+$A57,1,1,$D57))</f>
        <v>285</v>
      </c>
      <c r="AV57" s="1" cm="1">
        <f t="array" aca="1" ref="AV57" ca="1">INDIRECT(ADDRESS($B57,AV$39+$A57,1,1,$D57))</f>
        <v>377</v>
      </c>
      <c r="AW57" s="1" cm="1">
        <f t="array" aca="1" ref="AW57" ca="1">INDIRECT(ADDRESS($B57,AW$39+$A57,1,1,$D57))</f>
        <v>653</v>
      </c>
      <c r="AX57" s="1" cm="1">
        <f t="array" aca="1" ref="AX57" ca="1">INDIRECT(ADDRESS($B57,AX$39+$A57,1,1,$D57))</f>
        <v>949</v>
      </c>
      <c r="AY57" s="1" cm="1">
        <f t="array" aca="1" ref="AY57" ca="1">INDIRECT(ADDRESS($B57,AY$39+$A57,1,1,$D57))</f>
        <v>1126</v>
      </c>
      <c r="AZ57" s="1" cm="1">
        <f t="array" aca="1" ref="AZ57" ca="1">INDIRECT(ADDRESS($B57,AZ$39+$A57,1,1,$D57))</f>
        <v>1209</v>
      </c>
      <c r="BA57" s="1" cm="1">
        <f t="array" aca="1" ref="BA57" ca="1">INDIRECT(ADDRESS($B57,BA$39+$A57,1,1,$D57))</f>
        <v>1784</v>
      </c>
      <c r="BB57" s="1" cm="1">
        <f t="array" aca="1" ref="BB57" ca="1">INDIRECT(ADDRESS($B57,BB$39+$A57,1,1,$D57))</f>
        <v>2281</v>
      </c>
      <c r="BC57" s="1" cm="1">
        <f t="array" aca="1" ref="BC57" ca="1">INDIRECT(ADDRESS($B57,BC$39+$A57,1,1,$D57))</f>
        <v>2971</v>
      </c>
      <c r="BD57" s="1" cm="1">
        <f t="array" aca="1" ref="BD57" ca="1">INDIRECT(ADDRESS($B57,BD$39+$A57,1,1,$D57))</f>
        <v>3661</v>
      </c>
      <c r="BE57" s="1" cm="1">
        <f t="array" aca="1" ref="BE57" ca="1">INDIRECT(ADDRESS($B57,BE$39+$A57,1,1,$D57))</f>
        <v>4469</v>
      </c>
      <c r="BF57" s="1" cm="1">
        <f t="array" aca="1" ref="BF57" ca="1">INDIRECT(ADDRESS($B57,BF$39+$A57,1,1,$D57))</f>
        <v>4499</v>
      </c>
      <c r="BG57" s="1" cm="1">
        <f t="array" aca="1" ref="BG57" ca="1">INDIRECT(ADDRESS($B57,BG$39+$A57,1,1,$D57))</f>
        <v>6633</v>
      </c>
      <c r="BH57" s="1" cm="1">
        <f t="array" aca="1" ref="BH57" ca="1">INDIRECT(ADDRESS($B57,BH$39+$A57,1,1,$D57))</f>
        <v>7652</v>
      </c>
      <c r="BI57" s="1" cm="1">
        <f t="array" aca="1" ref="BI57" ca="1">INDIRECT(ADDRESS($B57,BI$39+$A57,1,1,$D57))</f>
        <v>9043</v>
      </c>
      <c r="BJ57" s="1" cm="1">
        <f t="array" aca="1" ref="BJ57" ca="1">INDIRECT(ADDRESS($B57,BJ$39+$A57,1,1,$D57))</f>
        <v>10871</v>
      </c>
      <c r="BK57" s="1" cm="1">
        <f t="array" aca="1" ref="BK57" ca="1">INDIRECT(ADDRESS($B57,BK$39+$A57,1,1,$D57))</f>
        <v>12612</v>
      </c>
      <c r="BL57" s="1" cm="1">
        <f t="array" aca="1" ref="BL57" ca="1">INDIRECT(ADDRESS($B57,BL$39+$A57,1,1,$D57))</f>
        <v>14282</v>
      </c>
      <c r="BM57" s="1" cm="1">
        <f t="array" aca="1" ref="BM57" ca="1">INDIRECT(ADDRESS($B57,BM$39+$A57,1,1,$D57))</f>
        <v>16018</v>
      </c>
      <c r="BN57" s="1" cm="1">
        <f t="array" aca="1" ref="BN57" ca="1">INDIRECT(ADDRESS($B57,BN$39+$A57,1,1,$D57))</f>
        <v>19856</v>
      </c>
      <c r="BO57" s="1" cm="1">
        <f t="array" aca="1" ref="BO57" ca="1">INDIRECT(ADDRESS($B57,BO$39+$A57,1,1,$D57))</f>
        <v>22304</v>
      </c>
      <c r="BP57" s="1" cm="1">
        <f t="array" aca="1" ref="BP57" ca="1">INDIRECT(ADDRESS($B57,BP$39+$A57,1,1,$D57))</f>
        <v>25233</v>
      </c>
      <c r="BQ57" s="1" cm="1">
        <f t="array" aca="1" ref="BQ57" ca="1">INDIRECT(ADDRESS($B57,BQ$39+$A57,1,1,$D57))</f>
        <v>29155</v>
      </c>
      <c r="BR57" s="1" cm="1">
        <f t="array" aca="1" ref="BR57" ca="1">INDIRECT(ADDRESS($B57,BR$39+$A57,1,1,$D57))</f>
        <v>32964</v>
      </c>
      <c r="BS57" s="1" cm="1">
        <f t="array" aca="1" ref="BS57" ca="1">INDIRECT(ADDRESS($B57,BS$39+$A57,1,1,$D57))</f>
        <v>37575</v>
      </c>
      <c r="BT57" s="1" cm="1">
        <f t="array" aca="1" ref="BT57" ca="1">INDIRECT(ADDRESS($B57,BT$39+$A57,1,1,$D57))</f>
        <v>40174</v>
      </c>
      <c r="BU57" s="1" cm="1">
        <f t="array" aca="1" ref="BU57" ca="1">INDIRECT(ADDRESS($B57,BU$39+$A57,1,1,$D57))</f>
        <v>44550</v>
      </c>
      <c r="BV57" s="1" cm="1">
        <f t="array" aca="1" ref="BV57" ca="1">INDIRECT(ADDRESS($B57,BV$39+$A57,1,1,$D57))</f>
        <v>52128</v>
      </c>
      <c r="BW57" s="1" cm="1">
        <f t="array" aca="1" ref="BW57" ca="1">INDIRECT(ADDRESS($B57,BW$39+$A57,1,1,$D57))</f>
        <v>56989</v>
      </c>
      <c r="BX57" s="1" cm="1">
        <f t="array" aca="1" ref="BX57" ca="1">INDIRECT(ADDRESS($B57,BX$39+$A57,1,1,$D57))</f>
        <v>59105</v>
      </c>
      <c r="BY57" s="1" cm="1">
        <f t="array" aca="1" ref="BY57" ca="1">INDIRECT(ADDRESS($B57,BY$39+$A57,1,1,$D57))</f>
        <v>64338</v>
      </c>
      <c r="BZ57" s="1" cm="1">
        <f t="array" aca="1" ref="BZ57" ca="1">INDIRECT(ADDRESS($B57,BZ$39+$A57,1,1,$D57))</f>
        <v>68605</v>
      </c>
      <c r="CA57" s="1" cm="1">
        <f t="array" aca="1" ref="CA57" ca="1">INDIRECT(ADDRESS($B57,CA$39+$A57,1,1,$D57))</f>
        <v>70478</v>
      </c>
      <c r="CB57" s="1" cm="1">
        <f t="array" aca="1" ref="CB57" ca="1">INDIRECT(ADDRESS($B57,CB$39+$A57,1,1,$D57))</f>
        <v>74390</v>
      </c>
      <c r="CC57" s="1" cm="1">
        <f t="array" aca="1" ref="CC57" ca="1">INDIRECT(ADDRESS($B57,CC$39+$A57,1,1,$D57))</f>
        <v>78167</v>
      </c>
      <c r="CD57" s="1" cm="1">
        <f t="array" aca="1" ref="CD57" ca="1">INDIRECT(ADDRESS($B57,CD$39+$A57,1,1,$D57))</f>
        <v>82048</v>
      </c>
      <c r="CE57" s="1" cm="1">
        <f t="array" aca="1" ref="CE57" ca="1">INDIRECT(ADDRESS($B57,CE$39+$A57,1,1,$D57))</f>
        <v>86334</v>
      </c>
      <c r="CF57" s="1" cm="1">
        <f t="array" aca="1" ref="CF57" ca="1">INDIRECT(ADDRESS($B57,CF$39+$A57,1,1,$D57))</f>
        <v>90676</v>
      </c>
      <c r="CG57" s="1" cm="1">
        <f t="array" aca="1" ref="CG57" ca="1">INDIRECT(ADDRESS($B57,CG$39+$A57,1,1,$D57))</f>
        <v>93790</v>
      </c>
      <c r="CH57" s="1" cm="1">
        <f t="array" aca="1" ref="CH57" ca="1">INDIRECT(ADDRESS($B57,CH$39+$A57,1,1,$D57))</f>
        <v>120633</v>
      </c>
      <c r="CI57" s="1" cm="1">
        <f t="array" aca="1" ref="CI57" ca="1">INDIRECT(ADDRESS($B57,CI$39+$A57,1,1,$D57))</f>
        <v>124298</v>
      </c>
      <c r="CJ57" s="1" cm="1">
        <f t="array" aca="1" ref="CJ57" ca="1">INDIRECT(ADDRESS($B57,CJ$39+$A57,1,1,$D57))</f>
        <v>130253</v>
      </c>
      <c r="CK57" s="1" cm="1">
        <f t="array" aca="1" ref="CK57" ca="1">INDIRECT(ADDRESS($B57,CK$39+$A57,1,1,$D57))</f>
        <v>133470</v>
      </c>
      <c r="CL57" s="1" cm="1">
        <f t="array" aca="1" ref="CL57" ca="1">INDIRECT(ADDRESS($B57,CL$39+$A57,1,1,$D57))</f>
        <v>145960</v>
      </c>
      <c r="CM57" s="1" cm="1">
        <f t="array" aca="1" ref="CM57" ca="1">INDIRECT(ADDRESS($B57,CM$39+$A57,1,1,$D57))</f>
        <v>147969</v>
      </c>
      <c r="CN57" s="1" cm="1">
        <f t="array" aca="1" ref="CN57" ca="1">INDIRECT(ADDRESS($B57,CN$39+$A57,1,1,$D57))</f>
        <v>0</v>
      </c>
      <c r="CO57" s="1" cm="1">
        <f t="array" aca="1" ref="CO57" ca="1">INDIRECT(ADDRESS($B57,CO$39+$A57,1,1,$D57))</f>
        <v>0</v>
      </c>
    </row>
    <row r="58" spans="1:93" x14ac:dyDescent="0.25">
      <c r="A58">
        <v>8</v>
      </c>
      <c r="B58">
        <f t="shared" ca="1" si="26"/>
        <v>19</v>
      </c>
      <c r="C58" s="1" t="str">
        <f t="shared" si="25"/>
        <v>Switzerland</v>
      </c>
      <c r="D58" t="str">
        <f t="shared" si="27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1</v>
      </c>
      <c r="AN58" s="1" cm="1">
        <f t="array" aca="1" ref="AN58" ca="1">INDIRECT(ADDRESS($B58,AN$39+$A58,1,1,$D58))</f>
        <v>1</v>
      </c>
      <c r="AO58" s="1" cm="1">
        <f t="array" aca="1" ref="AO58" ca="1">INDIRECT(ADDRESS($B58,AO$39+$A58,1,1,$D58))</f>
        <v>8</v>
      </c>
      <c r="AP58" s="1" cm="1">
        <f t="array" aca="1" ref="AP58" ca="1">INDIRECT(ADDRESS($B58,AP$39+$A58,1,1,$D58))</f>
        <v>13</v>
      </c>
      <c r="AQ58" s="1" cm="1">
        <f t="array" aca="1" ref="AQ58" ca="1">INDIRECT(ADDRESS($B58,AQ$39+$A58,1,1,$D58))</f>
        <v>18</v>
      </c>
      <c r="AR58" s="1" cm="1">
        <f t="array" aca="1" ref="AR58" ca="1">INDIRECT(ADDRESS($B58,AR$39+$A58,1,1,$D58))</f>
        <v>27</v>
      </c>
      <c r="AS58" s="1" cm="1">
        <f t="array" aca="1" ref="AS58" ca="1">INDIRECT(ADDRESS($B58,AS$39+$A58,1,1,$D58))</f>
        <v>42</v>
      </c>
      <c r="AT58" s="1" cm="1">
        <f t="array" aca="1" ref="AT58" ca="1">INDIRECT(ADDRESS($B58,AT$39+$A58,1,1,$D58))</f>
        <v>56</v>
      </c>
      <c r="AU58" s="1" cm="1">
        <f t="array" aca="1" ref="AU58" ca="1">INDIRECT(ADDRESS($B58,AU$39+$A58,1,1,$D58))</f>
        <v>90</v>
      </c>
      <c r="AV58" s="1" cm="1">
        <f t="array" aca="1" ref="AV58" ca="1">INDIRECT(ADDRESS($B58,AV$39+$A58,1,1,$D58))</f>
        <v>114</v>
      </c>
      <c r="AW58" s="1" cm="1">
        <f t="array" aca="1" ref="AW58" ca="1">INDIRECT(ADDRESS($B58,AW$39+$A58,1,1,$D58))</f>
        <v>214</v>
      </c>
      <c r="AX58" s="1" cm="1">
        <f t="array" aca="1" ref="AX58" ca="1">INDIRECT(ADDRESS($B58,AX$39+$A58,1,1,$D58))</f>
        <v>268</v>
      </c>
      <c r="AY58" s="1" cm="1">
        <f t="array" aca="1" ref="AY58" ca="1">INDIRECT(ADDRESS($B58,AY$39+$A58,1,1,$D58))</f>
        <v>337</v>
      </c>
      <c r="AZ58" s="1" cm="1">
        <f t="array" aca="1" ref="AZ58" ca="1">INDIRECT(ADDRESS($B58,AZ$39+$A58,1,1,$D58))</f>
        <v>374</v>
      </c>
      <c r="BA58" s="1" cm="1">
        <f t="array" aca="1" ref="BA58" ca="1">INDIRECT(ADDRESS($B58,BA$39+$A58,1,1,$D58))</f>
        <v>491</v>
      </c>
      <c r="BB58" s="1" cm="1">
        <f t="array" aca="1" ref="BB58" ca="1">INDIRECT(ADDRESS($B58,BB$39+$A58,1,1,$D58))</f>
        <v>652</v>
      </c>
      <c r="BC58" s="1" cm="1">
        <f t="array" aca="1" ref="BC58" ca="1">INDIRECT(ADDRESS($B58,BC$39+$A58,1,1,$D58))</f>
        <v>895.5</v>
      </c>
      <c r="BD58" s="1" cm="1">
        <f t="array" aca="1" ref="BD58" ca="1">INDIRECT(ADDRESS($B58,BD$39+$A58,1,1,$D58))</f>
        <v>1139</v>
      </c>
      <c r="BE58" s="1" cm="1">
        <f t="array" aca="1" ref="BE58" ca="1">INDIRECT(ADDRESS($B58,BE$39+$A58,1,1,$D58))</f>
        <v>1359</v>
      </c>
      <c r="BF58" s="1" cm="1">
        <f t="array" aca="1" ref="BF58" ca="1">INDIRECT(ADDRESS($B58,BF$39+$A58,1,1,$D58))</f>
        <v>2200</v>
      </c>
      <c r="BG58" s="1" cm="1">
        <f t="array" aca="1" ref="BG58" ca="1">INDIRECT(ADDRESS($B58,BG$39+$A58,1,1,$D58))</f>
        <v>2450</v>
      </c>
      <c r="BH58" s="1" cm="1">
        <f t="array" aca="1" ref="BH58" ca="1">INDIRECT(ADDRESS($B58,BH$39+$A58,1,1,$D58))</f>
        <v>2700</v>
      </c>
      <c r="BI58" s="1" cm="1">
        <f t="array" aca="1" ref="BI58" ca="1">INDIRECT(ADDRESS($B58,BI$39+$A58,1,1,$D58))</f>
        <v>3028</v>
      </c>
      <c r="BJ58" s="1" cm="1">
        <f t="array" aca="1" ref="BJ58" ca="1">INDIRECT(ADDRESS($B58,BJ$39+$A58,1,1,$D58))</f>
        <v>4075</v>
      </c>
      <c r="BK58" s="1" cm="1">
        <f t="array" aca="1" ref="BK58" ca="1">INDIRECT(ADDRESS($B58,BK$39+$A58,1,1,$D58))</f>
        <v>5294</v>
      </c>
      <c r="BL58" s="1" cm="1">
        <f t="array" aca="1" ref="BL58" ca="1">INDIRECT(ADDRESS($B58,BL$39+$A58,1,1,$D58))</f>
        <v>6575</v>
      </c>
      <c r="BM58" s="1" cm="1">
        <f t="array" aca="1" ref="BM58" ca="1">INDIRECT(ADDRESS($B58,BM$39+$A58,1,1,$D58))</f>
        <v>7474</v>
      </c>
      <c r="BN58" s="1" cm="1">
        <f t="array" aca="1" ref="BN58" ca="1">INDIRECT(ADDRESS($B58,BN$39+$A58,1,1,$D58))</f>
        <v>8795</v>
      </c>
      <c r="BO58" s="1" cm="1">
        <f t="array" aca="1" ref="BO58" ca="1">INDIRECT(ADDRESS($B58,BO$39+$A58,1,1,$D58))</f>
        <v>9877</v>
      </c>
      <c r="BP58" s="1" cm="1">
        <f t="array" aca="1" ref="BP58" ca="1">INDIRECT(ADDRESS($B58,BP$39+$A58,1,1,$D58))</f>
        <v>10897</v>
      </c>
      <c r="BQ58" s="1" cm="1">
        <f t="array" aca="1" ref="BQ58" ca="1">INDIRECT(ADDRESS($B58,BQ$39+$A58,1,1,$D58))</f>
        <v>11811</v>
      </c>
      <c r="BR58" s="1" cm="1">
        <f t="array" aca="1" ref="BR58" ca="1">INDIRECT(ADDRESS($B58,BR$39+$A58,1,1,$D58))</f>
        <v>12928</v>
      </c>
      <c r="BS58" s="1" cm="1">
        <f t="array" aca="1" ref="BS58" ca="1">INDIRECT(ADDRESS($B58,BS$39+$A58,1,1,$D58))</f>
        <v>14076</v>
      </c>
      <c r="BT58" s="1" cm="1">
        <f t="array" aca="1" ref="BT58" ca="1">INDIRECT(ADDRESS($B58,BT$39+$A58,1,1,$D58))</f>
        <v>14829</v>
      </c>
      <c r="BU58" s="1" cm="1">
        <f t="array" aca="1" ref="BU58" ca="1">INDIRECT(ADDRESS($B58,BU$39+$A58,1,1,$D58))</f>
        <v>15922</v>
      </c>
      <c r="BV58" s="1" cm="1">
        <f t="array" aca="1" ref="BV58" ca="1">INDIRECT(ADDRESS($B58,BV$39+$A58,1,1,$D58))</f>
        <v>16605</v>
      </c>
      <c r="BW58" s="1" cm="1">
        <f t="array" aca="1" ref="BW58" ca="1">INDIRECT(ADDRESS($B58,BW$39+$A58,1,1,$D58))</f>
        <v>17768</v>
      </c>
      <c r="BX58" s="1" cm="1">
        <f t="array" aca="1" ref="BX58" ca="1">INDIRECT(ADDRESS($B58,BX$39+$A58,1,1,$D58))</f>
        <v>18827</v>
      </c>
      <c r="BY58" s="1" cm="1">
        <f t="array" aca="1" ref="BY58" ca="1">INDIRECT(ADDRESS($B58,BY$39+$A58,1,1,$D58))</f>
        <v>19606</v>
      </c>
      <c r="BZ58" s="1" cm="1">
        <f t="array" aca="1" ref="BZ58" ca="1">INDIRECT(ADDRESS($B58,BZ$39+$A58,1,1,$D58))</f>
        <v>20505</v>
      </c>
      <c r="CA58" s="1" cm="1">
        <f t="array" aca="1" ref="CA58" ca="1">INDIRECT(ADDRESS($B58,CA$39+$A58,1,1,$D58))</f>
        <v>21100</v>
      </c>
      <c r="CB58" s="1" cm="1">
        <f t="array" aca="1" ref="CB58" ca="1">INDIRECT(ADDRESS($B58,CB$39+$A58,1,1,$D58))</f>
        <v>21657</v>
      </c>
      <c r="CC58" s="1" cm="1">
        <f t="array" aca="1" ref="CC58" ca="1">INDIRECT(ADDRESS($B58,CC$39+$A58,1,1,$D58))</f>
        <v>22253</v>
      </c>
      <c r="CD58" s="1" cm="1">
        <f t="array" aca="1" ref="CD58" ca="1">INDIRECT(ADDRESS($B58,CD$39+$A58,1,1,$D58))</f>
        <v>23280</v>
      </c>
      <c r="CE58" s="1" cm="1">
        <f t="array" aca="1" ref="CE58" ca="1">INDIRECT(ADDRESS($B58,CE$39+$A58,1,1,$D58))</f>
        <v>24051</v>
      </c>
      <c r="CF58" s="1" cm="1">
        <f t="array" aca="1" ref="CF58" ca="1">INDIRECT(ADDRESS($B58,CF$39+$A58,1,1,$D58))</f>
        <v>24551</v>
      </c>
      <c r="CG58" s="1" cm="1">
        <f t="array" aca="1" ref="CG58" ca="1">INDIRECT(ADDRESS($B58,CG$39+$A58,1,1,$D58))</f>
        <v>25107</v>
      </c>
      <c r="CH58" s="1" cm="1">
        <f t="array" aca="1" ref="CH58" ca="1">INDIRECT(ADDRESS($B58,CH$39+$A58,1,1,$D58))</f>
        <v>25415</v>
      </c>
      <c r="CI58" s="1" cm="1">
        <f t="array" aca="1" ref="CI58" ca="1">INDIRECT(ADDRESS($B58,CI$39+$A58,1,1,$D58))</f>
        <v>25688</v>
      </c>
      <c r="CJ58" s="1" cm="1">
        <f t="array" aca="1" ref="CJ58" ca="1">INDIRECT(ADDRESS($B58,CJ$39+$A58,1,1,$D58))</f>
        <v>25936</v>
      </c>
      <c r="CK58" s="1" cm="1">
        <f t="array" aca="1" ref="CK58" ca="1">INDIRECT(ADDRESS($B58,CK$39+$A58,1,1,$D58))</f>
        <v>26336</v>
      </c>
      <c r="CL58" s="1" cm="1">
        <f t="array" aca="1" ref="CL58" ca="1">INDIRECT(ADDRESS($B58,CL$39+$A58,1,1,$D58))</f>
        <v>26732</v>
      </c>
      <c r="CM58" s="1" cm="1">
        <f t="array" aca="1" ref="CM58" ca="1">INDIRECT(ADDRESS($B58,CM$39+$A58,1,1,$D58))</f>
        <v>27078</v>
      </c>
      <c r="CN58" s="1" cm="1">
        <f t="array" aca="1" ref="CN58" ca="1">INDIRECT(ADDRESS($B58,CN$39+$A58,1,1,$D58))</f>
        <v>0</v>
      </c>
      <c r="CO58" s="1" cm="1">
        <f t="array" aca="1" ref="CO58" ca="1">INDIRECT(ADDRESS($B58,CO$39+$A58,1,1,$D58))</f>
        <v>0</v>
      </c>
    </row>
    <row r="59" spans="1:93" x14ac:dyDescent="0.25">
      <c r="A59">
        <v>8</v>
      </c>
      <c r="B59">
        <f t="shared" ca="1" si="26"/>
        <v>8</v>
      </c>
      <c r="C59" s="1" t="str">
        <f t="shared" si="25"/>
        <v>Germany</v>
      </c>
      <c r="D59" t="str">
        <f t="shared" si="27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1</v>
      </c>
      <c r="K59" s="1" cm="1">
        <f t="array" aca="1" ref="K59" ca="1">INDIRECT(ADDRESS($B59,K$39+$A59,1,1,$D59))</f>
        <v>4</v>
      </c>
      <c r="L59" s="1" cm="1">
        <f t="array" aca="1" ref="L59" ca="1">INDIRECT(ADDRESS($B59,L$39+$A59,1,1,$D59))</f>
        <v>4.3333333332999997</v>
      </c>
      <c r="M59" s="1" cm="1">
        <f t="array" aca="1" ref="M59" ca="1">INDIRECT(ADDRESS($B59,M$39+$A59,1,1,$D59))</f>
        <v>4.6666666667000003</v>
      </c>
      <c r="N59" s="1" cm="1">
        <f t="array" aca="1" ref="N59" ca="1">INDIRECT(ADDRESS($B59,N$39+$A59,1,1,$D59))</f>
        <v>5</v>
      </c>
      <c r="O59" s="1" cm="1">
        <f t="array" aca="1" ref="O59" ca="1">INDIRECT(ADDRESS($B59,O$39+$A59,1,1,$D59))</f>
        <v>8</v>
      </c>
      <c r="P59" s="1" cm="1">
        <f t="array" aca="1" ref="P59" ca="1">INDIRECT(ADDRESS($B59,P$39+$A59,1,1,$D59))</f>
        <v>10</v>
      </c>
      <c r="Q59" s="1" cm="1">
        <f t="array" aca="1" ref="Q59" ca="1">INDIRECT(ADDRESS($B59,Q$39+$A59,1,1,$D59))</f>
        <v>12</v>
      </c>
      <c r="R59" s="1" cm="1">
        <f t="array" aca="1" ref="R59" ca="1">INDIRECT(ADDRESS($B59,R$39+$A59,1,1,$D59))</f>
        <v>12.25</v>
      </c>
      <c r="S59" s="1" cm="1">
        <f t="array" aca="1" ref="S59" ca="1">INDIRECT(ADDRESS($B59,S$39+$A59,1,1,$D59))</f>
        <v>12.5</v>
      </c>
      <c r="T59" s="1" cm="1">
        <f t="array" aca="1" ref="T59" ca="1">INDIRECT(ADDRESS($B59,T$39+$A59,1,1,$D59))</f>
        <v>12.75</v>
      </c>
      <c r="U59" s="1" cm="1">
        <f t="array" aca="1" ref="U59" ca="1">INDIRECT(ADDRESS($B59,U$39+$A59,1,1,$D59))</f>
        <v>13</v>
      </c>
      <c r="V59" s="1" cm="1">
        <f t="array" aca="1" ref="V59" ca="1">INDIRECT(ADDRESS($B59,V$39+$A59,1,1,$D59))</f>
        <v>13.5</v>
      </c>
      <c r="W59" s="1" cm="1">
        <f t="array" aca="1" ref="W59" ca="1">INDIRECT(ADDRESS($B59,W$39+$A59,1,1,$D59))</f>
        <v>14</v>
      </c>
      <c r="X59" s="1" cm="1">
        <f t="array" aca="1" ref="X59" ca="1">INDIRECT(ADDRESS($B59,X$39+$A59,1,1,$D59))</f>
        <v>15</v>
      </c>
      <c r="Y59" s="1" cm="1">
        <f t="array" aca="1" ref="Y59" ca="1">INDIRECT(ADDRESS($B59,Y$39+$A59,1,1,$D59))</f>
        <v>16</v>
      </c>
      <c r="Z59" s="1" cm="1">
        <f t="array" aca="1" ref="Z59" ca="1">INDIRECT(ADDRESS($B59,Z$39+$A59,1,1,$D59))</f>
        <v>16.071428571399998</v>
      </c>
      <c r="AA59" s="1" cm="1">
        <f t="array" aca="1" ref="AA59" ca="1">INDIRECT(ADDRESS($B59,AA$39+$A59,1,1,$D59))</f>
        <v>16.142857142899999</v>
      </c>
      <c r="AB59" s="1" cm="1">
        <f t="array" aca="1" ref="AB59" ca="1">INDIRECT(ADDRESS($B59,AB$39+$A59,1,1,$D59))</f>
        <v>16.214285714300001</v>
      </c>
      <c r="AC59" s="1" cm="1">
        <f t="array" aca="1" ref="AC59" ca="1">INDIRECT(ADDRESS($B59,AC$39+$A59,1,1,$D59))</f>
        <v>16.285714285699999</v>
      </c>
      <c r="AD59" s="1" cm="1">
        <f t="array" aca="1" ref="AD59" ca="1">INDIRECT(ADDRESS($B59,AD$39+$A59,1,1,$D59))</f>
        <v>16.357142857100001</v>
      </c>
      <c r="AE59" s="1" cm="1">
        <f t="array" aca="1" ref="AE59" ca="1">INDIRECT(ADDRESS($B59,AE$39+$A59,1,1,$D59))</f>
        <v>16.428571428600002</v>
      </c>
      <c r="AF59" s="1" cm="1">
        <f t="array" aca="1" ref="AF59" ca="1">INDIRECT(ADDRESS($B59,AF$39+$A59,1,1,$D59))</f>
        <v>16.5</v>
      </c>
      <c r="AG59" s="1" cm="1">
        <f t="array" aca="1" ref="AG59" ca="1">INDIRECT(ADDRESS($B59,AG$39+$A59,1,1,$D59))</f>
        <v>16.571428571399998</v>
      </c>
      <c r="AH59" s="1" cm="1">
        <f t="array" aca="1" ref="AH59" ca="1">INDIRECT(ADDRESS($B59,AH$39+$A59,1,1,$D59))</f>
        <v>16.642857142899999</v>
      </c>
      <c r="AI59" s="1" cm="1">
        <f t="array" aca="1" ref="AI59" ca="1">INDIRECT(ADDRESS($B59,AI$39+$A59,1,1,$D59))</f>
        <v>16.714285714300001</v>
      </c>
      <c r="AJ59" s="1" cm="1">
        <f t="array" aca="1" ref="AJ59" ca="1">INDIRECT(ADDRESS($B59,AJ$39+$A59,1,1,$D59))</f>
        <v>16.785714285699999</v>
      </c>
      <c r="AK59" s="1" cm="1">
        <f t="array" aca="1" ref="AK59" ca="1">INDIRECT(ADDRESS($B59,AK$39+$A59,1,1,$D59))</f>
        <v>16.857142857100001</v>
      </c>
      <c r="AL59" s="1" cm="1">
        <f t="array" aca="1" ref="AL59" ca="1">INDIRECT(ADDRESS($B59,AL$39+$A59,1,1,$D59))</f>
        <v>16.928571428600002</v>
      </c>
      <c r="AM59" s="1" cm="1">
        <f t="array" aca="1" ref="AM59" ca="1">INDIRECT(ADDRESS($B59,AM$39+$A59,1,1,$D59))</f>
        <v>17</v>
      </c>
      <c r="AN59" s="1" cm="1">
        <f t="array" aca="1" ref="AN59" ca="1">INDIRECT(ADDRESS($B59,AN$39+$A59,1,1,$D59))</f>
        <v>27</v>
      </c>
      <c r="AO59" s="1" cm="1">
        <f t="array" aca="1" ref="AO59" ca="1">INDIRECT(ADDRESS($B59,AO$39+$A59,1,1,$D59))</f>
        <v>46</v>
      </c>
      <c r="AP59" s="1" cm="1">
        <f t="array" aca="1" ref="AP59" ca="1">INDIRECT(ADDRESS($B59,AP$39+$A59,1,1,$D59))</f>
        <v>48</v>
      </c>
      <c r="AQ59" s="1" cm="1">
        <f t="array" aca="1" ref="AQ59" ca="1">INDIRECT(ADDRESS($B59,AQ$39+$A59,1,1,$D59))</f>
        <v>79</v>
      </c>
      <c r="AR59" s="1" cm="1">
        <f t="array" aca="1" ref="AR59" ca="1">INDIRECT(ADDRESS($B59,AR$39+$A59,1,1,$D59))</f>
        <v>130</v>
      </c>
      <c r="AS59" s="1" cm="1">
        <f t="array" aca="1" ref="AS59" ca="1">INDIRECT(ADDRESS($B59,AS$39+$A59,1,1,$D59))</f>
        <v>159</v>
      </c>
      <c r="AT59" s="1" cm="1">
        <f t="array" aca="1" ref="AT59" ca="1">INDIRECT(ADDRESS($B59,AT$39+$A59,1,1,$D59))</f>
        <v>196</v>
      </c>
      <c r="AU59" s="1" cm="1">
        <f t="array" aca="1" ref="AU59" ca="1">INDIRECT(ADDRESS($B59,AU$39+$A59,1,1,$D59))</f>
        <v>262</v>
      </c>
      <c r="AV59" s="1" cm="1">
        <f t="array" aca="1" ref="AV59" ca="1">INDIRECT(ADDRESS($B59,AV$39+$A59,1,1,$D59))</f>
        <v>482</v>
      </c>
      <c r="AW59" s="1" cm="1">
        <f t="array" aca="1" ref="AW59" ca="1">INDIRECT(ADDRESS($B59,AW$39+$A59,1,1,$D59))</f>
        <v>670</v>
      </c>
      <c r="AX59" s="1" cm="1">
        <f t="array" aca="1" ref="AX59" ca="1">INDIRECT(ADDRESS($B59,AX$39+$A59,1,1,$D59))</f>
        <v>799</v>
      </c>
      <c r="AY59" s="1" cm="1">
        <f t="array" aca="1" ref="AY59" ca="1">INDIRECT(ADDRESS($B59,AY$39+$A59,1,1,$D59))</f>
        <v>1040</v>
      </c>
      <c r="AZ59" s="1" cm="1">
        <f t="array" aca="1" ref="AZ59" ca="1">INDIRECT(ADDRESS($B59,AZ$39+$A59,1,1,$D59))</f>
        <v>1176</v>
      </c>
      <c r="BA59" s="1" cm="1">
        <f t="array" aca="1" ref="BA59" ca="1">INDIRECT(ADDRESS($B59,BA$39+$A59,1,1,$D59))</f>
        <v>1457</v>
      </c>
      <c r="BB59" s="1" cm="1">
        <f t="array" aca="1" ref="BB59" ca="1">INDIRECT(ADDRESS($B59,BB$39+$A59,1,1,$D59))</f>
        <v>1908</v>
      </c>
      <c r="BC59" s="1" cm="1">
        <f t="array" aca="1" ref="BC59" ca="1">INDIRECT(ADDRESS($B59,BC$39+$A59,1,1,$D59))</f>
        <v>2078</v>
      </c>
      <c r="BD59" s="1" cm="1">
        <f t="array" aca="1" ref="BD59" ca="1">INDIRECT(ADDRESS($B59,BD$39+$A59,1,1,$D59))</f>
        <v>3675</v>
      </c>
      <c r="BE59" s="1" cm="1">
        <f t="array" aca="1" ref="BE59" ca="1">INDIRECT(ADDRESS($B59,BE$39+$A59,1,1,$D59))</f>
        <v>4585</v>
      </c>
      <c r="BF59" s="1" cm="1">
        <f t="array" aca="1" ref="BF59" ca="1">INDIRECT(ADDRESS($B59,BF$39+$A59,1,1,$D59))</f>
        <v>5795</v>
      </c>
      <c r="BG59" s="1" cm="1">
        <f t="array" aca="1" ref="BG59" ca="1">INDIRECT(ADDRESS($B59,BG$39+$A59,1,1,$D59))</f>
        <v>7272</v>
      </c>
      <c r="BH59" s="1" cm="1">
        <f t="array" aca="1" ref="BH59" ca="1">INDIRECT(ADDRESS($B59,BH$39+$A59,1,1,$D59))</f>
        <v>9257</v>
      </c>
      <c r="BI59" s="1" cm="1">
        <f t="array" aca="1" ref="BI59" ca="1">INDIRECT(ADDRESS($B59,BI$39+$A59,1,1,$D59))</f>
        <v>12327</v>
      </c>
      <c r="BJ59" s="1" cm="1">
        <f t="array" aca="1" ref="BJ59" ca="1">INDIRECT(ADDRESS($B59,BJ$39+$A59,1,1,$D59))</f>
        <v>15320</v>
      </c>
      <c r="BK59" s="1" cm="1">
        <f t="array" aca="1" ref="BK59" ca="1">INDIRECT(ADDRESS($B59,BK$39+$A59,1,1,$D59))</f>
        <v>19848</v>
      </c>
      <c r="BL59" s="1" cm="1">
        <f t="array" aca="1" ref="BL59" ca="1">INDIRECT(ADDRESS($B59,BL$39+$A59,1,1,$D59))</f>
        <v>22213</v>
      </c>
      <c r="BM59" s="1" cm="1">
        <f t="array" aca="1" ref="BM59" ca="1">INDIRECT(ADDRESS($B59,BM$39+$A59,1,1,$D59))</f>
        <v>24873</v>
      </c>
      <c r="BN59" s="1" cm="1">
        <f t="array" aca="1" ref="BN59" ca="1">INDIRECT(ADDRESS($B59,BN$39+$A59,1,1,$D59))</f>
        <v>29056</v>
      </c>
      <c r="BO59" s="1" cm="1">
        <f t="array" aca="1" ref="BO59" ca="1">INDIRECT(ADDRESS($B59,BO$39+$A59,1,1,$D59))</f>
        <v>32986</v>
      </c>
      <c r="BP59" s="1" cm="1">
        <f t="array" aca="1" ref="BP59" ca="1">INDIRECT(ADDRESS($B59,BP$39+$A59,1,1,$D59))</f>
        <v>37323</v>
      </c>
      <c r="BQ59" s="1" cm="1">
        <f t="array" aca="1" ref="BQ59" ca="1">INDIRECT(ADDRESS($B59,BQ$39+$A59,1,1,$D59))</f>
        <v>43938</v>
      </c>
      <c r="BR59" s="1" cm="1">
        <f t="array" aca="1" ref="BR59" ca="1">INDIRECT(ADDRESS($B59,BR$39+$A59,1,1,$D59))</f>
        <v>50871</v>
      </c>
      <c r="BS59" s="1" cm="1">
        <f t="array" aca="1" ref="BS59" ca="1">INDIRECT(ADDRESS($B59,BS$39+$A59,1,1,$D59))</f>
        <v>57695</v>
      </c>
      <c r="BT59" s="1" cm="1">
        <f t="array" aca="1" ref="BT59" ca="1">INDIRECT(ADDRESS($B59,BT$39+$A59,1,1,$D59))</f>
        <v>62095</v>
      </c>
      <c r="BU59" s="1" cm="1">
        <f t="array" aca="1" ref="BU59" ca="1">INDIRECT(ADDRESS($B59,BU$39+$A59,1,1,$D59))</f>
        <v>66885</v>
      </c>
      <c r="BV59" s="1" cm="1">
        <f t="array" aca="1" ref="BV59" ca="1">INDIRECT(ADDRESS($B59,BV$39+$A59,1,1,$D59))</f>
        <v>71808</v>
      </c>
      <c r="BW59" s="1" cm="1">
        <f t="array" aca="1" ref="BW59" ca="1">INDIRECT(ADDRESS($B59,BW$39+$A59,1,1,$D59))</f>
        <v>77872</v>
      </c>
      <c r="BX59" s="1" cm="1">
        <f t="array" aca="1" ref="BX59" ca="1">INDIRECT(ADDRESS($B59,BX$39+$A59,1,1,$D59))</f>
        <v>84794</v>
      </c>
      <c r="BY59" s="1" cm="1">
        <f t="array" aca="1" ref="BY59" ca="1">INDIRECT(ADDRESS($B59,BY$39+$A59,1,1,$D59))</f>
        <v>91159</v>
      </c>
      <c r="BZ59" s="1" cm="1">
        <f t="array" aca="1" ref="BZ59" ca="1">INDIRECT(ADDRESS($B59,BZ$39+$A59,1,1,$D59))</f>
        <v>96092</v>
      </c>
      <c r="CA59" s="1" cm="1">
        <f t="array" aca="1" ref="CA59" ca="1">INDIRECT(ADDRESS($B59,CA$39+$A59,1,1,$D59))</f>
        <v>100123</v>
      </c>
      <c r="CB59" s="1" cm="1">
        <f t="array" aca="1" ref="CB59" ca="1">INDIRECT(ADDRESS($B59,CB$39+$A59,1,1,$D59))</f>
        <v>103374</v>
      </c>
      <c r="CC59" s="1" cm="1">
        <f t="array" aca="1" ref="CC59" ca="1">INDIRECT(ADDRESS($B59,CC$39+$A59,1,1,$D59))</f>
        <v>107663</v>
      </c>
      <c r="CD59" s="1" cm="1">
        <f t="array" aca="1" ref="CD59" ca="1">INDIRECT(ADDRESS($B59,CD$39+$A59,1,1,$D59))</f>
        <v>113296</v>
      </c>
      <c r="CE59" s="1" cm="1">
        <f t="array" aca="1" ref="CE59" ca="1">INDIRECT(ADDRESS($B59,CE$39+$A59,1,1,$D59))</f>
        <v>118181</v>
      </c>
      <c r="CF59" s="1" cm="1">
        <f t="array" aca="1" ref="CF59" ca="1">INDIRECT(ADDRESS($B59,CF$39+$A59,1,1,$D59))</f>
        <v>122171</v>
      </c>
      <c r="CG59" s="1" cm="1">
        <f t="array" aca="1" ref="CG59" ca="1">INDIRECT(ADDRESS($B59,CG$39+$A59,1,1,$D59))</f>
        <v>124908</v>
      </c>
      <c r="CH59" s="1" cm="1">
        <f t="array" aca="1" ref="CH59" ca="1">INDIRECT(ADDRESS($B59,CH$39+$A59,1,1,$D59))</f>
        <v>127854</v>
      </c>
      <c r="CI59" s="1" cm="1">
        <f t="array" aca="1" ref="CI59" ca="1">INDIRECT(ADDRESS($B59,CI$39+$A59,1,1,$D59))</f>
        <v>130072</v>
      </c>
      <c r="CJ59" s="1" cm="1">
        <f t="array" aca="1" ref="CJ59" ca="1">INDIRECT(ADDRESS($B59,CJ$39+$A59,1,1,$D59))</f>
        <v>131359</v>
      </c>
      <c r="CK59" s="1" cm="1">
        <f t="array" aca="1" ref="CK59" ca="1">INDIRECT(ADDRESS($B59,CK$39+$A59,1,1,$D59))</f>
        <v>134753</v>
      </c>
      <c r="CL59" s="1" cm="1">
        <f t="array" aca="1" ref="CL59" ca="1">INDIRECT(ADDRESS($B59,CL$39+$A59,1,1,$D59))</f>
        <v>137698</v>
      </c>
      <c r="CM59" s="1" cm="1">
        <f t="array" aca="1" ref="CM59" ca="1">INDIRECT(ADDRESS($B59,CM$39+$A59,1,1,$D59))</f>
        <v>141397</v>
      </c>
      <c r="CN59" s="1" cm="1">
        <f t="array" aca="1" ref="CN59" ca="1">INDIRECT(ADDRESS($B59,CN$39+$A59,1,1,$D59))</f>
        <v>0</v>
      </c>
      <c r="CO59" s="1" cm="1">
        <f t="array" aca="1" ref="CO59" ca="1">INDIRECT(ADDRESS($B59,CO$39+$A59,1,1,$D59))</f>
        <v>0</v>
      </c>
    </row>
    <row r="60" spans="1:93" x14ac:dyDescent="0.25">
      <c r="A60">
        <v>8</v>
      </c>
      <c r="B60">
        <f t="shared" ca="1" si="26"/>
        <v>16</v>
      </c>
      <c r="C60" s="1" t="str">
        <f t="shared" si="25"/>
        <v>Singapore</v>
      </c>
      <c r="D60" t="str">
        <f t="shared" si="27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1</v>
      </c>
      <c r="G60" s="1" cm="1">
        <f t="array" aca="1" ref="G60" ca="1">INDIRECT(ADDRESS($B60,G$39+$A60,1,1,$D60))</f>
        <v>3</v>
      </c>
      <c r="H60" s="1" cm="1">
        <f t="array" aca="1" ref="H60" ca="1">INDIRECT(ADDRESS($B60,H$39+$A60,1,1,$D60))</f>
        <v>3</v>
      </c>
      <c r="I60" s="1" cm="1">
        <f t="array" aca="1" ref="I60" ca="1">INDIRECT(ADDRESS($B60,I$39+$A60,1,1,$D60))</f>
        <v>4</v>
      </c>
      <c r="J60" s="1" cm="1">
        <f t="array" aca="1" ref="J60" ca="1">INDIRECT(ADDRESS($B60,J$39+$A60,1,1,$D60))</f>
        <v>5</v>
      </c>
      <c r="K60" s="1" cm="1">
        <f t="array" aca="1" ref="K60" ca="1">INDIRECT(ADDRESS($B60,K$39+$A60,1,1,$D60))</f>
        <v>7</v>
      </c>
      <c r="L60" s="1" cm="1">
        <f t="array" aca="1" ref="L60" ca="1">INDIRECT(ADDRESS($B60,L$39+$A60,1,1,$D60))</f>
        <v>8.5</v>
      </c>
      <c r="M60" s="1" cm="1">
        <f t="array" aca="1" ref="M60" ca="1">INDIRECT(ADDRESS($B60,M$39+$A60,1,1,$D60))</f>
        <v>10</v>
      </c>
      <c r="N60" s="1" cm="1">
        <f t="array" aca="1" ref="N60" ca="1">INDIRECT(ADDRESS($B60,N$39+$A60,1,1,$D60))</f>
        <v>13</v>
      </c>
      <c r="O60" s="1" cm="1">
        <f t="array" aca="1" ref="O60" ca="1">INDIRECT(ADDRESS($B60,O$39+$A60,1,1,$D60))</f>
        <v>16</v>
      </c>
      <c r="P60" s="1" cm="1">
        <f t="array" aca="1" ref="P60" ca="1">INDIRECT(ADDRESS($B60,P$39+$A60,1,1,$D60))</f>
        <v>18</v>
      </c>
      <c r="Q60" s="1" cm="1">
        <f t="array" aca="1" ref="Q60" ca="1">INDIRECT(ADDRESS($B60,Q$39+$A60,1,1,$D60))</f>
        <v>21</v>
      </c>
      <c r="R60" s="1" cm="1">
        <f t="array" aca="1" ref="R60" ca="1">INDIRECT(ADDRESS($B60,R$39+$A60,1,1,$D60))</f>
        <v>24</v>
      </c>
      <c r="S60" s="1" cm="1">
        <f t="array" aca="1" ref="S60" ca="1">INDIRECT(ADDRESS($B60,S$39+$A60,1,1,$D60))</f>
        <v>28</v>
      </c>
      <c r="T60" s="1" cm="1">
        <f t="array" aca="1" ref="T60" ca="1">INDIRECT(ADDRESS($B60,T$39+$A60,1,1,$D60))</f>
        <v>29</v>
      </c>
      <c r="U60" s="1" cm="1">
        <f t="array" aca="1" ref="U60" ca="1">INDIRECT(ADDRESS($B60,U$39+$A60,1,1,$D60))</f>
        <v>30</v>
      </c>
      <c r="V60" s="1" cm="1">
        <f t="array" aca="1" ref="V60" ca="1">INDIRECT(ADDRESS($B60,V$39+$A60,1,1,$D60))</f>
        <v>33</v>
      </c>
      <c r="W60" s="1" cm="1">
        <f t="array" aca="1" ref="W60" ca="1">INDIRECT(ADDRESS($B60,W$39+$A60,1,1,$D60))</f>
        <v>40</v>
      </c>
      <c r="X60" s="1" cm="1">
        <f t="array" aca="1" ref="X60" ca="1">INDIRECT(ADDRESS($B60,X$39+$A60,1,1,$D60))</f>
        <v>45</v>
      </c>
      <c r="Y60" s="1" cm="1">
        <f t="array" aca="1" ref="Y60" ca="1">INDIRECT(ADDRESS($B60,Y$39+$A60,1,1,$D60))</f>
        <v>47</v>
      </c>
      <c r="Z60" s="1" cm="1">
        <f t="array" aca="1" ref="Z60" ca="1">INDIRECT(ADDRESS($B60,Z$39+$A60,1,1,$D60))</f>
        <v>50</v>
      </c>
      <c r="AA60" s="1" cm="1">
        <f t="array" aca="1" ref="AA60" ca="1">INDIRECT(ADDRESS($B60,AA$39+$A60,1,1,$D60))</f>
        <v>58</v>
      </c>
      <c r="AB60" s="1" cm="1">
        <f t="array" aca="1" ref="AB60" ca="1">INDIRECT(ADDRESS($B60,AB$39+$A60,1,1,$D60))</f>
        <v>67</v>
      </c>
      <c r="AC60" s="1" cm="1">
        <f t="array" aca="1" ref="AC60" ca="1">INDIRECT(ADDRESS($B60,AC$39+$A60,1,1,$D60))</f>
        <v>72</v>
      </c>
      <c r="AD60" s="1" cm="1">
        <f t="array" aca="1" ref="AD60" ca="1">INDIRECT(ADDRESS($B60,AD$39+$A60,1,1,$D60))</f>
        <v>75</v>
      </c>
      <c r="AE60" s="1" cm="1">
        <f t="array" aca="1" ref="AE60" ca="1">INDIRECT(ADDRESS($B60,AE$39+$A60,1,1,$D60))</f>
        <v>77</v>
      </c>
      <c r="AF60" s="1" cm="1">
        <f t="array" aca="1" ref="AF60" ca="1">INDIRECT(ADDRESS($B60,AF$39+$A60,1,1,$D60))</f>
        <v>81</v>
      </c>
      <c r="AG60" s="1" cm="1">
        <f t="array" aca="1" ref="AG60" ca="1">INDIRECT(ADDRESS($B60,AG$39+$A60,1,1,$D60))</f>
        <v>84</v>
      </c>
      <c r="AH60" s="1" cm="1">
        <f t="array" aca="1" ref="AH60" ca="1">INDIRECT(ADDRESS($B60,AH$39+$A60,1,1,$D60))</f>
        <v>84.5</v>
      </c>
      <c r="AI60" s="1" cm="1">
        <f t="array" aca="1" ref="AI60" ca="1">INDIRECT(ADDRESS($B60,AI$39+$A60,1,1,$D60))</f>
        <v>85</v>
      </c>
      <c r="AJ60" s="1" cm="1">
        <f t="array" aca="1" ref="AJ60" ca="1">INDIRECT(ADDRESS($B60,AJ$39+$A60,1,1,$D60))</f>
        <v>87</v>
      </c>
      <c r="AK60" s="1" cm="1">
        <f t="array" aca="1" ref="AK60" ca="1">INDIRECT(ADDRESS($B60,AK$39+$A60,1,1,$D60))</f>
        <v>89</v>
      </c>
      <c r="AL60" s="1" cm="1">
        <f t="array" aca="1" ref="AL60" ca="1">INDIRECT(ADDRESS($B60,AL$39+$A60,1,1,$D60))</f>
        <v>90</v>
      </c>
      <c r="AM60" s="1" cm="1">
        <f t="array" aca="1" ref="AM60" ca="1">INDIRECT(ADDRESS($B60,AM$39+$A60,1,1,$D60))</f>
        <v>91</v>
      </c>
      <c r="AN60" s="1" cm="1">
        <f t="array" aca="1" ref="AN60" ca="1">INDIRECT(ADDRESS($B60,AN$39+$A60,1,1,$D60))</f>
        <v>93</v>
      </c>
      <c r="AO60" s="1" cm="1">
        <f t="array" aca="1" ref="AO60" ca="1">INDIRECT(ADDRESS($B60,AO$39+$A60,1,1,$D60))</f>
        <v>96</v>
      </c>
      <c r="AP60" s="1" cm="1">
        <f t="array" aca="1" ref="AP60" ca="1">INDIRECT(ADDRESS($B60,AP$39+$A60,1,1,$D60))</f>
        <v>99</v>
      </c>
      <c r="AQ60" s="1" cm="1">
        <f t="array" aca="1" ref="AQ60" ca="1">INDIRECT(ADDRESS($B60,AQ$39+$A60,1,1,$D60))</f>
        <v>102</v>
      </c>
      <c r="AR60" s="1" cm="1">
        <f t="array" aca="1" ref="AR60" ca="1">INDIRECT(ADDRESS($B60,AR$39+$A60,1,1,$D60))</f>
        <v>106</v>
      </c>
      <c r="AS60" s="1" cm="1">
        <f t="array" aca="1" ref="AS60" ca="1">INDIRECT(ADDRESS($B60,AS$39+$A60,1,1,$D60))</f>
        <v>108</v>
      </c>
      <c r="AT60" s="1" cm="1">
        <f t="array" aca="1" ref="AT60" ca="1">INDIRECT(ADDRESS($B60,AT$39+$A60,1,1,$D60))</f>
        <v>110</v>
      </c>
      <c r="AU60" s="1" cm="1">
        <f t="array" aca="1" ref="AU60" ca="1">INDIRECT(ADDRESS($B60,AU$39+$A60,1,1,$D60))</f>
        <v>113.5</v>
      </c>
      <c r="AV60" s="1" cm="1">
        <f t="array" aca="1" ref="AV60" ca="1">INDIRECT(ADDRESS($B60,AV$39+$A60,1,1,$D60))</f>
        <v>117</v>
      </c>
      <c r="AW60" s="1" cm="1">
        <f t="array" aca="1" ref="AW60" ca="1">INDIRECT(ADDRESS($B60,AW$39+$A60,1,1,$D60))</f>
        <v>130</v>
      </c>
      <c r="AX60" s="1" cm="1">
        <f t="array" aca="1" ref="AX60" ca="1">INDIRECT(ADDRESS($B60,AX$39+$A60,1,1,$D60))</f>
        <v>138</v>
      </c>
      <c r="AY60" s="1" cm="1">
        <f t="array" aca="1" ref="AY60" ca="1">INDIRECT(ADDRESS($B60,AY$39+$A60,1,1,$D60))</f>
        <v>150</v>
      </c>
      <c r="AZ60" s="1" cm="1">
        <f t="array" aca="1" ref="AZ60" ca="1">INDIRECT(ADDRESS($B60,AZ$39+$A60,1,1,$D60))</f>
        <v>155</v>
      </c>
      <c r="BA60" s="1" cm="1">
        <f t="array" aca="1" ref="BA60" ca="1">INDIRECT(ADDRESS($B60,BA$39+$A60,1,1,$D60))</f>
        <v>160</v>
      </c>
      <c r="BB60" s="1" cm="1">
        <f t="array" aca="1" ref="BB60" ca="1">INDIRECT(ADDRESS($B60,BB$39+$A60,1,1,$D60))</f>
        <v>178</v>
      </c>
      <c r="BC60" s="1" cm="1">
        <f t="array" aca="1" ref="BC60" ca="1">INDIRECT(ADDRESS($B60,BC$39+$A60,1,1,$D60))</f>
        <v>189</v>
      </c>
      <c r="BD60" s="1" cm="1">
        <f t="array" aca="1" ref="BD60" ca="1">INDIRECT(ADDRESS($B60,BD$39+$A60,1,1,$D60))</f>
        <v>200</v>
      </c>
      <c r="BE60" s="1" cm="1">
        <f t="array" aca="1" ref="BE60" ca="1">INDIRECT(ADDRESS($B60,BE$39+$A60,1,1,$D60))</f>
        <v>212</v>
      </c>
      <c r="BF60" s="1" cm="1">
        <f t="array" aca="1" ref="BF60" ca="1">INDIRECT(ADDRESS($B60,BF$39+$A60,1,1,$D60))</f>
        <v>226</v>
      </c>
      <c r="BG60" s="1" cm="1">
        <f t="array" aca="1" ref="BG60" ca="1">INDIRECT(ADDRESS($B60,BG$39+$A60,1,1,$D60))</f>
        <v>243</v>
      </c>
      <c r="BH60" s="1" cm="1">
        <f t="array" aca="1" ref="BH60" ca="1">INDIRECT(ADDRESS($B60,BH$39+$A60,1,1,$D60))</f>
        <v>266</v>
      </c>
      <c r="BI60" s="1" cm="1">
        <f t="array" aca="1" ref="BI60" ca="1">INDIRECT(ADDRESS($B60,BI$39+$A60,1,1,$D60))</f>
        <v>313</v>
      </c>
      <c r="BJ60" s="1" cm="1">
        <f t="array" aca="1" ref="BJ60" ca="1">INDIRECT(ADDRESS($B60,BJ$39+$A60,1,1,$D60))</f>
        <v>345</v>
      </c>
      <c r="BK60" s="1" cm="1">
        <f t="array" aca="1" ref="BK60" ca="1">INDIRECT(ADDRESS($B60,BK$39+$A60,1,1,$D60))</f>
        <v>385</v>
      </c>
      <c r="BL60" s="1" cm="1">
        <f t="array" aca="1" ref="BL60" ca="1">INDIRECT(ADDRESS($B60,BL$39+$A60,1,1,$D60))</f>
        <v>432</v>
      </c>
      <c r="BM60" s="1" cm="1">
        <f t="array" aca="1" ref="BM60" ca="1">INDIRECT(ADDRESS($B60,BM$39+$A60,1,1,$D60))</f>
        <v>455</v>
      </c>
      <c r="BN60" s="1" cm="1">
        <f t="array" aca="1" ref="BN60" ca="1">INDIRECT(ADDRESS($B60,BN$39+$A60,1,1,$D60))</f>
        <v>509</v>
      </c>
      <c r="BO60" s="1" cm="1">
        <f t="array" aca="1" ref="BO60" ca="1">INDIRECT(ADDRESS($B60,BO$39+$A60,1,1,$D60))</f>
        <v>558</v>
      </c>
      <c r="BP60" s="1" cm="1">
        <f t="array" aca="1" ref="BP60" ca="1">INDIRECT(ADDRESS($B60,BP$39+$A60,1,1,$D60))</f>
        <v>631</v>
      </c>
      <c r="BQ60" s="1" cm="1">
        <f t="array" aca="1" ref="BQ60" ca="1">INDIRECT(ADDRESS($B60,BQ$39+$A60,1,1,$D60))</f>
        <v>683</v>
      </c>
      <c r="BR60" s="1" cm="1">
        <f t="array" aca="1" ref="BR60" ca="1">INDIRECT(ADDRESS($B60,BR$39+$A60,1,1,$D60))</f>
        <v>732</v>
      </c>
      <c r="BS60" s="1" cm="1">
        <f t="array" aca="1" ref="BS60" ca="1">INDIRECT(ADDRESS($B60,BS$39+$A60,1,1,$D60))</f>
        <v>802</v>
      </c>
      <c r="BT60" s="1" cm="1">
        <f t="array" aca="1" ref="BT60" ca="1">INDIRECT(ADDRESS($B60,BT$39+$A60,1,1,$D60))</f>
        <v>844</v>
      </c>
      <c r="BU60" s="1" cm="1">
        <f t="array" aca="1" ref="BU60" ca="1">INDIRECT(ADDRESS($B60,BU$39+$A60,1,1,$D60))</f>
        <v>879</v>
      </c>
      <c r="BV60" s="1" cm="1">
        <f t="array" aca="1" ref="BV60" ca="1">INDIRECT(ADDRESS($B60,BV$39+$A60,1,1,$D60))</f>
        <v>926</v>
      </c>
      <c r="BW60" s="1" cm="1">
        <f t="array" aca="1" ref="BW60" ca="1">INDIRECT(ADDRESS($B60,BW$39+$A60,1,1,$D60))</f>
        <v>1000</v>
      </c>
      <c r="BX60" s="1" cm="1">
        <f t="array" aca="1" ref="BX60" ca="1">INDIRECT(ADDRESS($B60,BX$39+$A60,1,1,$D60))</f>
        <v>1049</v>
      </c>
      <c r="BY60" s="1" cm="1">
        <f t="array" aca="1" ref="BY60" ca="1">INDIRECT(ADDRESS($B60,BY$39+$A60,1,1,$D60))</f>
        <v>1114</v>
      </c>
      <c r="BZ60" s="1" cm="1">
        <f t="array" aca="1" ref="BZ60" ca="1">INDIRECT(ADDRESS($B60,BZ$39+$A60,1,1,$D60))</f>
        <v>1189</v>
      </c>
      <c r="CA60" s="1" cm="1">
        <f t="array" aca="1" ref="CA60" ca="1">INDIRECT(ADDRESS($B60,CA$39+$A60,1,1,$D60))</f>
        <v>1309</v>
      </c>
      <c r="CB60" s="1" cm="1">
        <f t="array" aca="1" ref="CB60" ca="1">INDIRECT(ADDRESS($B60,CB$39+$A60,1,1,$D60))</f>
        <v>1375</v>
      </c>
      <c r="CC60" s="1" cm="1">
        <f t="array" aca="1" ref="CC60" ca="1">INDIRECT(ADDRESS($B60,CC$39+$A60,1,1,$D60))</f>
        <v>1481</v>
      </c>
      <c r="CD60" s="1" cm="1">
        <f t="array" aca="1" ref="CD60" ca="1">INDIRECT(ADDRESS($B60,CD$39+$A60,1,1,$D60))</f>
        <v>1623</v>
      </c>
      <c r="CE60" s="1" cm="1">
        <f t="array" aca="1" ref="CE60" ca="1">INDIRECT(ADDRESS($B60,CE$39+$A60,1,1,$D60))</f>
        <v>1910</v>
      </c>
      <c r="CF60" s="1" cm="1">
        <f t="array" aca="1" ref="CF60" ca="1">INDIRECT(ADDRESS($B60,CF$39+$A60,1,1,$D60))</f>
        <v>2108</v>
      </c>
      <c r="CG60" s="1" cm="1">
        <f t="array" aca="1" ref="CG60" ca="1">INDIRECT(ADDRESS($B60,CG$39+$A60,1,1,$D60))</f>
        <v>2299</v>
      </c>
      <c r="CH60" s="1" cm="1">
        <f t="array" aca="1" ref="CH60" ca="1">INDIRECT(ADDRESS($B60,CH$39+$A60,1,1,$D60))</f>
        <v>2532</v>
      </c>
      <c r="CI60" s="1" cm="1">
        <f t="array" aca="1" ref="CI60" ca="1">INDIRECT(ADDRESS($B60,CI$39+$A60,1,1,$D60))</f>
        <v>2918</v>
      </c>
      <c r="CJ60" s="1" cm="1">
        <f t="array" aca="1" ref="CJ60" ca="1">INDIRECT(ADDRESS($B60,CJ$39+$A60,1,1,$D60))</f>
        <v>3252</v>
      </c>
      <c r="CK60" s="1" cm="1">
        <f t="array" aca="1" ref="CK60" ca="1">INDIRECT(ADDRESS($B60,CK$39+$A60,1,1,$D60))</f>
        <v>3699</v>
      </c>
      <c r="CL60" s="1" cm="1">
        <f t="array" aca="1" ref="CL60" ca="1">INDIRECT(ADDRESS($B60,CL$39+$A60,1,1,$D60))</f>
        <v>4427</v>
      </c>
      <c r="CM60" s="1" cm="1">
        <f t="array" aca="1" ref="CM60" ca="1">INDIRECT(ADDRESS($B60,CM$39+$A60,1,1,$D60))</f>
        <v>5050</v>
      </c>
      <c r="CN60" s="1" cm="1">
        <f t="array" aca="1" ref="CN60" ca="1">INDIRECT(ADDRESS($B60,CN$39+$A60,1,1,$D60))</f>
        <v>0</v>
      </c>
      <c r="CO60" s="1" cm="1">
        <f t="array" aca="1" ref="CO60" ca="1">INDIRECT(ADDRESS($B60,CO$39+$A60,1,1,$D60))</f>
        <v>0</v>
      </c>
    </row>
    <row r="61" spans="1:93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cm="1">
        <f t="array" aca="1" ref="CN62" ca="1">INDIRECT(ADDRESS($B62,CN$39+$A62,1,1,$C62))</f>
        <v>0</v>
      </c>
      <c r="CO62" s="5" cm="1">
        <f t="array" aca="1" ref="CO62" ca="1">INDIRECT(ADDRESS($B62,CO$39+$A62,1,1,$C62))</f>
        <v>0</v>
      </c>
    </row>
    <row r="63" spans="1:93" x14ac:dyDescent="0.25">
      <c r="A63">
        <v>8</v>
      </c>
      <c r="B63">
        <f ca="1">MATCH($C63,INDIRECT("'"&amp;$C$62&amp;"'!A:A"),0)</f>
        <v>20</v>
      </c>
      <c r="C63" s="1" t="str">
        <f t="shared" ref="C63:C70" si="28">C8</f>
        <v>US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</row>
    <row r="64" spans="1:93" x14ac:dyDescent="0.25">
      <c r="A64">
        <v>8</v>
      </c>
      <c r="B64">
        <f t="shared" ref="B64:B70" ca="1" si="29">MATCH($C64,INDIRECT("'"&amp;$C$62&amp;"'!A:A"),0)</f>
        <v>5</v>
      </c>
      <c r="C64" s="1" t="str">
        <f t="shared" si="28"/>
        <v>China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</row>
    <row r="65" spans="1:93" x14ac:dyDescent="0.25">
      <c r="A65">
        <v>8</v>
      </c>
      <c r="B65">
        <f t="shared" ca="1" si="29"/>
        <v>3</v>
      </c>
      <c r="C65" s="1" t="str">
        <f t="shared" si="28"/>
        <v>Belgium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</row>
    <row r="66" spans="1:93" x14ac:dyDescent="0.25">
      <c r="A66">
        <v>8</v>
      </c>
      <c r="B66">
        <f t="shared" ca="1" si="29"/>
        <v>11</v>
      </c>
      <c r="C66" s="1" t="str">
        <f t="shared" si="28"/>
        <v>Italy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</row>
    <row r="67" spans="1:93" x14ac:dyDescent="0.25">
      <c r="A67">
        <v>8</v>
      </c>
      <c r="B67">
        <f t="shared" ca="1" si="29"/>
        <v>7</v>
      </c>
      <c r="C67" s="1" t="str">
        <f t="shared" si="28"/>
        <v>France</v>
      </c>
      <c r="D67" t="str">
        <f t="shared" ref="D67:D70" si="30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</row>
    <row r="68" spans="1:93" x14ac:dyDescent="0.25">
      <c r="A68">
        <v>8</v>
      </c>
      <c r="B68">
        <f t="shared" ca="1" si="29"/>
        <v>19</v>
      </c>
      <c r="C68" s="1" t="str">
        <f t="shared" si="28"/>
        <v>Switzerland</v>
      </c>
      <c r="D68" t="str">
        <f t="shared" si="30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</row>
    <row r="69" spans="1:93" x14ac:dyDescent="0.25">
      <c r="A69">
        <v>8</v>
      </c>
      <c r="B69">
        <f t="shared" ca="1" si="29"/>
        <v>8</v>
      </c>
      <c r="C69" s="1" t="str">
        <f t="shared" si="28"/>
        <v>Germany</v>
      </c>
      <c r="D69" t="str">
        <f t="shared" si="30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</row>
    <row r="70" spans="1:93" x14ac:dyDescent="0.25">
      <c r="A70">
        <v>8</v>
      </c>
      <c r="B70">
        <f t="shared" ca="1" si="29"/>
        <v>16</v>
      </c>
      <c r="C70" s="1" t="str">
        <f t="shared" si="28"/>
        <v>Singapore</v>
      </c>
      <c r="D70" t="str">
        <f t="shared" si="30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</row>
    <row r="71" spans="1:93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</row>
    <row r="72" spans="1:93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cm="1">
        <f t="array" aca="1" ref="CN72" ca="1">INDIRECT(ADDRESS($B72,CN$39+$A72,1,1,$C72))</f>
        <v>0</v>
      </c>
      <c r="CO72" s="5" cm="1">
        <f t="array" aca="1" ref="CO72" ca="1">INDIRECT(ADDRESS($B72,CO$39+$A72,1,1,$C72))</f>
        <v>0</v>
      </c>
    </row>
    <row r="73" spans="1:93" x14ac:dyDescent="0.25">
      <c r="A73">
        <v>8</v>
      </c>
      <c r="B73">
        <f ca="1">MATCH($C73,INDIRECT("'"&amp;$C$72&amp;"'!A:A"),0)</f>
        <v>20</v>
      </c>
      <c r="C73" s="1" t="str">
        <f t="shared" ref="C73:C80" si="31">C8</f>
        <v>US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1</v>
      </c>
      <c r="T73" s="1" cm="1">
        <f t="array" aca="1" ref="T73" ca="1">INDIRECT(ADDRESS($B73,T$39+$A73,1,1,$D73))</f>
        <v>1</v>
      </c>
      <c r="U73" s="1" cm="1">
        <f t="array" aca="1" ref="U73" ca="1">INDIRECT(ADDRESS($B73,U$39+$A73,1,1,$D73))</f>
        <v>2</v>
      </c>
      <c r="V73" s="1" cm="1">
        <f t="array" aca="1" ref="V73" ca="1">INDIRECT(ADDRESS($B73,V$39+$A73,1,1,$D73))</f>
        <v>2</v>
      </c>
      <c r="W73" s="1" cm="1">
        <f t="array" aca="1" ref="W73" ca="1">INDIRECT(ADDRESS($B73,W$39+$A73,1,1,$D73))</f>
        <v>5</v>
      </c>
      <c r="X73" s="1" cm="1">
        <f t="array" aca="1" ref="X73" ca="1">INDIRECT(ADDRESS($B73,X$39+$A73,1,1,$D73))</f>
        <v>5.4</v>
      </c>
      <c r="Y73" s="1" cm="1">
        <f t="array" aca="1" ref="Y73" ca="1">INDIRECT(ADDRESS($B73,Y$39+$A73,1,1,$D73))</f>
        <v>5.8</v>
      </c>
      <c r="Z73" s="1" cm="1">
        <f t="array" aca="1" ref="Z73" ca="1">INDIRECT(ADDRESS($B73,Z$39+$A73,1,1,$D73))</f>
        <v>6.2</v>
      </c>
      <c r="AA73" s="1" cm="1">
        <f t="array" aca="1" ref="AA73" ca="1">INDIRECT(ADDRESS($B73,AA$39+$A73,1,1,$D73))</f>
        <v>6.6</v>
      </c>
      <c r="AB73" s="1" cm="1">
        <f t="array" aca="1" ref="AB73" ca="1">INDIRECT(ADDRESS($B73,AB$39+$A73,1,1,$D73))</f>
        <v>7</v>
      </c>
      <c r="AC73" s="1" cm="1">
        <f t="array" aca="1" ref="AC73" ca="1">INDIRECT(ADDRESS($B73,AC$39+$A73,1,1,$D73))</f>
        <v>8</v>
      </c>
      <c r="AD73" s="1" cm="1">
        <f t="array" aca="1" ref="AD73" ca="1">INDIRECT(ADDRESS($B73,AD$39+$A73,1,1,$D73))</f>
        <v>9.5</v>
      </c>
      <c r="AE73" s="1" cm="1">
        <f t="array" aca="1" ref="AE73" ca="1">INDIRECT(ADDRESS($B73,AE$39+$A73,1,1,$D73))</f>
        <v>11</v>
      </c>
      <c r="AF73" s="1" cm="1">
        <f t="array" aca="1" ref="AF73" ca="1">INDIRECT(ADDRESS($B73,AF$39+$A73,1,1,$D73))</f>
        <v>11.125</v>
      </c>
      <c r="AG73" s="1" cm="1">
        <f t="array" aca="1" ref="AG73" ca="1">INDIRECT(ADDRESS($B73,AG$39+$A73,1,1,$D73))</f>
        <v>11.25</v>
      </c>
      <c r="AH73" s="1" cm="1">
        <f t="array" aca="1" ref="AH73" ca="1">INDIRECT(ADDRESS($B73,AH$39+$A73,1,1,$D73))</f>
        <v>11.375</v>
      </c>
      <c r="AI73" s="1" cm="1">
        <f t="array" aca="1" ref="AI73" ca="1">INDIRECT(ADDRESS($B73,AI$39+$A73,1,1,$D73))</f>
        <v>11.5</v>
      </c>
      <c r="AJ73" s="1" cm="1">
        <f t="array" aca="1" ref="AJ73" ca="1">INDIRECT(ADDRESS($B73,AJ$39+$A73,1,1,$D73))</f>
        <v>11.625</v>
      </c>
      <c r="AK73" s="1" cm="1">
        <f t="array" aca="1" ref="AK73" ca="1">INDIRECT(ADDRESS($B73,AK$39+$A73,1,1,$D73))</f>
        <v>11.75</v>
      </c>
      <c r="AL73" s="1" cm="1">
        <f t="array" aca="1" ref="AL73" ca="1">INDIRECT(ADDRESS($B73,AL$39+$A73,1,1,$D73))</f>
        <v>11.875</v>
      </c>
      <c r="AM73" s="1" cm="1">
        <f t="array" aca="1" ref="AM73" ca="1">INDIRECT(ADDRESS($B73,AM$39+$A73,1,1,$D73))</f>
        <v>12</v>
      </c>
      <c r="AN73" s="1" cm="1">
        <f t="array" aca="1" ref="AN73" ca="1">INDIRECT(ADDRESS($B73,AN$39+$A73,1,1,$D73))</f>
        <v>12.5</v>
      </c>
      <c r="AO73" s="1" cm="1">
        <f t="array" aca="1" ref="AO73" ca="1">INDIRECT(ADDRESS($B73,AO$39+$A73,1,1,$D73))</f>
        <v>13</v>
      </c>
      <c r="AP73" s="1" cm="1">
        <f t="array" aca="1" ref="AP73" ca="1">INDIRECT(ADDRESS($B73,AP$39+$A73,1,1,$D73))</f>
        <v>13.25</v>
      </c>
      <c r="AQ73" s="1" cm="1">
        <f t="array" aca="1" ref="AQ73" ca="1">INDIRECT(ADDRESS($B73,AQ$39+$A73,1,1,$D73))</f>
        <v>12.5</v>
      </c>
      <c r="AR73" s="1" cm="1">
        <f t="array" aca="1" ref="AR73" ca="1">INDIRECT(ADDRESS($B73,AR$39+$A73,1,1,$D73))</f>
        <v>12.75</v>
      </c>
      <c r="AS73" s="1" cm="1">
        <f t="array" aca="1" ref="AS73" ca="1">INDIRECT(ADDRESS($B73,AS$39+$A73,1,1,$D73))</f>
        <v>8</v>
      </c>
      <c r="AT73" s="1" cm="1">
        <f t="array" aca="1" ref="AT73" ca="1">INDIRECT(ADDRESS($B73,AT$39+$A73,1,1,$D73))</f>
        <v>7.25</v>
      </c>
      <c r="AU73" s="1" cm="1">
        <f t="array" aca="1" ref="AU73" ca="1">INDIRECT(ADDRESS($B73,AU$39+$A73,1,1,$D73))</f>
        <v>3.5</v>
      </c>
      <c r="AV73" s="1" cm="1">
        <f t="array" aca="1" ref="AV73" ca="1">INDIRECT(ADDRESS($B73,AV$39+$A73,1,1,$D73))</f>
        <v>2.75</v>
      </c>
      <c r="AW73" s="1" cm="1">
        <f t="array" aca="1" ref="AW73" ca="1">INDIRECT(ADDRESS($B73,AW$39+$A73,1,1,$D73))</f>
        <v>1</v>
      </c>
      <c r="AX73" s="1" cm="1">
        <f t="array" aca="1" ref="AX73" ca="1">INDIRECT(ADDRESS($B73,AX$39+$A73,1,1,$D73))</f>
        <v>10</v>
      </c>
      <c r="AY73" s="1" cm="1">
        <f t="array" aca="1" ref="AY73" ca="1">INDIRECT(ADDRESS($B73,AY$39+$A73,1,1,$D73))</f>
        <v>18</v>
      </c>
      <c r="AZ73" s="1" cm="1">
        <f t="array" aca="1" ref="AZ73" ca="1">INDIRECT(ADDRESS($B73,AZ$39+$A73,1,1,$D73))</f>
        <v>29</v>
      </c>
      <c r="BA73" s="1" cm="1">
        <f t="array" aca="1" ref="BA73" ca="1">INDIRECT(ADDRESS($B73,BA$39+$A73,1,1,$D73))</f>
        <v>26</v>
      </c>
      <c r="BB73" s="1" cm="1">
        <f t="array" aca="1" ref="BB73" ca="1">INDIRECT(ADDRESS($B73,BB$39+$A73,1,1,$D73))</f>
        <v>21</v>
      </c>
      <c r="BC73" s="1" cm="1">
        <f t="array" aca="1" ref="BC73" ca="1">INDIRECT(ADDRESS($B73,BC$39+$A73,1,1,$D73))</f>
        <v>18</v>
      </c>
      <c r="BD73" s="1" cm="1">
        <f t="array" aca="1" ref="BD73" ca="1">INDIRECT(ADDRESS($B73,BD$39+$A73,1,1,$D73))</f>
        <v>13</v>
      </c>
      <c r="BE73" s="1" cm="1">
        <f t="array" aca="1" ref="BE73" ca="1">INDIRECT(ADDRESS($B73,BE$39+$A73,1,1,$D73))</f>
        <v>14</v>
      </c>
      <c r="BF73" s="1" cm="1">
        <f t="array" aca="1" ref="BF73" ca="1">INDIRECT(ADDRESS($B73,BF$39+$A73,1,1,$D73))</f>
        <v>11</v>
      </c>
      <c r="BG73" s="1" cm="1">
        <f t="array" aca="1" ref="BG73" ca="1">INDIRECT(ADDRESS($B73,BG$39+$A73,1,1,$D73))</f>
        <v>13</v>
      </c>
      <c r="BH73" s="1" cm="1">
        <f t="array" aca="1" ref="BH73" ca="1">INDIRECT(ADDRESS($B73,BH$39+$A73,1,1,$D73))</f>
        <v>10</v>
      </c>
      <c r="BI73" s="1" cm="1">
        <f t="array" aca="1" ref="BI73" ca="1">INDIRECT(ADDRESS($B73,BI$39+$A73,1,1,$D73))</f>
        <v>31</v>
      </c>
      <c r="BJ73" s="1" cm="1">
        <f t="array" aca="1" ref="BJ73" ca="1">INDIRECT(ADDRESS($B73,BJ$39+$A73,1,1,$D73))</f>
        <v>17</v>
      </c>
      <c r="BK73" s="1" cm="1">
        <f t="array" aca="1" ref="BK73" ca="1">INDIRECT(ADDRESS($B73,BK$39+$A73,1,1,$D73))</f>
        <v>18</v>
      </c>
      <c r="BL73" s="1" cm="1">
        <f t="array" aca="1" ref="BL73" ca="1">INDIRECT(ADDRESS($B73,BL$39+$A73,1,1,$D73))</f>
        <v>95</v>
      </c>
      <c r="BM73" s="1" cm="1">
        <f t="array" aca="1" ref="BM73" ca="1">INDIRECT(ADDRESS($B73,BM$39+$A73,1,1,$D73))</f>
        <v>101</v>
      </c>
      <c r="BN73" s="1" cm="1">
        <f t="array" aca="1" ref="BN73" ca="1">INDIRECT(ADDRESS($B73,BN$39+$A73,1,1,$D73))</f>
        <v>26</v>
      </c>
      <c r="BO73" s="1" cm="1">
        <f t="array" aca="1" ref="BO73" ca="1">INDIRECT(ADDRESS($B73,BO$39+$A73,1,1,$D73))</f>
        <v>253</v>
      </c>
      <c r="BP73" s="1" cm="1">
        <f t="array" aca="1" ref="BP73" ca="1">INDIRECT(ADDRESS($B73,BP$39+$A73,1,1,$D73))</f>
        <v>339</v>
      </c>
      <c r="BQ73" s="1" cm="1">
        <f t="array" aca="1" ref="BQ73" ca="1">INDIRECT(ADDRESS($B73,BQ$39+$A73,1,1,$D73))</f>
        <v>454</v>
      </c>
      <c r="BR73" s="1" cm="1">
        <f t="array" aca="1" ref="BR73" ca="1">INDIRECT(ADDRESS($B73,BR$39+$A73,1,1,$D73))</f>
        <v>598</v>
      </c>
      <c r="BS73" s="1" cm="1">
        <f t="array" aca="1" ref="BS73" ca="1">INDIRECT(ADDRESS($B73,BS$39+$A73,1,1,$D73))</f>
        <v>701</v>
      </c>
      <c r="BT73" s="1" cm="1">
        <f t="array" aca="1" ref="BT73" ca="1">INDIRECT(ADDRESS($B73,BT$39+$A73,1,1,$D73))</f>
        <v>1032</v>
      </c>
      <c r="BU73" s="1" cm="1">
        <f t="array" aca="1" ref="BU73" ca="1">INDIRECT(ADDRESS($B73,BU$39+$A73,1,1,$D73))</f>
        <v>1654</v>
      </c>
      <c r="BV73" s="1" cm="1">
        <f t="array" aca="1" ref="BV73" ca="1">INDIRECT(ADDRESS($B73,BV$39+$A73,1,1,$D73))</f>
        <v>2548</v>
      </c>
      <c r="BW73" s="1" cm="1">
        <f t="array" aca="1" ref="BW73" ca="1">INDIRECT(ADDRESS($B73,BW$39+$A73,1,1,$D73))</f>
        <v>3026</v>
      </c>
      <c r="BX73" s="1" cm="1">
        <f t="array" aca="1" ref="BX73" ca="1">INDIRECT(ADDRESS($B73,BX$39+$A73,1,1,$D73))</f>
        <v>7821</v>
      </c>
      <c r="BY73" s="1" cm="1">
        <f t="array" aca="1" ref="BY73" ca="1">INDIRECT(ADDRESS($B73,BY$39+$A73,1,1,$D73))</f>
        <v>12186</v>
      </c>
      <c r="BZ73" s="1" cm="1">
        <f t="array" aca="1" ref="BZ73" ca="1">INDIRECT(ADDRESS($B73,BZ$39+$A73,1,1,$D73))</f>
        <v>17193</v>
      </c>
      <c r="CA73" s="1" cm="1">
        <f t="array" aca="1" ref="CA73" ca="1">INDIRECT(ADDRESS($B73,CA$39+$A73,1,1,$D73))</f>
        <v>23657</v>
      </c>
      <c r="CB73" s="1" cm="1">
        <f t="array" aca="1" ref="CB73" ca="1">INDIRECT(ADDRESS($B73,CB$39+$A73,1,1,$D73))</f>
        <v>33060</v>
      </c>
      <c r="CC73" s="1" cm="1">
        <f t="array" aca="1" ref="CC73" ca="1">INDIRECT(ADDRESS($B73,CC$39+$A73,1,1,$D73))</f>
        <v>41014</v>
      </c>
      <c r="CD73" s="1" cm="1">
        <f t="array" aca="1" ref="CD73" ca="1">INDIRECT(ADDRESS($B73,CD$39+$A73,1,1,$D73))</f>
        <v>51083</v>
      </c>
      <c r="CE73" s="1" cm="1">
        <f t="array" aca="1" ref="CE73" ca="1">INDIRECT(ADDRESS($B73,CE$39+$A73,1,1,$D73))</f>
        <v>67358</v>
      </c>
      <c r="CF73" s="1" cm="1">
        <f t="array" aca="1" ref="CF73" ca="1">INDIRECT(ADDRESS($B73,CF$39+$A73,1,1,$D73))</f>
        <v>83071</v>
      </c>
      <c r="CG73" s="1" cm="1">
        <f t="array" aca="1" ref="CG73" ca="1">INDIRECT(ADDRESS($B73,CG$39+$A73,1,1,$D73))</f>
        <v>101003</v>
      </c>
      <c r="CH73" s="1" cm="1">
        <f t="array" aca="1" ref="CH73" ca="1">INDIRECT(ADDRESS($B73,CH$39+$A73,1,1,$D73))</f>
        <v>118890</v>
      </c>
      <c r="CI73" s="1" cm="1">
        <f t="array" aca="1" ref="CI73" ca="1">INDIRECT(ADDRESS($B73,CI$39+$A73,1,1,$D73))</f>
        <v>138303</v>
      </c>
      <c r="CJ73" s="1" cm="1">
        <f t="array" aca="1" ref="CJ73" ca="1">INDIRECT(ADDRESS($B73,CJ$39+$A73,1,1,$D73))</f>
        <v>162341</v>
      </c>
      <c r="CK73" s="1" cm="1">
        <f t="array" aca="1" ref="CK73" ca="1">INDIRECT(ADDRESS($B73,CK$39+$A73,1,1,$D73))</f>
        <v>185047</v>
      </c>
      <c r="CL73" s="1" cm="1">
        <f t="array" aca="1" ref="CL73" ca="1">INDIRECT(ADDRESS($B73,CL$39+$A73,1,1,$D73))</f>
        <v>210846</v>
      </c>
      <c r="CM73" s="1" cm="1">
        <f t="array" aca="1" ref="CM73" ca="1">INDIRECT(ADDRESS($B73,CM$39+$A73,1,1,$D73))</f>
        <v>238813</v>
      </c>
      <c r="CN73" s="1" cm="1">
        <f t="array" aca="1" ref="CN73" ca="1">INDIRECT(ADDRESS($B73,CN$39+$A73,1,1,$D73))</f>
        <v>0</v>
      </c>
      <c r="CO73" s="1" cm="1">
        <f t="array" aca="1" ref="CO73" ca="1">INDIRECT(ADDRESS($B73,CO$39+$A73,1,1,$D73))</f>
        <v>0</v>
      </c>
    </row>
    <row r="74" spans="1:93" x14ac:dyDescent="0.25">
      <c r="A74">
        <v>8</v>
      </c>
      <c r="B74">
        <f ca="1">MATCH($C74,INDIRECT("'"&amp;$C$72&amp;"'!A:A"),0)</f>
        <v>5</v>
      </c>
      <c r="C74" s="1" t="str">
        <f t="shared" si="31"/>
        <v>China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10</v>
      </c>
      <c r="U74" s="1" cm="1">
        <f t="array" aca="1" ref="U74" ca="1">INDIRECT(ADDRESS($B74,U$39+$A74,1,1,$D74))</f>
        <v>202</v>
      </c>
      <c r="V74" s="1" cm="1">
        <f t="array" aca="1" ref="V74" ca="1">INDIRECT(ADDRESS($B74,V$39+$A74,1,1,$D74))</f>
        <v>601</v>
      </c>
      <c r="W74" s="1" cm="1">
        <f t="array" aca="1" ref="W74" ca="1">INDIRECT(ADDRESS($B74,W$39+$A74,1,1,$D74))</f>
        <v>1170</v>
      </c>
      <c r="X74" s="1" cm="1">
        <f t="array" aca="1" ref="X74" ca="1">INDIRECT(ADDRESS($B74,X$39+$A74,1,1,$D74))</f>
        <v>1865</v>
      </c>
      <c r="Y74" s="1" cm="1">
        <f t="array" aca="1" ref="Y74" ca="1">INDIRECT(ADDRESS($B74,Y$39+$A74,1,1,$D74))</f>
        <v>4397</v>
      </c>
      <c r="Z74" s="1" cm="1">
        <f t="array" aca="1" ref="Z74" ca="1">INDIRECT(ADDRESS($B74,Z$39+$A74,1,1,$D74))</f>
        <v>4970</v>
      </c>
      <c r="AA74" s="1" cm="1">
        <f t="array" aca="1" ref="AA74" ca="1">INDIRECT(ADDRESS($B74,AA$39+$A74,1,1,$D74))</f>
        <v>6772</v>
      </c>
      <c r="AB74" s="1" cm="1">
        <f t="array" aca="1" ref="AB74" ca="1">INDIRECT(ADDRESS($B74,AB$39+$A74,1,1,$D74))</f>
        <v>8281</v>
      </c>
      <c r="AC74" s="1" cm="1">
        <f t="array" aca="1" ref="AC74" ca="1">INDIRECT(ADDRESS($B74,AC$39+$A74,1,1,$D74))</f>
        <v>10228</v>
      </c>
      <c r="AD74" s="1" cm="1">
        <f t="array" aca="1" ref="AD74" ca="1">INDIRECT(ADDRESS($B74,AD$39+$A74,1,1,$D74))</f>
        <v>14864</v>
      </c>
      <c r="AE74" s="1" cm="1">
        <f t="array" aca="1" ref="AE74" ca="1">INDIRECT(ADDRESS($B74,AE$39+$A74,1,1,$D74))</f>
        <v>17852</v>
      </c>
      <c r="AF74" s="1" cm="1">
        <f t="array" aca="1" ref="AF74" ca="1">INDIRECT(ADDRESS($B74,AF$39+$A74,1,1,$D74))</f>
        <v>21704</v>
      </c>
      <c r="AG74" s="1" cm="1">
        <f t="array" aca="1" ref="AG74" ca="1">INDIRECT(ADDRESS($B74,AG$39+$A74,1,1,$D74))</f>
        <v>25324</v>
      </c>
      <c r="AH74" s="1" cm="1">
        <f t="array" aca="1" ref="AH74" ca="1">INDIRECT(ADDRESS($B74,AH$39+$A74,1,1,$D74))</f>
        <v>28349</v>
      </c>
      <c r="AI74" s="1" cm="1">
        <f t="array" aca="1" ref="AI74" ca="1">INDIRECT(ADDRESS($B74,AI$39+$A74,1,1,$D74))</f>
        <v>31872</v>
      </c>
      <c r="AJ74" s="1" cm="1">
        <f t="array" aca="1" ref="AJ74" ca="1">INDIRECT(ADDRESS($B74,AJ$39+$A74,1,1,$D74))</f>
        <v>34371</v>
      </c>
      <c r="AK74" s="1" cm="1">
        <f t="array" aca="1" ref="AK74" ca="1">INDIRECT(ADDRESS($B74,AK$39+$A74,1,1,$D74))</f>
        <v>37384</v>
      </c>
      <c r="AL74" s="1" cm="1">
        <f t="array" aca="1" ref="AL74" ca="1">INDIRECT(ADDRESS($B74,AL$39+$A74,1,1,$D74))</f>
        <v>39759</v>
      </c>
      <c r="AM74" s="1" cm="1">
        <f t="array" aca="1" ref="AM74" ca="1">INDIRECT(ADDRESS($B74,AM$39+$A74,1,1,$D74))</f>
        <v>41721</v>
      </c>
      <c r="AN74" s="1" cm="1">
        <f t="array" aca="1" ref="AN74" ca="1">INDIRECT(ADDRESS($B74,AN$39+$A74,1,1,$D74))</f>
        <v>42042</v>
      </c>
      <c r="AO74" s="1" cm="1">
        <f t="array" aca="1" ref="AO74" ca="1">INDIRECT(ADDRESS($B74,AO$39+$A74,1,1,$D74))</f>
        <v>57149</v>
      </c>
      <c r="AP74" s="1" cm="1">
        <f t="array" aca="1" ref="AP74" ca="1">INDIRECT(ADDRESS($B74,AP$39+$A74,1,1,$D74))</f>
        <v>63568</v>
      </c>
      <c r="AQ74" s="1" cm="1">
        <f t="array" aca="1" ref="AQ74" ca="1">INDIRECT(ADDRESS($B74,AQ$39+$A74,1,1,$D74))</f>
        <v>65576</v>
      </c>
      <c r="AR74" s="1" cm="1">
        <f t="array" aca="1" ref="AR74" ca="1">INDIRECT(ADDRESS($B74,AR$39+$A74,1,1,$D74))</f>
        <v>67641</v>
      </c>
      <c r="AS74" s="1" cm="1">
        <f t="array" aca="1" ref="AS74" ca="1">INDIRECT(ADDRESS($B74,AS$39+$A74,1,1,$D74))</f>
        <v>69520</v>
      </c>
      <c r="AT74" s="1" cm="1">
        <f t="array" aca="1" ref="AT74" ca="1">INDIRECT(ADDRESS($B74,AT$39+$A74,1,1,$D74))</f>
        <v>71264</v>
      </c>
      <c r="AU74" s="1" cm="1">
        <f t="array" aca="1" ref="AU74" ca="1">INDIRECT(ADDRESS($B74,AU$39+$A74,1,1,$D74))</f>
        <v>71636</v>
      </c>
      <c r="AV74" s="1" cm="1">
        <f t="array" aca="1" ref="AV74" ca="1">INDIRECT(ADDRESS($B74,AV$39+$A74,1,1,$D74))</f>
        <v>72062</v>
      </c>
      <c r="AW74" s="1" cm="1">
        <f t="array" aca="1" ref="AW74" ca="1">INDIRECT(ADDRESS($B74,AW$39+$A74,1,1,$D74))</f>
        <v>72506</v>
      </c>
      <c r="AX74" s="1" cm="1">
        <f t="array" aca="1" ref="AX74" ca="1">INDIRECT(ADDRESS($B74,AX$39+$A74,1,1,$D74))</f>
        <v>73929</v>
      </c>
      <c r="AY74" s="1" cm="1">
        <f t="array" aca="1" ref="AY74" ca="1">INDIRECT(ADDRESS($B74,AY$39+$A74,1,1,$D74))</f>
        <v>73922</v>
      </c>
      <c r="AZ74" s="1" cm="1">
        <f t="array" aca="1" ref="AZ74" ca="1">INDIRECT(ADDRESS($B74,AZ$39+$A74,1,1,$D74))</f>
        <v>74118</v>
      </c>
      <c r="BA74" s="1" cm="1">
        <f t="array" aca="1" ref="BA74" ca="1">INDIRECT(ADDRESS($B74,BA$39+$A74,1,1,$D74))</f>
        <v>74615</v>
      </c>
      <c r="BB74" s="1" cm="1">
        <f t="array" aca="1" ref="BB74" ca="1">INDIRECT(ADDRESS($B74,BB$39+$A74,1,1,$D74))</f>
        <v>75005</v>
      </c>
      <c r="BC74" s="1" cm="1">
        <f t="array" aca="1" ref="BC74" ca="1">INDIRECT(ADDRESS($B74,BC$39+$A74,1,1,$D74))</f>
        <v>75428</v>
      </c>
      <c r="BD74" s="1" cm="1">
        <f t="array" aca="1" ref="BD74" ca="1">INDIRECT(ADDRESS($B74,BD$39+$A74,1,1,$D74))</f>
        <v>75748</v>
      </c>
      <c r="BE74" s="1" cm="1">
        <f t="array" aca="1" ref="BE74" ca="1">INDIRECT(ADDRESS($B74,BE$39+$A74,1,1,$D74))</f>
        <v>76163</v>
      </c>
      <c r="BF74" s="1" cm="1">
        <f t="array" aca="1" ref="BF74" ca="1">INDIRECT(ADDRESS($B74,BF$39+$A74,1,1,$D74))</f>
        <v>76729</v>
      </c>
      <c r="BG74" s="1" cm="1">
        <f t="array" aca="1" ref="BG74" ca="1">INDIRECT(ADDRESS($B74,BG$39+$A74,1,1,$D74))</f>
        <v>76919</v>
      </c>
      <c r="BH74" s="1" cm="1">
        <f t="array" aca="1" ref="BH74" ca="1">INDIRECT(ADDRESS($B74,BH$39+$A74,1,1,$D74))</f>
        <v>77031</v>
      </c>
      <c r="BI74" s="1" cm="1">
        <f t="array" aca="1" ref="BI74" ca="1">INDIRECT(ADDRESS($B74,BI$39+$A74,1,1,$D74))</f>
        <v>77145</v>
      </c>
      <c r="BJ74" s="1" cm="1">
        <f t="array" aca="1" ref="BJ74" ca="1">INDIRECT(ADDRESS($B74,BJ$39+$A74,1,1,$D74))</f>
        <v>77288</v>
      </c>
      <c r="BK74" s="1" cm="1">
        <f t="array" aca="1" ref="BK74" ca="1">INDIRECT(ADDRESS($B74,BK$39+$A74,1,1,$D74))</f>
        <v>77437</v>
      </c>
      <c r="BL74" s="1" cm="1">
        <f t="array" aca="1" ref="BL74" ca="1">INDIRECT(ADDRESS($B74,BL$39+$A74,1,1,$D74))</f>
        <v>77511</v>
      </c>
      <c r="BM74" s="1" cm="1">
        <f t="array" aca="1" ref="BM74" ca="1">INDIRECT(ADDRESS($B74,BM$39+$A74,1,1,$D74))</f>
        <v>77549</v>
      </c>
      <c r="BN74" s="1" cm="1">
        <f t="array" aca="1" ref="BN74" ca="1">INDIRECT(ADDRESS($B74,BN$39+$A74,1,1,$D74))</f>
        <v>77586</v>
      </c>
      <c r="BO74" s="1" cm="1">
        <f t="array" aca="1" ref="BO74" ca="1">INDIRECT(ADDRESS($B74,BO$39+$A74,1,1,$D74))</f>
        <v>77606</v>
      </c>
      <c r="BP74" s="1" cm="1">
        <f t="array" aca="1" ref="BP74" ca="1">INDIRECT(ADDRESS($B74,BP$39+$A74,1,1,$D74))</f>
        <v>77636</v>
      </c>
      <c r="BQ74" s="1" cm="1">
        <f t="array" aca="1" ref="BQ74" ca="1">INDIRECT(ADDRESS($B74,BQ$39+$A74,1,1,$D74))</f>
        <v>77641</v>
      </c>
      <c r="BR74" s="1" cm="1">
        <f t="array" aca="1" ref="BR74" ca="1">INDIRECT(ADDRESS($B74,BR$39+$A74,1,1,$D74))</f>
        <v>77649</v>
      </c>
      <c r="BS74" s="1" cm="1">
        <f t="array" aca="1" ref="BS74" ca="1">INDIRECT(ADDRESS($B74,BS$39+$A74,1,1,$D74))</f>
        <v>77678</v>
      </c>
      <c r="BT74" s="1" cm="1">
        <f t="array" aca="1" ref="BT74" ca="1">INDIRECT(ADDRESS($B74,BT$39+$A74,1,1,$D74))</f>
        <v>77699</v>
      </c>
      <c r="BU74" s="1" cm="1">
        <f t="array" aca="1" ref="BU74" ca="1">INDIRECT(ADDRESS($B74,BU$39+$A74,1,1,$D74))</f>
        <v>77725</v>
      </c>
      <c r="BV74" s="1" cm="1">
        <f t="array" aca="1" ref="BV74" ca="1">INDIRECT(ADDRESS($B74,BV$39+$A74,1,1,$D74))</f>
        <v>77749</v>
      </c>
      <c r="BW74" s="1" cm="1">
        <f t="array" aca="1" ref="BW74" ca="1">INDIRECT(ADDRESS($B74,BW$39+$A74,1,1,$D74))</f>
        <v>77786</v>
      </c>
      <c r="BX74" s="1" cm="1">
        <f t="array" aca="1" ref="BX74" ca="1">INDIRECT(ADDRESS($B74,BX$39+$A74,1,1,$D74))</f>
        <v>77834</v>
      </c>
      <c r="BY74" s="1" cm="1">
        <f t="array" aca="1" ref="BY74" ca="1">INDIRECT(ADDRESS($B74,BY$39+$A74,1,1,$D74))</f>
        <v>77924</v>
      </c>
      <c r="BZ74" s="1" cm="1">
        <f t="array" aca="1" ref="BZ74" ca="1">INDIRECT(ADDRESS($B74,BZ$39+$A74,1,1,$D74))</f>
        <v>77975</v>
      </c>
      <c r="CA74" s="1" cm="1">
        <f t="array" aca="1" ref="CA74" ca="1">INDIRECT(ADDRESS($B74,CA$39+$A74,1,1,$D74))</f>
        <v>78102</v>
      </c>
      <c r="CB74" s="1" cm="1">
        <f t="array" aca="1" ref="CB74" ca="1">INDIRECT(ADDRESS($B74,CB$39+$A74,1,1,$D74))</f>
        <v>78163</v>
      </c>
      <c r="CC74" s="1" cm="1">
        <f t="array" aca="1" ref="CC74" ca="1">INDIRECT(ADDRESS($B74,CC$39+$A74,1,1,$D74))</f>
        <v>78256</v>
      </c>
      <c r="CD74" s="1" cm="1">
        <f t="array" aca="1" ref="CD74" ca="1">INDIRECT(ADDRESS($B74,CD$39+$A74,1,1,$D74))</f>
        <v>78324</v>
      </c>
      <c r="CE74" s="1" cm="1">
        <f t="array" aca="1" ref="CE74" ca="1">INDIRECT(ADDRESS($B74,CE$39+$A74,1,1,$D74))</f>
        <v>78443</v>
      </c>
      <c r="CF74" s="1" cm="1">
        <f t="array" aca="1" ref="CF74" ca="1">INDIRECT(ADDRESS($B74,CF$39+$A74,1,1,$D74))</f>
        <v>78557</v>
      </c>
      <c r="CG74" s="1" cm="1">
        <f t="array" aca="1" ref="CG74" ca="1">INDIRECT(ADDRESS($B74,CG$39+$A74,1,1,$D74))</f>
        <v>78656</v>
      </c>
      <c r="CH74" s="1" cm="1">
        <f t="array" aca="1" ref="CH74" ca="1">INDIRECT(ADDRESS($B74,CH$39+$A74,1,1,$D74))</f>
        <v>78779</v>
      </c>
      <c r="CI74" s="1" cm="1">
        <f t="array" aca="1" ref="CI74" ca="1">INDIRECT(ADDRESS($B74,CI$39+$A74,1,1,$D74))</f>
        <v>78853</v>
      </c>
      <c r="CJ74" s="1" cm="1">
        <f t="array" aca="1" ref="CJ74" ca="1">INDIRECT(ADDRESS($B74,CJ$39+$A74,1,1,$D74))</f>
        <v>78934</v>
      </c>
      <c r="CK74" s="1" cm="1">
        <f t="array" aca="1" ref="CK74" ca="1">INDIRECT(ADDRESS($B74,CK$39+$A74,1,1,$D74))</f>
        <v>79015</v>
      </c>
      <c r="CL74" s="1" cm="1">
        <f t="array" aca="1" ref="CL74" ca="1">INDIRECT(ADDRESS($B74,CL$39+$A74,1,1,$D74))</f>
        <v>79086</v>
      </c>
      <c r="CM74" s="1" cm="1">
        <f t="array" aca="1" ref="CM74" ca="1">INDIRECT(ADDRESS($B74,CM$39+$A74,1,1,$D74))</f>
        <v>77875</v>
      </c>
      <c r="CN74" s="1" cm="1">
        <f t="array" aca="1" ref="CN74" ca="1">INDIRECT(ADDRESS($B74,CN$39+$A74,1,1,$D74))</f>
        <v>0</v>
      </c>
      <c r="CO74" s="1" cm="1">
        <f t="array" aca="1" ref="CO74" ca="1">INDIRECT(ADDRESS($B74,CO$39+$A74,1,1,$D74))</f>
        <v>0</v>
      </c>
    </row>
    <row r="75" spans="1:93" x14ac:dyDescent="0.25">
      <c r="A75">
        <v>8</v>
      </c>
      <c r="B75">
        <f ca="1">MATCH($C75,INDIRECT("'"&amp;$C$72&amp;"'!A:A"),0)</f>
        <v>3</v>
      </c>
      <c r="C75" s="1" t="str">
        <f t="shared" si="31"/>
        <v>Belgium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1</v>
      </c>
      <c r="AG75" s="1" cm="1">
        <f t="array" aca="1" ref="AG75" ca="1">INDIRECT(ADDRESS($B75,AG$39+$A75,1,1,$D75))</f>
        <v>1</v>
      </c>
      <c r="AH75" s="1" cm="1">
        <f t="array" aca="1" ref="AH75" ca="1">INDIRECT(ADDRESS($B75,AH$39+$A75,1,1,$D75))</f>
        <v>1</v>
      </c>
      <c r="AI75" s="1" cm="1">
        <f t="array" aca="1" ref="AI75" ca="1">INDIRECT(ADDRESS($B75,AI$39+$A75,1,1,$D75))</f>
        <v>1</v>
      </c>
      <c r="AJ75" s="1" cm="1">
        <f t="array" aca="1" ref="AJ75" ca="1">INDIRECT(ADDRESS($B75,AJ$39+$A75,1,1,$D75))</f>
        <v>1</v>
      </c>
      <c r="AK75" s="1" cm="1">
        <f t="array" aca="1" ref="AK75" ca="1">INDIRECT(ADDRESS($B75,AK$39+$A75,1,1,$D75))</f>
        <v>1</v>
      </c>
      <c r="AL75" s="1" cm="1">
        <f t="array" aca="1" ref="AL75" ca="1">INDIRECT(ADDRESS($B75,AL$39+$A75,1,1,$D75))</f>
        <v>1</v>
      </c>
      <c r="AM75" s="1" cm="1">
        <f t="array" aca="1" ref="AM75" ca="1">INDIRECT(ADDRESS($B75,AM$39+$A75,1,1,$D75))</f>
        <v>1</v>
      </c>
      <c r="AN75" s="1" cm="1">
        <f t="array" aca="1" ref="AN75" ca="1">INDIRECT(ADDRESS($B75,AN$39+$A75,1,1,$D75))</f>
        <v>1</v>
      </c>
      <c r="AO75" s="1" cm="1">
        <f t="array" aca="1" ref="AO75" ca="1">INDIRECT(ADDRESS($B75,AO$39+$A75,1,1,$D75))</f>
        <v>1</v>
      </c>
      <c r="AP75" s="1" cm="1">
        <f t="array" aca="1" ref="AP75" ca="1">INDIRECT(ADDRESS($B75,AP$39+$A75,1,1,$D75))</f>
        <v>1</v>
      </c>
      <c r="AQ75" s="1" cm="1">
        <f t="array" aca="1" ref="AQ75" ca="1">INDIRECT(ADDRESS($B75,AQ$39+$A75,1,1,$D75))</f>
        <v>1</v>
      </c>
      <c r="AR75" s="1" cm="1">
        <f t="array" aca="1" ref="AR75" ca="1">INDIRECT(ADDRESS($B75,AR$39+$A75,1,1,$D75))</f>
        <v>1</v>
      </c>
      <c r="AS75" s="1" cm="1">
        <f t="array" aca="1" ref="AS75" ca="1">INDIRECT(ADDRESS($B75,AS$39+$A75,1,1,$D75))</f>
        <v>1</v>
      </c>
      <c r="AT75" s="1" cm="1">
        <f t="array" aca="1" ref="AT75" ca="1">INDIRECT(ADDRESS($B75,AT$39+$A75,1,1,$D75))</f>
        <v>1</v>
      </c>
      <c r="AU75" s="1" cm="1">
        <f t="array" aca="1" ref="AU75" ca="1">INDIRECT(ADDRESS($B75,AU$39+$A75,1,1,$D75))</f>
        <v>1</v>
      </c>
      <c r="AV75" s="1" cm="1">
        <f t="array" aca="1" ref="AV75" ca="1">INDIRECT(ADDRESS($B75,AV$39+$A75,1,1,$D75))</f>
        <v>1</v>
      </c>
      <c r="AW75" s="1" cm="1">
        <f t="array" aca="1" ref="AW75" ca="1">INDIRECT(ADDRESS($B75,AW$39+$A75,1,1,$D75))</f>
        <v>1</v>
      </c>
      <c r="AX75" s="1" cm="1">
        <f t="array" aca="1" ref="AX75" ca="1">INDIRECT(ADDRESS($B75,AX$39+$A75,1,1,$D75))</f>
        <v>1</v>
      </c>
      <c r="AY75" s="1" cm="1">
        <f t="array" aca="1" ref="AY75" ca="1">INDIRECT(ADDRESS($B75,AY$39+$A75,1,1,$D75))</f>
        <v>1</v>
      </c>
      <c r="AZ75" s="1" cm="1">
        <f t="array" aca="1" ref="AZ75" ca="1">INDIRECT(ADDRESS($B75,AZ$39+$A75,1,1,$D75))</f>
        <v>1</v>
      </c>
      <c r="BA75" s="1" cm="1">
        <f t="array" aca="1" ref="BA75" ca="1">INDIRECT(ADDRESS($B75,BA$39+$A75,1,1,$D75))</f>
        <v>1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0</v>
      </c>
      <c r="BE75" s="1" cm="1">
        <f t="array" aca="1" ref="BE75" ca="1">INDIRECT(ADDRESS($B75,BE$39+$A75,1,1,$D75))</f>
        <v>0</v>
      </c>
      <c r="BF75" s="1" cm="1">
        <f t="array" aca="1" ref="BF75" ca="1">INDIRECT(ADDRESS($B75,BF$39+$A75,1,1,$D75))</f>
        <v>0</v>
      </c>
      <c r="BG75" s="1" cm="1">
        <f t="array" aca="1" ref="BG75" ca="1">INDIRECT(ADDRESS($B75,BG$39+$A75,1,1,$D75))</f>
        <v>3</v>
      </c>
      <c r="BH75" s="1" cm="1">
        <f t="array" aca="1" ref="BH75" ca="1">INDIRECT(ADDRESS($B75,BH$39+$A75,1,1,$D75))</f>
        <v>3</v>
      </c>
      <c r="BI75" s="1" cm="1">
        <f t="array" aca="1" ref="BI75" ca="1">INDIRECT(ADDRESS($B75,BI$39+$A75,1,1,$D75))</f>
        <v>9</v>
      </c>
      <c r="BJ75" s="1" cm="1">
        <f t="array" aca="1" ref="BJ75" ca="1">INDIRECT(ADDRESS($B75,BJ$39+$A75,1,1,$D75))</f>
        <v>29</v>
      </c>
      <c r="BK75" s="1" cm="1">
        <f t="array" aca="1" ref="BK75" ca="1">INDIRECT(ADDRESS($B75,BK$39+$A75,1,1,$D75))</f>
        <v>72</v>
      </c>
      <c r="BL75" s="1" cm="1">
        <f t="array" aca="1" ref="BL75" ca="1">INDIRECT(ADDRESS($B75,BL$39+$A75,1,1,$D75))</f>
        <v>102</v>
      </c>
      <c r="BM75" s="1" cm="1">
        <f t="array" aca="1" ref="BM75" ca="1">INDIRECT(ADDRESS($B75,BM$39+$A75,1,1,$D75))</f>
        <v>125</v>
      </c>
      <c r="BN75" s="1" cm="1">
        <f t="array" aca="1" ref="BN75" ca="1">INDIRECT(ADDRESS($B75,BN$39+$A75,1,1,$D75))</f>
        <v>151</v>
      </c>
      <c r="BO75" s="1" cm="1">
        <f t="array" aca="1" ref="BO75" ca="1">INDIRECT(ADDRESS($B75,BO$39+$A75,1,1,$D75))</f>
        <v>145</v>
      </c>
      <c r="BP75" s="1" cm="1">
        <f t="array" aca="1" ref="BP75" ca="1">INDIRECT(ADDRESS($B75,BP$39+$A75,1,1,$D75))</f>
        <v>136</v>
      </c>
      <c r="BQ75" s="1" cm="1">
        <f t="array" aca="1" ref="BQ75" ca="1">INDIRECT(ADDRESS($B75,BQ$39+$A75,1,1,$D75))</f>
        <v>216.5</v>
      </c>
      <c r="BR75" s="1" cm="1">
        <f t="array" aca="1" ref="BR75" ca="1">INDIRECT(ADDRESS($B75,BR$39+$A75,1,1,$D75))</f>
        <v>270</v>
      </c>
      <c r="BS75" s="1" cm="1">
        <f t="array" aca="1" ref="BS75" ca="1">INDIRECT(ADDRESS($B75,BS$39+$A75,1,1,$D75))</f>
        <v>336</v>
      </c>
      <c r="BT75" s="1" cm="1">
        <f t="array" aca="1" ref="BT75" ca="1">INDIRECT(ADDRESS($B75,BT$39+$A75,1,1,$D75))</f>
        <v>455</v>
      </c>
      <c r="BU75" s="1" cm="1">
        <f t="array" aca="1" ref="BU75" ca="1">INDIRECT(ADDRESS($B75,BU$39+$A75,1,1,$D75))</f>
        <v>545</v>
      </c>
      <c r="BV75" s="1" cm="1">
        <f t="array" aca="1" ref="BV75" ca="1">INDIRECT(ADDRESS($B75,BV$39+$A75,1,1,$D75))</f>
        <v>538</v>
      </c>
      <c r="BW75" s="1" cm="1">
        <f t="array" aca="1" ref="BW75" ca="1">INDIRECT(ADDRESS($B75,BW$39+$A75,1,1,$D75))</f>
        <v>658</v>
      </c>
      <c r="BX75" s="1" cm="1">
        <f t="array" aca="1" ref="BX75" ca="1">INDIRECT(ADDRESS($B75,BX$39+$A75,1,1,$D75))</f>
        <v>784</v>
      </c>
      <c r="BY75" s="1" cm="1">
        <f t="array" aca="1" ref="BY75" ca="1">INDIRECT(ADDRESS($B75,BY$39+$A75,1,1,$D75))</f>
        <v>1114</v>
      </c>
      <c r="BZ75" s="1" cm="1">
        <f t="array" aca="1" ref="BZ75" ca="1">INDIRECT(ADDRESS($B75,BZ$39+$A75,1,1,$D75))</f>
        <v>1532</v>
      </c>
      <c r="CA75" s="1" cm="1">
        <f t="array" aca="1" ref="CA75" ca="1">INDIRECT(ADDRESS($B75,CA$39+$A75,1,1,$D75))</f>
        <v>1954</v>
      </c>
      <c r="CB75" s="1" cm="1">
        <f t="array" aca="1" ref="CB75" ca="1">INDIRECT(ADDRESS($B75,CB$39+$A75,1,1,$D75))</f>
        <v>2111</v>
      </c>
      <c r="CC75" s="1" cm="1">
        <f t="array" aca="1" ref="CC75" ca="1">INDIRECT(ADDRESS($B75,CC$39+$A75,1,1,$D75))</f>
        <v>2234</v>
      </c>
      <c r="CD75" s="1" cm="1">
        <f t="array" aca="1" ref="CD75" ca="1">INDIRECT(ADDRESS($B75,CD$39+$A75,1,1,$D75))</f>
        <v>2697</v>
      </c>
      <c r="CE75" s="1" cm="1">
        <f t="array" aca="1" ref="CE75" ca="1">INDIRECT(ADDRESS($B75,CE$39+$A75,1,1,$D75))</f>
        <v>3712</v>
      </c>
      <c r="CF75" s="1" cm="1">
        <f t="array" aca="1" ref="CF75" ca="1">INDIRECT(ADDRESS($B75,CF$39+$A75,1,1,$D75))</f>
        <v>4265</v>
      </c>
      <c r="CG75" s="1" cm="1">
        <f t="array" aca="1" ref="CG75" ca="1">INDIRECT(ADDRESS($B75,CG$39+$A75,1,1,$D75))</f>
        <v>5788</v>
      </c>
      <c r="CH75" s="1" cm="1">
        <f t="array" aca="1" ref="CH75" ca="1">INDIRECT(ADDRESS($B75,CH$39+$A75,1,1,$D75))</f>
        <v>7236</v>
      </c>
      <c r="CI75" s="1" cm="1">
        <f t="array" aca="1" ref="CI75" ca="1">INDIRECT(ADDRESS($B75,CI$39+$A75,1,1,$D75))</f>
        <v>7996</v>
      </c>
      <c r="CJ75" s="1" cm="1">
        <f t="array" aca="1" ref="CJ75" ca="1">INDIRECT(ADDRESS($B75,CJ$39+$A75,1,1,$D75))</f>
        <v>8618</v>
      </c>
      <c r="CK75" s="1" cm="1">
        <f t="array" aca="1" ref="CK75" ca="1">INDIRECT(ADDRESS($B75,CK$39+$A75,1,1,$D75))</f>
        <v>9524</v>
      </c>
      <c r="CL75" s="1" cm="1">
        <f t="array" aca="1" ref="CL75" ca="1">INDIRECT(ADDRESS($B75,CL$39+$A75,1,1,$D75))</f>
        <v>10491</v>
      </c>
      <c r="CM75" s="1" cm="1">
        <f t="array" aca="1" ref="CM75" ca="1">INDIRECT(ADDRESS($B75,CM$39+$A75,1,1,$D75))</f>
        <v>11607</v>
      </c>
      <c r="CN75" s="1" cm="1">
        <f t="array" aca="1" ref="CN75" ca="1">INDIRECT(ADDRESS($B75,CN$39+$A75,1,1,$D75))</f>
        <v>0</v>
      </c>
      <c r="CO75" s="1" cm="1">
        <f t="array" aca="1" ref="CO75" ca="1">INDIRECT(ADDRESS($B75,CO$39+$A75,1,1,$D75))</f>
        <v>0</v>
      </c>
    </row>
    <row r="76" spans="1:93" x14ac:dyDescent="0.25">
      <c r="A76">
        <v>8</v>
      </c>
      <c r="B76">
        <f ca="1">MATCH($C76,INDIRECT("'"&amp;$C$72&amp;"'!A:A"),0)</f>
        <v>11</v>
      </c>
      <c r="C76" s="1" t="str">
        <f t="shared" si="31"/>
        <v>Italy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2</v>
      </c>
      <c r="AC76" s="1" cm="1">
        <f t="array" aca="1" ref="AC76" ca="1">INDIRECT(ADDRESS($B76,AC$39+$A76,1,1,$D76))</f>
        <v>2</v>
      </c>
      <c r="AD76" s="1" cm="1">
        <f t="array" aca="1" ref="AD76" ca="1">INDIRECT(ADDRESS($B76,AD$39+$A76,1,1,$D76))</f>
        <v>2</v>
      </c>
      <c r="AE76" s="1" cm="1">
        <f t="array" aca="1" ref="AE76" ca="1">INDIRECT(ADDRESS($B76,AE$39+$A76,1,1,$D76))</f>
        <v>2</v>
      </c>
      <c r="AF76" s="1" cm="1">
        <f t="array" aca="1" ref="AF76" ca="1">INDIRECT(ADDRESS($B76,AF$39+$A76,1,1,$D76))</f>
        <v>2</v>
      </c>
      <c r="AG76" s="1" cm="1">
        <f t="array" aca="1" ref="AG76" ca="1">INDIRECT(ADDRESS($B76,AG$39+$A76,1,1,$D76))</f>
        <v>2</v>
      </c>
      <c r="AH76" s="1" cm="1">
        <f t="array" aca="1" ref="AH76" ca="1">INDIRECT(ADDRESS($B76,AH$39+$A76,1,1,$D76))</f>
        <v>2</v>
      </c>
      <c r="AI76" s="1" cm="1">
        <f t="array" aca="1" ref="AI76" ca="1">INDIRECT(ADDRESS($B76,AI$39+$A76,1,1,$D76))</f>
        <v>2</v>
      </c>
      <c r="AJ76" s="1" cm="1">
        <f t="array" aca="1" ref="AJ76" ca="1">INDIRECT(ADDRESS($B76,AJ$39+$A76,1,1,$D76))</f>
        <v>1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111</v>
      </c>
      <c r="BJ76" s="1" cm="1">
        <f t="array" aca="1" ref="BJ76" ca="1">INDIRECT(ADDRESS($B76,BJ$39+$A76,1,1,$D76))</f>
        <v>453</v>
      </c>
      <c r="BK76" s="1" cm="1">
        <f t="array" aca="1" ref="BK76" ca="1">INDIRECT(ADDRESS($B76,BK$39+$A76,1,1,$D76))</f>
        <v>604</v>
      </c>
      <c r="BL76" s="1" cm="1">
        <f t="array" aca="1" ref="BL76" ca="1">INDIRECT(ADDRESS($B76,BL$39+$A76,1,1,$D76))</f>
        <v>1058</v>
      </c>
      <c r="BM76" s="1" cm="1">
        <f t="array" aca="1" ref="BM76" ca="1">INDIRECT(ADDRESS($B76,BM$39+$A76,1,1,$D76))</f>
        <v>1899</v>
      </c>
      <c r="BN76" s="1" cm="1">
        <f t="array" aca="1" ref="BN76" ca="1">INDIRECT(ADDRESS($B76,BN$39+$A76,1,1,$D76))</f>
        <v>3095</v>
      </c>
      <c r="BO76" s="1" cm="1">
        <f t="array" aca="1" ref="BO76" ca="1">INDIRECT(ADDRESS($B76,BO$39+$A76,1,1,$D76))</f>
        <v>3329</v>
      </c>
      <c r="BP76" s="1" cm="1">
        <f t="array" aca="1" ref="BP76" ca="1">INDIRECT(ADDRESS($B76,BP$39+$A76,1,1,$D76))</f>
        <v>4959</v>
      </c>
      <c r="BQ76" s="1" cm="1">
        <f t="array" aca="1" ref="BQ76" ca="1">INDIRECT(ADDRESS($B76,BQ$39+$A76,1,1,$D76))</f>
        <v>6846</v>
      </c>
      <c r="BR76" s="1" cm="1">
        <f t="array" aca="1" ref="BR76" ca="1">INDIRECT(ADDRESS($B76,BR$39+$A76,1,1,$D76))</f>
        <v>8526</v>
      </c>
      <c r="BS76" s="1" cm="1">
        <f t="array" aca="1" ref="BS76" ca="1">INDIRECT(ADDRESS($B76,BS$39+$A76,1,1,$D76))</f>
        <v>11134</v>
      </c>
      <c r="BT76" s="1" cm="1">
        <f t="array" aca="1" ref="BT76" ca="1">INDIRECT(ADDRESS($B76,BT$39+$A76,1,1,$D76))</f>
        <v>13968</v>
      </c>
      <c r="BU76" s="1" cm="1">
        <f t="array" aca="1" ref="BU76" ca="1">INDIRECT(ADDRESS($B76,BU$39+$A76,1,1,$D76))</f>
        <v>16389</v>
      </c>
      <c r="BV76" s="1" cm="1">
        <f t="array" aca="1" ref="BV76" ca="1">INDIRECT(ADDRESS($B76,BV$39+$A76,1,1,$D76))</f>
        <v>19078</v>
      </c>
      <c r="BW76" s="1" cm="1">
        <f t="array" aca="1" ref="BW76" ca="1">INDIRECT(ADDRESS($B76,BW$39+$A76,1,1,$D76))</f>
        <v>22558</v>
      </c>
      <c r="BX76" s="1" cm="1">
        <f t="array" aca="1" ref="BX76" ca="1">INDIRECT(ADDRESS($B76,BX$39+$A76,1,1,$D76))</f>
        <v>27120</v>
      </c>
      <c r="BY76" s="1" cm="1">
        <f t="array" aca="1" ref="BY76" ca="1">INDIRECT(ADDRESS($B76,BY$39+$A76,1,1,$D76))</f>
        <v>32340</v>
      </c>
      <c r="BZ76" s="1" cm="1">
        <f t="array" aca="1" ref="BZ76" ca="1">INDIRECT(ADDRESS($B76,BZ$39+$A76,1,1,$D76))</f>
        <v>38216</v>
      </c>
      <c r="CA76" s="1" cm="1">
        <f t="array" aca="1" ref="CA76" ca="1">INDIRECT(ADDRESS($B76,CA$39+$A76,1,1,$D76))</f>
        <v>43251</v>
      </c>
      <c r="CB76" s="1" cm="1">
        <f t="array" aca="1" ref="CB76" ca="1">INDIRECT(ADDRESS($B76,CB$39+$A76,1,1,$D76))</f>
        <v>47404</v>
      </c>
      <c r="CC76" s="1" cm="1">
        <f t="array" aca="1" ref="CC76" ca="1">INDIRECT(ADDRESS($B76,CC$39+$A76,1,1,$D76))</f>
        <v>52049</v>
      </c>
      <c r="CD76" s="1" cm="1">
        <f t="array" aca="1" ref="CD76" ca="1">INDIRECT(ADDRESS($B76,CD$39+$A76,1,1,$D76))</f>
        <v>56717</v>
      </c>
      <c r="CE76" s="1" cm="1">
        <f t="array" aca="1" ref="CE76" ca="1">INDIRECT(ADDRESS($B76,CE$39+$A76,1,1,$D76))</f>
        <v>62310</v>
      </c>
      <c r="CF76" s="1" cm="1">
        <f t="array" aca="1" ref="CF76" ca="1">INDIRECT(ADDRESS($B76,CF$39+$A76,1,1,$D76))</f>
        <v>67649</v>
      </c>
      <c r="CG76" s="1" cm="1">
        <f t="array" aca="1" ref="CG76" ca="1">INDIRECT(ADDRESS($B76,CG$39+$A76,1,1,$D76))</f>
        <v>73004</v>
      </c>
      <c r="CH76" s="1" cm="1">
        <f t="array" aca="1" ref="CH76" ca="1">INDIRECT(ADDRESS($B76,CH$39+$A76,1,1,$D76))</f>
        <v>77790</v>
      </c>
      <c r="CI76" s="1" cm="1">
        <f t="array" aca="1" ref="CI76" ca="1">INDIRECT(ADDRESS($B76,CI$39+$A76,1,1,$D76))</f>
        <v>81274</v>
      </c>
      <c r="CJ76" s="1" cm="1">
        <f t="array" aca="1" ref="CJ76" ca="1">INDIRECT(ADDRESS($B76,CJ$39+$A76,1,1,$D76))</f>
        <v>84725</v>
      </c>
      <c r="CK76" s="1" cm="1">
        <f t="array" aca="1" ref="CK76" ca="1">INDIRECT(ADDRESS($B76,CK$39+$A76,1,1,$D76))</f>
        <v>88929</v>
      </c>
      <c r="CL76" s="1" cm="1">
        <f t="array" aca="1" ref="CL76" ca="1">INDIRECT(ADDRESS($B76,CL$39+$A76,1,1,$D76))</f>
        <v>93072</v>
      </c>
      <c r="CM76" s="1" cm="1">
        <f t="array" aca="1" ref="CM76" ca="1">INDIRECT(ADDRESS($B76,CM$39+$A76,1,1,$D76))</f>
        <v>97082</v>
      </c>
      <c r="CN76" s="1" cm="1">
        <f t="array" aca="1" ref="CN76" ca="1">INDIRECT(ADDRESS($B76,CN$39+$A76,1,1,$D76))</f>
        <v>0</v>
      </c>
      <c r="CO76" s="1" cm="1">
        <f t="array" aca="1" ref="CO76" ca="1">INDIRECT(ADDRESS($B76,CO$39+$A76,1,1,$D76))</f>
        <v>0</v>
      </c>
    </row>
    <row r="77" spans="1:93" x14ac:dyDescent="0.25">
      <c r="A77">
        <v>8</v>
      </c>
      <c r="B77">
        <f t="shared" ref="B77:B80" ca="1" si="32">MATCH($C77,INDIRECT("'"&amp;$C$72&amp;"'!A:A"),0)</f>
        <v>7</v>
      </c>
      <c r="C77" s="1" t="str">
        <f t="shared" si="31"/>
        <v>France</v>
      </c>
      <c r="D77" t="str">
        <f t="shared" ref="D77:D80" si="33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2</v>
      </c>
      <c r="V77" s="1" cm="1">
        <f t="array" aca="1" ref="V77" ca="1">INDIRECT(ADDRESS($B77,V$39+$A77,1,1,$D77))</f>
        <v>3</v>
      </c>
      <c r="W77" s="1" cm="1">
        <f t="array" aca="1" ref="W77" ca="1">INDIRECT(ADDRESS($B77,W$39+$A77,1,1,$D77))</f>
        <v>3</v>
      </c>
      <c r="X77" s="1" cm="1">
        <f t="array" aca="1" ref="X77" ca="1">INDIRECT(ADDRESS($B77,X$39+$A77,1,1,$D77))</f>
        <v>3</v>
      </c>
      <c r="Y77" s="1" cm="1">
        <f t="array" aca="1" ref="Y77" ca="1">INDIRECT(ADDRESS($B77,Y$39+$A77,1,1,$D77))</f>
        <v>4</v>
      </c>
      <c r="Z77" s="1" cm="1">
        <f t="array" aca="1" ref="Z77" ca="1">INDIRECT(ADDRESS($B77,Z$39+$A77,1,1,$D77))</f>
        <v>5</v>
      </c>
      <c r="AA77" s="1" cm="1">
        <f t="array" aca="1" ref="AA77" ca="1">INDIRECT(ADDRESS($B77,AA$39+$A77,1,1,$D77))</f>
        <v>5.3333333332999997</v>
      </c>
      <c r="AB77" s="1" cm="1">
        <f t="array" aca="1" ref="AB77" ca="1">INDIRECT(ADDRESS($B77,AB$39+$A77,1,1,$D77))</f>
        <v>5.6666666667000003</v>
      </c>
      <c r="AC77" s="1" cm="1">
        <f t="array" aca="1" ref="AC77" ca="1">INDIRECT(ADDRESS($B77,AC$39+$A77,1,1,$D77))</f>
        <v>5</v>
      </c>
      <c r="AD77" s="1" cm="1">
        <f t="array" aca="1" ref="AD77" ca="1">INDIRECT(ADDRESS($B77,AD$39+$A77,1,1,$D77))</f>
        <v>5.7142857142999999</v>
      </c>
      <c r="AE77" s="1" cm="1">
        <f t="array" aca="1" ref="AE77" ca="1">INDIRECT(ADDRESS($B77,AE$39+$A77,1,1,$D77))</f>
        <v>6.4285714285999997</v>
      </c>
      <c r="AF77" s="1" cm="1">
        <f t="array" aca="1" ref="AF77" ca="1">INDIRECT(ADDRESS($B77,AF$39+$A77,1,1,$D77))</f>
        <v>7.1428571428999996</v>
      </c>
      <c r="AG77" s="1" cm="1">
        <f t="array" aca="1" ref="AG77" ca="1">INDIRECT(ADDRESS($B77,AG$39+$A77,1,1,$D77))</f>
        <v>7.8571428571000004</v>
      </c>
      <c r="AH77" s="1" cm="1">
        <f t="array" aca="1" ref="AH77" ca="1">INDIRECT(ADDRESS($B77,AH$39+$A77,1,1,$D77))</f>
        <v>8.5714285714000003</v>
      </c>
      <c r="AI77" s="1" cm="1">
        <f t="array" aca="1" ref="AI77" ca="1">INDIRECT(ADDRESS($B77,AI$39+$A77,1,1,$D77))</f>
        <v>9.2857142856999992</v>
      </c>
      <c r="AJ77" s="1" cm="1">
        <f t="array" aca="1" ref="AJ77" ca="1">INDIRECT(ADDRESS($B77,AJ$39+$A77,1,1,$D77))</f>
        <v>10</v>
      </c>
      <c r="AK77" s="1" cm="1">
        <f t="array" aca="1" ref="AK77" ca="1">INDIRECT(ADDRESS($B77,AK$39+$A77,1,1,$D77))</f>
        <v>10.142857142900001</v>
      </c>
      <c r="AL77" s="1" cm="1">
        <f t="array" aca="1" ref="AL77" ca="1">INDIRECT(ADDRESS($B77,AL$39+$A77,1,1,$D77))</f>
        <v>10.285714285699999</v>
      </c>
      <c r="AM77" s="1" cm="1">
        <f t="array" aca="1" ref="AM77" ca="1">INDIRECT(ADDRESS($B77,AM$39+$A77,1,1,$D77))</f>
        <v>10.4285714286</v>
      </c>
      <c r="AN77" s="1" cm="1">
        <f t="array" aca="1" ref="AN77" ca="1">INDIRECT(ADDRESS($B77,AN$39+$A77,1,1,$D77))</f>
        <v>9.5714285714000003</v>
      </c>
      <c r="AO77" s="1" cm="1">
        <f t="array" aca="1" ref="AO77" ca="1">INDIRECT(ADDRESS($B77,AO$39+$A77,1,1,$D77))</f>
        <v>9.7142857143000008</v>
      </c>
      <c r="AP77" s="1" cm="1">
        <f t="array" aca="1" ref="AP77" ca="1">INDIRECT(ADDRESS($B77,AP$39+$A77,1,1,$D77))</f>
        <v>9.8571428570999995</v>
      </c>
      <c r="AQ77" s="1" cm="1">
        <f t="array" aca="1" ref="AQ77" ca="1">INDIRECT(ADDRESS($B77,AQ$39+$A77,1,1,$D77))</f>
        <v>10</v>
      </c>
      <c r="AR77" s="1" cm="1">
        <f t="array" aca="1" ref="AR77" ca="1">INDIRECT(ADDRESS($B77,AR$39+$A77,1,1,$D77))</f>
        <v>10.199999999999999</v>
      </c>
      <c r="AS77" s="1" cm="1">
        <f t="array" aca="1" ref="AS77" ca="1">INDIRECT(ADDRESS($B77,AS$39+$A77,1,1,$D77))</f>
        <v>9.4</v>
      </c>
      <c r="AT77" s="1" cm="1">
        <f t="array" aca="1" ref="AT77" ca="1">INDIRECT(ADDRESS($B77,AT$39+$A77,1,1,$D77))</f>
        <v>8.6</v>
      </c>
      <c r="AU77" s="1" cm="1">
        <f t="array" aca="1" ref="AU77" ca="1">INDIRECT(ADDRESS($B77,AU$39+$A77,1,1,$D77))</f>
        <v>8.8000000000000007</v>
      </c>
      <c r="AV77" s="1" cm="1">
        <f t="array" aca="1" ref="AV77" ca="1">INDIRECT(ADDRESS($B77,AV$39+$A77,1,1,$D77))</f>
        <v>7</v>
      </c>
      <c r="AW77" s="1" cm="1">
        <f t="array" aca="1" ref="AW77" ca="1">INDIRECT(ADDRESS($B77,AW$39+$A77,1,1,$D77))</f>
        <v>4.2</v>
      </c>
      <c r="AX77" s="1" cm="1">
        <f t="array" aca="1" ref="AX77" ca="1">INDIRECT(ADDRESS($B77,AX$39+$A77,1,1,$D77))</f>
        <v>2.4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9</v>
      </c>
      <c r="BF77" s="1" cm="1">
        <f t="array" aca="1" ref="BF77" ca="1">INDIRECT(ADDRESS($B77,BF$39+$A77,1,1,$D77))</f>
        <v>39</v>
      </c>
      <c r="BG77" s="1" cm="1">
        <f t="array" aca="1" ref="BG77" ca="1">INDIRECT(ADDRESS($B77,BG$39+$A77,1,1,$D77))</f>
        <v>43</v>
      </c>
      <c r="BH77" s="1" cm="1">
        <f t="array" aca="1" ref="BH77" ca="1">INDIRECT(ADDRESS($B77,BH$39+$A77,1,1,$D77))</f>
        <v>56</v>
      </c>
      <c r="BI77" s="1" cm="1">
        <f t="array" aca="1" ref="BI77" ca="1">INDIRECT(ADDRESS($B77,BI$39+$A77,1,1,$D77))</f>
        <v>137</v>
      </c>
      <c r="BJ77" s="1" cm="1">
        <f t="array" aca="1" ref="BJ77" ca="1">INDIRECT(ADDRESS($B77,BJ$39+$A77,1,1,$D77))</f>
        <v>134</v>
      </c>
      <c r="BK77" s="1" cm="1">
        <f t="array" aca="1" ref="BK77" ca="1">INDIRECT(ADDRESS($B77,BK$39+$A77,1,1,$D77))</f>
        <v>203</v>
      </c>
      <c r="BL77" s="1" cm="1">
        <f t="array" aca="1" ref="BL77" ca="1">INDIRECT(ADDRESS($B77,BL$39+$A77,1,1,$D77))</f>
        <v>387</v>
      </c>
      <c r="BM77" s="1" cm="1">
        <f t="array" aca="1" ref="BM77" ca="1">INDIRECT(ADDRESS($B77,BM$39+$A77,1,1,$D77))</f>
        <v>452</v>
      </c>
      <c r="BN77" s="1" cm="1">
        <f t="array" aca="1" ref="BN77" ca="1">INDIRECT(ADDRESS($B77,BN$39+$A77,1,1,$D77))</f>
        <v>349</v>
      </c>
      <c r="BO77" s="1" cm="1">
        <f t="array" aca="1" ref="BO77" ca="1">INDIRECT(ADDRESS($B77,BO$39+$A77,1,1,$D77))</f>
        <v>684</v>
      </c>
      <c r="BP77" s="1" cm="1">
        <f t="array" aca="1" ref="BP77" ca="1">INDIRECT(ADDRESS($B77,BP$39+$A77,1,1,$D77))</f>
        <v>950</v>
      </c>
      <c r="BQ77" s="1" cm="1">
        <f t="array" aca="1" ref="BQ77" ca="1">INDIRECT(ADDRESS($B77,BQ$39+$A77,1,1,$D77))</f>
        <v>1275</v>
      </c>
      <c r="BR77" s="1" cm="1">
        <f t="array" aca="1" ref="BR77" ca="1">INDIRECT(ADDRESS($B77,BR$39+$A77,1,1,$D77))</f>
        <v>1666</v>
      </c>
      <c r="BS77" s="1" cm="1">
        <f t="array" aca="1" ref="BS77" ca="1">INDIRECT(ADDRESS($B77,BS$39+$A77,1,1,$D77))</f>
        <v>2155</v>
      </c>
      <c r="BT77" s="1" cm="1">
        <f t="array" aca="1" ref="BT77" ca="1">INDIRECT(ADDRESS($B77,BT$39+$A77,1,1,$D77))</f>
        <v>1893</v>
      </c>
      <c r="BU77" s="1" cm="1">
        <f t="array" aca="1" ref="BU77" ca="1">INDIRECT(ADDRESS($B77,BU$39+$A77,1,1,$D77))</f>
        <v>3609</v>
      </c>
      <c r="BV77" s="1" cm="1">
        <f t="array" aca="1" ref="BV77" ca="1">INDIRECT(ADDRESS($B77,BV$39+$A77,1,1,$D77))</f>
        <v>4129</v>
      </c>
      <c r="BW77" s="1" cm="1">
        <f t="array" aca="1" ref="BW77" ca="1">INDIRECT(ADDRESS($B77,BW$39+$A77,1,1,$D77))</f>
        <v>4640</v>
      </c>
      <c r="BX77" s="1" cm="1">
        <f t="array" aca="1" ref="BX77" ca="1">INDIRECT(ADDRESS($B77,BX$39+$A77,1,1,$D77))</f>
        <v>5484</v>
      </c>
      <c r="BY77" s="1" cm="1">
        <f t="array" aca="1" ref="BY77" ca="1">INDIRECT(ADDRESS($B77,BY$39+$A77,1,1,$D77))</f>
        <v>6105</v>
      </c>
      <c r="BZ77" s="1" cm="1">
        <f t="array" aca="1" ref="BZ77" ca="1">INDIRECT(ADDRESS($B77,BZ$39+$A77,1,1,$D77))</f>
        <v>6722</v>
      </c>
      <c r="CA77" s="1" cm="1">
        <f t="array" aca="1" ref="CA77" ca="1">INDIRECT(ADDRESS($B77,CA$39+$A77,1,1,$D77))</f>
        <v>7940</v>
      </c>
      <c r="CB77" s="1" cm="1">
        <f t="array" aca="1" ref="CB77" ca="1">INDIRECT(ADDRESS($B77,CB$39+$A77,1,1,$D77))</f>
        <v>10945</v>
      </c>
      <c r="CC77" s="1" cm="1">
        <f t="array" aca="1" ref="CC77" ca="1">INDIRECT(ADDRESS($B77,CC$39+$A77,1,1,$D77))</f>
        <v>11976</v>
      </c>
      <c r="CD77" s="1" cm="1">
        <f t="array" aca="1" ref="CD77" ca="1">INDIRECT(ADDRESS($B77,CD$39+$A77,1,1,$D77))</f>
        <v>14364</v>
      </c>
      <c r="CE77" s="1" cm="1">
        <f t="array" aca="1" ref="CE77" ca="1">INDIRECT(ADDRESS($B77,CE$39+$A77,1,1,$D77))</f>
        <v>16945</v>
      </c>
      <c r="CF77" s="1" cm="1">
        <f t="array" aca="1" ref="CF77" ca="1">INDIRECT(ADDRESS($B77,CF$39+$A77,1,1,$D77))</f>
        <v>19767</v>
      </c>
      <c r="CG77" s="1" cm="1">
        <f t="array" aca="1" ref="CG77" ca="1">INDIRECT(ADDRESS($B77,CG$39+$A77,1,1,$D77))</f>
        <v>23743</v>
      </c>
      <c r="CH77" s="1" cm="1">
        <f t="array" aca="1" ref="CH77" ca="1">INDIRECT(ADDRESS($B77,CH$39+$A77,1,1,$D77))</f>
        <v>25781</v>
      </c>
      <c r="CI77" s="1" cm="1">
        <f t="array" aca="1" ref="CI77" ca="1">INDIRECT(ADDRESS($B77,CI$39+$A77,1,1,$D77))</f>
        <v>29583</v>
      </c>
      <c r="CJ77" s="1" cm="1">
        <f t="array" aca="1" ref="CJ77" ca="1">INDIRECT(ADDRESS($B77,CJ$39+$A77,1,1,$D77))</f>
        <v>36399</v>
      </c>
      <c r="CK77" s="1" cm="1">
        <f t="array" aca="1" ref="CK77" ca="1">INDIRECT(ADDRESS($B77,CK$39+$A77,1,1,$D77))</f>
        <v>39822</v>
      </c>
      <c r="CL77" s="1" cm="1">
        <f t="array" aca="1" ref="CL77" ca="1">INDIRECT(ADDRESS($B77,CL$39+$A77,1,1,$D77))</f>
        <v>41185</v>
      </c>
      <c r="CM77" s="1" cm="1">
        <f t="array" aca="1" ref="CM77" ca="1">INDIRECT(ADDRESS($B77,CM$39+$A77,1,1,$D77))</f>
        <v>45657</v>
      </c>
      <c r="CN77" s="1" cm="1">
        <f t="array" aca="1" ref="CN77" ca="1">INDIRECT(ADDRESS($B77,CN$39+$A77,1,1,$D77))</f>
        <v>0</v>
      </c>
      <c r="CO77" s="1" cm="1">
        <f t="array" aca="1" ref="CO77" ca="1">INDIRECT(ADDRESS($B77,CO$39+$A77,1,1,$D77))</f>
        <v>0</v>
      </c>
    </row>
    <row r="78" spans="1:93" x14ac:dyDescent="0.25">
      <c r="A78">
        <v>8</v>
      </c>
      <c r="B78">
        <f t="shared" ca="1" si="32"/>
        <v>19</v>
      </c>
      <c r="C78" s="1" t="str">
        <f t="shared" si="31"/>
        <v>Switzerland</v>
      </c>
      <c r="D78" t="str">
        <f t="shared" si="33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4</v>
      </c>
      <c r="BD78" s="1" cm="1">
        <f t="array" aca="1" ref="BD78" ca="1">INDIRECT(ADDRESS($B78,BD$39+$A78,1,1,$D78))</f>
        <v>2</v>
      </c>
      <c r="BE78" s="1" cm="1">
        <f t="array" aca="1" ref="BE78" ca="1">INDIRECT(ADDRESS($B78,BE$39+$A78,1,1,$D78))</f>
        <v>5</v>
      </c>
      <c r="BF78" s="1" cm="1">
        <f t="array" aca="1" ref="BF78" ca="1">INDIRECT(ADDRESS($B78,BF$39+$A78,1,1,$D78))</f>
        <v>13</v>
      </c>
      <c r="BG78" s="1" cm="1">
        <f t="array" aca="1" ref="BG78" ca="1">INDIRECT(ADDRESS($B78,BG$39+$A78,1,1,$D78))</f>
        <v>28</v>
      </c>
      <c r="BH78" s="1" cm="1">
        <f t="array" aca="1" ref="BH78" ca="1">INDIRECT(ADDRESS($B78,BH$39+$A78,1,1,$D78))</f>
        <v>29</v>
      </c>
      <c r="BI78" s="1" cm="1">
        <f t="array" aca="1" ref="BI78" ca="1">INDIRECT(ADDRESS($B78,BI$39+$A78,1,1,$D78))</f>
        <v>62</v>
      </c>
      <c r="BJ78" s="1" cm="1">
        <f t="array" aca="1" ref="BJ78" ca="1">INDIRECT(ADDRESS($B78,BJ$39+$A78,1,1,$D78))</f>
        <v>73</v>
      </c>
      <c r="BK78" s="1" cm="1">
        <f t="array" aca="1" ref="BK78" ca="1">INDIRECT(ADDRESS($B78,BK$39+$A78,1,1,$D78))</f>
        <v>160</v>
      </c>
      <c r="BL78" s="1" cm="1">
        <f t="array" aca="1" ref="BL78" ca="1">INDIRECT(ADDRESS($B78,BL$39+$A78,1,1,$D78))</f>
        <v>193</v>
      </c>
      <c r="BM78" s="1" cm="1">
        <f t="array" aca="1" ref="BM78" ca="1">INDIRECT(ADDRESS($B78,BM$39+$A78,1,1,$D78))</f>
        <v>239</v>
      </c>
      <c r="BN78" s="1" cm="1">
        <f t="array" aca="1" ref="BN78" ca="1">INDIRECT(ADDRESS($B78,BN$39+$A78,1,1,$D78))</f>
        <v>254</v>
      </c>
      <c r="BO78" s="1" cm="1">
        <f t="array" aca="1" ref="BO78" ca="1">INDIRECT(ADDRESS($B78,BO$39+$A78,1,1,$D78))</f>
        <v>369</v>
      </c>
      <c r="BP78" s="1" cm="1">
        <f t="array" aca="1" ref="BP78" ca="1">INDIRECT(ADDRESS($B78,BP$39+$A78,1,1,$D78))</f>
        <v>499</v>
      </c>
      <c r="BQ78" s="1" cm="1">
        <f t="array" aca="1" ref="BQ78" ca="1">INDIRECT(ADDRESS($B78,BQ$39+$A78,1,1,$D78))</f>
        <v>704.5</v>
      </c>
      <c r="BR78" s="1" cm="1">
        <f t="array" aca="1" ref="BR78" ca="1">INDIRECT(ADDRESS($B78,BR$39+$A78,1,1,$D78))</f>
        <v>908</v>
      </c>
      <c r="BS78" s="1" cm="1">
        <f t="array" aca="1" ref="BS78" ca="1">INDIRECT(ADDRESS($B78,BS$39+$A78,1,1,$D78))</f>
        <v>1095</v>
      </c>
      <c r="BT78" s="1" cm="1">
        <f t="array" aca="1" ref="BT78" ca="1">INDIRECT(ADDRESS($B78,BT$39+$A78,1,1,$D78))</f>
        <v>1900</v>
      </c>
      <c r="BU78" s="1" cm="1">
        <f t="array" aca="1" ref="BU78" ca="1">INDIRECT(ADDRESS($B78,BU$39+$A78,1,1,$D78))</f>
        <v>2091</v>
      </c>
      <c r="BV78" s="1" cm="1">
        <f t="array" aca="1" ref="BV78" ca="1">INDIRECT(ADDRESS($B78,BV$39+$A78,1,1,$D78))</f>
        <v>2267</v>
      </c>
      <c r="BW78" s="1" cm="1">
        <f t="array" aca="1" ref="BW78" ca="1">INDIRECT(ADDRESS($B78,BW$39+$A78,1,1,$D78))</f>
        <v>2540</v>
      </c>
      <c r="BX78" s="1" cm="1">
        <f t="array" aca="1" ref="BX78" ca="1">INDIRECT(ADDRESS($B78,BX$39+$A78,1,1,$D78))</f>
        <v>3539</v>
      </c>
      <c r="BY78" s="1" cm="1">
        <f t="array" aca="1" ref="BY78" ca="1">INDIRECT(ADDRESS($B78,BY$39+$A78,1,1,$D78))</f>
        <v>4703</v>
      </c>
      <c r="BZ78" s="1" cm="1">
        <f t="array" aca="1" ref="BZ78" ca="1">INDIRECT(ADDRESS($B78,BZ$39+$A78,1,1,$D78))</f>
        <v>5909</v>
      </c>
      <c r="CA78" s="1" cm="1">
        <f t="array" aca="1" ref="CA78" ca="1">INDIRECT(ADDRESS($B78,CA$39+$A78,1,1,$D78))</f>
        <v>6759</v>
      </c>
      <c r="CB78" s="1" cm="1">
        <f t="array" aca="1" ref="CB78" ca="1">INDIRECT(ADDRESS($B78,CB$39+$A78,1,1,$D78))</f>
        <v>8030</v>
      </c>
      <c r="CC78" s="1" cm="1">
        <f t="array" aca="1" ref="CC78" ca="1">INDIRECT(ADDRESS($B78,CC$39+$A78,1,1,$D78))</f>
        <v>9056</v>
      </c>
      <c r="CD78" s="1" cm="1">
        <f t="array" aca="1" ref="CD78" ca="1">INDIRECT(ADDRESS($B78,CD$39+$A78,1,1,$D78))</f>
        <v>10002</v>
      </c>
      <c r="CE78" s="1" cm="1">
        <f t="array" aca="1" ref="CE78" ca="1">INDIRECT(ADDRESS($B78,CE$39+$A78,1,1,$D78))</f>
        <v>10863</v>
      </c>
      <c r="CF78" s="1" cm="1">
        <f t="array" aca="1" ref="CF78" ca="1">INDIRECT(ADDRESS($B78,CF$39+$A78,1,1,$D78))</f>
        <v>11926</v>
      </c>
      <c r="CG78" s="1" cm="1">
        <f t="array" aca="1" ref="CG78" ca="1">INDIRECT(ADDRESS($B78,CG$39+$A78,1,1,$D78))</f>
        <v>13040</v>
      </c>
      <c r="CH78" s="1" cm="1">
        <f t="array" aca="1" ref="CH78" ca="1">INDIRECT(ADDRESS($B78,CH$39+$A78,1,1,$D78))</f>
        <v>13723</v>
      </c>
      <c r="CI78" s="1" cm="1">
        <f t="array" aca="1" ref="CI78" ca="1">INDIRECT(ADDRESS($B78,CI$39+$A78,1,1,$D78))</f>
        <v>14784</v>
      </c>
      <c r="CJ78" s="1" cm="1">
        <f t="array" aca="1" ref="CJ78" ca="1">INDIRECT(ADDRESS($B78,CJ$39+$A78,1,1,$D78))</f>
        <v>15431</v>
      </c>
      <c r="CK78" s="1" cm="1">
        <f t="array" aca="1" ref="CK78" ca="1">INDIRECT(ADDRESS($B78,CK$39+$A78,1,1,$D78))</f>
        <v>16529</v>
      </c>
      <c r="CL78" s="1" cm="1">
        <f t="array" aca="1" ref="CL78" ca="1">INDIRECT(ADDRESS($B78,CL$39+$A78,1,1,$D78))</f>
        <v>17546</v>
      </c>
      <c r="CM78" s="1" cm="1">
        <f t="array" aca="1" ref="CM78" ca="1">INDIRECT(ADDRESS($B78,CM$39+$A78,1,1,$D78))</f>
        <v>18279</v>
      </c>
      <c r="CN78" s="1" cm="1">
        <f t="array" aca="1" ref="CN78" ca="1">INDIRECT(ADDRESS($B78,CN$39+$A78,1,1,$D78))</f>
        <v>0</v>
      </c>
      <c r="CO78" s="1" cm="1">
        <f t="array" aca="1" ref="CO78" ca="1">INDIRECT(ADDRESS($B78,CO$39+$A78,1,1,$D78))</f>
        <v>0</v>
      </c>
    </row>
    <row r="79" spans="1:93" x14ac:dyDescent="0.25">
      <c r="A79">
        <v>8</v>
      </c>
      <c r="B79">
        <f t="shared" ca="1" si="32"/>
        <v>8</v>
      </c>
      <c r="C79" s="1" t="str">
        <f t="shared" si="31"/>
        <v>Germany</v>
      </c>
      <c r="D79" t="str">
        <f t="shared" si="33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1</v>
      </c>
      <c r="Y79" s="1" cm="1">
        <f t="array" aca="1" ref="Y79" ca="1">INDIRECT(ADDRESS($B79,Y$39+$A79,1,1,$D79))</f>
        <v>4</v>
      </c>
      <c r="Z79" s="1" cm="1">
        <f t="array" aca="1" ref="Z79" ca="1">INDIRECT(ADDRESS($B79,Z$39+$A79,1,1,$D79))</f>
        <v>4.3333333332999997</v>
      </c>
      <c r="AA79" s="1" cm="1">
        <f t="array" aca="1" ref="AA79" ca="1">INDIRECT(ADDRESS($B79,AA$39+$A79,1,1,$D79))</f>
        <v>4.6666666667000003</v>
      </c>
      <c r="AB79" s="1" cm="1">
        <f t="array" aca="1" ref="AB79" ca="1">INDIRECT(ADDRESS($B79,AB$39+$A79,1,1,$D79))</f>
        <v>5</v>
      </c>
      <c r="AC79" s="1" cm="1">
        <f t="array" aca="1" ref="AC79" ca="1">INDIRECT(ADDRESS($B79,AC$39+$A79,1,1,$D79))</f>
        <v>8</v>
      </c>
      <c r="AD79" s="1" cm="1">
        <f t="array" aca="1" ref="AD79" ca="1">INDIRECT(ADDRESS($B79,AD$39+$A79,1,1,$D79))</f>
        <v>10</v>
      </c>
      <c r="AE79" s="1" cm="1">
        <f t="array" aca="1" ref="AE79" ca="1">INDIRECT(ADDRESS($B79,AE$39+$A79,1,1,$D79))</f>
        <v>12</v>
      </c>
      <c r="AF79" s="1" cm="1">
        <f t="array" aca="1" ref="AF79" ca="1">INDIRECT(ADDRESS($B79,AF$39+$A79,1,1,$D79))</f>
        <v>12.25</v>
      </c>
      <c r="AG79" s="1" cm="1">
        <f t="array" aca="1" ref="AG79" ca="1">INDIRECT(ADDRESS($B79,AG$39+$A79,1,1,$D79))</f>
        <v>12.5</v>
      </c>
      <c r="AH79" s="1" cm="1">
        <f t="array" aca="1" ref="AH79" ca="1">INDIRECT(ADDRESS($B79,AH$39+$A79,1,1,$D79))</f>
        <v>12.75</v>
      </c>
      <c r="AI79" s="1" cm="1">
        <f t="array" aca="1" ref="AI79" ca="1">INDIRECT(ADDRESS($B79,AI$39+$A79,1,1,$D79))</f>
        <v>13</v>
      </c>
      <c r="AJ79" s="1" cm="1">
        <f t="array" aca="1" ref="AJ79" ca="1">INDIRECT(ADDRESS($B79,AJ$39+$A79,1,1,$D79))</f>
        <v>13.5</v>
      </c>
      <c r="AK79" s="1" cm="1">
        <f t="array" aca="1" ref="AK79" ca="1">INDIRECT(ADDRESS($B79,AK$39+$A79,1,1,$D79))</f>
        <v>14</v>
      </c>
      <c r="AL79" s="1" cm="1">
        <f t="array" aca="1" ref="AL79" ca="1">INDIRECT(ADDRESS($B79,AL$39+$A79,1,1,$D79))</f>
        <v>15</v>
      </c>
      <c r="AM79" s="1" cm="1">
        <f t="array" aca="1" ref="AM79" ca="1">INDIRECT(ADDRESS($B79,AM$39+$A79,1,1,$D79))</f>
        <v>16</v>
      </c>
      <c r="AN79" s="1" cm="1">
        <f t="array" aca="1" ref="AN79" ca="1">INDIRECT(ADDRESS($B79,AN$39+$A79,1,1,$D79))</f>
        <v>16.071428571399998</v>
      </c>
      <c r="AO79" s="1" cm="1">
        <f t="array" aca="1" ref="AO79" ca="1">INDIRECT(ADDRESS($B79,AO$39+$A79,1,1,$D79))</f>
        <v>16.142857142899999</v>
      </c>
      <c r="AP79" s="1" cm="1">
        <f t="array" aca="1" ref="AP79" ca="1">INDIRECT(ADDRESS($B79,AP$39+$A79,1,1,$D79))</f>
        <v>16.214285714300001</v>
      </c>
      <c r="AQ79" s="1" cm="1">
        <f t="array" aca="1" ref="AQ79" ca="1">INDIRECT(ADDRESS($B79,AQ$39+$A79,1,1,$D79))</f>
        <v>16.285714285699999</v>
      </c>
      <c r="AR79" s="1" cm="1">
        <f t="array" aca="1" ref="AR79" ca="1">INDIRECT(ADDRESS($B79,AR$39+$A79,1,1,$D79))</f>
        <v>16.357142857100001</v>
      </c>
      <c r="AS79" s="1" cm="1">
        <f t="array" aca="1" ref="AS79" ca="1">INDIRECT(ADDRESS($B79,AS$39+$A79,1,1,$D79))</f>
        <v>16.428571428600002</v>
      </c>
      <c r="AT79" s="1" cm="1">
        <f t="array" aca="1" ref="AT79" ca="1">INDIRECT(ADDRESS($B79,AT$39+$A79,1,1,$D79))</f>
        <v>16.5</v>
      </c>
      <c r="AU79" s="1" cm="1">
        <f t="array" aca="1" ref="AU79" ca="1">INDIRECT(ADDRESS($B79,AU$39+$A79,1,1,$D79))</f>
        <v>16.571428571399998</v>
      </c>
      <c r="AV79" s="1" cm="1">
        <f t="array" aca="1" ref="AV79" ca="1">INDIRECT(ADDRESS($B79,AV$39+$A79,1,1,$D79))</f>
        <v>16.642857142899999</v>
      </c>
      <c r="AW79" s="1" cm="1">
        <f t="array" aca="1" ref="AW79" ca="1">INDIRECT(ADDRESS($B79,AW$39+$A79,1,1,$D79))</f>
        <v>16.714285714300001</v>
      </c>
      <c r="AX79" s="1" cm="1">
        <f t="array" aca="1" ref="AX79" ca="1">INDIRECT(ADDRESS($B79,AX$39+$A79,1,1,$D79))</f>
        <v>16.785714285699999</v>
      </c>
      <c r="AY79" s="1" cm="1">
        <f t="array" aca="1" ref="AY79" ca="1">INDIRECT(ADDRESS($B79,AY$39+$A79,1,1,$D79))</f>
        <v>16.857142857100001</v>
      </c>
      <c r="AZ79" s="1" cm="1">
        <f t="array" aca="1" ref="AZ79" ca="1">INDIRECT(ADDRESS($B79,AZ$39+$A79,1,1,$D79))</f>
        <v>14.9285714286</v>
      </c>
      <c r="BA79" s="1" cm="1">
        <f t="array" aca="1" ref="BA79" ca="1">INDIRECT(ADDRESS($B79,BA$39+$A79,1,1,$D79))</f>
        <v>15</v>
      </c>
      <c r="BB79" s="1" cm="1">
        <f t="array" aca="1" ref="BB79" ca="1">INDIRECT(ADDRESS($B79,BB$39+$A79,1,1,$D79))</f>
        <v>24</v>
      </c>
      <c r="BC79" s="1" cm="1">
        <f t="array" aca="1" ref="BC79" ca="1">INDIRECT(ADDRESS($B79,BC$39+$A79,1,1,$D79))</f>
        <v>43</v>
      </c>
      <c r="BD79" s="1" cm="1">
        <f t="array" aca="1" ref="BD79" ca="1">INDIRECT(ADDRESS($B79,BD$39+$A79,1,1,$D79))</f>
        <v>41</v>
      </c>
      <c r="BE79" s="1" cm="1">
        <f t="array" aca="1" ref="BE79" ca="1">INDIRECT(ADDRESS($B79,BE$39+$A79,1,1,$D79))</f>
        <v>70</v>
      </c>
      <c r="BF79" s="1" cm="1">
        <f t="array" aca="1" ref="BF79" ca="1">INDIRECT(ADDRESS($B79,BF$39+$A79,1,1,$D79))</f>
        <v>119</v>
      </c>
      <c r="BG79" s="1" cm="1">
        <f t="array" aca="1" ref="BG79" ca="1">INDIRECT(ADDRESS($B79,BG$39+$A79,1,1,$D79))</f>
        <v>142</v>
      </c>
      <c r="BH79" s="1" cm="1">
        <f t="array" aca="1" ref="BH79" ca="1">INDIRECT(ADDRESS($B79,BH$39+$A79,1,1,$D79))</f>
        <v>172</v>
      </c>
      <c r="BI79" s="1" cm="1">
        <f t="array" aca="1" ref="BI79" ca="1">INDIRECT(ADDRESS($B79,BI$39+$A79,1,1,$D79))</f>
        <v>234</v>
      </c>
      <c r="BJ79" s="1" cm="1">
        <f t="array" aca="1" ref="BJ79" ca="1">INDIRECT(ADDRESS($B79,BJ$39+$A79,1,1,$D79))</f>
        <v>438</v>
      </c>
      <c r="BK79" s="1" cm="1">
        <f t="array" aca="1" ref="BK79" ca="1">INDIRECT(ADDRESS($B79,BK$39+$A79,1,1,$D79))</f>
        <v>603</v>
      </c>
      <c r="BL79" s="1" cm="1">
        <f t="array" aca="1" ref="BL79" ca="1">INDIRECT(ADDRESS($B79,BL$39+$A79,1,1,$D79))</f>
        <v>715</v>
      </c>
      <c r="BM79" s="1" cm="1">
        <f t="array" aca="1" ref="BM79" ca="1">INDIRECT(ADDRESS($B79,BM$39+$A79,1,1,$D79))</f>
        <v>946</v>
      </c>
      <c r="BN79" s="1" cm="1">
        <f t="array" aca="1" ref="BN79" ca="1">INDIRECT(ADDRESS($B79,BN$39+$A79,1,1,$D79))</f>
        <v>1053</v>
      </c>
      <c r="BO79" s="1" cm="1">
        <f t="array" aca="1" ref="BO79" ca="1">INDIRECT(ADDRESS($B79,BO$39+$A79,1,1,$D79))</f>
        <v>1300</v>
      </c>
      <c r="BP79" s="1" cm="1">
        <f t="array" aca="1" ref="BP79" ca="1">INDIRECT(ADDRESS($B79,BP$39+$A79,1,1,$D79))</f>
        <v>1702</v>
      </c>
      <c r="BQ79" s="1" cm="1">
        <f t="array" aca="1" ref="BQ79" ca="1">INDIRECT(ADDRESS($B79,BQ$39+$A79,1,1,$D79))</f>
        <v>1811</v>
      </c>
      <c r="BR79" s="1" cm="1">
        <f t="array" aca="1" ref="BR79" ca="1">INDIRECT(ADDRESS($B79,BR$39+$A79,1,1,$D79))</f>
        <v>3333</v>
      </c>
      <c r="BS79" s="1" cm="1">
        <f t="array" aca="1" ref="BS79" ca="1">INDIRECT(ADDRESS($B79,BS$39+$A79,1,1,$D79))</f>
        <v>4152</v>
      </c>
      <c r="BT79" s="1" cm="1">
        <f t="array" aca="1" ref="BT79" ca="1">INDIRECT(ADDRESS($B79,BT$39+$A79,1,1,$D79))</f>
        <v>5262</v>
      </c>
      <c r="BU79" s="1" cm="1">
        <f t="array" aca="1" ref="BU79" ca="1">INDIRECT(ADDRESS($B79,BU$39+$A79,1,1,$D79))</f>
        <v>6627</v>
      </c>
      <c r="BV79" s="1" cm="1">
        <f t="array" aca="1" ref="BV79" ca="1">INDIRECT(ADDRESS($B79,BV$39+$A79,1,1,$D79))</f>
        <v>8482</v>
      </c>
      <c r="BW79" s="1" cm="1">
        <f t="array" aca="1" ref="BW79" ca="1">INDIRECT(ADDRESS($B79,BW$39+$A79,1,1,$D79))</f>
        <v>11407</v>
      </c>
      <c r="BX79" s="1" cm="1">
        <f t="array" aca="1" ref="BX79" ca="1">INDIRECT(ADDRESS($B79,BX$39+$A79,1,1,$D79))</f>
        <v>14213</v>
      </c>
      <c r="BY79" s="1" cm="1">
        <f t="array" aca="1" ref="BY79" ca="1">INDIRECT(ADDRESS($B79,BY$39+$A79,1,1,$D79))</f>
        <v>18573</v>
      </c>
      <c r="BZ79" s="1" cm="1">
        <f t="array" aca="1" ref="BZ79" ca="1">INDIRECT(ADDRESS($B79,BZ$39+$A79,1,1,$D79))</f>
        <v>20769</v>
      </c>
      <c r="CA79" s="1" cm="1">
        <f t="array" aca="1" ref="CA79" ca="1">INDIRECT(ADDRESS($B79,CA$39+$A79,1,1,$D79))</f>
        <v>23289</v>
      </c>
      <c r="CB79" s="1" cm="1">
        <f t="array" aca="1" ref="CB79" ca="1">INDIRECT(ADDRESS($B79,CB$39+$A79,1,1,$D79))</f>
        <v>27246</v>
      </c>
      <c r="CC79" s="1" cm="1">
        <f t="array" aca="1" ref="CC79" ca="1">INDIRECT(ADDRESS($B79,CC$39+$A79,1,1,$D79))</f>
        <v>30970</v>
      </c>
      <c r="CD79" s="1" cm="1">
        <f t="array" aca="1" ref="CD79" ca="1">INDIRECT(ADDRESS($B79,CD$39+$A79,1,1,$D79))</f>
        <v>34974</v>
      </c>
      <c r="CE79" s="1" cm="1">
        <f t="array" aca="1" ref="CE79" ca="1">INDIRECT(ADDRESS($B79,CE$39+$A79,1,1,$D79))</f>
        <v>41331</v>
      </c>
      <c r="CF79" s="1" cm="1">
        <f t="array" aca="1" ref="CF79" ca="1">INDIRECT(ADDRESS($B79,CF$39+$A79,1,1,$D79))</f>
        <v>48104</v>
      </c>
      <c r="CG79" s="1" cm="1">
        <f t="array" aca="1" ref="CG79" ca="1">INDIRECT(ADDRESS($B79,CG$39+$A79,1,1,$D79))</f>
        <v>54959</v>
      </c>
      <c r="CH79" s="1" cm="1">
        <f t="array" aca="1" ref="CH79" ca="1">INDIRECT(ADDRESS($B79,CH$39+$A79,1,1,$D79))</f>
        <v>59073</v>
      </c>
      <c r="CI79" s="1" cm="1">
        <f t="array" aca="1" ref="CI79" ca="1">INDIRECT(ADDRESS($B79,CI$39+$A79,1,1,$D79))</f>
        <v>63691</v>
      </c>
      <c r="CJ79" s="1" cm="1">
        <f t="array" aca="1" ref="CJ79" ca="1">INDIRECT(ADDRESS($B79,CJ$39+$A79,1,1,$D79))</f>
        <v>68514</v>
      </c>
      <c r="CK79" s="1" cm="1">
        <f t="array" aca="1" ref="CK79" ca="1">INDIRECT(ADDRESS($B79,CK$39+$A79,1,1,$D79))</f>
        <v>74068</v>
      </c>
      <c r="CL79" s="1" cm="1">
        <f t="array" aca="1" ref="CL79" ca="1">INDIRECT(ADDRESS($B79,CL$39+$A79,1,1,$D79))</f>
        <v>80742</v>
      </c>
      <c r="CM79" s="1" cm="1">
        <f t="array" aca="1" ref="CM79" ca="1">INDIRECT(ADDRESS($B79,CM$39+$A79,1,1,$D79))</f>
        <v>86807</v>
      </c>
      <c r="CN79" s="1" cm="1">
        <f t="array" aca="1" ref="CN79" ca="1">INDIRECT(ADDRESS($B79,CN$39+$A79,1,1,$D79))</f>
        <v>0</v>
      </c>
      <c r="CO79" s="1" cm="1">
        <f t="array" aca="1" ref="CO79" ca="1">INDIRECT(ADDRESS($B79,CO$39+$A79,1,1,$D79))</f>
        <v>0</v>
      </c>
    </row>
    <row r="80" spans="1:93" x14ac:dyDescent="0.25">
      <c r="A80">
        <v>8</v>
      </c>
      <c r="B80">
        <f t="shared" ca="1" si="32"/>
        <v>16</v>
      </c>
      <c r="C80" s="1" t="str">
        <f t="shared" si="31"/>
        <v>Singapore</v>
      </c>
      <c r="D80" t="str">
        <f t="shared" si="33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1</v>
      </c>
      <c r="U80" s="1" cm="1">
        <f t="array" aca="1" ref="U80" ca="1">INDIRECT(ADDRESS($B80,U$39+$A80,1,1,$D80))</f>
        <v>3</v>
      </c>
      <c r="V80" s="1" cm="1">
        <f t="array" aca="1" ref="V80" ca="1">INDIRECT(ADDRESS($B80,V$39+$A80,1,1,$D80))</f>
        <v>3</v>
      </c>
      <c r="W80" s="1" cm="1">
        <f t="array" aca="1" ref="W80" ca="1">INDIRECT(ADDRESS($B80,W$39+$A80,1,1,$D80))</f>
        <v>4</v>
      </c>
      <c r="X80" s="1" cm="1">
        <f t="array" aca="1" ref="X80" ca="1">INDIRECT(ADDRESS($B80,X$39+$A80,1,1,$D80))</f>
        <v>5</v>
      </c>
      <c r="Y80" s="1" cm="1">
        <f t="array" aca="1" ref="Y80" ca="1">INDIRECT(ADDRESS($B80,Y$39+$A80,1,1,$D80))</f>
        <v>7</v>
      </c>
      <c r="Z80" s="1" cm="1">
        <f t="array" aca="1" ref="Z80" ca="1">INDIRECT(ADDRESS($B80,Z$39+$A80,1,1,$D80))</f>
        <v>8.5</v>
      </c>
      <c r="AA80" s="1" cm="1">
        <f t="array" aca="1" ref="AA80" ca="1">INDIRECT(ADDRESS($B80,AA$39+$A80,1,1,$D80))</f>
        <v>10</v>
      </c>
      <c r="AB80" s="1" cm="1">
        <f t="array" aca="1" ref="AB80" ca="1">INDIRECT(ADDRESS($B80,AB$39+$A80,1,1,$D80))</f>
        <v>13</v>
      </c>
      <c r="AC80" s="1" cm="1">
        <f t="array" aca="1" ref="AC80" ca="1">INDIRECT(ADDRESS($B80,AC$39+$A80,1,1,$D80))</f>
        <v>16</v>
      </c>
      <c r="AD80" s="1" cm="1">
        <f t="array" aca="1" ref="AD80" ca="1">INDIRECT(ADDRESS($B80,AD$39+$A80,1,1,$D80))</f>
        <v>18</v>
      </c>
      <c r="AE80" s="1" cm="1">
        <f t="array" aca="1" ref="AE80" ca="1">INDIRECT(ADDRESS($B80,AE$39+$A80,1,1,$D80))</f>
        <v>21</v>
      </c>
      <c r="AF80" s="1" cm="1">
        <f t="array" aca="1" ref="AF80" ca="1">INDIRECT(ADDRESS($B80,AF$39+$A80,1,1,$D80))</f>
        <v>24</v>
      </c>
      <c r="AG80" s="1" cm="1">
        <f t="array" aca="1" ref="AG80" ca="1">INDIRECT(ADDRESS($B80,AG$39+$A80,1,1,$D80))</f>
        <v>28</v>
      </c>
      <c r="AH80" s="1" cm="1">
        <f t="array" aca="1" ref="AH80" ca="1">INDIRECT(ADDRESS($B80,AH$39+$A80,1,1,$D80))</f>
        <v>29</v>
      </c>
      <c r="AI80" s="1" cm="1">
        <f t="array" aca="1" ref="AI80" ca="1">INDIRECT(ADDRESS($B80,AI$39+$A80,1,1,$D80))</f>
        <v>30</v>
      </c>
      <c r="AJ80" s="1" cm="1">
        <f t="array" aca="1" ref="AJ80" ca="1">INDIRECT(ADDRESS($B80,AJ$39+$A80,1,1,$D80))</f>
        <v>33</v>
      </c>
      <c r="AK80" s="1" cm="1">
        <f t="array" aca="1" ref="AK80" ca="1">INDIRECT(ADDRESS($B80,AK$39+$A80,1,1,$D80))</f>
        <v>40</v>
      </c>
      <c r="AL80" s="1" cm="1">
        <f t="array" aca="1" ref="AL80" ca="1">INDIRECT(ADDRESS($B80,AL$39+$A80,1,1,$D80))</f>
        <v>45</v>
      </c>
      <c r="AM80" s="1" cm="1">
        <f t="array" aca="1" ref="AM80" ca="1">INDIRECT(ADDRESS($B80,AM$39+$A80,1,1,$D80))</f>
        <v>47</v>
      </c>
      <c r="AN80" s="1" cm="1">
        <f t="array" aca="1" ref="AN80" ca="1">INDIRECT(ADDRESS($B80,AN$39+$A80,1,1,$D80))</f>
        <v>50</v>
      </c>
      <c r="AO80" s="1" cm="1">
        <f t="array" aca="1" ref="AO80" ca="1">INDIRECT(ADDRESS($B80,AO$39+$A80,1,1,$D80))</f>
        <v>58</v>
      </c>
      <c r="AP80" s="1" cm="1">
        <f t="array" aca="1" ref="AP80" ca="1">INDIRECT(ADDRESS($B80,AP$39+$A80,1,1,$D80))</f>
        <v>67</v>
      </c>
      <c r="AQ80" s="1" cm="1">
        <f t="array" aca="1" ref="AQ80" ca="1">INDIRECT(ADDRESS($B80,AQ$39+$A80,1,1,$D80))</f>
        <v>72</v>
      </c>
      <c r="AR80" s="1" cm="1">
        <f t="array" aca="1" ref="AR80" ca="1">INDIRECT(ADDRESS($B80,AR$39+$A80,1,1,$D80))</f>
        <v>75</v>
      </c>
      <c r="AS80" s="1" cm="1">
        <f t="array" aca="1" ref="AS80" ca="1">INDIRECT(ADDRESS($B80,AS$39+$A80,1,1,$D80))</f>
        <v>77</v>
      </c>
      <c r="AT80" s="1" cm="1">
        <f t="array" aca="1" ref="AT80" ca="1">INDIRECT(ADDRESS($B80,AT$39+$A80,1,1,$D80))</f>
        <v>81</v>
      </c>
      <c r="AU80" s="1" cm="1">
        <f t="array" aca="1" ref="AU80" ca="1">INDIRECT(ADDRESS($B80,AU$39+$A80,1,1,$D80))</f>
        <v>84</v>
      </c>
      <c r="AV80" s="1" cm="1">
        <f t="array" aca="1" ref="AV80" ca="1">INDIRECT(ADDRESS($B80,AV$39+$A80,1,1,$D80))</f>
        <v>84.5</v>
      </c>
      <c r="AW80" s="1" cm="1">
        <f t="array" aca="1" ref="AW80" ca="1">INDIRECT(ADDRESS($B80,AW$39+$A80,1,1,$D80))</f>
        <v>85</v>
      </c>
      <c r="AX80" s="1" cm="1">
        <f t="array" aca="1" ref="AX80" ca="1">INDIRECT(ADDRESS($B80,AX$39+$A80,1,1,$D80))</f>
        <v>87</v>
      </c>
      <c r="AY80" s="1" cm="1">
        <f t="array" aca="1" ref="AY80" ca="1">INDIRECT(ADDRESS($B80,AY$39+$A80,1,1,$D80))</f>
        <v>89</v>
      </c>
      <c r="AZ80" s="1" cm="1">
        <f t="array" aca="1" ref="AZ80" ca="1">INDIRECT(ADDRESS($B80,AZ$39+$A80,1,1,$D80))</f>
        <v>90</v>
      </c>
      <c r="BA80" s="1" cm="1">
        <f t="array" aca="1" ref="BA80" ca="1">INDIRECT(ADDRESS($B80,BA$39+$A80,1,1,$D80))</f>
        <v>91</v>
      </c>
      <c r="BB80" s="1" cm="1">
        <f t="array" aca="1" ref="BB80" ca="1">INDIRECT(ADDRESS($B80,BB$39+$A80,1,1,$D80))</f>
        <v>93</v>
      </c>
      <c r="BC80" s="1" cm="1">
        <f t="array" aca="1" ref="BC80" ca="1">INDIRECT(ADDRESS($B80,BC$39+$A80,1,1,$D80))</f>
        <v>96</v>
      </c>
      <c r="BD80" s="1" cm="1">
        <f t="array" aca="1" ref="BD80" ca="1">INDIRECT(ADDRESS($B80,BD$39+$A80,1,1,$D80))</f>
        <v>99</v>
      </c>
      <c r="BE80" s="1" cm="1">
        <f t="array" aca="1" ref="BE80" ca="1">INDIRECT(ADDRESS($B80,BE$39+$A80,1,1,$D80))</f>
        <v>102</v>
      </c>
      <c r="BF80" s="1" cm="1">
        <f t="array" aca="1" ref="BF80" ca="1">INDIRECT(ADDRESS($B80,BF$39+$A80,1,1,$D80))</f>
        <v>106</v>
      </c>
      <c r="BG80" s="1" cm="1">
        <f t="array" aca="1" ref="BG80" ca="1">INDIRECT(ADDRESS($B80,BG$39+$A80,1,1,$D80))</f>
        <v>108</v>
      </c>
      <c r="BH80" s="1" cm="1">
        <f t="array" aca="1" ref="BH80" ca="1">INDIRECT(ADDRESS($B80,BH$39+$A80,1,1,$D80))</f>
        <v>110</v>
      </c>
      <c r="BI80" s="1" cm="1">
        <f t="array" aca="1" ref="BI80" ca="1">INDIRECT(ADDRESS($B80,BI$39+$A80,1,1,$D80))</f>
        <v>113.5</v>
      </c>
      <c r="BJ80" s="1" cm="1">
        <f t="array" aca="1" ref="BJ80" ca="1">INDIRECT(ADDRESS($B80,BJ$39+$A80,1,1,$D80))</f>
        <v>117</v>
      </c>
      <c r="BK80" s="1" cm="1">
        <f t="array" aca="1" ref="BK80" ca="1">INDIRECT(ADDRESS($B80,BK$39+$A80,1,1,$D80))</f>
        <v>130</v>
      </c>
      <c r="BL80" s="1" cm="1">
        <f t="array" aca="1" ref="BL80" ca="1">INDIRECT(ADDRESS($B80,BL$39+$A80,1,1,$D80))</f>
        <v>136</v>
      </c>
      <c r="BM80" s="1" cm="1">
        <f t="array" aca="1" ref="BM80" ca="1">INDIRECT(ADDRESS($B80,BM$39+$A80,1,1,$D80))</f>
        <v>148</v>
      </c>
      <c r="BN80" s="1" cm="1">
        <f t="array" aca="1" ref="BN80" ca="1">INDIRECT(ADDRESS($B80,BN$39+$A80,1,1,$D80))</f>
        <v>153</v>
      </c>
      <c r="BO80" s="1" cm="1">
        <f t="array" aca="1" ref="BO80" ca="1">INDIRECT(ADDRESS($B80,BO$39+$A80,1,1,$D80))</f>
        <v>158</v>
      </c>
      <c r="BP80" s="1" cm="1">
        <f t="array" aca="1" ref="BP80" ca="1">INDIRECT(ADDRESS($B80,BP$39+$A80,1,1,$D80))</f>
        <v>176</v>
      </c>
      <c r="BQ80" s="1" cm="1">
        <f t="array" aca="1" ref="BQ80" ca="1">INDIRECT(ADDRESS($B80,BQ$39+$A80,1,1,$D80))</f>
        <v>187</v>
      </c>
      <c r="BR80" s="1" cm="1">
        <f t="array" aca="1" ref="BR80" ca="1">INDIRECT(ADDRESS($B80,BR$39+$A80,1,1,$D80))</f>
        <v>198</v>
      </c>
      <c r="BS80" s="1" cm="1">
        <f t="array" aca="1" ref="BS80" ca="1">INDIRECT(ADDRESS($B80,BS$39+$A80,1,1,$D80))</f>
        <v>210</v>
      </c>
      <c r="BT80" s="1" cm="1">
        <f t="array" aca="1" ref="BT80" ca="1">INDIRECT(ADDRESS($B80,BT$39+$A80,1,1,$D80))</f>
        <v>223</v>
      </c>
      <c r="BU80" s="1" cm="1">
        <f t="array" aca="1" ref="BU80" ca="1">INDIRECT(ADDRESS($B80,BU$39+$A80,1,1,$D80))</f>
        <v>240</v>
      </c>
      <c r="BV80" s="1" cm="1">
        <f t="array" aca="1" ref="BV80" ca="1">INDIRECT(ADDRESS($B80,BV$39+$A80,1,1,$D80))</f>
        <v>263</v>
      </c>
      <c r="BW80" s="1" cm="1">
        <f t="array" aca="1" ref="BW80" ca="1">INDIRECT(ADDRESS($B80,BW$39+$A80,1,1,$D80))</f>
        <v>310</v>
      </c>
      <c r="BX80" s="1" cm="1">
        <f t="array" aca="1" ref="BX80" ca="1">INDIRECT(ADDRESS($B80,BX$39+$A80,1,1,$D80))</f>
        <v>341</v>
      </c>
      <c r="BY80" s="1" cm="1">
        <f t="array" aca="1" ref="BY80" ca="1">INDIRECT(ADDRESS($B80,BY$39+$A80,1,1,$D80))</f>
        <v>380</v>
      </c>
      <c r="BZ80" s="1" cm="1">
        <f t="array" aca="1" ref="BZ80" ca="1">INDIRECT(ADDRESS($B80,BZ$39+$A80,1,1,$D80))</f>
        <v>426</v>
      </c>
      <c r="CA80" s="1" cm="1">
        <f t="array" aca="1" ref="CA80" ca="1">INDIRECT(ADDRESS($B80,CA$39+$A80,1,1,$D80))</f>
        <v>449</v>
      </c>
      <c r="CB80" s="1" cm="1">
        <f t="array" aca="1" ref="CB80" ca="1">INDIRECT(ADDRESS($B80,CB$39+$A80,1,1,$D80))</f>
        <v>503</v>
      </c>
      <c r="CC80" s="1" cm="1">
        <f t="array" aca="1" ref="CC80" ca="1">INDIRECT(ADDRESS($B80,CC$39+$A80,1,1,$D80))</f>
        <v>552</v>
      </c>
      <c r="CD80" s="1" cm="1">
        <f t="array" aca="1" ref="CD80" ca="1">INDIRECT(ADDRESS($B80,CD$39+$A80,1,1,$D80))</f>
        <v>625</v>
      </c>
      <c r="CE80" s="1" cm="1">
        <f t="array" aca="1" ref="CE80" ca="1">INDIRECT(ADDRESS($B80,CE$39+$A80,1,1,$D80))</f>
        <v>677</v>
      </c>
      <c r="CF80" s="1" cm="1">
        <f t="array" aca="1" ref="CF80" ca="1">INDIRECT(ADDRESS($B80,CF$39+$A80,1,1,$D80))</f>
        <v>725</v>
      </c>
      <c r="CG80" s="1" cm="1">
        <f t="array" aca="1" ref="CG80" ca="1">INDIRECT(ADDRESS($B80,CG$39+$A80,1,1,$D80))</f>
        <v>794</v>
      </c>
      <c r="CH80" s="1" cm="1">
        <f t="array" aca="1" ref="CH80" ca="1">INDIRECT(ADDRESS($B80,CH$39+$A80,1,1,$D80))</f>
        <v>836</v>
      </c>
      <c r="CI80" s="1" cm="1">
        <f t="array" aca="1" ref="CI80" ca="1">INDIRECT(ADDRESS($B80,CI$39+$A80,1,1,$D80))</f>
        <v>870</v>
      </c>
      <c r="CJ80" s="1" cm="1">
        <f t="array" aca="1" ref="CJ80" ca="1">INDIRECT(ADDRESS($B80,CJ$39+$A80,1,1,$D80))</f>
        <v>916</v>
      </c>
      <c r="CK80" s="1" cm="1">
        <f t="array" aca="1" ref="CK80" ca="1">INDIRECT(ADDRESS($B80,CK$39+$A80,1,1,$D80))</f>
        <v>990</v>
      </c>
      <c r="CL80" s="1" cm="1">
        <f t="array" aca="1" ref="CL80" ca="1">INDIRECT(ADDRESS($B80,CL$39+$A80,1,1,$D80))</f>
        <v>1039</v>
      </c>
      <c r="CM80" s="1" cm="1">
        <f t="array" aca="1" ref="CM80" ca="1">INDIRECT(ADDRESS($B80,CM$39+$A80,1,1,$D80))</f>
        <v>1103</v>
      </c>
      <c r="CN80" s="1" cm="1">
        <f t="array" aca="1" ref="CN80" ca="1">INDIRECT(ADDRESS($B80,CN$39+$A80,1,1,$D80))</f>
        <v>0</v>
      </c>
      <c r="CO80" s="1" cm="1">
        <f t="array" aca="1" ref="CO80" ca="1">INDIRECT(ADDRESS($B80,CO$39+$A80,1,1,$D80))</f>
        <v>0</v>
      </c>
    </row>
    <row r="81" spans="1:93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</row>
    <row r="82" spans="1:93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cm="1">
        <f t="array" aca="1" ref="CN82" ca="1">INDIRECT(ADDRESS($B82,CN$39+$A82,1,1,$C82))</f>
        <v>0</v>
      </c>
      <c r="CO82" s="5" cm="1">
        <f t="array" aca="1" ref="CO82" ca="1">INDIRECT(ADDRESS($B82,CO$39+$A82,1,1,$C82))</f>
        <v>0</v>
      </c>
    </row>
    <row r="83" spans="1:93" x14ac:dyDescent="0.25">
      <c r="A83">
        <v>8</v>
      </c>
      <c r="B83">
        <f ca="1">MATCH($C83,INDIRECT("'"&amp;$C$82&amp;"'!A:A"),0)</f>
        <v>20</v>
      </c>
      <c r="C83" s="1" t="str">
        <f t="shared" ref="C83:C90" si="34">C8</f>
        <v>US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</row>
    <row r="84" spans="1:93" x14ac:dyDescent="0.25">
      <c r="A84">
        <v>8</v>
      </c>
      <c r="B84">
        <f t="shared" ref="B84:B90" ca="1" si="35">MATCH($C84,INDIRECT("'"&amp;$C$82&amp;"'!A:A"),0)</f>
        <v>5</v>
      </c>
      <c r="C84" s="1" t="str">
        <f t="shared" si="34"/>
        <v>China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0</v>
      </c>
      <c r="BM84" s="1" cm="1">
        <f t="array" aca="1" ref="BM84" ca="1">INDIRECT(ADDRESS($B84,BM$39+$A84,1,1,$D84))</f>
        <v>0</v>
      </c>
      <c r="BN84" s="1" cm="1">
        <f t="array" aca="1" ref="BN84" ca="1">INDIRECT(ADDRESS($B84,BN$39+$A84,1,1,$D84))</f>
        <v>0</v>
      </c>
      <c r="BO84" s="1" cm="1">
        <f t="array" aca="1" ref="BO84" ca="1">INDIRECT(ADDRESS($B84,BO$39+$A84,1,1,$D84))</f>
        <v>0</v>
      </c>
      <c r="BP84" s="1" cm="1">
        <f t="array" aca="1" ref="BP84" ca="1">INDIRECT(ADDRESS($B84,BP$39+$A84,1,1,$D84))</f>
        <v>0</v>
      </c>
      <c r="BQ84" s="1" cm="1">
        <f t="array" aca="1" ref="BQ84" ca="1">INDIRECT(ADDRESS($B84,BQ$39+$A84,1,1,$D84))</f>
        <v>0</v>
      </c>
      <c r="BR84" s="1" cm="1">
        <f t="array" aca="1" ref="BR84" ca="1">INDIRECT(ADDRESS($B84,BR$39+$A84,1,1,$D84))</f>
        <v>0</v>
      </c>
      <c r="BS84" s="1" cm="1">
        <f t="array" aca="1" ref="BS84" ca="1">INDIRECT(ADDRESS($B84,BS$39+$A84,1,1,$D84))</f>
        <v>0</v>
      </c>
      <c r="BT84" s="1" cm="1">
        <f t="array" aca="1" ref="BT84" ca="1">INDIRECT(ADDRESS($B84,BT$39+$A84,1,1,$D84))</f>
        <v>0</v>
      </c>
      <c r="BU84" s="1" cm="1">
        <f t="array" aca="1" ref="BU84" ca="1">INDIRECT(ADDRESS($B84,BU$39+$A84,1,1,$D84))</f>
        <v>0</v>
      </c>
      <c r="BV84" s="1" cm="1">
        <f t="array" aca="1" ref="BV84" ca="1">INDIRECT(ADDRESS($B84,BV$39+$A84,1,1,$D84))</f>
        <v>0</v>
      </c>
      <c r="BW84" s="1" cm="1">
        <f t="array" aca="1" ref="BW84" ca="1">INDIRECT(ADDRESS($B84,BW$39+$A84,1,1,$D84))</f>
        <v>0</v>
      </c>
      <c r="BX84" s="1" cm="1">
        <f t="array" aca="1" ref="BX84" ca="1">INDIRECT(ADDRESS($B84,BX$39+$A84,1,1,$D84))</f>
        <v>0</v>
      </c>
      <c r="BY84" s="1" cm="1">
        <f t="array" aca="1" ref="BY84" ca="1">INDIRECT(ADDRESS($B84,BY$39+$A84,1,1,$D84))</f>
        <v>0</v>
      </c>
      <c r="BZ84" s="1" cm="1">
        <f t="array" aca="1" ref="BZ84" ca="1">INDIRECT(ADDRESS($B84,BZ$39+$A84,1,1,$D84))</f>
        <v>0</v>
      </c>
      <c r="CA84" s="1" cm="1">
        <f t="array" aca="1" ref="CA84" ca="1">INDIRECT(ADDRESS($B84,CA$39+$A84,1,1,$D84))</f>
        <v>0</v>
      </c>
      <c r="CB84" s="1" cm="1">
        <f t="array" aca="1" ref="CB84" ca="1">INDIRECT(ADDRESS($B84,CB$39+$A84,1,1,$D84))</f>
        <v>0</v>
      </c>
      <c r="CC84" s="1" cm="1">
        <f t="array" aca="1" ref="CC84" ca="1">INDIRECT(ADDRESS($B84,CC$39+$A84,1,1,$D84))</f>
        <v>0</v>
      </c>
      <c r="CD84" s="1" cm="1">
        <f t="array" aca="1" ref="CD84" ca="1">INDIRECT(ADDRESS($B84,CD$39+$A84,1,1,$D84))</f>
        <v>0</v>
      </c>
      <c r="CE84" s="1" cm="1">
        <f t="array" aca="1" ref="CE84" ca="1">INDIRECT(ADDRESS($B84,CE$39+$A84,1,1,$D84))</f>
        <v>0</v>
      </c>
      <c r="CF84" s="1" cm="1">
        <f t="array" aca="1" ref="CF84" ca="1">INDIRECT(ADDRESS($B84,CF$39+$A84,1,1,$D84))</f>
        <v>0</v>
      </c>
      <c r="CG84" s="1" cm="1">
        <f t="array" aca="1" ref="CG84" ca="1">INDIRECT(ADDRESS($B84,CG$39+$A84,1,1,$D84))</f>
        <v>0</v>
      </c>
      <c r="CH84" s="1" cm="1">
        <f t="array" aca="1" ref="CH84" ca="1">INDIRECT(ADDRESS($B84,CH$39+$A84,1,1,$D84))</f>
        <v>0</v>
      </c>
      <c r="CI84" s="1" cm="1">
        <f t="array" aca="1" ref="CI84" ca="1">INDIRECT(ADDRESS($B84,CI$39+$A84,1,1,$D84))</f>
        <v>0</v>
      </c>
      <c r="CJ84" s="1" cm="1">
        <f t="array" aca="1" ref="CJ84" ca="1">INDIRECT(ADDRESS($B84,CJ$39+$A84,1,1,$D84))</f>
        <v>0</v>
      </c>
      <c r="CK84" s="1" cm="1">
        <f t="array" aca="1" ref="CK84" ca="1">INDIRECT(ADDRESS($B84,CK$39+$A84,1,1,$D84))</f>
        <v>0</v>
      </c>
      <c r="CL84" s="1" cm="1">
        <f t="array" aca="1" ref="CL84" ca="1">INDIRECT(ADDRESS($B84,CL$39+$A84,1,1,$D84))</f>
        <v>0</v>
      </c>
      <c r="CM84" s="1" cm="1">
        <f t="array" aca="1" ref="CM84" ca="1">INDIRECT(ADDRESS($B84,CM$39+$A84,1,1,$D84))</f>
        <v>0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</row>
    <row r="85" spans="1:93" x14ac:dyDescent="0.25">
      <c r="A85">
        <v>8</v>
      </c>
      <c r="B85">
        <f t="shared" ca="1" si="35"/>
        <v>3</v>
      </c>
      <c r="C85" s="1" t="str">
        <f t="shared" si="34"/>
        <v>Belgium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</row>
    <row r="86" spans="1:93" x14ac:dyDescent="0.25">
      <c r="A86">
        <v>8</v>
      </c>
      <c r="B86">
        <f t="shared" ca="1" si="35"/>
        <v>11</v>
      </c>
      <c r="C86" s="1" t="str">
        <f t="shared" si="34"/>
        <v>Italy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</row>
    <row r="87" spans="1:93" x14ac:dyDescent="0.25">
      <c r="A87">
        <v>8</v>
      </c>
      <c r="B87">
        <f t="shared" ca="1" si="35"/>
        <v>7</v>
      </c>
      <c r="C87" s="1" t="str">
        <f t="shared" si="34"/>
        <v>France</v>
      </c>
      <c r="D87" t="str">
        <f t="shared" ref="D87:D90" si="36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0</v>
      </c>
      <c r="BM87" s="1" cm="1">
        <f t="array" aca="1" ref="BM87" ca="1">INDIRECT(ADDRESS($B87,BM$39+$A87,1,1,$D87))</f>
        <v>0</v>
      </c>
      <c r="BN87" s="1" cm="1">
        <f t="array" aca="1" ref="BN87" ca="1">INDIRECT(ADDRESS($B87,BN$39+$A87,1,1,$D87))</f>
        <v>0</v>
      </c>
      <c r="BO87" s="1" cm="1">
        <f t="array" aca="1" ref="BO87" ca="1">INDIRECT(ADDRESS($B87,BO$39+$A87,1,1,$D87))</f>
        <v>0</v>
      </c>
      <c r="BP87" s="1" cm="1">
        <f t="array" aca="1" ref="BP87" ca="1">INDIRECT(ADDRESS($B87,BP$39+$A87,1,1,$D87))</f>
        <v>0</v>
      </c>
      <c r="BQ87" s="1" cm="1">
        <f t="array" aca="1" ref="BQ87" ca="1">INDIRECT(ADDRESS($B87,BQ$39+$A87,1,1,$D87))</f>
        <v>0</v>
      </c>
      <c r="BR87" s="1" cm="1">
        <f t="array" aca="1" ref="BR87" ca="1">INDIRECT(ADDRESS($B87,BR$39+$A87,1,1,$D87))</f>
        <v>0</v>
      </c>
      <c r="BS87" s="1" cm="1">
        <f t="array" aca="1" ref="BS87" ca="1">INDIRECT(ADDRESS($B87,BS$39+$A87,1,1,$D87))</f>
        <v>0</v>
      </c>
      <c r="BT87" s="1" cm="1">
        <f t="array" aca="1" ref="BT87" ca="1">INDIRECT(ADDRESS($B87,BT$39+$A87,1,1,$D87))</f>
        <v>0</v>
      </c>
      <c r="BU87" s="1" cm="1">
        <f t="array" aca="1" ref="BU87" ca="1">INDIRECT(ADDRESS($B87,BU$39+$A87,1,1,$D87))</f>
        <v>0</v>
      </c>
      <c r="BV87" s="1" cm="1">
        <f t="array" aca="1" ref="BV87" ca="1">INDIRECT(ADDRESS($B87,BV$39+$A87,1,1,$D87))</f>
        <v>0</v>
      </c>
      <c r="BW87" s="1" cm="1">
        <f t="array" aca="1" ref="BW87" ca="1">INDIRECT(ADDRESS($B87,BW$39+$A87,1,1,$D87))</f>
        <v>0</v>
      </c>
      <c r="BX87" s="1" cm="1">
        <f t="array" aca="1" ref="BX87" ca="1">INDIRECT(ADDRESS($B87,BX$39+$A87,1,1,$D87))</f>
        <v>0</v>
      </c>
      <c r="BY87" s="1" cm="1">
        <f t="array" aca="1" ref="BY87" ca="1">INDIRECT(ADDRESS($B87,BY$39+$A87,1,1,$D87))</f>
        <v>0</v>
      </c>
      <c r="BZ87" s="1" cm="1">
        <f t="array" aca="1" ref="BZ87" ca="1">INDIRECT(ADDRESS($B87,BZ$39+$A87,1,1,$D87))</f>
        <v>0</v>
      </c>
      <c r="CA87" s="1" cm="1">
        <f t="array" aca="1" ref="CA87" ca="1">INDIRECT(ADDRESS($B87,CA$39+$A87,1,1,$D87))</f>
        <v>0</v>
      </c>
      <c r="CB87" s="1" cm="1">
        <f t="array" aca="1" ref="CB87" ca="1">INDIRECT(ADDRESS($B87,CB$39+$A87,1,1,$D87))</f>
        <v>0</v>
      </c>
      <c r="CC87" s="1" cm="1">
        <f t="array" aca="1" ref="CC87" ca="1">INDIRECT(ADDRESS($B87,CC$39+$A87,1,1,$D87))</f>
        <v>0</v>
      </c>
      <c r="CD87" s="1" cm="1">
        <f t="array" aca="1" ref="CD87" ca="1">INDIRECT(ADDRESS($B87,CD$39+$A87,1,1,$D87))</f>
        <v>0</v>
      </c>
      <c r="CE87" s="1" cm="1">
        <f t="array" aca="1" ref="CE87" ca="1">INDIRECT(ADDRESS($B87,CE$39+$A87,1,1,$D87))</f>
        <v>0</v>
      </c>
      <c r="CF87" s="1" cm="1">
        <f t="array" aca="1" ref="CF87" ca="1">INDIRECT(ADDRESS($B87,CF$39+$A87,1,1,$D87))</f>
        <v>0</v>
      </c>
      <c r="CG87" s="1" cm="1">
        <f t="array" aca="1" ref="CG87" ca="1">INDIRECT(ADDRESS($B87,CG$39+$A87,1,1,$D87))</f>
        <v>0</v>
      </c>
      <c r="CH87" s="1" cm="1">
        <f t="array" aca="1" ref="CH87" ca="1">INDIRECT(ADDRESS($B87,CH$39+$A87,1,1,$D87))</f>
        <v>0</v>
      </c>
      <c r="CI87" s="1" cm="1">
        <f t="array" aca="1" ref="CI87" ca="1">INDIRECT(ADDRESS($B87,CI$39+$A87,1,1,$D87))</f>
        <v>0</v>
      </c>
      <c r="CJ87" s="1" cm="1">
        <f t="array" aca="1" ref="CJ87" ca="1">INDIRECT(ADDRESS($B87,CJ$39+$A87,1,1,$D87))</f>
        <v>0</v>
      </c>
      <c r="CK87" s="1" cm="1">
        <f t="array" aca="1" ref="CK87" ca="1">INDIRECT(ADDRESS($B87,CK$39+$A87,1,1,$D87))</f>
        <v>0</v>
      </c>
      <c r="CL87" s="1" cm="1">
        <f t="array" aca="1" ref="CL87" ca="1">INDIRECT(ADDRESS($B87,CL$39+$A87,1,1,$D87))</f>
        <v>0</v>
      </c>
      <c r="CM87" s="1" cm="1">
        <f t="array" aca="1" ref="CM87" ca="1">INDIRECT(ADDRESS($B87,CM$39+$A87,1,1,$D87))</f>
        <v>0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</row>
    <row r="88" spans="1:93" x14ac:dyDescent="0.25">
      <c r="A88">
        <v>8</v>
      </c>
      <c r="B88">
        <f t="shared" ca="1" si="35"/>
        <v>19</v>
      </c>
      <c r="C88" s="1" t="str">
        <f t="shared" si="34"/>
        <v>Switzerland</v>
      </c>
      <c r="D88" t="str">
        <f t="shared" si="36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0</v>
      </c>
      <c r="BV88" s="1" cm="1">
        <f t="array" aca="1" ref="BV88" ca="1">INDIRECT(ADDRESS($B88,BV$39+$A88,1,1,$D88))</f>
        <v>0</v>
      </c>
      <c r="BW88" s="1" cm="1">
        <f t="array" aca="1" ref="BW88" ca="1">INDIRECT(ADDRESS($B88,BW$39+$A88,1,1,$D88))</f>
        <v>0</v>
      </c>
      <c r="BX88" s="1" cm="1">
        <f t="array" aca="1" ref="BX88" ca="1">INDIRECT(ADDRESS($B88,BX$39+$A88,1,1,$D88))</f>
        <v>0</v>
      </c>
      <c r="BY88" s="1" cm="1">
        <f t="array" aca="1" ref="BY88" ca="1">INDIRECT(ADDRESS($B88,BY$39+$A88,1,1,$D88))</f>
        <v>0</v>
      </c>
      <c r="BZ88" s="1" cm="1">
        <f t="array" aca="1" ref="BZ88" ca="1">INDIRECT(ADDRESS($B88,BZ$39+$A88,1,1,$D88))</f>
        <v>0</v>
      </c>
      <c r="CA88" s="1" cm="1">
        <f t="array" aca="1" ref="CA88" ca="1">INDIRECT(ADDRESS($B88,CA$39+$A88,1,1,$D88))</f>
        <v>0</v>
      </c>
      <c r="CB88" s="1" cm="1">
        <f t="array" aca="1" ref="CB88" ca="1">INDIRECT(ADDRESS($B88,CB$39+$A88,1,1,$D88))</f>
        <v>0</v>
      </c>
      <c r="CC88" s="1" cm="1">
        <f t="array" aca="1" ref="CC88" ca="1">INDIRECT(ADDRESS($B88,CC$39+$A88,1,1,$D88))</f>
        <v>0</v>
      </c>
      <c r="CD88" s="1" cm="1">
        <f t="array" aca="1" ref="CD88" ca="1">INDIRECT(ADDRESS($B88,CD$39+$A88,1,1,$D88))</f>
        <v>0</v>
      </c>
      <c r="CE88" s="1" cm="1">
        <f t="array" aca="1" ref="CE88" ca="1">INDIRECT(ADDRESS($B88,CE$39+$A88,1,1,$D88))</f>
        <v>0</v>
      </c>
      <c r="CF88" s="1" cm="1">
        <f t="array" aca="1" ref="CF88" ca="1">INDIRECT(ADDRESS($B88,CF$39+$A88,1,1,$D88))</f>
        <v>0</v>
      </c>
      <c r="CG88" s="1" cm="1">
        <f t="array" aca="1" ref="CG88" ca="1">INDIRECT(ADDRESS($B88,CG$39+$A88,1,1,$D88))</f>
        <v>0</v>
      </c>
      <c r="CH88" s="1" cm="1">
        <f t="array" aca="1" ref="CH88" ca="1">INDIRECT(ADDRESS($B88,CH$39+$A88,1,1,$D88))</f>
        <v>0</v>
      </c>
      <c r="CI88" s="1" cm="1">
        <f t="array" aca="1" ref="CI88" ca="1">INDIRECT(ADDRESS($B88,CI$39+$A88,1,1,$D88))</f>
        <v>0</v>
      </c>
      <c r="CJ88" s="1" cm="1">
        <f t="array" aca="1" ref="CJ88" ca="1">INDIRECT(ADDRESS($B88,CJ$39+$A88,1,1,$D88))</f>
        <v>0</v>
      </c>
      <c r="CK88" s="1" cm="1">
        <f t="array" aca="1" ref="CK88" ca="1">INDIRECT(ADDRESS($B88,CK$39+$A88,1,1,$D88))</f>
        <v>0</v>
      </c>
      <c r="CL88" s="1" cm="1">
        <f t="array" aca="1" ref="CL88" ca="1">INDIRECT(ADDRESS($B88,CL$39+$A88,1,1,$D88))</f>
        <v>0</v>
      </c>
      <c r="CM88" s="1" cm="1">
        <f t="array" aca="1" ref="CM88" ca="1">INDIRECT(ADDRESS($B88,CM$39+$A88,1,1,$D88))</f>
        <v>0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</row>
    <row r="89" spans="1:93" x14ac:dyDescent="0.25">
      <c r="A89">
        <v>8</v>
      </c>
      <c r="B89">
        <f t="shared" ca="1" si="35"/>
        <v>8</v>
      </c>
      <c r="C89" s="1" t="str">
        <f t="shared" si="34"/>
        <v>Germany</v>
      </c>
      <c r="D89" t="str">
        <f t="shared" si="36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0</v>
      </c>
      <c r="CK89" s="1" cm="1">
        <f t="array" aca="1" ref="CK89" ca="1">INDIRECT(ADDRESS($B89,CK$39+$A89,1,1,$D89))</f>
        <v>0</v>
      </c>
      <c r="CL89" s="1" cm="1">
        <f t="array" aca="1" ref="CL89" ca="1">INDIRECT(ADDRESS($B89,CL$39+$A89,1,1,$D89))</f>
        <v>0</v>
      </c>
      <c r="CM89" s="1" cm="1">
        <f t="array" aca="1" ref="CM89" ca="1">INDIRECT(ADDRESS($B89,CM$39+$A89,1,1,$D89))</f>
        <v>0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</row>
    <row r="90" spans="1:93" x14ac:dyDescent="0.25">
      <c r="A90">
        <v>8</v>
      </c>
      <c r="B90">
        <f t="shared" ca="1" si="35"/>
        <v>16</v>
      </c>
      <c r="C90" s="1" t="str">
        <f t="shared" si="34"/>
        <v>Singapore</v>
      </c>
      <c r="D90" t="str">
        <f t="shared" si="36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</row>
    <row r="91" spans="1:93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</row>
    <row r="92" spans="1:93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cm="1">
        <f t="array" aca="1" ref="CN92" ca="1">INDIRECT(ADDRESS($B92,CN$39+$A92,1,1,$C92))</f>
        <v>0</v>
      </c>
      <c r="CO92" s="5" cm="1">
        <f t="array" aca="1" ref="CO92" ca="1">INDIRECT(ADDRESS($B92,CO$39+$A92,1,1,$C92))</f>
        <v>0</v>
      </c>
    </row>
    <row r="93" spans="1:93" x14ac:dyDescent="0.25">
      <c r="A93">
        <v>8</v>
      </c>
      <c r="B93">
        <f ca="1">MATCH($C93,INDIRECT("'"&amp;$C$52&amp;"'!A:A"),0)</f>
        <v>20</v>
      </c>
      <c r="C93" s="1" t="str">
        <f t="shared" ref="C93:C100" si="37">C8</f>
        <v>US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1</v>
      </c>
      <c r="AR93" s="1" cm="1">
        <f t="array" aca="1" ref="AR93" ca="1">INDIRECT(ADDRESS($B93,AR$39+$A93,1,1,$D93))</f>
        <v>1</v>
      </c>
      <c r="AS93" s="1" cm="1">
        <f t="array" aca="1" ref="AS93" ca="1">INDIRECT(ADDRESS($B93,AS$39+$A93,1,1,$D93))</f>
        <v>6</v>
      </c>
      <c r="AT93" s="1" cm="1">
        <f t="array" aca="1" ref="AT93" ca="1">INDIRECT(ADDRESS($B93,AT$39+$A93,1,1,$D93))</f>
        <v>7</v>
      </c>
      <c r="AU93" s="1" cm="1">
        <f t="array" aca="1" ref="AU93" ca="1">INDIRECT(ADDRESS($B93,AU$39+$A93,1,1,$D93))</f>
        <v>11</v>
      </c>
      <c r="AV93" s="1" cm="1">
        <f t="array" aca="1" ref="AV93" ca="1">INDIRECT(ADDRESS($B93,AV$39+$A93,1,1,$D93))</f>
        <v>12</v>
      </c>
      <c r="AW93" s="1" cm="1">
        <f t="array" aca="1" ref="AW93" ca="1">INDIRECT(ADDRESS($B93,AW$39+$A93,1,1,$D93))</f>
        <v>14</v>
      </c>
      <c r="AX93" s="1" cm="1">
        <f t="array" aca="1" ref="AX93" ca="1">INDIRECT(ADDRESS($B93,AX$39+$A93,1,1,$D93))</f>
        <v>17</v>
      </c>
      <c r="AY93" s="1" cm="1">
        <f t="array" aca="1" ref="AY93" ca="1">INDIRECT(ADDRESS($B93,AY$39+$A93,1,1,$D93))</f>
        <v>21</v>
      </c>
      <c r="AZ93" s="1" cm="1">
        <f t="array" aca="1" ref="AZ93" ca="1">INDIRECT(ADDRESS($B93,AZ$39+$A93,1,1,$D93))</f>
        <v>22</v>
      </c>
      <c r="BA93" s="1" cm="1">
        <f t="array" aca="1" ref="BA93" ca="1">INDIRECT(ADDRESS($B93,BA$39+$A93,1,1,$D93))</f>
        <v>28</v>
      </c>
      <c r="BB93" s="1" cm="1">
        <f t="array" aca="1" ref="BB93" ca="1">INDIRECT(ADDRESS($B93,BB$39+$A93,1,1,$D93))</f>
        <v>36</v>
      </c>
      <c r="BC93" s="1" cm="1">
        <f t="array" aca="1" ref="BC93" ca="1">INDIRECT(ADDRESS($B93,BC$39+$A93,1,1,$D93))</f>
        <v>40</v>
      </c>
      <c r="BD93" s="1" cm="1">
        <f t="array" aca="1" ref="BD93" ca="1">INDIRECT(ADDRESS($B93,BD$39+$A93,1,1,$D93))</f>
        <v>47</v>
      </c>
      <c r="BE93" s="1" cm="1">
        <f t="array" aca="1" ref="BE93" ca="1">INDIRECT(ADDRESS($B93,BE$39+$A93,1,1,$D93))</f>
        <v>54</v>
      </c>
      <c r="BF93" s="1" cm="1">
        <f t="array" aca="1" ref="BF93" ca="1">INDIRECT(ADDRESS($B93,BF$39+$A93,1,1,$D93))</f>
        <v>63</v>
      </c>
      <c r="BG93" s="1" cm="1">
        <f t="array" aca="1" ref="BG93" ca="1">INDIRECT(ADDRESS($B93,BG$39+$A93,1,1,$D93))</f>
        <v>85</v>
      </c>
      <c r="BH93" s="1" cm="1">
        <f t="array" aca="1" ref="BH93" ca="1">INDIRECT(ADDRESS($B93,BH$39+$A93,1,1,$D93))</f>
        <v>108</v>
      </c>
      <c r="BI93" s="1" cm="1">
        <f t="array" aca="1" ref="BI93" ca="1">INDIRECT(ADDRESS($B93,BI$39+$A93,1,1,$D93))</f>
        <v>118</v>
      </c>
      <c r="BJ93" s="1" cm="1">
        <f t="array" aca="1" ref="BJ93" ca="1">INDIRECT(ADDRESS($B93,BJ$39+$A93,1,1,$D93))</f>
        <v>200</v>
      </c>
      <c r="BK93" s="1" cm="1">
        <f t="array" aca="1" ref="BK93" ca="1">INDIRECT(ADDRESS($B93,BK$39+$A93,1,1,$D93))</f>
        <v>244</v>
      </c>
      <c r="BL93" s="1" cm="1">
        <f t="array" aca="1" ref="BL93" ca="1">INDIRECT(ADDRESS($B93,BL$39+$A93,1,1,$D93))</f>
        <v>307</v>
      </c>
      <c r="BM93" s="1" cm="1">
        <f t="array" aca="1" ref="BM93" ca="1">INDIRECT(ADDRESS($B93,BM$39+$A93,1,1,$D93))</f>
        <v>417</v>
      </c>
      <c r="BN93" s="1" cm="1">
        <f t="array" aca="1" ref="BN93" ca="1">INDIRECT(ADDRESS($B93,BN$39+$A93,1,1,$D93))</f>
        <v>557</v>
      </c>
      <c r="BO93" s="1" cm="1">
        <f t="array" aca="1" ref="BO93" ca="1">INDIRECT(ADDRESS($B93,BO$39+$A93,1,1,$D93))</f>
        <v>706</v>
      </c>
      <c r="BP93" s="1" cm="1">
        <f t="array" aca="1" ref="BP93" ca="1">INDIRECT(ADDRESS($B93,BP$39+$A93,1,1,$D93))</f>
        <v>942</v>
      </c>
      <c r="BQ93" s="1" cm="1">
        <f t="array" aca="1" ref="BQ93" ca="1">INDIRECT(ADDRESS($B93,BQ$39+$A93,1,1,$D93))</f>
        <v>1209</v>
      </c>
      <c r="BR93" s="1" cm="1">
        <f t="array" aca="1" ref="BR93" ca="1">INDIRECT(ADDRESS($B93,BR$39+$A93,1,1,$D93))</f>
        <v>1581</v>
      </c>
      <c r="BS93" s="1" cm="1">
        <f t="array" aca="1" ref="BS93" ca="1">INDIRECT(ADDRESS($B93,BS$39+$A93,1,1,$D93))</f>
        <v>2026</v>
      </c>
      <c r="BT93" s="1" cm="1">
        <f t="array" aca="1" ref="BT93" ca="1">INDIRECT(ADDRESS($B93,BT$39+$A93,1,1,$D93))</f>
        <v>2467</v>
      </c>
      <c r="BU93" s="1" cm="1">
        <f t="array" aca="1" ref="BU93" ca="1">INDIRECT(ADDRESS($B93,BU$39+$A93,1,1,$D93))</f>
        <v>2978</v>
      </c>
      <c r="BV93" s="1" cm="1">
        <f t="array" aca="1" ref="BV93" ca="1">INDIRECT(ADDRESS($B93,BV$39+$A93,1,1,$D93))</f>
        <v>3873</v>
      </c>
      <c r="BW93" s="1" cm="1">
        <f t="array" aca="1" ref="BW93" ca="1">INDIRECT(ADDRESS($B93,BW$39+$A93,1,1,$D93))</f>
        <v>4757</v>
      </c>
      <c r="BX93" s="1" cm="1">
        <f t="array" aca="1" ref="BX93" ca="1">INDIRECT(ADDRESS($B93,BX$39+$A93,1,1,$D93))</f>
        <v>5926</v>
      </c>
      <c r="BY93" s="1" cm="1">
        <f t="array" aca="1" ref="BY93" ca="1">INDIRECT(ADDRESS($B93,BY$39+$A93,1,1,$D93))</f>
        <v>7087</v>
      </c>
      <c r="BZ93" s="1" cm="1">
        <f t="array" aca="1" ref="BZ93" ca="1">INDIRECT(ADDRESS($B93,BZ$39+$A93,1,1,$D93))</f>
        <v>8407</v>
      </c>
      <c r="CA93" s="1" cm="1">
        <f t="array" aca="1" ref="CA93" ca="1">INDIRECT(ADDRESS($B93,CA$39+$A93,1,1,$D93))</f>
        <v>9619</v>
      </c>
      <c r="CB93" s="1" cm="1">
        <f t="array" aca="1" ref="CB93" ca="1">INDIRECT(ADDRESS($B93,CB$39+$A93,1,1,$D93))</f>
        <v>10783</v>
      </c>
      <c r="CC93" s="1" cm="1">
        <f t="array" aca="1" ref="CC93" ca="1">INDIRECT(ADDRESS($B93,CC$39+$A93,1,1,$D93))</f>
        <v>12722</v>
      </c>
      <c r="CD93" s="1" cm="1">
        <f t="array" aca="1" ref="CD93" ca="1">INDIRECT(ADDRESS($B93,CD$39+$A93,1,1,$D93))</f>
        <v>14695</v>
      </c>
      <c r="CE93" s="1" cm="1">
        <f t="array" aca="1" ref="CE93" ca="1">INDIRECT(ADDRESS($B93,CE$39+$A93,1,1,$D93))</f>
        <v>16478</v>
      </c>
      <c r="CF93" s="1" cm="1">
        <f t="array" aca="1" ref="CF93" ca="1">INDIRECT(ADDRESS($B93,CF$39+$A93,1,1,$D93))</f>
        <v>18586</v>
      </c>
      <c r="CG93" s="1" cm="1">
        <f t="array" aca="1" ref="CG93" ca="1">INDIRECT(ADDRESS($B93,CG$39+$A93,1,1,$D93))</f>
        <v>20462</v>
      </c>
      <c r="CH93" s="1" cm="1">
        <f t="array" aca="1" ref="CH93" ca="1">INDIRECT(ADDRESS($B93,CH$39+$A93,1,1,$D93))</f>
        <v>22019</v>
      </c>
      <c r="CI93" s="1" cm="1">
        <f t="array" aca="1" ref="CI93" ca="1">INDIRECT(ADDRESS($B93,CI$39+$A93,1,1,$D93))</f>
        <v>23528</v>
      </c>
      <c r="CJ93" s="1" cm="1">
        <f t="array" aca="1" ref="CJ93" ca="1">INDIRECT(ADDRESS($B93,CJ$39+$A93,1,1,$D93))</f>
        <v>25831</v>
      </c>
      <c r="CK93" s="1" cm="1">
        <f t="array" aca="1" ref="CK93" ca="1">INDIRECT(ADDRESS($B93,CK$39+$A93,1,1,$D93))</f>
        <v>28325</v>
      </c>
      <c r="CL93" s="1" cm="1">
        <f t="array" aca="1" ref="CL93" ca="1">INDIRECT(ADDRESS($B93,CL$39+$A93,1,1,$D93))</f>
        <v>32916</v>
      </c>
      <c r="CM93" s="1" cm="1">
        <f t="array" aca="1" ref="CM93" ca="1">INDIRECT(ADDRESS($B93,CM$39+$A93,1,1,$D93))</f>
        <v>36773</v>
      </c>
      <c r="CN93" s="1" cm="1">
        <f t="array" aca="1" ref="CN93" ca="1">INDIRECT(ADDRESS($B93,CN$39+$A93,1,1,$D93))</f>
        <v>0</v>
      </c>
      <c r="CO93" s="1" cm="1">
        <f t="array" aca="1" ref="CO93" ca="1">INDIRECT(ADDRESS($B93,CO$39+$A93,1,1,$D93))</f>
        <v>0</v>
      </c>
    </row>
    <row r="94" spans="1:93" x14ac:dyDescent="0.25">
      <c r="A94">
        <v>8</v>
      </c>
      <c r="B94">
        <f ca="1">MATCH($C94,INDIRECT("'"&amp;$C$122&amp;"'!A:A"),0)</f>
        <v>5</v>
      </c>
      <c r="C94" s="1" t="str">
        <f t="shared" si="37"/>
        <v>China</v>
      </c>
      <c r="D94" t="str">
        <f>D93</f>
        <v>Deaths</v>
      </c>
      <c r="E94" s="1" cm="1">
        <f t="array" aca="1" ref="E94" ca="1">INDIRECT(ADDRESS($B94,E$39+$A94,1,1,$D94))</f>
        <v>17</v>
      </c>
      <c r="F94" s="1" cm="1">
        <f t="array" aca="1" ref="F94" ca="1">INDIRECT(ADDRESS($B94,F$39+$A94,1,1,$D94))</f>
        <v>18</v>
      </c>
      <c r="G94" s="1" cm="1">
        <f t="array" aca="1" ref="G94" ca="1">INDIRECT(ADDRESS($B94,G$39+$A94,1,1,$D94))</f>
        <v>26</v>
      </c>
      <c r="H94" s="1" cm="1">
        <f t="array" aca="1" ref="H94" ca="1">INDIRECT(ADDRESS($B94,H$39+$A94,1,1,$D94))</f>
        <v>42</v>
      </c>
      <c r="I94" s="1" cm="1">
        <f t="array" aca="1" ref="I94" ca="1">INDIRECT(ADDRESS($B94,I$39+$A94,1,1,$D94))</f>
        <v>56</v>
      </c>
      <c r="J94" s="1" cm="1">
        <f t="array" aca="1" ref="J94" ca="1">INDIRECT(ADDRESS($B94,J$39+$A94,1,1,$D94))</f>
        <v>82</v>
      </c>
      <c r="K94" s="1" cm="1">
        <f t="array" aca="1" ref="K94" ca="1">INDIRECT(ADDRESS($B94,K$39+$A94,1,1,$D94))</f>
        <v>131</v>
      </c>
      <c r="L94" s="1" cm="1">
        <f t="array" aca="1" ref="L94" ca="1">INDIRECT(ADDRESS($B94,L$39+$A94,1,1,$D94))</f>
        <v>133</v>
      </c>
      <c r="M94" s="1" cm="1">
        <f t="array" aca="1" ref="M94" ca="1">INDIRECT(ADDRESS($B94,M$39+$A94,1,1,$D94))</f>
        <v>171</v>
      </c>
      <c r="N94" s="1" cm="1">
        <f t="array" aca="1" ref="N94" ca="1">INDIRECT(ADDRESS($B94,N$39+$A94,1,1,$D94))</f>
        <v>213</v>
      </c>
      <c r="O94" s="1" cm="1">
        <f t="array" aca="1" ref="O94" ca="1">INDIRECT(ADDRESS($B94,O$39+$A94,1,1,$D94))</f>
        <v>259</v>
      </c>
      <c r="P94" s="1" cm="1">
        <f t="array" aca="1" ref="P94" ca="1">INDIRECT(ADDRESS($B94,P$39+$A94,1,1,$D94))</f>
        <v>361</v>
      </c>
      <c r="Q94" s="1" cm="1">
        <f t="array" aca="1" ref="Q94" ca="1">INDIRECT(ADDRESS($B94,Q$39+$A94,1,1,$D94))</f>
        <v>425</v>
      </c>
      <c r="R94" s="1" cm="1">
        <f t="array" aca="1" ref="R94" ca="1">INDIRECT(ADDRESS($B94,R$39+$A94,1,1,$D94))</f>
        <v>491</v>
      </c>
      <c r="S94" s="1" cm="1">
        <f t="array" aca="1" ref="S94" ca="1">INDIRECT(ADDRESS($B94,S$39+$A94,1,1,$D94))</f>
        <v>563</v>
      </c>
      <c r="T94" s="1" cm="1">
        <f t="array" aca="1" ref="T94" ca="1">INDIRECT(ADDRESS($B94,T$39+$A94,1,1,$D94))</f>
        <v>633</v>
      </c>
      <c r="U94" s="1" cm="1">
        <f t="array" aca="1" ref="U94" ca="1">INDIRECT(ADDRESS($B94,U$39+$A94,1,1,$D94))</f>
        <v>718</v>
      </c>
      <c r="V94" s="1" cm="1">
        <f t="array" aca="1" ref="V94" ca="1">INDIRECT(ADDRESS($B94,V$39+$A94,1,1,$D94))</f>
        <v>805</v>
      </c>
      <c r="W94" s="1" cm="1">
        <f t="array" aca="1" ref="W94" ca="1">INDIRECT(ADDRESS($B94,W$39+$A94,1,1,$D94))</f>
        <v>905</v>
      </c>
      <c r="X94" s="1" cm="1">
        <f t="array" aca="1" ref="X94" ca="1">INDIRECT(ADDRESS($B94,X$39+$A94,1,1,$D94))</f>
        <v>1012</v>
      </c>
      <c r="Y94" s="1" cm="1">
        <f t="array" aca="1" ref="Y94" ca="1">INDIRECT(ADDRESS($B94,Y$39+$A94,1,1,$D94))</f>
        <v>1112</v>
      </c>
      <c r="Z94" s="1" cm="1">
        <f t="array" aca="1" ref="Z94" ca="1">INDIRECT(ADDRESS($B94,Z$39+$A94,1,1,$D94))</f>
        <v>1117</v>
      </c>
      <c r="AA94" s="1" cm="1">
        <f t="array" aca="1" ref="AA94" ca="1">INDIRECT(ADDRESS($B94,AA$39+$A94,1,1,$D94))</f>
        <v>1369</v>
      </c>
      <c r="AB94" s="1" cm="1">
        <f t="array" aca="1" ref="AB94" ca="1">INDIRECT(ADDRESS($B94,AB$39+$A94,1,1,$D94))</f>
        <v>1521</v>
      </c>
      <c r="AC94" s="1" cm="1">
        <f t="array" aca="1" ref="AC94" ca="1">INDIRECT(ADDRESS($B94,AC$39+$A94,1,1,$D94))</f>
        <v>1663</v>
      </c>
      <c r="AD94" s="1" cm="1">
        <f t="array" aca="1" ref="AD94" ca="1">INDIRECT(ADDRESS($B94,AD$39+$A94,1,1,$D94))</f>
        <v>1766</v>
      </c>
      <c r="AE94" s="1" cm="1">
        <f t="array" aca="1" ref="AE94" ca="1">INDIRECT(ADDRESS($B94,AE$39+$A94,1,1,$D94))</f>
        <v>1864</v>
      </c>
      <c r="AF94" s="1" cm="1">
        <f t="array" aca="1" ref="AF94" ca="1">INDIRECT(ADDRESS($B94,AF$39+$A94,1,1,$D94))</f>
        <v>2003</v>
      </c>
      <c r="AG94" s="1" cm="1">
        <f t="array" aca="1" ref="AG94" ca="1">INDIRECT(ADDRESS($B94,AG$39+$A94,1,1,$D94))</f>
        <v>2116</v>
      </c>
      <c r="AH94" s="1" cm="1">
        <f t="array" aca="1" ref="AH94" ca="1">INDIRECT(ADDRESS($B94,AH$39+$A94,1,1,$D94))</f>
        <v>2238</v>
      </c>
      <c r="AI94" s="1" cm="1">
        <f t="array" aca="1" ref="AI94" ca="1">INDIRECT(ADDRESS($B94,AI$39+$A94,1,1,$D94))</f>
        <v>2238</v>
      </c>
      <c r="AJ94" s="1" cm="1">
        <f t="array" aca="1" ref="AJ94" ca="1">INDIRECT(ADDRESS($B94,AJ$39+$A94,1,1,$D94))</f>
        <v>2443</v>
      </c>
      <c r="AK94" s="1" cm="1">
        <f t="array" aca="1" ref="AK94" ca="1">INDIRECT(ADDRESS($B94,AK$39+$A94,1,1,$D94))</f>
        <v>2445</v>
      </c>
      <c r="AL94" s="1" cm="1">
        <f t="array" aca="1" ref="AL94" ca="1">INDIRECT(ADDRESS($B94,AL$39+$A94,1,1,$D94))</f>
        <v>2595</v>
      </c>
      <c r="AM94" s="1" cm="1">
        <f t="array" aca="1" ref="AM94" ca="1">INDIRECT(ADDRESS($B94,AM$39+$A94,1,1,$D94))</f>
        <v>2665</v>
      </c>
      <c r="AN94" s="1" cm="1">
        <f t="array" aca="1" ref="AN94" ca="1">INDIRECT(ADDRESS($B94,AN$39+$A94,1,1,$D94))</f>
        <v>2717</v>
      </c>
      <c r="AO94" s="1" cm="1">
        <f t="array" aca="1" ref="AO94" ca="1">INDIRECT(ADDRESS($B94,AO$39+$A94,1,1,$D94))</f>
        <v>2746</v>
      </c>
      <c r="AP94" s="1" cm="1">
        <f t="array" aca="1" ref="AP94" ca="1">INDIRECT(ADDRESS($B94,AP$39+$A94,1,1,$D94))</f>
        <v>2790</v>
      </c>
      <c r="AQ94" s="1" cm="1">
        <f t="array" aca="1" ref="AQ94" ca="1">INDIRECT(ADDRESS($B94,AQ$39+$A94,1,1,$D94))</f>
        <v>2837</v>
      </c>
      <c r="AR94" s="1" cm="1">
        <f t="array" aca="1" ref="AR94" ca="1">INDIRECT(ADDRESS($B94,AR$39+$A94,1,1,$D94))</f>
        <v>2872</v>
      </c>
      <c r="AS94" s="1" cm="1">
        <f t="array" aca="1" ref="AS94" ca="1">INDIRECT(ADDRESS($B94,AS$39+$A94,1,1,$D94))</f>
        <v>2914</v>
      </c>
      <c r="AT94" s="1" cm="1">
        <f t="array" aca="1" ref="AT94" ca="1">INDIRECT(ADDRESS($B94,AT$39+$A94,1,1,$D94))</f>
        <v>2947</v>
      </c>
      <c r="AU94" s="1" cm="1">
        <f t="array" aca="1" ref="AU94" ca="1">INDIRECT(ADDRESS($B94,AU$39+$A94,1,1,$D94))</f>
        <v>2983</v>
      </c>
      <c r="AV94" s="1" cm="1">
        <f t="array" aca="1" ref="AV94" ca="1">INDIRECT(ADDRESS($B94,AV$39+$A94,1,1,$D94))</f>
        <v>3015</v>
      </c>
      <c r="AW94" s="1" cm="1">
        <f t="array" aca="1" ref="AW94" ca="1">INDIRECT(ADDRESS($B94,AW$39+$A94,1,1,$D94))</f>
        <v>3044</v>
      </c>
      <c r="AX94" s="1" cm="1">
        <f t="array" aca="1" ref="AX94" ca="1">INDIRECT(ADDRESS($B94,AX$39+$A94,1,1,$D94))</f>
        <v>3072</v>
      </c>
      <c r="AY94" s="1" cm="1">
        <f t="array" aca="1" ref="AY94" ca="1">INDIRECT(ADDRESS($B94,AY$39+$A94,1,1,$D94))</f>
        <v>3100</v>
      </c>
      <c r="AZ94" s="1" cm="1">
        <f t="array" aca="1" ref="AZ94" ca="1">INDIRECT(ADDRESS($B94,AZ$39+$A94,1,1,$D94))</f>
        <v>3123</v>
      </c>
      <c r="BA94" s="1" cm="1">
        <f t="array" aca="1" ref="BA94" ca="1">INDIRECT(ADDRESS($B94,BA$39+$A94,1,1,$D94))</f>
        <v>3139</v>
      </c>
      <c r="BB94" s="1" cm="1">
        <f t="array" aca="1" ref="BB94" ca="1">INDIRECT(ADDRESS($B94,BB$39+$A94,1,1,$D94))</f>
        <v>3161</v>
      </c>
      <c r="BC94" s="1" cm="1">
        <f t="array" aca="1" ref="BC94" ca="1">INDIRECT(ADDRESS($B94,BC$39+$A94,1,1,$D94))</f>
        <v>3172</v>
      </c>
      <c r="BD94" s="1" cm="1">
        <f t="array" aca="1" ref="BD94" ca="1">INDIRECT(ADDRESS($B94,BD$39+$A94,1,1,$D94))</f>
        <v>3180</v>
      </c>
      <c r="BE94" s="1" cm="1">
        <f t="array" aca="1" ref="BE94" ca="1">INDIRECT(ADDRESS($B94,BE$39+$A94,1,1,$D94))</f>
        <v>3193</v>
      </c>
      <c r="BF94" s="1" cm="1">
        <f t="array" aca="1" ref="BF94" ca="1">INDIRECT(ADDRESS($B94,BF$39+$A94,1,1,$D94))</f>
        <v>3203</v>
      </c>
      <c r="BG94" s="1" cm="1">
        <f t="array" aca="1" ref="BG94" ca="1">INDIRECT(ADDRESS($B94,BG$39+$A94,1,1,$D94))</f>
        <v>3217</v>
      </c>
      <c r="BH94" s="1" cm="1">
        <f t="array" aca="1" ref="BH94" ca="1">INDIRECT(ADDRESS($B94,BH$39+$A94,1,1,$D94))</f>
        <v>3230</v>
      </c>
      <c r="BI94" s="1" cm="1">
        <f t="array" aca="1" ref="BI94" ca="1">INDIRECT(ADDRESS($B94,BI$39+$A94,1,1,$D94))</f>
        <v>3241</v>
      </c>
      <c r="BJ94" s="1" cm="1">
        <f t="array" aca="1" ref="BJ94" ca="1">INDIRECT(ADDRESS($B94,BJ$39+$A94,1,1,$D94))</f>
        <v>3249</v>
      </c>
      <c r="BK94" s="1" cm="1">
        <f t="array" aca="1" ref="BK94" ca="1">INDIRECT(ADDRESS($B94,BK$39+$A94,1,1,$D94))</f>
        <v>3253</v>
      </c>
      <c r="BL94" s="1" cm="1">
        <f t="array" aca="1" ref="BL94" ca="1">INDIRECT(ADDRESS($B94,BL$39+$A94,1,1,$D94))</f>
        <v>3259</v>
      </c>
      <c r="BM94" s="1" cm="1">
        <f t="array" aca="1" ref="BM94" ca="1">INDIRECT(ADDRESS($B94,BM$39+$A94,1,1,$D94))</f>
        <v>3274</v>
      </c>
      <c r="BN94" s="1" cm="1">
        <f t="array" aca="1" ref="BN94" ca="1">INDIRECT(ADDRESS($B94,BN$39+$A94,1,1,$D94))</f>
        <v>3274</v>
      </c>
      <c r="BO94" s="1" cm="1">
        <f t="array" aca="1" ref="BO94" ca="1">INDIRECT(ADDRESS($B94,BO$39+$A94,1,1,$D94))</f>
        <v>3281</v>
      </c>
      <c r="BP94" s="1" cm="1">
        <f t="array" aca="1" ref="BP94" ca="1">INDIRECT(ADDRESS($B94,BP$39+$A94,1,1,$D94))</f>
        <v>3285</v>
      </c>
      <c r="BQ94" s="1" cm="1">
        <f t="array" aca="1" ref="BQ94" ca="1">INDIRECT(ADDRESS($B94,BQ$39+$A94,1,1,$D94))</f>
        <v>3291</v>
      </c>
      <c r="BR94" s="1" cm="1">
        <f t="array" aca="1" ref="BR94" ca="1">INDIRECT(ADDRESS($B94,BR$39+$A94,1,1,$D94))</f>
        <v>3296</v>
      </c>
      <c r="BS94" s="1" cm="1">
        <f t="array" aca="1" ref="BS94" ca="1">INDIRECT(ADDRESS($B94,BS$39+$A94,1,1,$D94))</f>
        <v>3299</v>
      </c>
      <c r="BT94" s="1" cm="1">
        <f t="array" aca="1" ref="BT94" ca="1">INDIRECT(ADDRESS($B94,BT$39+$A94,1,1,$D94))</f>
        <v>3304</v>
      </c>
      <c r="BU94" s="1" cm="1">
        <f t="array" aca="1" ref="BU94" ca="1">INDIRECT(ADDRESS($B94,BU$39+$A94,1,1,$D94))</f>
        <v>3308</v>
      </c>
      <c r="BV94" s="1" cm="1">
        <f t="array" aca="1" ref="BV94" ca="1">INDIRECT(ADDRESS($B94,BV$39+$A94,1,1,$D94))</f>
        <v>3309</v>
      </c>
      <c r="BW94" s="1" cm="1">
        <f t="array" aca="1" ref="BW94" ca="1">INDIRECT(ADDRESS($B94,BW$39+$A94,1,1,$D94))</f>
        <v>3316</v>
      </c>
      <c r="BX94" s="1" cm="1">
        <f t="array" aca="1" ref="BX94" ca="1">INDIRECT(ADDRESS($B94,BX$39+$A94,1,1,$D94))</f>
        <v>3322</v>
      </c>
      <c r="BY94" s="1" cm="1">
        <f t="array" aca="1" ref="BY94" ca="1">INDIRECT(ADDRESS($B94,BY$39+$A94,1,1,$D94))</f>
        <v>3326</v>
      </c>
      <c r="BZ94" s="1" cm="1">
        <f t="array" aca="1" ref="BZ94" ca="1">INDIRECT(ADDRESS($B94,BZ$39+$A94,1,1,$D94))</f>
        <v>3330</v>
      </c>
      <c r="CA94" s="1" cm="1">
        <f t="array" aca="1" ref="CA94" ca="1">INDIRECT(ADDRESS($B94,CA$39+$A94,1,1,$D94))</f>
        <v>3333</v>
      </c>
      <c r="CB94" s="1" cm="1">
        <f t="array" aca="1" ref="CB94" ca="1">INDIRECT(ADDRESS($B94,CB$39+$A94,1,1,$D94))</f>
        <v>3335</v>
      </c>
      <c r="CC94" s="1" cm="1">
        <f t="array" aca="1" ref="CC94" ca="1">INDIRECT(ADDRESS($B94,CC$39+$A94,1,1,$D94))</f>
        <v>3335</v>
      </c>
      <c r="CD94" s="1" cm="1">
        <f t="array" aca="1" ref="CD94" ca="1">INDIRECT(ADDRESS($B94,CD$39+$A94,1,1,$D94))</f>
        <v>3337</v>
      </c>
      <c r="CE94" s="1" cm="1">
        <f t="array" aca="1" ref="CE94" ca="1">INDIRECT(ADDRESS($B94,CE$39+$A94,1,1,$D94))</f>
        <v>3339</v>
      </c>
      <c r="CF94" s="1" cm="1">
        <f t="array" aca="1" ref="CF94" ca="1">INDIRECT(ADDRESS($B94,CF$39+$A94,1,1,$D94))</f>
        <v>3340</v>
      </c>
      <c r="CG94" s="1" cm="1">
        <f t="array" aca="1" ref="CG94" ca="1">INDIRECT(ADDRESS($B94,CG$39+$A94,1,1,$D94))</f>
        <v>3343</v>
      </c>
      <c r="CH94" s="1" cm="1">
        <f t="array" aca="1" ref="CH94" ca="1">INDIRECT(ADDRESS($B94,CH$39+$A94,1,1,$D94))</f>
        <v>3343</v>
      </c>
      <c r="CI94" s="1" cm="1">
        <f t="array" aca="1" ref="CI94" ca="1">INDIRECT(ADDRESS($B94,CI$39+$A94,1,1,$D94))</f>
        <v>3345</v>
      </c>
      <c r="CJ94" s="1" cm="1">
        <f t="array" aca="1" ref="CJ94" ca="1">INDIRECT(ADDRESS($B94,CJ$39+$A94,1,1,$D94))</f>
        <v>3345</v>
      </c>
      <c r="CK94" s="1" cm="1">
        <f t="array" aca="1" ref="CK94" ca="1">INDIRECT(ADDRESS($B94,CK$39+$A94,1,1,$D94))</f>
        <v>3346</v>
      </c>
      <c r="CL94" s="1" cm="1">
        <f t="array" aca="1" ref="CL94" ca="1">INDIRECT(ADDRESS($B94,CL$39+$A94,1,1,$D94))</f>
        <v>3346</v>
      </c>
      <c r="CM94" s="1" cm="1">
        <f t="array" aca="1" ref="CM94" ca="1">INDIRECT(ADDRESS($B94,CM$39+$A94,1,1,$D94))</f>
        <v>4636</v>
      </c>
      <c r="CN94" s="1" cm="1">
        <f t="array" aca="1" ref="CN94" ca="1">INDIRECT(ADDRESS($B94,CN$39+$A94,1,1,$D94))</f>
        <v>0</v>
      </c>
      <c r="CO94" s="1" cm="1">
        <f t="array" aca="1" ref="CO94" ca="1">INDIRECT(ADDRESS($B94,CO$39+$A94,1,1,$D94))</f>
        <v>0</v>
      </c>
    </row>
    <row r="95" spans="1:93" x14ac:dyDescent="0.25">
      <c r="A95">
        <v>8</v>
      </c>
      <c r="B95">
        <f ca="1">MATCH($C95,INDIRECT("'"&amp;$C$122&amp;"'!A:A"),0)</f>
        <v>3</v>
      </c>
      <c r="C95" s="1" t="str">
        <f t="shared" si="37"/>
        <v>Belgium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3</v>
      </c>
      <c r="BC95" s="1" cm="1">
        <f t="array" aca="1" ref="BC95" ca="1">INDIRECT(ADDRESS($B95,BC$39+$A95,1,1,$D95))</f>
        <v>3</v>
      </c>
      <c r="BD95" s="1" cm="1">
        <f t="array" aca="1" ref="BD95" ca="1">INDIRECT(ADDRESS($B95,BD$39+$A95,1,1,$D95))</f>
        <v>3</v>
      </c>
      <c r="BE95" s="1" cm="1">
        <f t="array" aca="1" ref="BE95" ca="1">INDIRECT(ADDRESS($B95,BE$39+$A95,1,1,$D95))</f>
        <v>4</v>
      </c>
      <c r="BF95" s="1" cm="1">
        <f t="array" aca="1" ref="BF95" ca="1">INDIRECT(ADDRESS($B95,BF$39+$A95,1,1,$D95))</f>
        <v>4</v>
      </c>
      <c r="BG95" s="1" cm="1">
        <f t="array" aca="1" ref="BG95" ca="1">INDIRECT(ADDRESS($B95,BG$39+$A95,1,1,$D95))</f>
        <v>5</v>
      </c>
      <c r="BH95" s="1" cm="1">
        <f t="array" aca="1" ref="BH95" ca="1">INDIRECT(ADDRESS($B95,BH$39+$A95,1,1,$D95))</f>
        <v>10</v>
      </c>
      <c r="BI95" s="1" cm="1">
        <f t="array" aca="1" ref="BI95" ca="1">INDIRECT(ADDRESS($B95,BI$39+$A95,1,1,$D95))</f>
        <v>14</v>
      </c>
      <c r="BJ95" s="1" cm="1">
        <f t="array" aca="1" ref="BJ95" ca="1">INDIRECT(ADDRESS($B95,BJ$39+$A95,1,1,$D95))</f>
        <v>21</v>
      </c>
      <c r="BK95" s="1" cm="1">
        <f t="array" aca="1" ref="BK95" ca="1">INDIRECT(ADDRESS($B95,BK$39+$A95,1,1,$D95))</f>
        <v>37</v>
      </c>
      <c r="BL95" s="1" cm="1">
        <f t="array" aca="1" ref="BL95" ca="1">INDIRECT(ADDRESS($B95,BL$39+$A95,1,1,$D95))</f>
        <v>67</v>
      </c>
      <c r="BM95" s="1" cm="1">
        <f t="array" aca="1" ref="BM95" ca="1">INDIRECT(ADDRESS($B95,BM$39+$A95,1,1,$D95))</f>
        <v>75</v>
      </c>
      <c r="BN95" s="1" cm="1">
        <f t="array" aca="1" ref="BN95" ca="1">INDIRECT(ADDRESS($B95,BN$39+$A95,1,1,$D95))</f>
        <v>88</v>
      </c>
      <c r="BO95" s="1" cm="1">
        <f t="array" aca="1" ref="BO95" ca="1">INDIRECT(ADDRESS($B95,BO$39+$A95,1,1,$D95))</f>
        <v>122</v>
      </c>
      <c r="BP95" s="1" cm="1">
        <f t="array" aca="1" ref="BP95" ca="1">INDIRECT(ADDRESS($B95,BP$39+$A95,1,1,$D95))</f>
        <v>178</v>
      </c>
      <c r="BQ95" s="1" cm="1">
        <f t="array" aca="1" ref="BQ95" ca="1">INDIRECT(ADDRESS($B95,BQ$39+$A95,1,1,$D95))</f>
        <v>220</v>
      </c>
      <c r="BR95" s="1" cm="1">
        <f t="array" aca="1" ref="BR95" ca="1">INDIRECT(ADDRESS($B95,BR$39+$A95,1,1,$D95))</f>
        <v>289</v>
      </c>
      <c r="BS95" s="1" cm="1">
        <f t="array" aca="1" ref="BS95" ca="1">INDIRECT(ADDRESS($B95,BS$39+$A95,1,1,$D95))</f>
        <v>353</v>
      </c>
      <c r="BT95" s="1" cm="1">
        <f t="array" aca="1" ref="BT95" ca="1">INDIRECT(ADDRESS($B95,BT$39+$A95,1,1,$D95))</f>
        <v>431</v>
      </c>
      <c r="BU95" s="1" cm="1">
        <f t="array" aca="1" ref="BU95" ca="1">INDIRECT(ADDRESS($B95,BU$39+$A95,1,1,$D95))</f>
        <v>513</v>
      </c>
      <c r="BV95" s="1" cm="1">
        <f t="array" aca="1" ref="BV95" ca="1">INDIRECT(ADDRESS($B95,BV$39+$A95,1,1,$D95))</f>
        <v>705</v>
      </c>
      <c r="BW95" s="1" cm="1">
        <f t="array" aca="1" ref="BW95" ca="1">INDIRECT(ADDRESS($B95,BW$39+$A95,1,1,$D95))</f>
        <v>828</v>
      </c>
      <c r="BX95" s="1" cm="1">
        <f t="array" aca="1" ref="BX95" ca="1">INDIRECT(ADDRESS($B95,BX$39+$A95,1,1,$D95))</f>
        <v>1011</v>
      </c>
      <c r="BY95" s="1" cm="1">
        <f t="array" aca="1" ref="BY95" ca="1">INDIRECT(ADDRESS($B95,BY$39+$A95,1,1,$D95))</f>
        <v>1143</v>
      </c>
      <c r="BZ95" s="1" cm="1">
        <f t="array" aca="1" ref="BZ95" ca="1">INDIRECT(ADDRESS($B95,BZ$39+$A95,1,1,$D95))</f>
        <v>1283</v>
      </c>
      <c r="CA95" s="1" cm="1">
        <f t="array" aca="1" ref="CA95" ca="1">INDIRECT(ADDRESS($B95,CA$39+$A95,1,1,$D95))</f>
        <v>1447</v>
      </c>
      <c r="CB95" s="1" cm="1">
        <f t="array" aca="1" ref="CB95" ca="1">INDIRECT(ADDRESS($B95,CB$39+$A95,1,1,$D95))</f>
        <v>1632</v>
      </c>
      <c r="CC95" s="1" cm="1">
        <f t="array" aca="1" ref="CC95" ca="1">INDIRECT(ADDRESS($B95,CC$39+$A95,1,1,$D95))</f>
        <v>2035</v>
      </c>
      <c r="CD95" s="1" cm="1">
        <f t="array" aca="1" ref="CD95" ca="1">INDIRECT(ADDRESS($B95,CD$39+$A95,1,1,$D95))</f>
        <v>2240</v>
      </c>
      <c r="CE95" s="1" cm="1">
        <f t="array" aca="1" ref="CE95" ca="1">INDIRECT(ADDRESS($B95,CE$39+$A95,1,1,$D95))</f>
        <v>2523</v>
      </c>
      <c r="CF95" s="1" cm="1">
        <f t="array" aca="1" ref="CF95" ca="1">INDIRECT(ADDRESS($B95,CF$39+$A95,1,1,$D95))</f>
        <v>3019</v>
      </c>
      <c r="CG95" s="1" cm="1">
        <f t="array" aca="1" ref="CG95" ca="1">INDIRECT(ADDRESS($B95,CG$39+$A95,1,1,$D95))</f>
        <v>3346</v>
      </c>
      <c r="CH95" s="1" cm="1">
        <f t="array" aca="1" ref="CH95" ca="1">INDIRECT(ADDRESS($B95,CH$39+$A95,1,1,$D95))</f>
        <v>3600</v>
      </c>
      <c r="CI95" s="1" cm="1">
        <f t="array" aca="1" ref="CI95" ca="1">INDIRECT(ADDRESS($B95,CI$39+$A95,1,1,$D95))</f>
        <v>3903</v>
      </c>
      <c r="CJ95" s="1" cm="1">
        <f t="array" aca="1" ref="CJ95" ca="1">INDIRECT(ADDRESS($B95,CJ$39+$A95,1,1,$D95))</f>
        <v>4157</v>
      </c>
      <c r="CK95" s="1" cm="1">
        <f t="array" aca="1" ref="CK95" ca="1">INDIRECT(ADDRESS($B95,CK$39+$A95,1,1,$D95))</f>
        <v>4440</v>
      </c>
      <c r="CL95" s="1" cm="1">
        <f t="array" aca="1" ref="CL95" ca="1">INDIRECT(ADDRESS($B95,CL$39+$A95,1,1,$D95))</f>
        <v>4857</v>
      </c>
      <c r="CM95" s="1" cm="1">
        <f t="array" aca="1" ref="CM95" ca="1">INDIRECT(ADDRESS($B95,CM$39+$A95,1,1,$D95))</f>
        <v>5163</v>
      </c>
      <c r="CN95" s="1" cm="1">
        <f t="array" aca="1" ref="CN95" ca="1">INDIRECT(ADDRESS($B95,CN$39+$A95,1,1,$D95))</f>
        <v>0</v>
      </c>
      <c r="CO95" s="1" cm="1">
        <f t="array" aca="1" ref="CO95" ca="1">INDIRECT(ADDRESS($B95,CO$39+$A95,1,1,$D95))</f>
        <v>0</v>
      </c>
    </row>
    <row r="96" spans="1:93" x14ac:dyDescent="0.25">
      <c r="A96">
        <v>8</v>
      </c>
      <c r="B96">
        <f ca="1">MATCH($C96,INDIRECT("'"&amp;$C$122&amp;"'!A:A"),0)</f>
        <v>11</v>
      </c>
      <c r="C96" s="1" t="str">
        <f t="shared" si="37"/>
        <v>Italy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1</v>
      </c>
      <c r="AJ96" s="1" cm="1">
        <f t="array" aca="1" ref="AJ96" ca="1">INDIRECT(ADDRESS($B96,AJ$39+$A96,1,1,$D96))</f>
        <v>2</v>
      </c>
      <c r="AK96" s="1" cm="1">
        <f t="array" aca="1" ref="AK96" ca="1">INDIRECT(ADDRESS($B96,AK$39+$A96,1,1,$D96))</f>
        <v>3</v>
      </c>
      <c r="AL96" s="1" cm="1">
        <f t="array" aca="1" ref="AL96" ca="1">INDIRECT(ADDRESS($B96,AL$39+$A96,1,1,$D96))</f>
        <v>7</v>
      </c>
      <c r="AM96" s="1" cm="1">
        <f t="array" aca="1" ref="AM96" ca="1">INDIRECT(ADDRESS($B96,AM$39+$A96,1,1,$D96))</f>
        <v>10</v>
      </c>
      <c r="AN96" s="1" cm="1">
        <f t="array" aca="1" ref="AN96" ca="1">INDIRECT(ADDRESS($B96,AN$39+$A96,1,1,$D96))</f>
        <v>12</v>
      </c>
      <c r="AO96" s="1" cm="1">
        <f t="array" aca="1" ref="AO96" ca="1">INDIRECT(ADDRESS($B96,AO$39+$A96,1,1,$D96))</f>
        <v>17</v>
      </c>
      <c r="AP96" s="1" cm="1">
        <f t="array" aca="1" ref="AP96" ca="1">INDIRECT(ADDRESS($B96,AP$39+$A96,1,1,$D96))</f>
        <v>21</v>
      </c>
      <c r="AQ96" s="1" cm="1">
        <f t="array" aca="1" ref="AQ96" ca="1">INDIRECT(ADDRESS($B96,AQ$39+$A96,1,1,$D96))</f>
        <v>29</v>
      </c>
      <c r="AR96" s="1" cm="1">
        <f t="array" aca="1" ref="AR96" ca="1">INDIRECT(ADDRESS($B96,AR$39+$A96,1,1,$D96))</f>
        <v>34</v>
      </c>
      <c r="AS96" s="1" cm="1">
        <f t="array" aca="1" ref="AS96" ca="1">INDIRECT(ADDRESS($B96,AS$39+$A96,1,1,$D96))</f>
        <v>52</v>
      </c>
      <c r="AT96" s="1" cm="1">
        <f t="array" aca="1" ref="AT96" ca="1">INDIRECT(ADDRESS($B96,AT$39+$A96,1,1,$D96))</f>
        <v>79</v>
      </c>
      <c r="AU96" s="1" cm="1">
        <f t="array" aca="1" ref="AU96" ca="1">INDIRECT(ADDRESS($B96,AU$39+$A96,1,1,$D96))</f>
        <v>107</v>
      </c>
      <c r="AV96" s="1" cm="1">
        <f t="array" aca="1" ref="AV96" ca="1">INDIRECT(ADDRESS($B96,AV$39+$A96,1,1,$D96))</f>
        <v>148</v>
      </c>
      <c r="AW96" s="1" cm="1">
        <f t="array" aca="1" ref="AW96" ca="1">INDIRECT(ADDRESS($B96,AW$39+$A96,1,1,$D96))</f>
        <v>197</v>
      </c>
      <c r="AX96" s="1" cm="1">
        <f t="array" aca="1" ref="AX96" ca="1">INDIRECT(ADDRESS($B96,AX$39+$A96,1,1,$D96))</f>
        <v>233</v>
      </c>
      <c r="AY96" s="1" cm="1">
        <f t="array" aca="1" ref="AY96" ca="1">INDIRECT(ADDRESS($B96,AY$39+$A96,1,1,$D96))</f>
        <v>366</v>
      </c>
      <c r="AZ96" s="1" cm="1">
        <f t="array" aca="1" ref="AZ96" ca="1">INDIRECT(ADDRESS($B96,AZ$39+$A96,1,1,$D96))</f>
        <v>463</v>
      </c>
      <c r="BA96" s="1" cm="1">
        <f t="array" aca="1" ref="BA96" ca="1">INDIRECT(ADDRESS($B96,BA$39+$A96,1,1,$D96))</f>
        <v>631</v>
      </c>
      <c r="BB96" s="1" cm="1">
        <f t="array" aca="1" ref="BB96" ca="1">INDIRECT(ADDRESS($B96,BB$39+$A96,1,1,$D96))</f>
        <v>827</v>
      </c>
      <c r="BC96" s="1" cm="1">
        <f t="array" aca="1" ref="BC96" ca="1">INDIRECT(ADDRESS($B96,BC$39+$A96,1,1,$D96))</f>
        <v>827</v>
      </c>
      <c r="BD96" s="1" cm="1">
        <f t="array" aca="1" ref="BD96" ca="1">INDIRECT(ADDRESS($B96,BD$39+$A96,1,1,$D96))</f>
        <v>1266</v>
      </c>
      <c r="BE96" s="1" cm="1">
        <f t="array" aca="1" ref="BE96" ca="1">INDIRECT(ADDRESS($B96,BE$39+$A96,1,1,$D96))</f>
        <v>1441</v>
      </c>
      <c r="BF96" s="1" cm="1">
        <f t="array" aca="1" ref="BF96" ca="1">INDIRECT(ADDRESS($B96,BF$39+$A96,1,1,$D96))</f>
        <v>1809</v>
      </c>
      <c r="BG96" s="1" cm="1">
        <f t="array" aca="1" ref="BG96" ca="1">INDIRECT(ADDRESS($B96,BG$39+$A96,1,1,$D96))</f>
        <v>2158</v>
      </c>
      <c r="BH96" s="1" cm="1">
        <f t="array" aca="1" ref="BH96" ca="1">INDIRECT(ADDRESS($B96,BH$39+$A96,1,1,$D96))</f>
        <v>2503</v>
      </c>
      <c r="BI96" s="1" cm="1">
        <f t="array" aca="1" ref="BI96" ca="1">INDIRECT(ADDRESS($B96,BI$39+$A96,1,1,$D96))</f>
        <v>2978</v>
      </c>
      <c r="BJ96" s="1" cm="1">
        <f t="array" aca="1" ref="BJ96" ca="1">INDIRECT(ADDRESS($B96,BJ$39+$A96,1,1,$D96))</f>
        <v>3405</v>
      </c>
      <c r="BK96" s="1" cm="1">
        <f t="array" aca="1" ref="BK96" ca="1">INDIRECT(ADDRESS($B96,BK$39+$A96,1,1,$D96))</f>
        <v>4032</v>
      </c>
      <c r="BL96" s="1" cm="1">
        <f t="array" aca="1" ref="BL96" ca="1">INDIRECT(ADDRESS($B96,BL$39+$A96,1,1,$D96))</f>
        <v>4825</v>
      </c>
      <c r="BM96" s="1" cm="1">
        <f t="array" aca="1" ref="BM96" ca="1">INDIRECT(ADDRESS($B96,BM$39+$A96,1,1,$D96))</f>
        <v>5476</v>
      </c>
      <c r="BN96" s="1" cm="1">
        <f t="array" aca="1" ref="BN96" ca="1">INDIRECT(ADDRESS($B96,BN$39+$A96,1,1,$D96))</f>
        <v>6077</v>
      </c>
      <c r="BO96" s="1" cm="1">
        <f t="array" aca="1" ref="BO96" ca="1">INDIRECT(ADDRESS($B96,BO$39+$A96,1,1,$D96))</f>
        <v>6820</v>
      </c>
      <c r="BP96" s="1" cm="1">
        <f t="array" aca="1" ref="BP96" ca="1">INDIRECT(ADDRESS($B96,BP$39+$A96,1,1,$D96))</f>
        <v>7503</v>
      </c>
      <c r="BQ96" s="1" cm="1">
        <f t="array" aca="1" ref="BQ96" ca="1">INDIRECT(ADDRESS($B96,BQ$39+$A96,1,1,$D96))</f>
        <v>8215</v>
      </c>
      <c r="BR96" s="1" cm="1">
        <f t="array" aca="1" ref="BR96" ca="1">INDIRECT(ADDRESS($B96,BR$39+$A96,1,1,$D96))</f>
        <v>9134</v>
      </c>
      <c r="BS96" s="1" cm="1">
        <f t="array" aca="1" ref="BS96" ca="1">INDIRECT(ADDRESS($B96,BS$39+$A96,1,1,$D96))</f>
        <v>10023</v>
      </c>
      <c r="BT96" s="1" cm="1">
        <f t="array" aca="1" ref="BT96" ca="1">INDIRECT(ADDRESS($B96,BT$39+$A96,1,1,$D96))</f>
        <v>10779</v>
      </c>
      <c r="BU96" s="1" cm="1">
        <f t="array" aca="1" ref="BU96" ca="1">INDIRECT(ADDRESS($B96,BU$39+$A96,1,1,$D96))</f>
        <v>11591</v>
      </c>
      <c r="BV96" s="1" cm="1">
        <f t="array" aca="1" ref="BV96" ca="1">INDIRECT(ADDRESS($B96,BV$39+$A96,1,1,$D96))</f>
        <v>12428</v>
      </c>
      <c r="BW96" s="1" cm="1">
        <f t="array" aca="1" ref="BW96" ca="1">INDIRECT(ADDRESS($B96,BW$39+$A96,1,1,$D96))</f>
        <v>13155</v>
      </c>
      <c r="BX96" s="1" cm="1">
        <f t="array" aca="1" ref="BX96" ca="1">INDIRECT(ADDRESS($B96,BX$39+$A96,1,1,$D96))</f>
        <v>13915</v>
      </c>
      <c r="BY96" s="1" cm="1">
        <f t="array" aca="1" ref="BY96" ca="1">INDIRECT(ADDRESS($B96,BY$39+$A96,1,1,$D96))</f>
        <v>14681</v>
      </c>
      <c r="BZ96" s="1" cm="1">
        <f t="array" aca="1" ref="BZ96" ca="1">INDIRECT(ADDRESS($B96,BZ$39+$A96,1,1,$D96))</f>
        <v>15362</v>
      </c>
      <c r="CA96" s="1" cm="1">
        <f t="array" aca="1" ref="CA96" ca="1">INDIRECT(ADDRESS($B96,CA$39+$A96,1,1,$D96))</f>
        <v>15887</v>
      </c>
      <c r="CB96" s="1" cm="1">
        <f t="array" aca="1" ref="CB96" ca="1">INDIRECT(ADDRESS($B96,CB$39+$A96,1,1,$D96))</f>
        <v>16523</v>
      </c>
      <c r="CC96" s="1" cm="1">
        <f t="array" aca="1" ref="CC96" ca="1">INDIRECT(ADDRESS($B96,CC$39+$A96,1,1,$D96))</f>
        <v>17127</v>
      </c>
      <c r="CD96" s="1" cm="1">
        <f t="array" aca="1" ref="CD96" ca="1">INDIRECT(ADDRESS($B96,CD$39+$A96,1,1,$D96))</f>
        <v>17669</v>
      </c>
      <c r="CE96" s="1" cm="1">
        <f t="array" aca="1" ref="CE96" ca="1">INDIRECT(ADDRESS($B96,CE$39+$A96,1,1,$D96))</f>
        <v>18279</v>
      </c>
      <c r="CF96" s="1" cm="1">
        <f t="array" aca="1" ref="CF96" ca="1">INDIRECT(ADDRESS($B96,CF$39+$A96,1,1,$D96))</f>
        <v>18849</v>
      </c>
      <c r="CG96" s="1" cm="1">
        <f t="array" aca="1" ref="CG96" ca="1">INDIRECT(ADDRESS($B96,CG$39+$A96,1,1,$D96))</f>
        <v>19468</v>
      </c>
      <c r="CH96" s="1" cm="1">
        <f t="array" aca="1" ref="CH96" ca="1">INDIRECT(ADDRESS($B96,CH$39+$A96,1,1,$D96))</f>
        <v>19899</v>
      </c>
      <c r="CI96" s="1" cm="1">
        <f t="array" aca="1" ref="CI96" ca="1">INDIRECT(ADDRESS($B96,CI$39+$A96,1,1,$D96))</f>
        <v>20465</v>
      </c>
      <c r="CJ96" s="1" cm="1">
        <f t="array" aca="1" ref="CJ96" ca="1">INDIRECT(ADDRESS($B96,CJ$39+$A96,1,1,$D96))</f>
        <v>21067</v>
      </c>
      <c r="CK96" s="1" cm="1">
        <f t="array" aca="1" ref="CK96" ca="1">INDIRECT(ADDRESS($B96,CK$39+$A96,1,1,$D96))</f>
        <v>21645</v>
      </c>
      <c r="CL96" s="1" cm="1">
        <f t="array" aca="1" ref="CL96" ca="1">INDIRECT(ADDRESS($B96,CL$39+$A96,1,1,$D96))</f>
        <v>22170</v>
      </c>
      <c r="CM96" s="1" cm="1">
        <f t="array" aca="1" ref="CM96" ca="1">INDIRECT(ADDRESS($B96,CM$39+$A96,1,1,$D96))</f>
        <v>22745</v>
      </c>
      <c r="CN96" s="1" cm="1">
        <f t="array" aca="1" ref="CN96" ca="1">INDIRECT(ADDRESS($B96,CN$39+$A96,1,1,$D96))</f>
        <v>0</v>
      </c>
      <c r="CO96" s="1" cm="1">
        <f t="array" aca="1" ref="CO96" ca="1">INDIRECT(ADDRESS($B96,CO$39+$A96,1,1,$D96))</f>
        <v>0</v>
      </c>
    </row>
    <row r="97" spans="1:93" x14ac:dyDescent="0.25">
      <c r="A97">
        <v>8</v>
      </c>
      <c r="B97">
        <f t="shared" ref="B97:B100" ca="1" si="38">MATCH($C97,INDIRECT("'"&amp;$C$122&amp;"'!A:A"),0)</f>
        <v>7</v>
      </c>
      <c r="C97" s="1" t="str">
        <f t="shared" si="37"/>
        <v>France</v>
      </c>
      <c r="D97" t="str">
        <f t="shared" ref="D97:D100" si="39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1</v>
      </c>
      <c r="AD97" s="1" cm="1">
        <f t="array" aca="1" ref="AD97" ca="1">INDIRECT(ADDRESS($B97,AD$39+$A97,1,1,$D97))</f>
        <v>1</v>
      </c>
      <c r="AE97" s="1" cm="1">
        <f t="array" aca="1" ref="AE97" ca="1">INDIRECT(ADDRESS($B97,AE$39+$A97,1,1,$D97))</f>
        <v>1</v>
      </c>
      <c r="AF97" s="1" cm="1">
        <f t="array" aca="1" ref="AF97" ca="1">INDIRECT(ADDRESS($B97,AF$39+$A97,1,1,$D97))</f>
        <v>1</v>
      </c>
      <c r="AG97" s="1" cm="1">
        <f t="array" aca="1" ref="AG97" ca="1">INDIRECT(ADDRESS($B97,AG$39+$A97,1,1,$D97))</f>
        <v>1</v>
      </c>
      <c r="AH97" s="1" cm="1">
        <f t="array" aca="1" ref="AH97" ca="1">INDIRECT(ADDRESS($B97,AH$39+$A97,1,1,$D97))</f>
        <v>1</v>
      </c>
      <c r="AI97" s="1" cm="1">
        <f t="array" aca="1" ref="AI97" ca="1">INDIRECT(ADDRESS($B97,AI$39+$A97,1,1,$D97))</f>
        <v>1</v>
      </c>
      <c r="AJ97" s="1" cm="1">
        <f t="array" aca="1" ref="AJ97" ca="1">INDIRECT(ADDRESS($B97,AJ$39+$A97,1,1,$D97))</f>
        <v>1</v>
      </c>
      <c r="AK97" s="1" cm="1">
        <f t="array" aca="1" ref="AK97" ca="1">INDIRECT(ADDRESS($B97,AK$39+$A97,1,1,$D97))</f>
        <v>1</v>
      </c>
      <c r="AL97" s="1" cm="1">
        <f t="array" aca="1" ref="AL97" ca="1">INDIRECT(ADDRESS($B97,AL$39+$A97,1,1,$D97))</f>
        <v>1</v>
      </c>
      <c r="AM97" s="1" cm="1">
        <f t="array" aca="1" ref="AM97" ca="1">INDIRECT(ADDRESS($B97,AM$39+$A97,1,1,$D97))</f>
        <v>1</v>
      </c>
      <c r="AN97" s="1" cm="1">
        <f t="array" aca="1" ref="AN97" ca="1">INDIRECT(ADDRESS($B97,AN$39+$A97,1,1,$D97))</f>
        <v>2</v>
      </c>
      <c r="AO97" s="1" cm="1">
        <f t="array" aca="1" ref="AO97" ca="1">INDIRECT(ADDRESS($B97,AO$39+$A97,1,1,$D97))</f>
        <v>2</v>
      </c>
      <c r="AP97" s="1" cm="1">
        <f t="array" aca="1" ref="AP97" ca="1">INDIRECT(ADDRESS($B97,AP$39+$A97,1,1,$D97))</f>
        <v>2</v>
      </c>
      <c r="AQ97" s="1" cm="1">
        <f t="array" aca="1" ref="AQ97" ca="1">INDIRECT(ADDRESS($B97,AQ$39+$A97,1,1,$D97))</f>
        <v>2</v>
      </c>
      <c r="AR97" s="1" cm="1">
        <f t="array" aca="1" ref="AR97" ca="1">INDIRECT(ADDRESS($B97,AR$39+$A97,1,1,$D97))</f>
        <v>2</v>
      </c>
      <c r="AS97" s="1" cm="1">
        <f t="array" aca="1" ref="AS97" ca="1">INDIRECT(ADDRESS($B97,AS$39+$A97,1,1,$D97))</f>
        <v>3</v>
      </c>
      <c r="AT97" s="1" cm="1">
        <f t="array" aca="1" ref="AT97" ca="1">INDIRECT(ADDRESS($B97,AT$39+$A97,1,1,$D97))</f>
        <v>4</v>
      </c>
      <c r="AU97" s="1" cm="1">
        <f t="array" aca="1" ref="AU97" ca="1">INDIRECT(ADDRESS($B97,AU$39+$A97,1,1,$D97))</f>
        <v>4</v>
      </c>
      <c r="AV97" s="1" cm="1">
        <f t="array" aca="1" ref="AV97" ca="1">INDIRECT(ADDRESS($B97,AV$39+$A97,1,1,$D97))</f>
        <v>6</v>
      </c>
      <c r="AW97" s="1" cm="1">
        <f t="array" aca="1" ref="AW97" ca="1">INDIRECT(ADDRESS($B97,AW$39+$A97,1,1,$D97))</f>
        <v>9</v>
      </c>
      <c r="AX97" s="1" cm="1">
        <f t="array" aca="1" ref="AX97" ca="1">INDIRECT(ADDRESS($B97,AX$39+$A97,1,1,$D97))</f>
        <v>11</v>
      </c>
      <c r="AY97" s="1" cm="1">
        <f t="array" aca="1" ref="AY97" ca="1">INDIRECT(ADDRESS($B97,AY$39+$A97,1,1,$D97))</f>
        <v>19</v>
      </c>
      <c r="AZ97" s="1" cm="1">
        <f t="array" aca="1" ref="AZ97" ca="1">INDIRECT(ADDRESS($B97,AZ$39+$A97,1,1,$D97))</f>
        <v>19</v>
      </c>
      <c r="BA97" s="1" cm="1">
        <f t="array" aca="1" ref="BA97" ca="1">INDIRECT(ADDRESS($B97,BA$39+$A97,1,1,$D97))</f>
        <v>33</v>
      </c>
      <c r="BB97" s="1" cm="1">
        <f t="array" aca="1" ref="BB97" ca="1">INDIRECT(ADDRESS($B97,BB$39+$A97,1,1,$D97))</f>
        <v>48</v>
      </c>
      <c r="BC97" s="1" cm="1">
        <f t="array" aca="1" ref="BC97" ca="1">INDIRECT(ADDRESS($B97,BC$39+$A97,1,1,$D97))</f>
        <v>48</v>
      </c>
      <c r="BD97" s="1" cm="1">
        <f t="array" aca="1" ref="BD97" ca="1">INDIRECT(ADDRESS($B97,BD$39+$A97,1,1,$D97))</f>
        <v>79</v>
      </c>
      <c r="BE97" s="1" cm="1">
        <f t="array" aca="1" ref="BE97" ca="1">INDIRECT(ADDRESS($B97,BE$39+$A97,1,1,$D97))</f>
        <v>91</v>
      </c>
      <c r="BF97" s="1" cm="1">
        <f t="array" aca="1" ref="BF97" ca="1">INDIRECT(ADDRESS($B97,BF$39+$A97,1,1,$D97))</f>
        <v>91</v>
      </c>
      <c r="BG97" s="1" cm="1">
        <f t="array" aca="1" ref="BG97" ca="1">INDIRECT(ADDRESS($B97,BG$39+$A97,1,1,$D97))</f>
        <v>148</v>
      </c>
      <c r="BH97" s="1" cm="1">
        <f t="array" aca="1" ref="BH97" ca="1">INDIRECT(ADDRESS($B97,BH$39+$A97,1,1,$D97))</f>
        <v>148</v>
      </c>
      <c r="BI97" s="1" cm="1">
        <f t="array" aca="1" ref="BI97" ca="1">INDIRECT(ADDRESS($B97,BI$39+$A97,1,1,$D97))</f>
        <v>148</v>
      </c>
      <c r="BJ97" s="1" cm="1">
        <f t="array" aca="1" ref="BJ97" ca="1">INDIRECT(ADDRESS($B97,BJ$39+$A97,1,1,$D97))</f>
        <v>243</v>
      </c>
      <c r="BK97" s="1" cm="1">
        <f t="array" aca="1" ref="BK97" ca="1">INDIRECT(ADDRESS($B97,BK$39+$A97,1,1,$D97))</f>
        <v>450</v>
      </c>
      <c r="BL97" s="1" cm="1">
        <f t="array" aca="1" ref="BL97" ca="1">INDIRECT(ADDRESS($B97,BL$39+$A97,1,1,$D97))</f>
        <v>562</v>
      </c>
      <c r="BM97" s="1" cm="1">
        <f t="array" aca="1" ref="BM97" ca="1">INDIRECT(ADDRESS($B97,BM$39+$A97,1,1,$D97))</f>
        <v>674</v>
      </c>
      <c r="BN97" s="1" cm="1">
        <f t="array" aca="1" ref="BN97" ca="1">INDIRECT(ADDRESS($B97,BN$39+$A97,1,1,$D97))</f>
        <v>860</v>
      </c>
      <c r="BO97" s="1" cm="1">
        <f t="array" aca="1" ref="BO97" ca="1">INDIRECT(ADDRESS($B97,BO$39+$A97,1,1,$D97))</f>
        <v>1100</v>
      </c>
      <c r="BP97" s="1" cm="1">
        <f t="array" aca="1" ref="BP97" ca="1">INDIRECT(ADDRESS($B97,BP$39+$A97,1,1,$D97))</f>
        <v>1331</v>
      </c>
      <c r="BQ97" s="1" cm="1">
        <f t="array" aca="1" ref="BQ97" ca="1">INDIRECT(ADDRESS($B97,BQ$39+$A97,1,1,$D97))</f>
        <v>1696</v>
      </c>
      <c r="BR97" s="1" cm="1">
        <f t="array" aca="1" ref="BR97" ca="1">INDIRECT(ADDRESS($B97,BR$39+$A97,1,1,$D97))</f>
        <v>1995</v>
      </c>
      <c r="BS97" s="1" cm="1">
        <f t="array" aca="1" ref="BS97" ca="1">INDIRECT(ADDRESS($B97,BS$39+$A97,1,1,$D97))</f>
        <v>2314</v>
      </c>
      <c r="BT97" s="1" cm="1">
        <f t="array" aca="1" ref="BT97" ca="1">INDIRECT(ADDRESS($B97,BT$39+$A97,1,1,$D97))</f>
        <v>2606</v>
      </c>
      <c r="BU97" s="1" cm="1">
        <f t="array" aca="1" ref="BU97" ca="1">INDIRECT(ADDRESS($B97,BU$39+$A97,1,1,$D97))</f>
        <v>3024</v>
      </c>
      <c r="BV97" s="1" cm="1">
        <f t="array" aca="1" ref="BV97" ca="1">INDIRECT(ADDRESS($B97,BV$39+$A97,1,1,$D97))</f>
        <v>3523</v>
      </c>
      <c r="BW97" s="1" cm="1">
        <f t="array" aca="1" ref="BW97" ca="1">INDIRECT(ADDRESS($B97,BW$39+$A97,1,1,$D97))</f>
        <v>4403</v>
      </c>
      <c r="BX97" s="1" cm="1">
        <f t="array" aca="1" ref="BX97" ca="1">INDIRECT(ADDRESS($B97,BX$39+$A97,1,1,$D97))</f>
        <v>5387</v>
      </c>
      <c r="BY97" s="1" cm="1">
        <f t="array" aca="1" ref="BY97" ca="1">INDIRECT(ADDRESS($B97,BY$39+$A97,1,1,$D97))</f>
        <v>6507</v>
      </c>
      <c r="BZ97" s="1" cm="1">
        <f t="array" aca="1" ref="BZ97" ca="1">INDIRECT(ADDRESS($B97,BZ$39+$A97,1,1,$D97))</f>
        <v>7560</v>
      </c>
      <c r="CA97" s="1" cm="1">
        <f t="array" aca="1" ref="CA97" ca="1">INDIRECT(ADDRESS($B97,CA$39+$A97,1,1,$D97))</f>
        <v>8078</v>
      </c>
      <c r="CB97" s="1" cm="1">
        <f t="array" aca="1" ref="CB97" ca="1">INDIRECT(ADDRESS($B97,CB$39+$A97,1,1,$D97))</f>
        <v>8911</v>
      </c>
      <c r="CC97" s="1" cm="1">
        <f t="array" aca="1" ref="CC97" ca="1">INDIRECT(ADDRESS($B97,CC$39+$A97,1,1,$D97))</f>
        <v>10328</v>
      </c>
      <c r="CD97" s="1" cm="1">
        <f t="array" aca="1" ref="CD97" ca="1">INDIRECT(ADDRESS($B97,CD$39+$A97,1,1,$D97))</f>
        <v>10869</v>
      </c>
      <c r="CE97" s="1" cm="1">
        <f t="array" aca="1" ref="CE97" ca="1">INDIRECT(ADDRESS($B97,CE$39+$A97,1,1,$D97))</f>
        <v>12210</v>
      </c>
      <c r="CF97" s="1" cm="1">
        <f t="array" aca="1" ref="CF97" ca="1">INDIRECT(ADDRESS($B97,CF$39+$A97,1,1,$D97))</f>
        <v>13197</v>
      </c>
      <c r="CG97" s="1" cm="1">
        <f t="array" aca="1" ref="CG97" ca="1">INDIRECT(ADDRESS($B97,CG$39+$A97,1,1,$D97))</f>
        <v>13832</v>
      </c>
      <c r="CH97" s="1" cm="1">
        <f t="array" aca="1" ref="CH97" ca="1">INDIRECT(ADDRESS($B97,CH$39+$A97,1,1,$D97))</f>
        <v>14393</v>
      </c>
      <c r="CI97" s="1" cm="1">
        <f t="array" aca="1" ref="CI97" ca="1">INDIRECT(ADDRESS($B97,CI$39+$A97,1,1,$D97))</f>
        <v>14967</v>
      </c>
      <c r="CJ97" s="1" cm="1">
        <f t="array" aca="1" ref="CJ97" ca="1">INDIRECT(ADDRESS($B97,CJ$39+$A97,1,1,$D97))</f>
        <v>15729</v>
      </c>
      <c r="CK97" s="1" cm="1">
        <f t="array" aca="1" ref="CK97" ca="1">INDIRECT(ADDRESS($B97,CK$39+$A97,1,1,$D97))</f>
        <v>17167</v>
      </c>
      <c r="CL97" s="1" cm="1">
        <f t="array" aca="1" ref="CL97" ca="1">INDIRECT(ADDRESS($B97,CL$39+$A97,1,1,$D97))</f>
        <v>17920</v>
      </c>
      <c r="CM97" s="1" cm="1">
        <f t="array" aca="1" ref="CM97" ca="1">INDIRECT(ADDRESS($B97,CM$39+$A97,1,1,$D97))</f>
        <v>18681</v>
      </c>
      <c r="CN97" s="1" cm="1">
        <f t="array" aca="1" ref="CN97" ca="1">INDIRECT(ADDRESS($B97,CN$39+$A97,1,1,$D97))</f>
        <v>0</v>
      </c>
      <c r="CO97" s="1" cm="1">
        <f t="array" aca="1" ref="CO97" ca="1">INDIRECT(ADDRESS($B97,CO$39+$A97,1,1,$D97))</f>
        <v>0</v>
      </c>
    </row>
    <row r="98" spans="1:93" x14ac:dyDescent="0.25">
      <c r="A98">
        <v>8</v>
      </c>
      <c r="B98">
        <f t="shared" ca="1" si="38"/>
        <v>19</v>
      </c>
      <c r="C98" s="1" t="str">
        <f t="shared" si="37"/>
        <v>Switzerland</v>
      </c>
      <c r="D98" t="str">
        <f t="shared" si="39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1</v>
      </c>
      <c r="AW98" s="1" cm="1">
        <f t="array" aca="1" ref="AW98" ca="1">INDIRECT(ADDRESS($B98,AW$39+$A98,1,1,$D98))</f>
        <v>1</v>
      </c>
      <c r="AX98" s="1" cm="1">
        <f t="array" aca="1" ref="AX98" ca="1">INDIRECT(ADDRESS($B98,AX$39+$A98,1,1,$D98))</f>
        <v>1</v>
      </c>
      <c r="AY98" s="1" cm="1">
        <f t="array" aca="1" ref="AY98" ca="1">INDIRECT(ADDRESS($B98,AY$39+$A98,1,1,$D98))</f>
        <v>2</v>
      </c>
      <c r="AZ98" s="1" cm="1">
        <f t="array" aca="1" ref="AZ98" ca="1">INDIRECT(ADDRESS($B98,AZ$39+$A98,1,1,$D98))</f>
        <v>2</v>
      </c>
      <c r="BA98" s="1" cm="1">
        <f t="array" aca="1" ref="BA98" ca="1">INDIRECT(ADDRESS($B98,BA$39+$A98,1,1,$D98))</f>
        <v>3</v>
      </c>
      <c r="BB98" s="1" cm="1">
        <f t="array" aca="1" ref="BB98" ca="1">INDIRECT(ADDRESS($B98,BB$39+$A98,1,1,$D98))</f>
        <v>4</v>
      </c>
      <c r="BC98" s="1" cm="1">
        <f t="array" aca="1" ref="BC98" ca="1">INDIRECT(ADDRESS($B98,BC$39+$A98,1,1,$D98))</f>
        <v>4</v>
      </c>
      <c r="BD98" s="1" cm="1">
        <f t="array" aca="1" ref="BD98" ca="1">INDIRECT(ADDRESS($B98,BD$39+$A98,1,1,$D98))</f>
        <v>11</v>
      </c>
      <c r="BE98" s="1" cm="1">
        <f t="array" aca="1" ref="BE98" ca="1">INDIRECT(ADDRESS($B98,BE$39+$A98,1,1,$D98))</f>
        <v>13</v>
      </c>
      <c r="BF98" s="1" cm="1">
        <f t="array" aca="1" ref="BF98" ca="1">INDIRECT(ADDRESS($B98,BF$39+$A98,1,1,$D98))</f>
        <v>14</v>
      </c>
      <c r="BG98" s="1" cm="1">
        <f t="array" aca="1" ref="BG98" ca="1">INDIRECT(ADDRESS($B98,BG$39+$A98,1,1,$D98))</f>
        <v>14</v>
      </c>
      <c r="BH98" s="1" cm="1">
        <f t="array" aca="1" ref="BH98" ca="1">INDIRECT(ADDRESS($B98,BH$39+$A98,1,1,$D98))</f>
        <v>27</v>
      </c>
      <c r="BI98" s="1" cm="1">
        <f t="array" aca="1" ref="BI98" ca="1">INDIRECT(ADDRESS($B98,BI$39+$A98,1,1,$D98))</f>
        <v>28</v>
      </c>
      <c r="BJ98" s="1" cm="1">
        <f t="array" aca="1" ref="BJ98" ca="1">INDIRECT(ADDRESS($B98,BJ$39+$A98,1,1,$D98))</f>
        <v>41</v>
      </c>
      <c r="BK98" s="1" cm="1">
        <f t="array" aca="1" ref="BK98" ca="1">INDIRECT(ADDRESS($B98,BK$39+$A98,1,1,$D98))</f>
        <v>54</v>
      </c>
      <c r="BL98" s="1" cm="1">
        <f t="array" aca="1" ref="BL98" ca="1">INDIRECT(ADDRESS($B98,BL$39+$A98,1,1,$D98))</f>
        <v>75</v>
      </c>
      <c r="BM98" s="1" cm="1">
        <f t="array" aca="1" ref="BM98" ca="1">INDIRECT(ADDRESS($B98,BM$39+$A98,1,1,$D98))</f>
        <v>98</v>
      </c>
      <c r="BN98" s="1" cm="1">
        <f t="array" aca="1" ref="BN98" ca="1">INDIRECT(ADDRESS($B98,BN$39+$A98,1,1,$D98))</f>
        <v>120</v>
      </c>
      <c r="BO98" s="1" cm="1">
        <f t="array" aca="1" ref="BO98" ca="1">INDIRECT(ADDRESS($B98,BO$39+$A98,1,1,$D98))</f>
        <v>122</v>
      </c>
      <c r="BP98" s="1" cm="1">
        <f t="array" aca="1" ref="BP98" ca="1">INDIRECT(ADDRESS($B98,BP$39+$A98,1,1,$D98))</f>
        <v>153</v>
      </c>
      <c r="BQ98" s="1" cm="1">
        <f t="array" aca="1" ref="BQ98" ca="1">INDIRECT(ADDRESS($B98,BQ$39+$A98,1,1,$D98))</f>
        <v>191</v>
      </c>
      <c r="BR98" s="1" cm="1">
        <f t="array" aca="1" ref="BR98" ca="1">INDIRECT(ADDRESS($B98,BR$39+$A98,1,1,$D98))</f>
        <v>231</v>
      </c>
      <c r="BS98" s="1" cm="1">
        <f t="array" aca="1" ref="BS98" ca="1">INDIRECT(ADDRESS($B98,BS$39+$A98,1,1,$D98))</f>
        <v>264</v>
      </c>
      <c r="BT98" s="1" cm="1">
        <f t="array" aca="1" ref="BT98" ca="1">INDIRECT(ADDRESS($B98,BT$39+$A98,1,1,$D98))</f>
        <v>300</v>
      </c>
      <c r="BU98" s="1" cm="1">
        <f t="array" aca="1" ref="BU98" ca="1">INDIRECT(ADDRESS($B98,BU$39+$A98,1,1,$D98))</f>
        <v>359</v>
      </c>
      <c r="BV98" s="1" cm="1">
        <f t="array" aca="1" ref="BV98" ca="1">INDIRECT(ADDRESS($B98,BV$39+$A98,1,1,$D98))</f>
        <v>433</v>
      </c>
      <c r="BW98" s="1" cm="1">
        <f t="array" aca="1" ref="BW98" ca="1">INDIRECT(ADDRESS($B98,BW$39+$A98,1,1,$D98))</f>
        <v>488</v>
      </c>
      <c r="BX98" s="1" cm="1">
        <f t="array" aca="1" ref="BX98" ca="1">INDIRECT(ADDRESS($B98,BX$39+$A98,1,1,$D98))</f>
        <v>536</v>
      </c>
      <c r="BY98" s="1" cm="1">
        <f t="array" aca="1" ref="BY98" ca="1">INDIRECT(ADDRESS($B98,BY$39+$A98,1,1,$D98))</f>
        <v>591</v>
      </c>
      <c r="BZ98" s="1" cm="1">
        <f t="array" aca="1" ref="BZ98" ca="1">INDIRECT(ADDRESS($B98,BZ$39+$A98,1,1,$D98))</f>
        <v>666</v>
      </c>
      <c r="CA98" s="1" cm="1">
        <f t="array" aca="1" ref="CA98" ca="1">INDIRECT(ADDRESS($B98,CA$39+$A98,1,1,$D98))</f>
        <v>715</v>
      </c>
      <c r="CB98" s="1" cm="1">
        <f t="array" aca="1" ref="CB98" ca="1">INDIRECT(ADDRESS($B98,CB$39+$A98,1,1,$D98))</f>
        <v>765</v>
      </c>
      <c r="CC98" s="1" cm="1">
        <f t="array" aca="1" ref="CC98" ca="1">INDIRECT(ADDRESS($B98,CC$39+$A98,1,1,$D98))</f>
        <v>821</v>
      </c>
      <c r="CD98" s="1" cm="1">
        <f t="array" aca="1" ref="CD98" ca="1">INDIRECT(ADDRESS($B98,CD$39+$A98,1,1,$D98))</f>
        <v>895</v>
      </c>
      <c r="CE98" s="1" cm="1">
        <f t="array" aca="1" ref="CE98" ca="1">INDIRECT(ADDRESS($B98,CE$39+$A98,1,1,$D98))</f>
        <v>948</v>
      </c>
      <c r="CF98" s="1" cm="1">
        <f t="array" aca="1" ref="CF98" ca="1">INDIRECT(ADDRESS($B98,CF$39+$A98,1,1,$D98))</f>
        <v>1002</v>
      </c>
      <c r="CG98" s="1" cm="1">
        <f t="array" aca="1" ref="CG98" ca="1">INDIRECT(ADDRESS($B98,CG$39+$A98,1,1,$D98))</f>
        <v>1036</v>
      </c>
      <c r="CH98" s="1" cm="1">
        <f t="array" aca="1" ref="CH98" ca="1">INDIRECT(ADDRESS($B98,CH$39+$A98,1,1,$D98))</f>
        <v>1106</v>
      </c>
      <c r="CI98" s="1" cm="1">
        <f t="array" aca="1" ref="CI98" ca="1">INDIRECT(ADDRESS($B98,CI$39+$A98,1,1,$D98))</f>
        <v>1138</v>
      </c>
      <c r="CJ98" s="1" cm="1">
        <f t="array" aca="1" ref="CJ98" ca="1">INDIRECT(ADDRESS($B98,CJ$39+$A98,1,1,$D98))</f>
        <v>1174</v>
      </c>
      <c r="CK98" s="1" cm="1">
        <f t="array" aca="1" ref="CK98" ca="1">INDIRECT(ADDRESS($B98,CK$39+$A98,1,1,$D98))</f>
        <v>1239</v>
      </c>
      <c r="CL98" s="1" cm="1">
        <f t="array" aca="1" ref="CL98" ca="1">INDIRECT(ADDRESS($B98,CL$39+$A98,1,1,$D98))</f>
        <v>1281</v>
      </c>
      <c r="CM98" s="1" cm="1">
        <f t="array" aca="1" ref="CM98" ca="1">INDIRECT(ADDRESS($B98,CM$39+$A98,1,1,$D98))</f>
        <v>1327</v>
      </c>
      <c r="CN98" s="1" cm="1">
        <f t="array" aca="1" ref="CN98" ca="1">INDIRECT(ADDRESS($B98,CN$39+$A98,1,1,$D98))</f>
        <v>0</v>
      </c>
      <c r="CO98" s="1" cm="1">
        <f t="array" aca="1" ref="CO98" ca="1">INDIRECT(ADDRESS($B98,CO$39+$A98,1,1,$D98))</f>
        <v>0</v>
      </c>
    </row>
    <row r="99" spans="1:93" x14ac:dyDescent="0.25">
      <c r="A99">
        <v>8</v>
      </c>
      <c r="B99">
        <f t="shared" ca="1" si="38"/>
        <v>8</v>
      </c>
      <c r="C99" s="1" t="str">
        <f t="shared" si="37"/>
        <v>Germany</v>
      </c>
      <c r="D99" t="str">
        <f t="shared" si="39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2</v>
      </c>
      <c r="BA99" s="1" cm="1">
        <f t="array" aca="1" ref="BA99" ca="1">INDIRECT(ADDRESS($B99,BA$39+$A99,1,1,$D99))</f>
        <v>2</v>
      </c>
      <c r="BB99" s="1" cm="1">
        <f t="array" aca="1" ref="BB99" ca="1">INDIRECT(ADDRESS($B99,BB$39+$A99,1,1,$D99))</f>
        <v>3</v>
      </c>
      <c r="BC99" s="1" cm="1">
        <f t="array" aca="1" ref="BC99" ca="1">INDIRECT(ADDRESS($B99,BC$39+$A99,1,1,$D99))</f>
        <v>3</v>
      </c>
      <c r="BD99" s="1" cm="1">
        <f t="array" aca="1" ref="BD99" ca="1">INDIRECT(ADDRESS($B99,BD$39+$A99,1,1,$D99))</f>
        <v>7</v>
      </c>
      <c r="BE99" s="1" cm="1">
        <f t="array" aca="1" ref="BE99" ca="1">INDIRECT(ADDRESS($B99,BE$39+$A99,1,1,$D99))</f>
        <v>9</v>
      </c>
      <c r="BF99" s="1" cm="1">
        <f t="array" aca="1" ref="BF99" ca="1">INDIRECT(ADDRESS($B99,BF$39+$A99,1,1,$D99))</f>
        <v>11</v>
      </c>
      <c r="BG99" s="1" cm="1">
        <f t="array" aca="1" ref="BG99" ca="1">INDIRECT(ADDRESS($B99,BG$39+$A99,1,1,$D99))</f>
        <v>17</v>
      </c>
      <c r="BH99" s="1" cm="1">
        <f t="array" aca="1" ref="BH99" ca="1">INDIRECT(ADDRESS($B99,BH$39+$A99,1,1,$D99))</f>
        <v>24</v>
      </c>
      <c r="BI99" s="1" cm="1">
        <f t="array" aca="1" ref="BI99" ca="1">INDIRECT(ADDRESS($B99,BI$39+$A99,1,1,$D99))</f>
        <v>28</v>
      </c>
      <c r="BJ99" s="1" cm="1">
        <f t="array" aca="1" ref="BJ99" ca="1">INDIRECT(ADDRESS($B99,BJ$39+$A99,1,1,$D99))</f>
        <v>44</v>
      </c>
      <c r="BK99" s="1" cm="1">
        <f t="array" aca="1" ref="BK99" ca="1">INDIRECT(ADDRESS($B99,BK$39+$A99,1,1,$D99))</f>
        <v>67</v>
      </c>
      <c r="BL99" s="1" cm="1">
        <f t="array" aca="1" ref="BL99" ca="1">INDIRECT(ADDRESS($B99,BL$39+$A99,1,1,$D99))</f>
        <v>84</v>
      </c>
      <c r="BM99" s="1" cm="1">
        <f t="array" aca="1" ref="BM99" ca="1">INDIRECT(ADDRESS($B99,BM$39+$A99,1,1,$D99))</f>
        <v>94</v>
      </c>
      <c r="BN99" s="1" cm="1">
        <f t="array" aca="1" ref="BN99" ca="1">INDIRECT(ADDRESS($B99,BN$39+$A99,1,1,$D99))</f>
        <v>123</v>
      </c>
      <c r="BO99" s="1" cm="1">
        <f t="array" aca="1" ref="BO99" ca="1">INDIRECT(ADDRESS($B99,BO$39+$A99,1,1,$D99))</f>
        <v>157</v>
      </c>
      <c r="BP99" s="1" cm="1">
        <f t="array" aca="1" ref="BP99" ca="1">INDIRECT(ADDRESS($B99,BP$39+$A99,1,1,$D99))</f>
        <v>206</v>
      </c>
      <c r="BQ99" s="1" cm="1">
        <f t="array" aca="1" ref="BQ99" ca="1">INDIRECT(ADDRESS($B99,BQ$39+$A99,1,1,$D99))</f>
        <v>267</v>
      </c>
      <c r="BR99" s="1" cm="1">
        <f t="array" aca="1" ref="BR99" ca="1">INDIRECT(ADDRESS($B99,BR$39+$A99,1,1,$D99))</f>
        <v>342</v>
      </c>
      <c r="BS99" s="1" cm="1">
        <f t="array" aca="1" ref="BS99" ca="1">INDIRECT(ADDRESS($B99,BS$39+$A99,1,1,$D99))</f>
        <v>433</v>
      </c>
      <c r="BT99" s="1" cm="1">
        <f t="array" aca="1" ref="BT99" ca="1">INDIRECT(ADDRESS($B99,BT$39+$A99,1,1,$D99))</f>
        <v>533</v>
      </c>
      <c r="BU99" s="1" cm="1">
        <f t="array" aca="1" ref="BU99" ca="1">INDIRECT(ADDRESS($B99,BU$39+$A99,1,1,$D99))</f>
        <v>645</v>
      </c>
      <c r="BV99" s="1" cm="1">
        <f t="array" aca="1" ref="BV99" ca="1">INDIRECT(ADDRESS($B99,BV$39+$A99,1,1,$D99))</f>
        <v>775</v>
      </c>
      <c r="BW99" s="1" cm="1">
        <f t="array" aca="1" ref="BW99" ca="1">INDIRECT(ADDRESS($B99,BW$39+$A99,1,1,$D99))</f>
        <v>920</v>
      </c>
      <c r="BX99" s="1" cm="1">
        <f t="array" aca="1" ref="BX99" ca="1">INDIRECT(ADDRESS($B99,BX$39+$A99,1,1,$D99))</f>
        <v>1107</v>
      </c>
      <c r="BY99" s="1" cm="1">
        <f t="array" aca="1" ref="BY99" ca="1">INDIRECT(ADDRESS($B99,BY$39+$A99,1,1,$D99))</f>
        <v>1275</v>
      </c>
      <c r="BZ99" s="1" cm="1">
        <f t="array" aca="1" ref="BZ99" ca="1">INDIRECT(ADDRESS($B99,BZ$39+$A99,1,1,$D99))</f>
        <v>1444</v>
      </c>
      <c r="CA99" s="1" cm="1">
        <f t="array" aca="1" ref="CA99" ca="1">INDIRECT(ADDRESS($B99,CA$39+$A99,1,1,$D99))</f>
        <v>1584</v>
      </c>
      <c r="CB99" s="1" cm="1">
        <f t="array" aca="1" ref="CB99" ca="1">INDIRECT(ADDRESS($B99,CB$39+$A99,1,1,$D99))</f>
        <v>1810</v>
      </c>
      <c r="CC99" s="1" cm="1">
        <f t="array" aca="1" ref="CC99" ca="1">INDIRECT(ADDRESS($B99,CC$39+$A99,1,1,$D99))</f>
        <v>2016</v>
      </c>
      <c r="CD99" s="1" cm="1">
        <f t="array" aca="1" ref="CD99" ca="1">INDIRECT(ADDRESS($B99,CD$39+$A99,1,1,$D99))</f>
        <v>2349</v>
      </c>
      <c r="CE99" s="1" cm="1">
        <f t="array" aca="1" ref="CE99" ca="1">INDIRECT(ADDRESS($B99,CE$39+$A99,1,1,$D99))</f>
        <v>2607</v>
      </c>
      <c r="CF99" s="1" cm="1">
        <f t="array" aca="1" ref="CF99" ca="1">INDIRECT(ADDRESS($B99,CF$39+$A99,1,1,$D99))</f>
        <v>2767</v>
      </c>
      <c r="CG99" s="1" cm="1">
        <f t="array" aca="1" ref="CG99" ca="1">INDIRECT(ADDRESS($B99,CG$39+$A99,1,1,$D99))</f>
        <v>2736</v>
      </c>
      <c r="CH99" s="1" cm="1">
        <f t="array" aca="1" ref="CH99" ca="1">INDIRECT(ADDRESS($B99,CH$39+$A99,1,1,$D99))</f>
        <v>3022</v>
      </c>
      <c r="CI99" s="1" cm="1">
        <f t="array" aca="1" ref="CI99" ca="1">INDIRECT(ADDRESS($B99,CI$39+$A99,1,1,$D99))</f>
        <v>3194</v>
      </c>
      <c r="CJ99" s="1" cm="1">
        <f t="array" aca="1" ref="CJ99" ca="1">INDIRECT(ADDRESS($B99,CJ$39+$A99,1,1,$D99))</f>
        <v>3294</v>
      </c>
      <c r="CK99" s="1" cm="1">
        <f t="array" aca="1" ref="CK99" ca="1">INDIRECT(ADDRESS($B99,CK$39+$A99,1,1,$D99))</f>
        <v>3804</v>
      </c>
      <c r="CL99" s="1" cm="1">
        <f t="array" aca="1" ref="CL99" ca="1">INDIRECT(ADDRESS($B99,CL$39+$A99,1,1,$D99))</f>
        <v>4052</v>
      </c>
      <c r="CM99" s="1" cm="1">
        <f t="array" aca="1" ref="CM99" ca="1">INDIRECT(ADDRESS($B99,CM$39+$A99,1,1,$D99))</f>
        <v>4352</v>
      </c>
      <c r="CN99" s="1" cm="1">
        <f t="array" aca="1" ref="CN99" ca="1">INDIRECT(ADDRESS($B99,CN$39+$A99,1,1,$D99))</f>
        <v>0</v>
      </c>
      <c r="CO99" s="1" cm="1">
        <f t="array" aca="1" ref="CO99" ca="1">INDIRECT(ADDRESS($B99,CO$39+$A99,1,1,$D99))</f>
        <v>0</v>
      </c>
    </row>
    <row r="100" spans="1:93" x14ac:dyDescent="0.25">
      <c r="A100">
        <v>8</v>
      </c>
      <c r="B100">
        <f t="shared" ca="1" si="38"/>
        <v>16</v>
      </c>
      <c r="C100" s="1" t="str">
        <f t="shared" si="37"/>
        <v>Singapore</v>
      </c>
      <c r="D100" t="str">
        <f t="shared" si="39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2</v>
      </c>
      <c r="BM100" s="1" cm="1">
        <f t="array" aca="1" ref="BM100" ca="1">INDIRECT(ADDRESS($B100,BM$39+$A100,1,1,$D100))</f>
        <v>2</v>
      </c>
      <c r="BN100" s="1" cm="1">
        <f t="array" aca="1" ref="BN100" ca="1">INDIRECT(ADDRESS($B100,BN$39+$A100,1,1,$D100))</f>
        <v>2</v>
      </c>
      <c r="BO100" s="1" cm="1">
        <f t="array" aca="1" ref="BO100" ca="1">INDIRECT(ADDRESS($B100,BO$39+$A100,1,1,$D100))</f>
        <v>2</v>
      </c>
      <c r="BP100" s="1" cm="1">
        <f t="array" aca="1" ref="BP100" ca="1">INDIRECT(ADDRESS($B100,BP$39+$A100,1,1,$D100))</f>
        <v>2</v>
      </c>
      <c r="BQ100" s="1" cm="1">
        <f t="array" aca="1" ref="BQ100" ca="1">INDIRECT(ADDRESS($B100,BQ$39+$A100,1,1,$D100))</f>
        <v>2</v>
      </c>
      <c r="BR100" s="1" cm="1">
        <f t="array" aca="1" ref="BR100" ca="1">INDIRECT(ADDRESS($B100,BR$39+$A100,1,1,$D100))</f>
        <v>2</v>
      </c>
      <c r="BS100" s="1" cm="1">
        <f t="array" aca="1" ref="BS100" ca="1">INDIRECT(ADDRESS($B100,BS$39+$A100,1,1,$D100))</f>
        <v>2</v>
      </c>
      <c r="BT100" s="1" cm="1">
        <f t="array" aca="1" ref="BT100" ca="1">INDIRECT(ADDRESS($B100,BT$39+$A100,1,1,$D100))</f>
        <v>3</v>
      </c>
      <c r="BU100" s="1" cm="1">
        <f t="array" aca="1" ref="BU100" ca="1">INDIRECT(ADDRESS($B100,BU$39+$A100,1,1,$D100))</f>
        <v>3</v>
      </c>
      <c r="BV100" s="1" cm="1">
        <f t="array" aca="1" ref="BV100" ca="1">INDIRECT(ADDRESS($B100,BV$39+$A100,1,1,$D100))</f>
        <v>3</v>
      </c>
      <c r="BW100" s="1" cm="1">
        <f t="array" aca="1" ref="BW100" ca="1">INDIRECT(ADDRESS($B100,BW$39+$A100,1,1,$D100))</f>
        <v>3</v>
      </c>
      <c r="BX100" s="1" cm="1">
        <f t="array" aca="1" ref="BX100" ca="1">INDIRECT(ADDRESS($B100,BX$39+$A100,1,1,$D100))</f>
        <v>4</v>
      </c>
      <c r="BY100" s="1" cm="1">
        <f t="array" aca="1" ref="BY100" ca="1">INDIRECT(ADDRESS($B100,BY$39+$A100,1,1,$D100))</f>
        <v>5</v>
      </c>
      <c r="BZ100" s="1" cm="1">
        <f t="array" aca="1" ref="BZ100" ca="1">INDIRECT(ADDRESS($B100,BZ$39+$A100,1,1,$D100))</f>
        <v>6</v>
      </c>
      <c r="CA100" s="1" cm="1">
        <f t="array" aca="1" ref="CA100" ca="1">INDIRECT(ADDRESS($B100,CA$39+$A100,1,1,$D100))</f>
        <v>6</v>
      </c>
      <c r="CB100" s="1" cm="1">
        <f t="array" aca="1" ref="CB100" ca="1">INDIRECT(ADDRESS($B100,CB$39+$A100,1,1,$D100))</f>
        <v>6</v>
      </c>
      <c r="CC100" s="1" cm="1">
        <f t="array" aca="1" ref="CC100" ca="1">INDIRECT(ADDRESS($B100,CC$39+$A100,1,1,$D100))</f>
        <v>6</v>
      </c>
      <c r="CD100" s="1" cm="1">
        <f t="array" aca="1" ref="CD100" ca="1">INDIRECT(ADDRESS($B100,CD$39+$A100,1,1,$D100))</f>
        <v>6</v>
      </c>
      <c r="CE100" s="1" cm="1">
        <f t="array" aca="1" ref="CE100" ca="1">INDIRECT(ADDRESS($B100,CE$39+$A100,1,1,$D100))</f>
        <v>6</v>
      </c>
      <c r="CF100" s="1" cm="1">
        <f t="array" aca="1" ref="CF100" ca="1">INDIRECT(ADDRESS($B100,CF$39+$A100,1,1,$D100))</f>
        <v>7</v>
      </c>
      <c r="CG100" s="1" cm="1">
        <f t="array" aca="1" ref="CG100" ca="1">INDIRECT(ADDRESS($B100,CG$39+$A100,1,1,$D100))</f>
        <v>8</v>
      </c>
      <c r="CH100" s="1" cm="1">
        <f t="array" aca="1" ref="CH100" ca="1">INDIRECT(ADDRESS($B100,CH$39+$A100,1,1,$D100))</f>
        <v>8</v>
      </c>
      <c r="CI100" s="1" cm="1">
        <f t="array" aca="1" ref="CI100" ca="1">INDIRECT(ADDRESS($B100,CI$39+$A100,1,1,$D100))</f>
        <v>9</v>
      </c>
      <c r="CJ100" s="1" cm="1">
        <f t="array" aca="1" ref="CJ100" ca="1">INDIRECT(ADDRESS($B100,CJ$39+$A100,1,1,$D100))</f>
        <v>10</v>
      </c>
      <c r="CK100" s="1" cm="1">
        <f t="array" aca="1" ref="CK100" ca="1">INDIRECT(ADDRESS($B100,CK$39+$A100,1,1,$D100))</f>
        <v>10</v>
      </c>
      <c r="CL100" s="1" cm="1">
        <f t="array" aca="1" ref="CL100" ca="1">INDIRECT(ADDRESS($B100,CL$39+$A100,1,1,$D100))</f>
        <v>10</v>
      </c>
      <c r="CM100" s="1" cm="1">
        <f t="array" aca="1" ref="CM100" ca="1">INDIRECT(ADDRESS($B100,CM$39+$A100,1,1,$D100))</f>
        <v>11</v>
      </c>
      <c r="CN100" s="1" cm="1">
        <f t="array" aca="1" ref="CN100" ca="1">INDIRECT(ADDRESS($B100,CN$39+$A100,1,1,$D100))</f>
        <v>0</v>
      </c>
      <c r="CO100" s="1" cm="1">
        <f t="array" aca="1" ref="CO100" ca="1">INDIRECT(ADDRESS($B100,CO$39+$A100,1,1,$D100))</f>
        <v>0</v>
      </c>
    </row>
    <row r="101" spans="1:93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</row>
    <row r="102" spans="1:93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40">E52</f>
        <v>2020-01-22</v>
      </c>
      <c r="F102" s="5" t="str">
        <f t="shared" ca="1" si="40"/>
        <v>2020-01-23</v>
      </c>
      <c r="G102" s="5" t="str">
        <f t="shared" ca="1" si="40"/>
        <v>2020-01-24</v>
      </c>
      <c r="H102" s="5" t="str">
        <f t="shared" ca="1" si="40"/>
        <v>2020-01-25</v>
      </c>
      <c r="I102" s="5" t="str">
        <f t="shared" ca="1" si="40"/>
        <v>2020-01-26</v>
      </c>
      <c r="J102" s="5" t="str">
        <f t="shared" ca="1" si="40"/>
        <v>2020-01-27</v>
      </c>
      <c r="K102" s="5" t="str">
        <f t="shared" ca="1" si="40"/>
        <v>2020-01-28</v>
      </c>
      <c r="L102" s="5" t="str">
        <f t="shared" ca="1" si="40"/>
        <v>2020-01-29</v>
      </c>
      <c r="M102" s="5" t="str">
        <f t="shared" ca="1" si="40"/>
        <v>2020-01-30</v>
      </c>
      <c r="N102" s="5" t="str">
        <f t="shared" ca="1" si="40"/>
        <v>2020-01-31</v>
      </c>
      <c r="O102" s="5" t="str">
        <f t="shared" ca="1" si="40"/>
        <v>2020-02-01</v>
      </c>
      <c r="P102" s="5" t="str">
        <f t="shared" ca="1" si="40"/>
        <v>2020-02-02</v>
      </c>
      <c r="Q102" s="5" t="str">
        <f t="shared" ca="1" si="40"/>
        <v>2020-02-03</v>
      </c>
      <c r="R102" s="5" t="str">
        <f t="shared" ca="1" si="40"/>
        <v>2020-02-04</v>
      </c>
      <c r="S102" s="5" t="str">
        <f t="shared" ca="1" si="40"/>
        <v>2020-02-05</v>
      </c>
      <c r="T102" s="5" t="str">
        <f t="shared" ca="1" si="40"/>
        <v>2020-02-06</v>
      </c>
      <c r="U102" s="5" t="str">
        <f t="shared" ca="1" si="40"/>
        <v>2020-02-07</v>
      </c>
      <c r="V102" s="5" t="str">
        <f t="shared" ca="1" si="40"/>
        <v>2020-02-08</v>
      </c>
      <c r="W102" s="5" t="str">
        <f t="shared" ca="1" si="40"/>
        <v>2020-02-09</v>
      </c>
      <c r="X102" s="5" t="str">
        <f t="shared" ca="1" si="40"/>
        <v>2020-02-10</v>
      </c>
      <c r="Y102" s="5" t="str">
        <f t="shared" ca="1" si="40"/>
        <v>2020-02-11</v>
      </c>
      <c r="Z102" s="5" t="str">
        <f t="shared" ca="1" si="40"/>
        <v>2020-02-12</v>
      </c>
      <c r="AA102" s="5" t="str">
        <f t="shared" ca="1" si="40"/>
        <v>2020-02-13</v>
      </c>
      <c r="AB102" s="5" t="str">
        <f t="shared" ca="1" si="40"/>
        <v>2020-02-14</v>
      </c>
      <c r="AC102" s="5" t="str">
        <f t="shared" ca="1" si="40"/>
        <v>2020-02-15</v>
      </c>
      <c r="AD102" s="5" t="str">
        <f t="shared" ca="1" si="40"/>
        <v>2020-02-16</v>
      </c>
      <c r="AE102" s="5" t="str">
        <f t="shared" ca="1" si="40"/>
        <v>2020-02-17</v>
      </c>
      <c r="AF102" s="5" t="str">
        <f t="shared" ca="1" si="40"/>
        <v>2020-02-18</v>
      </c>
      <c r="AG102" s="5" t="str">
        <f t="shared" ca="1" si="40"/>
        <v>2020-02-19</v>
      </c>
      <c r="AH102" s="5" t="str">
        <f t="shared" ca="1" si="40"/>
        <v>2020-02-20</v>
      </c>
      <c r="AI102" s="5" t="str">
        <f t="shared" ca="1" si="40"/>
        <v>2020-02-21</v>
      </c>
      <c r="AJ102" s="5" t="str">
        <f t="shared" ca="1" si="40"/>
        <v>2020-02-22</v>
      </c>
      <c r="AK102" s="5" t="str">
        <f t="shared" ref="AK102:BP102" ca="1" si="41">AK52</f>
        <v>2020-02-23</v>
      </c>
      <c r="AL102" s="5" t="str">
        <f t="shared" ca="1" si="41"/>
        <v>2020-02-24</v>
      </c>
      <c r="AM102" s="5" t="str">
        <f t="shared" ca="1" si="41"/>
        <v>2020-02-25</v>
      </c>
      <c r="AN102" s="5" t="str">
        <f t="shared" ca="1" si="41"/>
        <v>2020-02-26</v>
      </c>
      <c r="AO102" s="5" t="str">
        <f t="shared" ca="1" si="41"/>
        <v>2020-02-27</v>
      </c>
      <c r="AP102" s="5" t="str">
        <f t="shared" ca="1" si="41"/>
        <v>2020-02-28</v>
      </c>
      <c r="AQ102" s="5" t="str">
        <f t="shared" ca="1" si="41"/>
        <v>2020-02-29</v>
      </c>
      <c r="AR102" s="5" t="str">
        <f t="shared" ca="1" si="41"/>
        <v>2020-03-01</v>
      </c>
      <c r="AS102" s="5" t="str">
        <f t="shared" ca="1" si="41"/>
        <v>2020-03-02</v>
      </c>
      <c r="AT102" s="5" t="str">
        <f t="shared" ca="1" si="41"/>
        <v>2020-03-03</v>
      </c>
      <c r="AU102" s="5" t="str">
        <f t="shared" ca="1" si="41"/>
        <v>2020-03-04</v>
      </c>
      <c r="AV102" s="5" t="str">
        <f t="shared" ca="1" si="41"/>
        <v>2020-03-05</v>
      </c>
      <c r="AW102" s="5" t="str">
        <f t="shared" ca="1" si="41"/>
        <v>2020-03-06</v>
      </c>
      <c r="AX102" s="5" t="str">
        <f t="shared" ca="1" si="41"/>
        <v>2020-03-07</v>
      </c>
      <c r="AY102" s="5" t="str">
        <f t="shared" ca="1" si="41"/>
        <v>2020-03-08</v>
      </c>
      <c r="AZ102" s="5" t="str">
        <f t="shared" ca="1" si="41"/>
        <v>2020-03-09</v>
      </c>
      <c r="BA102" s="5" t="str">
        <f t="shared" ca="1" si="41"/>
        <v>2020-03-10</v>
      </c>
      <c r="BB102" s="5" t="str">
        <f t="shared" ca="1" si="41"/>
        <v>2020-03-11</v>
      </c>
      <c r="BC102" s="5" t="str">
        <f t="shared" ca="1" si="41"/>
        <v>2020-03-12</v>
      </c>
      <c r="BD102" s="5" t="str">
        <f t="shared" ca="1" si="41"/>
        <v>2020-03-13</v>
      </c>
      <c r="BE102" s="5" t="str">
        <f t="shared" ca="1" si="41"/>
        <v>2020-03-14</v>
      </c>
      <c r="BF102" s="5" t="str">
        <f t="shared" ca="1" si="41"/>
        <v>2020-03-15</v>
      </c>
      <c r="BG102" s="5" t="str">
        <f t="shared" ca="1" si="41"/>
        <v>2020-03-16</v>
      </c>
      <c r="BH102" s="5" t="str">
        <f t="shared" ca="1" si="41"/>
        <v>2020-03-17</v>
      </c>
      <c r="BI102" s="5" t="str">
        <f t="shared" ca="1" si="41"/>
        <v>2020-03-18</v>
      </c>
      <c r="BJ102" s="5" t="str">
        <f t="shared" ca="1" si="41"/>
        <v>2020-03-19</v>
      </c>
      <c r="BK102" s="5" t="str">
        <f t="shared" ca="1" si="41"/>
        <v>2020-03-20</v>
      </c>
      <c r="BL102" s="5" t="str">
        <f t="shared" ca="1" si="41"/>
        <v>2020-03-21</v>
      </c>
      <c r="BM102" s="5" t="str">
        <f t="shared" ca="1" si="41"/>
        <v>2020-03-22</v>
      </c>
      <c r="BN102" s="5" t="str">
        <f t="shared" ca="1" si="41"/>
        <v>2020-03-23</v>
      </c>
      <c r="BO102" s="5" t="str">
        <f t="shared" ca="1" si="41"/>
        <v>2020-03-24</v>
      </c>
      <c r="BP102" s="5" t="str">
        <f t="shared" ca="1" si="41"/>
        <v>2020-03-25</v>
      </c>
      <c r="BQ102" s="5" t="str">
        <f t="shared" ref="BQ102:BU102" ca="1" si="42">BQ52</f>
        <v>2020-03-26</v>
      </c>
      <c r="BR102" s="5" t="str">
        <f t="shared" ca="1" si="42"/>
        <v>2020-03-27</v>
      </c>
      <c r="BS102" s="5" t="str">
        <f t="shared" ca="1" si="42"/>
        <v>2020-03-28</v>
      </c>
      <c r="BT102" s="5" t="str">
        <f t="shared" ca="1" si="42"/>
        <v>2020-03-29</v>
      </c>
      <c r="BU102" s="5" t="str">
        <f t="shared" ca="1" si="42"/>
        <v>2020-03-30</v>
      </c>
      <c r="BV102" s="5" t="str">
        <f t="shared" ref="BV102:CO102" ca="1" si="43">BV52</f>
        <v>2020-03-31</v>
      </c>
      <c r="BW102" s="5" t="str">
        <f t="shared" ca="1" si="43"/>
        <v>2020-04-01</v>
      </c>
      <c r="BX102" s="5" t="str">
        <f t="shared" ca="1" si="43"/>
        <v>2020-04-02</v>
      </c>
      <c r="BY102" s="5" t="str">
        <f t="shared" ca="1" si="43"/>
        <v>2020-04-03</v>
      </c>
      <c r="BZ102" s="5" t="str">
        <f t="shared" ca="1" si="43"/>
        <v>2020-04-04</v>
      </c>
      <c r="CA102" s="5" t="str">
        <f t="shared" ca="1" si="43"/>
        <v>2020-04-05</v>
      </c>
      <c r="CB102" s="5" t="str">
        <f t="shared" ca="1" si="43"/>
        <v>2020-04-06</v>
      </c>
      <c r="CC102" s="5" t="str">
        <f t="shared" ca="1" si="43"/>
        <v>2020-04-07</v>
      </c>
      <c r="CD102" s="5" t="str">
        <f t="shared" ca="1" si="43"/>
        <v>2020-04-08</v>
      </c>
      <c r="CE102" s="5" t="str">
        <f t="shared" ca="1" si="43"/>
        <v>2020-04-09</v>
      </c>
      <c r="CF102" s="5" t="str">
        <f t="shared" ca="1" si="43"/>
        <v>2020-04-10</v>
      </c>
      <c r="CG102" s="5" t="str">
        <f t="shared" ca="1" si="43"/>
        <v>2020-04-11</v>
      </c>
      <c r="CH102" s="5" t="str">
        <f t="shared" ca="1" si="43"/>
        <v>2020-04-12</v>
      </c>
      <c r="CI102" s="5" t="str">
        <f t="shared" ca="1" si="43"/>
        <v>2020-04-13</v>
      </c>
      <c r="CJ102" s="5" t="str">
        <f t="shared" ca="1" si="43"/>
        <v>2020-04-14</v>
      </c>
      <c r="CK102" s="5" t="str">
        <f t="shared" ca="1" si="43"/>
        <v>2020-04-15</v>
      </c>
      <c r="CL102" s="5" t="str">
        <f t="shared" ca="1" si="43"/>
        <v>2020-04-16</v>
      </c>
      <c r="CM102" s="5" t="str">
        <f t="shared" ca="1" si="43"/>
        <v>2020-04-17</v>
      </c>
      <c r="CN102" s="5">
        <f t="shared" ca="1" si="43"/>
        <v>0</v>
      </c>
      <c r="CO102" s="5">
        <f t="shared" ca="1" si="43"/>
        <v>0</v>
      </c>
    </row>
    <row r="103" spans="1:93" x14ac:dyDescent="0.25">
      <c r="A103">
        <v>8</v>
      </c>
      <c r="B103">
        <f ca="1">MATCH($C103,INDIRECT("'"&amp;$C$52&amp;"'!A:A"),0)</f>
        <v>20</v>
      </c>
      <c r="C103" s="1" t="str">
        <f t="shared" ref="C103:C110" si="44">C8</f>
        <v>US</v>
      </c>
      <c r="D103" t="s">
        <v>191</v>
      </c>
      <c r="E103" s="1" cm="1">
        <f t="array" aca="1" ref="E103" ca="1">INDIRECT(ADDRESS($B103,E$39+$A103,1,1,$D103))</f>
        <v>1</v>
      </c>
      <c r="F103" s="1" cm="1">
        <f t="array" aca="1" ref="F103" ca="1">INDIRECT(ADDRESS($B103,F$39+$A103,1,1,$D103))</f>
        <v>1</v>
      </c>
      <c r="G103" s="1" cm="1">
        <f t="array" aca="1" ref="G103" ca="1">INDIRECT(ADDRESS($B103,G$39+$A103,1,1,$D103))</f>
        <v>2</v>
      </c>
      <c r="H103" s="1" cm="1">
        <f t="array" aca="1" ref="H103" ca="1">INDIRECT(ADDRESS($B103,H$39+$A103,1,1,$D103))</f>
        <v>2</v>
      </c>
      <c r="I103" s="1" cm="1">
        <f t="array" aca="1" ref="I103" ca="1">INDIRECT(ADDRESS($B103,I$39+$A103,1,1,$D103))</f>
        <v>5</v>
      </c>
      <c r="J103" s="1" cm="1">
        <f t="array" aca="1" ref="J103" ca="1">INDIRECT(ADDRESS($B103,J$39+$A103,1,1,$D103))</f>
        <v>5.4</v>
      </c>
      <c r="K103" s="1" cm="1">
        <f t="array" aca="1" ref="K103" ca="1">INDIRECT(ADDRESS($B103,K$39+$A103,1,1,$D103))</f>
        <v>5.8</v>
      </c>
      <c r="L103" s="1" cm="1">
        <f t="array" aca="1" ref="L103" ca="1">INDIRECT(ADDRESS($B103,L$39+$A103,1,1,$D103))</f>
        <v>6.2</v>
      </c>
      <c r="M103" s="1" cm="1">
        <f t="array" aca="1" ref="M103" ca="1">INDIRECT(ADDRESS($B103,M$39+$A103,1,1,$D103))</f>
        <v>6.6</v>
      </c>
      <c r="N103" s="1" cm="1">
        <f t="array" aca="1" ref="N103" ca="1">INDIRECT(ADDRESS($B103,N$39+$A103,1,1,$D103))</f>
        <v>7</v>
      </c>
      <c r="O103" s="1" cm="1">
        <f t="array" aca="1" ref="O103" ca="1">INDIRECT(ADDRESS($B103,O$39+$A103,1,1,$D103))</f>
        <v>8</v>
      </c>
      <c r="P103" s="1" cm="1">
        <f t="array" aca="1" ref="P103" ca="1">INDIRECT(ADDRESS($B103,P$39+$A103,1,1,$D103))</f>
        <v>9.5</v>
      </c>
      <c r="Q103" s="1" cm="1">
        <f t="array" aca="1" ref="Q103" ca="1">INDIRECT(ADDRESS($B103,Q$39+$A103,1,1,$D103))</f>
        <v>11</v>
      </c>
      <c r="R103" s="1" cm="1">
        <f t="array" aca="1" ref="R103" ca="1">INDIRECT(ADDRESS($B103,R$39+$A103,1,1,$D103))</f>
        <v>11.125</v>
      </c>
      <c r="S103" s="1" cm="1">
        <f t="array" aca="1" ref="S103" ca="1">INDIRECT(ADDRESS($B103,S$39+$A103,1,1,$D103))</f>
        <v>10.25</v>
      </c>
      <c r="T103" s="1" cm="1">
        <f t="array" aca="1" ref="T103" ca="1">INDIRECT(ADDRESS($B103,T$39+$A103,1,1,$D103))</f>
        <v>10.375</v>
      </c>
      <c r="U103" s="1" cm="1">
        <f t="array" aca="1" ref="U103" ca="1">INDIRECT(ADDRESS($B103,U$39+$A103,1,1,$D103))</f>
        <v>9.5</v>
      </c>
      <c r="V103" s="1" cm="1">
        <f t="array" aca="1" ref="V103" ca="1">INDIRECT(ADDRESS($B103,V$39+$A103,1,1,$D103))</f>
        <v>9.625</v>
      </c>
      <c r="W103" s="1" cm="1">
        <f t="array" aca="1" ref="W103" ca="1">INDIRECT(ADDRESS($B103,W$39+$A103,1,1,$D103))</f>
        <v>6.75</v>
      </c>
      <c r="X103" s="1" cm="1">
        <f t="array" aca="1" ref="X103" ca="1">INDIRECT(ADDRESS($B103,X$39+$A103,1,1,$D103))</f>
        <v>6.4749999999999996</v>
      </c>
      <c r="Y103" s="1" cm="1">
        <f t="array" aca="1" ref="Y103" ca="1">INDIRECT(ADDRESS($B103,Y$39+$A103,1,1,$D103))</f>
        <v>6.2</v>
      </c>
      <c r="Z103" s="1" cm="1">
        <f t="array" aca="1" ref="Z103" ca="1">INDIRECT(ADDRESS($B103,Z$39+$A103,1,1,$D103))</f>
        <v>6.3</v>
      </c>
      <c r="AA103" s="1" cm="1">
        <f t="array" aca="1" ref="AA103" ca="1">INDIRECT(ADDRESS($B103,AA$39+$A103,1,1,$D103))</f>
        <v>6.4</v>
      </c>
      <c r="AB103" s="1" cm="1">
        <f t="array" aca="1" ref="AB103" ca="1">INDIRECT(ADDRESS($B103,AB$39+$A103,1,1,$D103))</f>
        <v>6.25</v>
      </c>
      <c r="AC103" s="1" cm="1">
        <f t="array" aca="1" ref="AC103" ca="1">INDIRECT(ADDRESS($B103,AC$39+$A103,1,1,$D103))</f>
        <v>5.5</v>
      </c>
      <c r="AD103" s="1" cm="1">
        <f t="array" aca="1" ref="AD103" ca="1">INDIRECT(ADDRESS($B103,AD$39+$A103,1,1,$D103))</f>
        <v>4.25</v>
      </c>
      <c r="AE103" s="1" cm="1">
        <f t="array" aca="1" ref="AE103" ca="1">INDIRECT(ADDRESS($B103,AE$39+$A103,1,1,$D103))</f>
        <v>3</v>
      </c>
      <c r="AF103" s="1" cm="1">
        <f t="array" aca="1" ref="AF103" ca="1">INDIRECT(ADDRESS($B103,AF$39+$A103,1,1,$D103))</f>
        <v>3.125</v>
      </c>
      <c r="AG103" s="1" cm="1">
        <f t="array" aca="1" ref="AG103" ca="1">INDIRECT(ADDRESS($B103,AG$39+$A103,1,1,$D103))</f>
        <v>3.25</v>
      </c>
      <c r="AH103" s="1" cm="1">
        <f t="array" aca="1" ref="AH103" ca="1">INDIRECT(ADDRESS($B103,AH$39+$A103,1,1,$D103))</f>
        <v>3.375</v>
      </c>
      <c r="AI103" s="1" cm="1">
        <f t="array" aca="1" ref="AI103" ca="1">INDIRECT(ADDRESS($B103,AI$39+$A103,1,1,$D103))</f>
        <v>3.5</v>
      </c>
      <c r="AJ103" s="1" cm="1">
        <f t="array" aca="1" ref="AJ103" ca="1">INDIRECT(ADDRESS($B103,AJ$39+$A103,1,1,$D103))</f>
        <v>15.375</v>
      </c>
      <c r="AK103" s="1" cm="1">
        <f t="array" aca="1" ref="AK103" ca="1">INDIRECT(ADDRESS($B103,AK$39+$A103,1,1,$D103))</f>
        <v>27.25</v>
      </c>
      <c r="AL103" s="1" cm="1">
        <f t="array" aca="1" ref="AL103" ca="1">INDIRECT(ADDRESS($B103,AL$39+$A103,1,1,$D103))</f>
        <v>39.125</v>
      </c>
      <c r="AM103" s="1" cm="1">
        <f t="array" aca="1" ref="AM103" ca="1">INDIRECT(ADDRESS($B103,AM$39+$A103,1,1,$D103))</f>
        <v>42</v>
      </c>
      <c r="AN103" s="1" cm="1">
        <f t="array" aca="1" ref="AN103" ca="1">INDIRECT(ADDRESS($B103,AN$39+$A103,1,1,$D103))</f>
        <v>44.5</v>
      </c>
      <c r="AO103" s="1" cm="1">
        <f t="array" aca="1" ref="AO103" ca="1">INDIRECT(ADDRESS($B103,AO$39+$A103,1,1,$D103))</f>
        <v>45</v>
      </c>
      <c r="AP103" s="1" cm="1">
        <f t="array" aca="1" ref="AP103" ca="1">INDIRECT(ADDRESS($B103,AP$39+$A103,1,1,$D103))</f>
        <v>46.75</v>
      </c>
      <c r="AQ103" s="1" cm="1">
        <f t="array" aca="1" ref="AQ103" ca="1">INDIRECT(ADDRESS($B103,AQ$39+$A103,1,1,$D103))</f>
        <v>54.5</v>
      </c>
      <c r="AR103" s="1" cm="1">
        <f t="array" aca="1" ref="AR103" ca="1">INDIRECT(ADDRESS($B103,AR$39+$A103,1,1,$D103))</f>
        <v>60.25</v>
      </c>
      <c r="AS103" s="1" cm="1">
        <f t="array" aca="1" ref="AS103" ca="1">INDIRECT(ADDRESS($B103,AS$39+$A103,1,1,$D103))</f>
        <v>84</v>
      </c>
      <c r="AT103" s="1" cm="1">
        <f t="array" aca="1" ref="AT103" ca="1">INDIRECT(ADDRESS($B103,AT$39+$A103,1,1,$D103))</f>
        <v>103.75</v>
      </c>
      <c r="AU103" s="1" cm="1">
        <f t="array" aca="1" ref="AU103" ca="1">INDIRECT(ADDRESS($B103,AU$39+$A103,1,1,$D103))</f>
        <v>134.5</v>
      </c>
      <c r="AV103" s="1" cm="1">
        <f t="array" aca="1" ref="AV103" ca="1">INDIRECT(ADDRESS($B103,AV$39+$A103,1,1,$D103))</f>
        <v>202.25</v>
      </c>
      <c r="AW103" s="1" cm="1">
        <f t="array" aca="1" ref="AW103" ca="1">INDIRECT(ADDRESS($B103,AW$39+$A103,1,1,$D103))</f>
        <v>247</v>
      </c>
      <c r="AX103" s="1" cm="1">
        <f t="array" aca="1" ref="AX103" ca="1">INDIRECT(ADDRESS($B103,AX$39+$A103,1,1,$D103))</f>
        <v>375</v>
      </c>
      <c r="AY103" s="1" cm="1">
        <f t="array" aca="1" ref="AY103" ca="1">INDIRECT(ADDRESS($B103,AY$39+$A103,1,1,$D103))</f>
        <v>479</v>
      </c>
      <c r="AZ103" s="1" cm="1">
        <f t="array" aca="1" ref="AZ103" ca="1">INDIRECT(ADDRESS($B103,AZ$39+$A103,1,1,$D103))</f>
        <v>532</v>
      </c>
      <c r="BA103" s="1" cm="1">
        <f t="array" aca="1" ref="BA103" ca="1">INDIRECT(ADDRESS($B103,BA$39+$A103,1,1,$D103))</f>
        <v>905</v>
      </c>
      <c r="BB103" s="1" cm="1">
        <f t="array" aca="1" ref="BB103" ca="1">INDIRECT(ADDRESS($B103,BB$39+$A103,1,1,$D103))</f>
        <v>1224</v>
      </c>
      <c r="BC103" s="1" cm="1">
        <f t="array" aca="1" ref="BC103" ca="1">INDIRECT(ADDRESS($B103,BC$39+$A103,1,1,$D103))</f>
        <v>1605</v>
      </c>
      <c r="BD103" s="1" cm="1">
        <f t="array" aca="1" ref="BD103" ca="1">INDIRECT(ADDRESS($B103,BD$39+$A103,1,1,$D103))</f>
        <v>2119</v>
      </c>
      <c r="BE103" s="1" cm="1">
        <f t="array" aca="1" ref="BE103" ca="1">INDIRECT(ADDRESS($B103,BE$39+$A103,1,1,$D103))</f>
        <v>2659</v>
      </c>
      <c r="BF103" s="1" cm="1">
        <f t="array" aca="1" ref="BF103" ca="1">INDIRECT(ADDRESS($B103,BF$39+$A103,1,1,$D103))</f>
        <v>3425</v>
      </c>
      <c r="BG103" s="1" cm="1">
        <f t="array" aca="1" ref="BG103" ca="1">INDIRECT(ADDRESS($B103,BG$39+$A103,1,1,$D103))</f>
        <v>4534</v>
      </c>
      <c r="BH103" s="1" cm="1">
        <f t="array" aca="1" ref="BH103" ca="1">INDIRECT(ADDRESS($B103,BH$39+$A103,1,1,$D103))</f>
        <v>6303</v>
      </c>
      <c r="BI103" s="1" cm="1">
        <f t="array" aca="1" ref="BI103" ca="1">INDIRECT(ADDRESS($B103,BI$39+$A103,1,1,$D103))</f>
        <v>7634</v>
      </c>
      <c r="BJ103" s="1" cm="1">
        <f t="array" aca="1" ref="BJ103" ca="1">INDIRECT(ADDRESS($B103,BJ$39+$A103,1,1,$D103))</f>
        <v>13530</v>
      </c>
      <c r="BK103" s="1" cm="1">
        <f t="array" aca="1" ref="BK103" ca="1">INDIRECT(ADDRESS($B103,BK$39+$A103,1,1,$D103))</f>
        <v>19011</v>
      </c>
      <c r="BL103" s="1" cm="1">
        <f t="array" aca="1" ref="BL103" ca="1">INDIRECT(ADDRESS($B103,BL$39+$A103,1,1,$D103))</f>
        <v>25198</v>
      </c>
      <c r="BM103" s="1" cm="1">
        <f t="array" aca="1" ref="BM103" ca="1">INDIRECT(ADDRESS($B103,BM$39+$A103,1,1,$D103))</f>
        <v>32758</v>
      </c>
      <c r="BN103" s="1" cm="1">
        <f t="array" aca="1" ref="BN103" ca="1">INDIRECT(ADDRESS($B103,BN$39+$A103,1,1,$D103))</f>
        <v>43260</v>
      </c>
      <c r="BO103" s="1" cm="1">
        <f t="array" aca="1" ref="BO103" ca="1">INDIRECT(ADDRESS($B103,BO$39+$A103,1,1,$D103))</f>
        <v>52777</v>
      </c>
      <c r="BP103" s="1" cm="1">
        <f t="array" aca="1" ref="BP103" ca="1">INDIRECT(ADDRESS($B103,BP$39+$A103,1,1,$D103))</f>
        <v>64497</v>
      </c>
      <c r="BQ103" s="1" cm="1">
        <f t="array" aca="1" ref="BQ103" ca="1">INDIRECT(ADDRESS($B103,BQ$39+$A103,1,1,$D103))</f>
        <v>82173</v>
      </c>
      <c r="BR103" s="1" cm="1">
        <f t="array" aca="1" ref="BR103" ca="1">INDIRECT(ADDRESS($B103,BR$39+$A103,1,1,$D103))</f>
        <v>99478</v>
      </c>
      <c r="BS103" s="1" cm="1">
        <f t="array" aca="1" ref="BS103" ca="1">INDIRECT(ADDRESS($B103,BS$39+$A103,1,1,$D103))</f>
        <v>118738</v>
      </c>
      <c r="BT103" s="1" cm="1">
        <f t="array" aca="1" ref="BT103" ca="1">INDIRECT(ADDRESS($B103,BT$39+$A103,1,1,$D103))</f>
        <v>137410</v>
      </c>
      <c r="BU103" s="1" cm="1">
        <f t="array" aca="1" ref="BU103" ca="1">INDIRECT(ADDRESS($B103,BU$39+$A103,1,1,$D103))</f>
        <v>157199</v>
      </c>
      <c r="BV103" s="1" cm="1">
        <f t="array" aca="1" ref="BV103" ca="1">INDIRECT(ADDRESS($B103,BV$39+$A103,1,1,$D103))</f>
        <v>181751</v>
      </c>
      <c r="BW103" s="1" cm="1">
        <f t="array" aca="1" ref="BW103" ca="1">INDIRECT(ADDRESS($B103,BW$39+$A103,1,1,$D103))</f>
        <v>205589</v>
      </c>
      <c r="BX103" s="1" cm="1">
        <f t="array" aca="1" ref="BX103" ca="1">INDIRECT(ADDRESS($B103,BX$39+$A103,1,1,$D103))</f>
        <v>230015</v>
      </c>
      <c r="BY103" s="1" cm="1">
        <f t="array" aca="1" ref="BY103" ca="1">INDIRECT(ADDRESS($B103,BY$39+$A103,1,1,$D103))</f>
        <v>256313</v>
      </c>
      <c r="BZ103" s="1" cm="1">
        <f t="array" aca="1" ref="BZ103" ca="1">INDIRECT(ADDRESS($B103,BZ$39+$A103,1,1,$D103))</f>
        <v>283253</v>
      </c>
      <c r="CA103" s="1" cm="1">
        <f t="array" aca="1" ref="CA103" ca="1">INDIRECT(ADDRESS($B103,CA$39+$A103,1,1,$D103))</f>
        <v>303796</v>
      </c>
      <c r="CB103" s="1" cm="1">
        <f t="array" aca="1" ref="CB103" ca="1">INDIRECT(ADDRESS($B103,CB$39+$A103,1,1,$D103))</f>
        <v>322824</v>
      </c>
      <c r="CC103" s="1" cm="1">
        <f t="array" aca="1" ref="CC103" ca="1">INDIRECT(ADDRESS($B103,CC$39+$A103,1,1,$D103))</f>
        <v>342487</v>
      </c>
      <c r="CD103" s="1" cm="1">
        <f t="array" aca="1" ref="CD103" ca="1">INDIRECT(ADDRESS($B103,CD$39+$A103,1,1,$D103))</f>
        <v>363274</v>
      </c>
      <c r="CE103" s="1" cm="1">
        <f t="array" aca="1" ref="CE103" ca="1">INDIRECT(ADDRESS($B103,CE$39+$A103,1,1,$D103))</f>
        <v>377601</v>
      </c>
      <c r="CF103" s="1" cm="1">
        <f t="array" aca="1" ref="CF103" ca="1">INDIRECT(ADDRESS($B103,CF$39+$A103,1,1,$D103))</f>
        <v>394878</v>
      </c>
      <c r="CG103" s="1" cm="1">
        <f t="array" aca="1" ref="CG103" ca="1">INDIRECT(ADDRESS($B103,CG$39+$A103,1,1,$D103))</f>
        <v>404931</v>
      </c>
      <c r="CH103" s="1" cm="1">
        <f t="array" aca="1" ref="CH103" ca="1">INDIRECT(ADDRESS($B103,CH$39+$A103,1,1,$D103))</f>
        <v>414404</v>
      </c>
      <c r="CI103" s="1" cm="1">
        <f t="array" aca="1" ref="CI103" ca="1">INDIRECT(ADDRESS($B103,CI$39+$A103,1,1,$D103))</f>
        <v>418788</v>
      </c>
      <c r="CJ103" s="1" cm="1">
        <f t="array" aca="1" ref="CJ103" ca="1">INDIRECT(ADDRESS($B103,CJ$39+$A103,1,1,$D103))</f>
        <v>419498</v>
      </c>
      <c r="CK103" s="1" cm="1">
        <f t="array" aca="1" ref="CK103" ca="1">INDIRECT(ADDRESS($B103,CK$39+$A103,1,1,$D103))</f>
        <v>422978</v>
      </c>
      <c r="CL103" s="1" cm="1">
        <f t="array" aca="1" ref="CL103" ca="1">INDIRECT(ADDRESS($B103,CL$39+$A103,1,1,$D103))</f>
        <v>424039</v>
      </c>
      <c r="CM103" s="1" cm="1">
        <f t="array" aca="1" ref="CM103" ca="1">INDIRECT(ADDRESS($B103,CM$39+$A103,1,1,$D103))</f>
        <v>424120</v>
      </c>
      <c r="CN103" s="1" cm="1">
        <f t="array" aca="1" ref="CN103" ca="1">INDIRECT(ADDRESS($B103,CN$39+$A103,1,1,$D103))</f>
        <v>0</v>
      </c>
      <c r="CO103" s="1" cm="1">
        <f t="array" aca="1" ref="CO103" ca="1">INDIRECT(ADDRESS($B103,CO$39+$A103,1,1,$D103))</f>
        <v>0</v>
      </c>
    </row>
    <row r="104" spans="1:93" x14ac:dyDescent="0.25">
      <c r="A104">
        <v>8</v>
      </c>
      <c r="B104">
        <f ca="1">MATCH($C104,INDIRECT("'"&amp;$C$122&amp;"'!A:A"),0)</f>
        <v>5</v>
      </c>
      <c r="C104" s="1" t="str">
        <f t="shared" si="44"/>
        <v>China</v>
      </c>
      <c r="D104" t="str">
        <f>D103</f>
        <v>Actively Infected</v>
      </c>
      <c r="E104" s="1" cm="1">
        <f t="array" aca="1" ref="E104" ca="1">INDIRECT(ADDRESS($B104,E$39+$A104,1,1,$D104))</f>
        <v>531</v>
      </c>
      <c r="F104" s="1" cm="1">
        <f t="array" aca="1" ref="F104" ca="1">INDIRECT(ADDRESS($B104,F$39+$A104,1,1,$D104))</f>
        <v>625</v>
      </c>
      <c r="G104" s="1" cm="1">
        <f t="array" aca="1" ref="G104" ca="1">INDIRECT(ADDRESS($B104,G$39+$A104,1,1,$D104))</f>
        <v>894</v>
      </c>
      <c r="H104" s="1" cm="1">
        <f t="array" aca="1" ref="H104" ca="1">INDIRECT(ADDRESS($B104,H$39+$A104,1,1,$D104))</f>
        <v>1364</v>
      </c>
      <c r="I104" s="1" cm="1">
        <f t="array" aca="1" ref="I104" ca="1">INDIRECT(ADDRESS($B104,I$39+$A104,1,1,$D104))</f>
        <v>2019</v>
      </c>
      <c r="J104" s="1" cm="1">
        <f t="array" aca="1" ref="J104" ca="1">INDIRECT(ADDRESS($B104,J$39+$A104,1,1,$D104))</f>
        <v>2795</v>
      </c>
      <c r="K104" s="1" cm="1">
        <f t="array" aca="1" ref="K104" ca="1">INDIRECT(ADDRESS($B104,K$39+$A104,1,1,$D104))</f>
        <v>5378</v>
      </c>
      <c r="L104" s="1" cm="1">
        <f t="array" aca="1" ref="L104" ca="1">INDIRECT(ADDRESS($B104,L$39+$A104,1,1,$D104))</f>
        <v>5954</v>
      </c>
      <c r="M104" s="1" cm="1">
        <f t="array" aca="1" ref="M104" ca="1">INDIRECT(ADDRESS($B104,M$39+$A104,1,1,$D104))</f>
        <v>7970</v>
      </c>
      <c r="N104" s="1" cm="1">
        <f t="array" aca="1" ref="N104" ca="1">INDIRECT(ADDRESS($B104,N$39+$A104,1,1,$D104))</f>
        <v>9589</v>
      </c>
      <c r="O104" s="1" cm="1">
        <f t="array" aca="1" ref="O104" ca="1">INDIRECT(ADDRESS($B104,O$39+$A104,1,1,$D104))</f>
        <v>11632</v>
      </c>
      <c r="P104" s="1" cm="1">
        <f t="array" aca="1" ref="P104" ca="1">INDIRECT(ADDRESS($B104,P$39+$A104,1,1,$D104))</f>
        <v>16269</v>
      </c>
      <c r="Q104" s="1" cm="1">
        <f t="array" aca="1" ref="Q104" ca="1">INDIRECT(ADDRESS($B104,Q$39+$A104,1,1,$D104))</f>
        <v>19291</v>
      </c>
      <c r="R104" s="1" cm="1">
        <f t="array" aca="1" ref="R104" ca="1">INDIRECT(ADDRESS($B104,R$39+$A104,1,1,$D104))</f>
        <v>23216</v>
      </c>
      <c r="S104" s="1" cm="1">
        <f t="array" aca="1" ref="S104" ca="1">INDIRECT(ADDRESS($B104,S$39+$A104,1,1,$D104))</f>
        <v>26877</v>
      </c>
      <c r="T104" s="1" cm="1">
        <f t="array" aca="1" ref="T104" ca="1">INDIRECT(ADDRESS($B104,T$39+$A104,1,1,$D104))</f>
        <v>29944</v>
      </c>
      <c r="U104" s="1" cm="1">
        <f t="array" aca="1" ref="U104" ca="1">INDIRECT(ADDRESS($B104,U$39+$A104,1,1,$D104))</f>
        <v>33190</v>
      </c>
      <c r="V104" s="1" cm="1">
        <f t="array" aca="1" ref="V104" ca="1">INDIRECT(ADDRESS($B104,V$39+$A104,1,1,$D104))</f>
        <v>35408</v>
      </c>
      <c r="W104" s="1" cm="1">
        <f t="array" aca="1" ref="W104" ca="1">INDIRECT(ADDRESS($B104,W$39+$A104,1,1,$D104))</f>
        <v>37754</v>
      </c>
      <c r="X104" s="1" cm="1">
        <f t="array" aca="1" ref="X104" ca="1">INDIRECT(ADDRESS($B104,X$39+$A104,1,1,$D104))</f>
        <v>39477</v>
      </c>
      <c r="Y104" s="1" cm="1">
        <f t="array" aca="1" ref="Y104" ca="1">INDIRECT(ADDRESS($B104,Y$39+$A104,1,1,$D104))</f>
        <v>38877</v>
      </c>
      <c r="Z104" s="1" cm="1">
        <f t="array" aca="1" ref="Z104" ca="1">INDIRECT(ADDRESS($B104,Z$39+$A104,1,1,$D104))</f>
        <v>38672</v>
      </c>
      <c r="AA104" s="1" cm="1">
        <f t="array" aca="1" ref="AA104" ca="1">INDIRECT(ADDRESS($B104,AA$39+$A104,1,1,$D104))</f>
        <v>51754</v>
      </c>
      <c r="AB104" s="1" cm="1">
        <f t="array" aca="1" ref="AB104" ca="1">INDIRECT(ADDRESS($B104,AB$39+$A104,1,1,$D104))</f>
        <v>56556</v>
      </c>
      <c r="AC104" s="1" cm="1">
        <f t="array" aca="1" ref="AC104" ca="1">INDIRECT(ADDRESS($B104,AC$39+$A104,1,1,$D104))</f>
        <v>56522</v>
      </c>
      <c r="AD104" s="1" cm="1">
        <f t="array" aca="1" ref="AD104" ca="1">INDIRECT(ADDRESS($B104,AD$39+$A104,1,1,$D104))</f>
        <v>53883</v>
      </c>
      <c r="AE104" s="1" cm="1">
        <f t="array" aca="1" ref="AE104" ca="1">INDIRECT(ADDRESS($B104,AE$39+$A104,1,1,$D104))</f>
        <v>52718</v>
      </c>
      <c r="AF104" s="1" cm="1">
        <f t="array" aca="1" ref="AF104" ca="1">INDIRECT(ADDRESS($B104,AF$39+$A104,1,1,$D104))</f>
        <v>50504</v>
      </c>
      <c r="AG104" s="1" cm="1">
        <f t="array" aca="1" ref="AG104" ca="1">INDIRECT(ADDRESS($B104,AG$39+$A104,1,1,$D104))</f>
        <v>47179</v>
      </c>
      <c r="AH104" s="1" cm="1">
        <f t="array" aca="1" ref="AH104" ca="1">INDIRECT(ADDRESS($B104,AH$39+$A104,1,1,$D104))</f>
        <v>44490</v>
      </c>
      <c r="AI104" s="1" cm="1">
        <f t="array" aca="1" ref="AI104" ca="1">INDIRECT(ADDRESS($B104,AI$39+$A104,1,1,$D104))</f>
        <v>41440</v>
      </c>
      <c r="AJ104" s="1" cm="1">
        <f t="array" aca="1" ref="AJ104" ca="1">INDIRECT(ADDRESS($B104,AJ$39+$A104,1,1,$D104))</f>
        <v>40187</v>
      </c>
      <c r="AK104" s="1" cm="1">
        <f t="array" aca="1" ref="AK104" ca="1">INDIRECT(ADDRESS($B104,AK$39+$A104,1,1,$D104))</f>
        <v>37193</v>
      </c>
      <c r="AL104" s="1" cm="1">
        <f t="array" aca="1" ref="AL104" ca="1">INDIRECT(ADDRESS($B104,AL$39+$A104,1,1,$D104))</f>
        <v>34887</v>
      </c>
      <c r="AM104" s="1" cm="1">
        <f t="array" aca="1" ref="AM104" ca="1">INDIRECT(ADDRESS($B104,AM$39+$A104,1,1,$D104))</f>
        <v>33368</v>
      </c>
      <c r="AN104" s="1" cm="1">
        <f t="array" aca="1" ref="AN104" ca="1">INDIRECT(ADDRESS($B104,AN$39+$A104,1,1,$D104))</f>
        <v>33407</v>
      </c>
      <c r="AO104" s="1" cm="1">
        <f t="array" aca="1" ref="AO104" ca="1">INDIRECT(ADDRESS($B104,AO$39+$A104,1,1,$D104))</f>
        <v>18705</v>
      </c>
      <c r="AP104" s="1" cm="1">
        <f t="array" aca="1" ref="AP104" ca="1">INDIRECT(ADDRESS($B104,AP$39+$A104,1,1,$D104))</f>
        <v>12570</v>
      </c>
      <c r="AQ104" s="1" cm="1">
        <f t="array" aca="1" ref="AQ104" ca="1">INDIRECT(ADDRESS($B104,AQ$39+$A104,1,1,$D104))</f>
        <v>10943</v>
      </c>
      <c r="AR104" s="1" cm="1">
        <f t="array" aca="1" ref="AR104" ca="1">INDIRECT(ADDRESS($B104,AR$39+$A104,1,1,$D104))</f>
        <v>9419</v>
      </c>
      <c r="AS104" s="1" cm="1">
        <f t="array" aca="1" ref="AS104" ca="1">INDIRECT(ADDRESS($B104,AS$39+$A104,1,1,$D104))</f>
        <v>7702</v>
      </c>
      <c r="AT104" s="1" cm="1">
        <f t="array" aca="1" ref="AT104" ca="1">INDIRECT(ADDRESS($B104,AT$39+$A104,1,1,$D104))</f>
        <v>6050</v>
      </c>
      <c r="AU104" s="1" cm="1">
        <f t="array" aca="1" ref="AU104" ca="1">INDIRECT(ADDRESS($B104,AU$39+$A104,1,1,$D104))</f>
        <v>5767</v>
      </c>
      <c r="AV104" s="1" cm="1">
        <f t="array" aca="1" ref="AV104" ca="1">INDIRECT(ADDRESS($B104,AV$39+$A104,1,1,$D104))</f>
        <v>5460</v>
      </c>
      <c r="AW104" s="1" cm="1">
        <f t="array" aca="1" ref="AW104" ca="1">INDIRECT(ADDRESS($B104,AW$39+$A104,1,1,$D104))</f>
        <v>5140</v>
      </c>
      <c r="AX104" s="1" cm="1">
        <f t="array" aca="1" ref="AX104" ca="1">INDIRECT(ADDRESS($B104,AX$39+$A104,1,1,$D104))</f>
        <v>3769</v>
      </c>
      <c r="AY104" s="1" cm="1">
        <f t="array" aca="1" ref="AY104" ca="1">INDIRECT(ADDRESS($B104,AY$39+$A104,1,1,$D104))</f>
        <v>3801</v>
      </c>
      <c r="AZ104" s="1" cm="1">
        <f t="array" aca="1" ref="AZ104" ca="1">INDIRECT(ADDRESS($B104,AZ$39+$A104,1,1,$D104))</f>
        <v>3619</v>
      </c>
      <c r="BA104" s="1" cm="1">
        <f t="array" aca="1" ref="BA104" ca="1">INDIRECT(ADDRESS($B104,BA$39+$A104,1,1,$D104))</f>
        <v>3133</v>
      </c>
      <c r="BB104" s="1" cm="1">
        <f t="array" aca="1" ref="BB104" ca="1">INDIRECT(ADDRESS($B104,BB$39+$A104,1,1,$D104))</f>
        <v>2755</v>
      </c>
      <c r="BC104" s="1" cm="1">
        <f t="array" aca="1" ref="BC104" ca="1">INDIRECT(ADDRESS($B104,BC$39+$A104,1,1,$D104))</f>
        <v>2332</v>
      </c>
      <c r="BD104" s="1" cm="1">
        <f t="array" aca="1" ref="BD104" ca="1">INDIRECT(ADDRESS($B104,BD$39+$A104,1,1,$D104))</f>
        <v>2017</v>
      </c>
      <c r="BE104" s="1" cm="1">
        <f t="array" aca="1" ref="BE104" ca="1">INDIRECT(ADDRESS($B104,BE$39+$A104,1,1,$D104))</f>
        <v>1621</v>
      </c>
      <c r="BF104" s="1" cm="1">
        <f t="array" aca="1" ref="BF104" ca="1">INDIRECT(ADDRESS($B104,BF$39+$A104,1,1,$D104))</f>
        <v>1071</v>
      </c>
      <c r="BG104" s="1" cm="1">
        <f t="array" aca="1" ref="BG104" ca="1">INDIRECT(ADDRESS($B104,BG$39+$A104,1,1,$D104))</f>
        <v>897</v>
      </c>
      <c r="BH104" s="1" cm="1">
        <f t="array" aca="1" ref="BH104" ca="1">INDIRECT(ADDRESS($B104,BH$39+$A104,1,1,$D104))</f>
        <v>797</v>
      </c>
      <c r="BI104" s="1" cm="1">
        <f t="array" aca="1" ref="BI104" ca="1">INDIRECT(ADDRESS($B104,BI$39+$A104,1,1,$D104))</f>
        <v>716</v>
      </c>
      <c r="BJ104" s="1" cm="1">
        <f t="array" aca="1" ref="BJ104" ca="1">INDIRECT(ADDRESS($B104,BJ$39+$A104,1,1,$D104))</f>
        <v>619</v>
      </c>
      <c r="BK104" s="1" cm="1">
        <f t="array" aca="1" ref="BK104" ca="1">INDIRECT(ADDRESS($B104,BK$39+$A104,1,1,$D104))</f>
        <v>560</v>
      </c>
      <c r="BL104" s="1" cm="1">
        <f t="array" aca="1" ref="BL104" ca="1">INDIRECT(ADDRESS($B104,BL$39+$A104,1,1,$D104))</f>
        <v>535</v>
      </c>
      <c r="BM104" s="1" cm="1">
        <f t="array" aca="1" ref="BM104" ca="1">INDIRECT(ADDRESS($B104,BM$39+$A104,1,1,$D104))</f>
        <v>612</v>
      </c>
      <c r="BN104" s="1" cm="1">
        <f t="array" aca="1" ref="BN104" ca="1">INDIRECT(ADDRESS($B104,BN$39+$A104,1,1,$D104))</f>
        <v>638</v>
      </c>
      <c r="BO104" s="1" cm="1">
        <f t="array" aca="1" ref="BO104" ca="1">INDIRECT(ADDRESS($B104,BO$39+$A104,1,1,$D104))</f>
        <v>704</v>
      </c>
      <c r="BP104" s="1" cm="1">
        <f t="array" aca="1" ref="BP104" ca="1">INDIRECT(ADDRESS($B104,BP$39+$A104,1,1,$D104))</f>
        <v>740</v>
      </c>
      <c r="BQ104" s="1" cm="1">
        <f t="array" aca="1" ref="BQ104" ca="1">INDIRECT(ADDRESS($B104,BQ$39+$A104,1,1,$D104))</f>
        <v>850</v>
      </c>
      <c r="BR104" s="1" cm="1">
        <f t="array" aca="1" ref="BR104" ca="1">INDIRECT(ADDRESS($B104,BR$39+$A104,1,1,$D104))</f>
        <v>952</v>
      </c>
      <c r="BS104" s="1" cm="1">
        <f t="array" aca="1" ref="BS104" ca="1">INDIRECT(ADDRESS($B104,BS$39+$A104,1,1,$D104))</f>
        <v>1022</v>
      </c>
      <c r="BT104" s="1" cm="1">
        <f t="array" aca="1" ref="BT104" ca="1">INDIRECT(ADDRESS($B104,BT$39+$A104,1,1,$D104))</f>
        <v>1119</v>
      </c>
      <c r="BU104" s="1" cm="1">
        <f t="array" aca="1" ref="BU104" ca="1">INDIRECT(ADDRESS($B104,BU$39+$A104,1,1,$D104))</f>
        <v>1165</v>
      </c>
      <c r="BV104" s="1" cm="1">
        <f t="array" aca="1" ref="BV104" ca="1">INDIRECT(ADDRESS($B104,BV$39+$A104,1,1,$D104))</f>
        <v>1221</v>
      </c>
      <c r="BW104" s="1" cm="1">
        <f t="array" aca="1" ref="BW104" ca="1">INDIRECT(ADDRESS($B104,BW$39+$A104,1,1,$D104))</f>
        <v>1259</v>
      </c>
      <c r="BX104" s="1" cm="1">
        <f t="array" aca="1" ref="BX104" ca="1">INDIRECT(ADDRESS($B104,BX$39+$A104,1,1,$D104))</f>
        <v>1276</v>
      </c>
      <c r="BY104" s="1" cm="1">
        <f t="array" aca="1" ref="BY104" ca="1">INDIRECT(ADDRESS($B104,BY$39+$A104,1,1,$D104))</f>
        <v>1261</v>
      </c>
      <c r="BZ104" s="1" cm="1">
        <f t="array" aca="1" ref="BZ104" ca="1">INDIRECT(ADDRESS($B104,BZ$39+$A104,1,1,$D104))</f>
        <v>1238</v>
      </c>
      <c r="CA104" s="1" cm="1">
        <f t="array" aca="1" ref="CA104" ca="1">INDIRECT(ADDRESS($B104,CA$39+$A104,1,1,$D104))</f>
        <v>1167</v>
      </c>
      <c r="CB104" s="1" cm="1">
        <f t="array" aca="1" ref="CB104" ca="1">INDIRECT(ADDRESS($B104,CB$39+$A104,1,1,$D104))</f>
        <v>1167</v>
      </c>
      <c r="CC104" s="1" cm="1">
        <f t="array" aca="1" ref="CC104" ca="1">INDIRECT(ADDRESS($B104,CC$39+$A104,1,1,$D104))</f>
        <v>1127</v>
      </c>
      <c r="CD104" s="1" cm="1">
        <f t="array" aca="1" ref="CD104" ca="1">INDIRECT(ADDRESS($B104,CD$39+$A104,1,1,$D104))</f>
        <v>1148</v>
      </c>
      <c r="CE104" s="1" cm="1">
        <f t="array" aca="1" ref="CE104" ca="1">INDIRECT(ADDRESS($B104,CE$39+$A104,1,1,$D104))</f>
        <v>1101</v>
      </c>
      <c r="CF104" s="1" cm="1">
        <f t="array" aca="1" ref="CF104" ca="1">INDIRECT(ADDRESS($B104,CF$39+$A104,1,1,$D104))</f>
        <v>1044</v>
      </c>
      <c r="CG104" s="1" cm="1">
        <f t="array" aca="1" ref="CG104" ca="1">INDIRECT(ADDRESS($B104,CG$39+$A104,1,1,$D104))</f>
        <v>1015</v>
      </c>
      <c r="CH104" s="1" cm="1">
        <f t="array" aca="1" ref="CH104" ca="1">INDIRECT(ADDRESS($B104,CH$39+$A104,1,1,$D104))</f>
        <v>1012</v>
      </c>
      <c r="CI104" s="1" cm="1">
        <f t="array" aca="1" ref="CI104" ca="1">INDIRECT(ADDRESS($B104,CI$39+$A104,1,1,$D104))</f>
        <v>1015</v>
      </c>
      <c r="CJ104" s="1" cm="1">
        <f t="array" aca="1" ref="CJ104" ca="1">INDIRECT(ADDRESS($B104,CJ$39+$A104,1,1,$D104))</f>
        <v>1027</v>
      </c>
      <c r="CK104" s="1" cm="1">
        <f t="array" aca="1" ref="CK104" ca="1">INDIRECT(ADDRESS($B104,CK$39+$A104,1,1,$D104))</f>
        <v>995</v>
      </c>
      <c r="CL104" s="1" cm="1">
        <f t="array" aca="1" ref="CL104" ca="1">INDIRECT(ADDRESS($B104,CL$39+$A104,1,1,$D104))</f>
        <v>971</v>
      </c>
      <c r="CM104" s="1" cm="1">
        <f t="array" aca="1" ref="CM104" ca="1">INDIRECT(ADDRESS($B104,CM$39+$A104,1,1,$D104))</f>
        <v>1249</v>
      </c>
      <c r="CN104" s="1" cm="1">
        <f t="array" aca="1" ref="CN104" ca="1">INDIRECT(ADDRESS($B104,CN$39+$A104,1,1,$D104))</f>
        <v>0</v>
      </c>
      <c r="CO104" s="1" cm="1">
        <f t="array" aca="1" ref="CO104" ca="1">INDIRECT(ADDRESS($B104,CO$39+$A104,1,1,$D104))</f>
        <v>0</v>
      </c>
    </row>
    <row r="105" spans="1:93" x14ac:dyDescent="0.25">
      <c r="A105">
        <v>8</v>
      </c>
      <c r="B105">
        <f ca="1">MATCH($C105,INDIRECT("'"&amp;$C$122&amp;"'!A:A"),0)</f>
        <v>3</v>
      </c>
      <c r="C105" s="1" t="str">
        <f t="shared" si="44"/>
        <v>Belgium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1</v>
      </c>
      <c r="S105" s="1" cm="1">
        <f t="array" aca="1" ref="S105" ca="1">INDIRECT(ADDRESS($B105,S$39+$A105,1,1,$D105))</f>
        <v>1</v>
      </c>
      <c r="T105" s="1" cm="1">
        <f t="array" aca="1" ref="T105" ca="1">INDIRECT(ADDRESS($B105,T$39+$A105,1,1,$D105))</f>
        <v>1</v>
      </c>
      <c r="U105" s="1" cm="1">
        <f t="array" aca="1" ref="U105" ca="1">INDIRECT(ADDRESS($B105,U$39+$A105,1,1,$D105))</f>
        <v>1</v>
      </c>
      <c r="V105" s="1" cm="1">
        <f t="array" aca="1" ref="V105" ca="1">INDIRECT(ADDRESS($B105,V$39+$A105,1,1,$D105))</f>
        <v>1</v>
      </c>
      <c r="W105" s="1" cm="1">
        <f t="array" aca="1" ref="W105" ca="1">INDIRECT(ADDRESS($B105,W$39+$A105,1,1,$D105))</f>
        <v>1</v>
      </c>
      <c r="X105" s="1" cm="1">
        <f t="array" aca="1" ref="X105" ca="1">INDIRECT(ADDRESS($B105,X$39+$A105,1,1,$D105))</f>
        <v>1</v>
      </c>
      <c r="Y105" s="1" cm="1">
        <f t="array" aca="1" ref="Y105" ca="1">INDIRECT(ADDRESS($B105,Y$39+$A105,1,1,$D105))</f>
        <v>1</v>
      </c>
      <c r="Z105" s="1" cm="1">
        <f t="array" aca="1" ref="Z105" ca="1">INDIRECT(ADDRESS($B105,Z$39+$A105,1,1,$D105))</f>
        <v>1</v>
      </c>
      <c r="AA105" s="1" cm="1">
        <f t="array" aca="1" ref="AA105" ca="1">INDIRECT(ADDRESS($B105,AA$39+$A105,1,1,$D105))</f>
        <v>1</v>
      </c>
      <c r="AB105" s="1" cm="1">
        <f t="array" aca="1" ref="AB105" ca="1">INDIRECT(ADDRESS($B105,AB$39+$A105,1,1,$D105))</f>
        <v>1</v>
      </c>
      <c r="AC105" s="1" cm="1">
        <f t="array" aca="1" ref="AC105" ca="1">INDIRECT(ADDRESS($B105,AC$39+$A105,1,1,$D105))</f>
        <v>1</v>
      </c>
      <c r="AD105" s="1" cm="1">
        <f t="array" aca="1" ref="AD105" ca="1">INDIRECT(ADDRESS($B105,AD$39+$A105,1,1,$D105))</f>
        <v>1</v>
      </c>
      <c r="AE105" s="1" cm="1">
        <f t="array" aca="1" ref="AE105" ca="1">INDIRECT(ADDRESS($B105,AE$39+$A105,1,1,$D105))</f>
        <v>1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0</v>
      </c>
      <c r="AQ105" s="1" cm="1">
        <f t="array" aca="1" ref="AQ105" ca="1">INDIRECT(ADDRESS($B105,AQ$39+$A105,1,1,$D105))</f>
        <v>0</v>
      </c>
      <c r="AR105" s="1" cm="1">
        <f t="array" aca="1" ref="AR105" ca="1">INDIRECT(ADDRESS($B105,AR$39+$A105,1,1,$D105))</f>
        <v>1</v>
      </c>
      <c r="AS105" s="1" cm="1">
        <f t="array" aca="1" ref="AS105" ca="1">INDIRECT(ADDRESS($B105,AS$39+$A105,1,1,$D105))</f>
        <v>7</v>
      </c>
      <c r="AT105" s="1" cm="1">
        <f t="array" aca="1" ref="AT105" ca="1">INDIRECT(ADDRESS($B105,AT$39+$A105,1,1,$D105))</f>
        <v>12</v>
      </c>
      <c r="AU105" s="1" cm="1">
        <f t="array" aca="1" ref="AU105" ca="1">INDIRECT(ADDRESS($B105,AU$39+$A105,1,1,$D105))</f>
        <v>22</v>
      </c>
      <c r="AV105" s="1" cm="1">
        <f t="array" aca="1" ref="AV105" ca="1">INDIRECT(ADDRESS($B105,AV$39+$A105,1,1,$D105))</f>
        <v>49</v>
      </c>
      <c r="AW105" s="1" cm="1">
        <f t="array" aca="1" ref="AW105" ca="1">INDIRECT(ADDRESS($B105,AW$39+$A105,1,1,$D105))</f>
        <v>108</v>
      </c>
      <c r="AX105" s="1" cm="1">
        <f t="array" aca="1" ref="AX105" ca="1">INDIRECT(ADDRESS($B105,AX$39+$A105,1,1,$D105))</f>
        <v>168</v>
      </c>
      <c r="AY105" s="1" cm="1">
        <f t="array" aca="1" ref="AY105" ca="1">INDIRECT(ADDRESS($B105,AY$39+$A105,1,1,$D105))</f>
        <v>199</v>
      </c>
      <c r="AZ105" s="1" cm="1">
        <f t="array" aca="1" ref="AZ105" ca="1">INDIRECT(ADDRESS($B105,AZ$39+$A105,1,1,$D105))</f>
        <v>238</v>
      </c>
      <c r="BA105" s="1" cm="1">
        <f t="array" aca="1" ref="BA105" ca="1">INDIRECT(ADDRESS($B105,BA$39+$A105,1,1,$D105))</f>
        <v>266</v>
      </c>
      <c r="BB105" s="1" cm="1">
        <f t="array" aca="1" ref="BB105" ca="1">INDIRECT(ADDRESS($B105,BB$39+$A105,1,1,$D105))</f>
        <v>311</v>
      </c>
      <c r="BC105" s="1" cm="1">
        <f t="array" aca="1" ref="BC105" ca="1">INDIRECT(ADDRESS($B105,BC$39+$A105,1,1,$D105))</f>
        <v>433.5</v>
      </c>
      <c r="BD105" s="1" cm="1">
        <f t="array" aca="1" ref="BD105" ca="1">INDIRECT(ADDRESS($B105,BD$39+$A105,1,1,$D105))</f>
        <v>556</v>
      </c>
      <c r="BE105" s="1" cm="1">
        <f t="array" aca="1" ref="BE105" ca="1">INDIRECT(ADDRESS($B105,BE$39+$A105,1,1,$D105))</f>
        <v>685</v>
      </c>
      <c r="BF105" s="1" cm="1">
        <f t="array" aca="1" ref="BF105" ca="1">INDIRECT(ADDRESS($B105,BF$39+$A105,1,1,$D105))</f>
        <v>882</v>
      </c>
      <c r="BG105" s="1" cm="1">
        <f t="array" aca="1" ref="BG105" ca="1">INDIRECT(ADDRESS($B105,BG$39+$A105,1,1,$D105))</f>
        <v>1050</v>
      </c>
      <c r="BH105" s="1" cm="1">
        <f t="array" aca="1" ref="BH105" ca="1">INDIRECT(ADDRESS($B105,BH$39+$A105,1,1,$D105))</f>
        <v>1230</v>
      </c>
      <c r="BI105" s="1" cm="1">
        <f t="array" aca="1" ref="BI105" ca="1">INDIRECT(ADDRESS($B105,BI$39+$A105,1,1,$D105))</f>
        <v>1463</v>
      </c>
      <c r="BJ105" s="1" cm="1">
        <f t="array" aca="1" ref="BJ105" ca="1">INDIRECT(ADDRESS($B105,BJ$39+$A105,1,1,$D105))</f>
        <v>1745</v>
      </c>
      <c r="BK105" s="1" cm="1">
        <f t="array" aca="1" ref="BK105" ca="1">INDIRECT(ADDRESS($B105,BK$39+$A105,1,1,$D105))</f>
        <v>2148</v>
      </c>
      <c r="BL105" s="1" cm="1">
        <f t="array" aca="1" ref="BL105" ca="1">INDIRECT(ADDRESS($B105,BL$39+$A105,1,1,$D105))</f>
        <v>2646</v>
      </c>
      <c r="BM105" s="1" cm="1">
        <f t="array" aca="1" ref="BM105" ca="1">INDIRECT(ADDRESS($B105,BM$39+$A105,1,1,$D105))</f>
        <v>3201</v>
      </c>
      <c r="BN105" s="1" cm="1">
        <f t="array" aca="1" ref="BN105" ca="1">INDIRECT(ADDRESS($B105,BN$39+$A105,1,1,$D105))</f>
        <v>3504</v>
      </c>
      <c r="BO105" s="1" cm="1">
        <f t="array" aca="1" ref="BO105" ca="1">INDIRECT(ADDRESS($B105,BO$39+$A105,1,1,$D105))</f>
        <v>4002</v>
      </c>
      <c r="BP105" s="1" cm="1">
        <f t="array" aca="1" ref="BP105" ca="1">INDIRECT(ADDRESS($B105,BP$39+$A105,1,1,$D105))</f>
        <v>4623</v>
      </c>
      <c r="BQ105" s="1" cm="1">
        <f t="array" aca="1" ref="BQ105" ca="1">INDIRECT(ADDRESS($B105,BQ$39+$A105,1,1,$D105))</f>
        <v>5798.5</v>
      </c>
      <c r="BR105" s="1" cm="1">
        <f t="array" aca="1" ref="BR105" ca="1">INDIRECT(ADDRESS($B105,BR$39+$A105,1,1,$D105))</f>
        <v>6725</v>
      </c>
      <c r="BS105" s="1" cm="1">
        <f t="array" aca="1" ref="BS105" ca="1">INDIRECT(ADDRESS($B105,BS$39+$A105,1,1,$D105))</f>
        <v>8445</v>
      </c>
      <c r="BT105" s="1" cm="1">
        <f t="array" aca="1" ref="BT105" ca="1">INDIRECT(ADDRESS($B105,BT$39+$A105,1,1,$D105))</f>
        <v>9950</v>
      </c>
      <c r="BU105" s="1" cm="1">
        <f t="array" aca="1" ref="BU105" ca="1">INDIRECT(ADDRESS($B105,BU$39+$A105,1,1,$D105))</f>
        <v>10841</v>
      </c>
      <c r="BV105" s="1" cm="1">
        <f t="array" aca="1" ref="BV105" ca="1">INDIRECT(ADDRESS($B105,BV$39+$A105,1,1,$D105))</f>
        <v>11532</v>
      </c>
      <c r="BW105" s="1" cm="1">
        <f t="array" aca="1" ref="BW105" ca="1">INDIRECT(ADDRESS($B105,BW$39+$A105,1,1,$D105))</f>
        <v>12478</v>
      </c>
      <c r="BX105" s="1" cm="1">
        <f t="array" aca="1" ref="BX105" ca="1">INDIRECT(ADDRESS($B105,BX$39+$A105,1,1,$D105))</f>
        <v>13553</v>
      </c>
      <c r="BY105" s="1" cm="1">
        <f t="array" aca="1" ref="BY105" ca="1">INDIRECT(ADDRESS($B105,BY$39+$A105,1,1,$D105))</f>
        <v>14513</v>
      </c>
      <c r="BZ105" s="1" cm="1">
        <f t="array" aca="1" ref="BZ105" ca="1">INDIRECT(ADDRESS($B105,BZ$39+$A105,1,1,$D105))</f>
        <v>15616</v>
      </c>
      <c r="CA105" s="1" cm="1">
        <f t="array" aca="1" ref="CA105" ca="1">INDIRECT(ADDRESS($B105,CA$39+$A105,1,1,$D105))</f>
        <v>16290</v>
      </c>
      <c r="CB105" s="1" cm="1">
        <f t="array" aca="1" ref="CB105" ca="1">INDIRECT(ADDRESS($B105,CB$39+$A105,1,1,$D105))</f>
        <v>17071</v>
      </c>
      <c r="CC105" s="1" cm="1">
        <f t="array" aca="1" ref="CC105" ca="1">INDIRECT(ADDRESS($B105,CC$39+$A105,1,1,$D105))</f>
        <v>17925</v>
      </c>
      <c r="CD105" s="1" cm="1">
        <f t="array" aca="1" ref="CD105" ca="1">INDIRECT(ADDRESS($B105,CD$39+$A105,1,1,$D105))</f>
        <v>18466</v>
      </c>
      <c r="CE105" s="1" cm="1">
        <f t="array" aca="1" ref="CE105" ca="1">INDIRECT(ADDRESS($B105,CE$39+$A105,1,1,$D105))</f>
        <v>18748</v>
      </c>
      <c r="CF105" s="1" cm="1">
        <f t="array" aca="1" ref="CF105" ca="1">INDIRECT(ADDRESS($B105,CF$39+$A105,1,1,$D105))</f>
        <v>19383</v>
      </c>
      <c r="CG105" s="1" cm="1">
        <f t="array" aca="1" ref="CG105" ca="1">INDIRECT(ADDRESS($B105,CG$39+$A105,1,1,$D105))</f>
        <v>18884</v>
      </c>
      <c r="CH105" s="1" cm="1">
        <f t="array" aca="1" ref="CH105" ca="1">INDIRECT(ADDRESS($B105,CH$39+$A105,1,1,$D105))</f>
        <v>18811</v>
      </c>
      <c r="CI105" s="1" cm="1">
        <f t="array" aca="1" ref="CI105" ca="1">INDIRECT(ADDRESS($B105,CI$39+$A105,1,1,$D105))</f>
        <v>18690</v>
      </c>
      <c r="CJ105" s="1" cm="1">
        <f t="array" aca="1" ref="CJ105" ca="1">INDIRECT(ADDRESS($B105,CJ$39+$A105,1,1,$D105))</f>
        <v>18344</v>
      </c>
      <c r="CK105" s="1" cm="1">
        <f t="array" aca="1" ref="CK105" ca="1">INDIRECT(ADDRESS($B105,CK$39+$A105,1,1,$D105))</f>
        <v>19609</v>
      </c>
      <c r="CL105" s="1" cm="1">
        <f t="array" aca="1" ref="CL105" ca="1">INDIRECT(ADDRESS($B105,CL$39+$A105,1,1,$D105))</f>
        <v>19461</v>
      </c>
      <c r="CM105" s="1" cm="1">
        <f t="array" aca="1" ref="CM105" ca="1">INDIRECT(ADDRESS($B105,CM$39+$A105,1,1,$D105))</f>
        <v>19368</v>
      </c>
      <c r="CN105" s="1" cm="1">
        <f t="array" aca="1" ref="CN105" ca="1">INDIRECT(ADDRESS($B105,CN$39+$A105,1,1,$D105))</f>
        <v>0</v>
      </c>
      <c r="CO105" s="1" cm="1">
        <f t="array" aca="1" ref="CO105" ca="1">INDIRECT(ADDRESS($B105,CO$39+$A105,1,1,$D105))</f>
        <v>0</v>
      </c>
    </row>
    <row r="106" spans="1:93" x14ac:dyDescent="0.25">
      <c r="A106">
        <v>8</v>
      </c>
      <c r="B106">
        <f ca="1">MATCH($C106,INDIRECT("'"&amp;$C$122&amp;"'!A:A"),0)</f>
        <v>11</v>
      </c>
      <c r="C106" s="1" t="str">
        <f t="shared" si="44"/>
        <v>Italy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2</v>
      </c>
      <c r="O106" s="1" cm="1">
        <f t="array" aca="1" ref="O106" ca="1">INDIRECT(ADDRESS($B106,O$39+$A106,1,1,$D106))</f>
        <v>2</v>
      </c>
      <c r="P106" s="1" cm="1">
        <f t="array" aca="1" ref="P106" ca="1">INDIRECT(ADDRESS($B106,P$39+$A106,1,1,$D106))</f>
        <v>2</v>
      </c>
      <c r="Q106" s="1" cm="1">
        <f t="array" aca="1" ref="Q106" ca="1">INDIRECT(ADDRESS($B106,Q$39+$A106,1,1,$D106))</f>
        <v>2</v>
      </c>
      <c r="R106" s="1" cm="1">
        <f t="array" aca="1" ref="R106" ca="1">INDIRECT(ADDRESS($B106,R$39+$A106,1,1,$D106))</f>
        <v>2</v>
      </c>
      <c r="S106" s="1" cm="1">
        <f t="array" aca="1" ref="S106" ca="1">INDIRECT(ADDRESS($B106,S$39+$A106,1,1,$D106))</f>
        <v>2</v>
      </c>
      <c r="T106" s="1" cm="1">
        <f t="array" aca="1" ref="T106" ca="1">INDIRECT(ADDRESS($B106,T$39+$A106,1,1,$D106))</f>
        <v>2</v>
      </c>
      <c r="U106" s="1" cm="1">
        <f t="array" aca="1" ref="U106" ca="1">INDIRECT(ADDRESS($B106,U$39+$A106,1,1,$D106))</f>
        <v>3</v>
      </c>
      <c r="V106" s="1" cm="1">
        <f t="array" aca="1" ref="V106" ca="1">INDIRECT(ADDRESS($B106,V$39+$A106,1,1,$D106))</f>
        <v>3</v>
      </c>
      <c r="W106" s="1" cm="1">
        <f t="array" aca="1" ref="W106" ca="1">INDIRECT(ADDRESS($B106,W$39+$A106,1,1,$D106))</f>
        <v>3</v>
      </c>
      <c r="X106" s="1" cm="1">
        <f t="array" aca="1" ref="X106" ca="1">INDIRECT(ADDRESS($B106,X$39+$A106,1,1,$D106))</f>
        <v>3</v>
      </c>
      <c r="Y106" s="1" cm="1">
        <f t="array" aca="1" ref="Y106" ca="1">INDIRECT(ADDRESS($B106,Y$39+$A106,1,1,$D106))</f>
        <v>3</v>
      </c>
      <c r="Z106" s="1" cm="1">
        <f t="array" aca="1" ref="Z106" ca="1">INDIRECT(ADDRESS($B106,Z$39+$A106,1,1,$D106))</f>
        <v>3</v>
      </c>
      <c r="AA106" s="1" cm="1">
        <f t="array" aca="1" ref="AA106" ca="1">INDIRECT(ADDRESS($B106,AA$39+$A106,1,1,$D106))</f>
        <v>3</v>
      </c>
      <c r="AB106" s="1" cm="1">
        <f t="array" aca="1" ref="AB106" ca="1">INDIRECT(ADDRESS($B106,AB$39+$A106,1,1,$D106))</f>
        <v>1</v>
      </c>
      <c r="AC106" s="1" cm="1">
        <f t="array" aca="1" ref="AC106" ca="1">INDIRECT(ADDRESS($B106,AC$39+$A106,1,1,$D106))</f>
        <v>1</v>
      </c>
      <c r="AD106" s="1" cm="1">
        <f t="array" aca="1" ref="AD106" ca="1">INDIRECT(ADDRESS($B106,AD$39+$A106,1,1,$D106))</f>
        <v>1</v>
      </c>
      <c r="AE106" s="1" cm="1">
        <f t="array" aca="1" ref="AE106" ca="1">INDIRECT(ADDRESS($B106,AE$39+$A106,1,1,$D106))</f>
        <v>1</v>
      </c>
      <c r="AF106" s="1" cm="1">
        <f t="array" aca="1" ref="AF106" ca="1">INDIRECT(ADDRESS($B106,AF$39+$A106,1,1,$D106))</f>
        <v>1</v>
      </c>
      <c r="AG106" s="1" cm="1">
        <f t="array" aca="1" ref="AG106" ca="1">INDIRECT(ADDRESS($B106,AG$39+$A106,1,1,$D106))</f>
        <v>1</v>
      </c>
      <c r="AH106" s="1" cm="1">
        <f t="array" aca="1" ref="AH106" ca="1">INDIRECT(ADDRESS($B106,AH$39+$A106,1,1,$D106))</f>
        <v>1</v>
      </c>
      <c r="AI106" s="1" cm="1">
        <f t="array" aca="1" ref="AI106" ca="1">INDIRECT(ADDRESS($B106,AI$39+$A106,1,1,$D106))</f>
        <v>17</v>
      </c>
      <c r="AJ106" s="1" cm="1">
        <f t="array" aca="1" ref="AJ106" ca="1">INDIRECT(ADDRESS($B106,AJ$39+$A106,1,1,$D106))</f>
        <v>59</v>
      </c>
      <c r="AK106" s="1" cm="1">
        <f t="array" aca="1" ref="AK106" ca="1">INDIRECT(ADDRESS($B106,AK$39+$A106,1,1,$D106))</f>
        <v>152</v>
      </c>
      <c r="AL106" s="1" cm="1">
        <f t="array" aca="1" ref="AL106" ca="1">INDIRECT(ADDRESS($B106,AL$39+$A106,1,1,$D106))</f>
        <v>222</v>
      </c>
      <c r="AM106" s="1" cm="1">
        <f t="array" aca="1" ref="AM106" ca="1">INDIRECT(ADDRESS($B106,AM$39+$A106,1,1,$D106))</f>
        <v>312</v>
      </c>
      <c r="AN106" s="1" cm="1">
        <f t="array" aca="1" ref="AN106" ca="1">INDIRECT(ADDRESS($B106,AN$39+$A106,1,1,$D106))</f>
        <v>441</v>
      </c>
      <c r="AO106" s="1" cm="1">
        <f t="array" aca="1" ref="AO106" ca="1">INDIRECT(ADDRESS($B106,AO$39+$A106,1,1,$D106))</f>
        <v>638</v>
      </c>
      <c r="AP106" s="1" cm="1">
        <f t="array" aca="1" ref="AP106" ca="1">INDIRECT(ADDRESS($B106,AP$39+$A106,1,1,$D106))</f>
        <v>867</v>
      </c>
      <c r="AQ106" s="1" cm="1">
        <f t="array" aca="1" ref="AQ106" ca="1">INDIRECT(ADDRESS($B106,AQ$39+$A106,1,1,$D106))</f>
        <v>1099</v>
      </c>
      <c r="AR106" s="1" cm="1">
        <f t="array" aca="1" ref="AR106" ca="1">INDIRECT(ADDRESS($B106,AR$39+$A106,1,1,$D106))</f>
        <v>1660</v>
      </c>
      <c r="AS106" s="1" cm="1">
        <f t="array" aca="1" ref="AS106" ca="1">INDIRECT(ADDRESS($B106,AS$39+$A106,1,1,$D106))</f>
        <v>1984</v>
      </c>
      <c r="AT106" s="1" cm="1">
        <f t="array" aca="1" ref="AT106" ca="1">INDIRECT(ADDRESS($B106,AT$39+$A106,1,1,$D106))</f>
        <v>2423</v>
      </c>
      <c r="AU106" s="1" cm="1">
        <f t="array" aca="1" ref="AU106" ca="1">INDIRECT(ADDRESS($B106,AU$39+$A106,1,1,$D106))</f>
        <v>2982</v>
      </c>
      <c r="AV106" s="1" cm="1">
        <f t="array" aca="1" ref="AV106" ca="1">INDIRECT(ADDRESS($B106,AV$39+$A106,1,1,$D106))</f>
        <v>3710</v>
      </c>
      <c r="AW106" s="1" cm="1">
        <f t="array" aca="1" ref="AW106" ca="1">INDIRECT(ADDRESS($B106,AW$39+$A106,1,1,$D106))</f>
        <v>4439</v>
      </c>
      <c r="AX106" s="1" cm="1">
        <f t="array" aca="1" ref="AX106" ca="1">INDIRECT(ADDRESS($B106,AX$39+$A106,1,1,$D106))</f>
        <v>5650</v>
      </c>
      <c r="AY106" s="1" cm="1">
        <f t="array" aca="1" ref="AY106" ca="1">INDIRECT(ADDRESS($B106,AY$39+$A106,1,1,$D106))</f>
        <v>7009</v>
      </c>
      <c r="AZ106" s="1" cm="1">
        <f t="array" aca="1" ref="AZ106" ca="1">INDIRECT(ADDRESS($B106,AZ$39+$A106,1,1,$D106))</f>
        <v>8709</v>
      </c>
      <c r="BA106" s="1" cm="1">
        <f t="array" aca="1" ref="BA106" ca="1">INDIRECT(ADDRESS($B106,BA$39+$A106,1,1,$D106))</f>
        <v>9518</v>
      </c>
      <c r="BB106" s="1" cm="1">
        <f t="array" aca="1" ref="BB106" ca="1">INDIRECT(ADDRESS($B106,BB$39+$A106,1,1,$D106))</f>
        <v>11635</v>
      </c>
      <c r="BC106" s="1" cm="1">
        <f t="array" aca="1" ref="BC106" ca="1">INDIRECT(ADDRESS($B106,BC$39+$A106,1,1,$D106))</f>
        <v>14234</v>
      </c>
      <c r="BD106" s="1" cm="1">
        <f t="array" aca="1" ref="BD106" ca="1">INDIRECT(ADDRESS($B106,BD$39+$A106,1,1,$D106))</f>
        <v>16394</v>
      </c>
      <c r="BE106" s="1" cm="1">
        <f t="array" aca="1" ref="BE106" ca="1">INDIRECT(ADDRESS($B106,BE$39+$A106,1,1,$D106))</f>
        <v>19716</v>
      </c>
      <c r="BF106" s="1" cm="1">
        <f t="array" aca="1" ref="BF106" ca="1">INDIRECT(ADDRESS($B106,BF$39+$A106,1,1,$D106))</f>
        <v>22938</v>
      </c>
      <c r="BG106" s="1" cm="1">
        <f t="array" aca="1" ref="BG106" ca="1">INDIRECT(ADDRESS($B106,BG$39+$A106,1,1,$D106))</f>
        <v>25822</v>
      </c>
      <c r="BH106" s="1" cm="1">
        <f t="array" aca="1" ref="BH106" ca="1">INDIRECT(ADDRESS($B106,BH$39+$A106,1,1,$D106))</f>
        <v>29003</v>
      </c>
      <c r="BI106" s="1" cm="1">
        <f t="array" aca="1" ref="BI106" ca="1">INDIRECT(ADDRESS($B106,BI$39+$A106,1,1,$D106))</f>
        <v>32624</v>
      </c>
      <c r="BJ106" s="1" cm="1">
        <f t="array" aca="1" ref="BJ106" ca="1">INDIRECT(ADDRESS($B106,BJ$39+$A106,1,1,$D106))</f>
        <v>37177</v>
      </c>
      <c r="BK106" s="1" cm="1">
        <f t="array" aca="1" ref="BK106" ca="1">INDIRECT(ADDRESS($B106,BK$39+$A106,1,1,$D106))</f>
        <v>42385</v>
      </c>
      <c r="BL106" s="1" cm="1">
        <f t="array" aca="1" ref="BL106" ca="1">INDIRECT(ADDRESS($B106,BL$39+$A106,1,1,$D106))</f>
        <v>47695</v>
      </c>
      <c r="BM106" s="1" cm="1">
        <f t="array" aca="1" ref="BM106" ca="1">INDIRECT(ADDRESS($B106,BM$39+$A106,1,1,$D106))</f>
        <v>51763</v>
      </c>
      <c r="BN106" s="1" cm="1">
        <f t="array" aca="1" ref="BN106" ca="1">INDIRECT(ADDRESS($B106,BN$39+$A106,1,1,$D106))</f>
        <v>54755</v>
      </c>
      <c r="BO106" s="1" cm="1">
        <f t="array" aca="1" ref="BO106" ca="1">INDIRECT(ADDRESS($B106,BO$39+$A106,1,1,$D106))</f>
        <v>59027</v>
      </c>
      <c r="BP106" s="1" cm="1">
        <f t="array" aca="1" ref="BP106" ca="1">INDIRECT(ADDRESS($B106,BP$39+$A106,1,1,$D106))</f>
        <v>61924</v>
      </c>
      <c r="BQ106" s="1" cm="1">
        <f t="array" aca="1" ref="BQ106" ca="1">INDIRECT(ADDRESS($B106,BQ$39+$A106,1,1,$D106))</f>
        <v>65528</v>
      </c>
      <c r="BR106" s="1" cm="1">
        <f t="array" aca="1" ref="BR106" ca="1">INDIRECT(ADDRESS($B106,BR$39+$A106,1,1,$D106))</f>
        <v>68838</v>
      </c>
      <c r="BS106" s="1" cm="1">
        <f t="array" aca="1" ref="BS106" ca="1">INDIRECT(ADDRESS($B106,BS$39+$A106,1,1,$D106))</f>
        <v>71315</v>
      </c>
      <c r="BT106" s="1" cm="1">
        <f t="array" aca="1" ref="BT106" ca="1">INDIRECT(ADDRESS($B106,BT$39+$A106,1,1,$D106))</f>
        <v>72942</v>
      </c>
      <c r="BU106" s="1" cm="1">
        <f t="array" aca="1" ref="BU106" ca="1">INDIRECT(ADDRESS($B106,BU$39+$A106,1,1,$D106))</f>
        <v>73759</v>
      </c>
      <c r="BV106" s="1" cm="1">
        <f t="array" aca="1" ref="BV106" ca="1">INDIRECT(ADDRESS($B106,BV$39+$A106,1,1,$D106))</f>
        <v>74286</v>
      </c>
      <c r="BW106" s="1" cm="1">
        <f t="array" aca="1" ref="BW106" ca="1">INDIRECT(ADDRESS($B106,BW$39+$A106,1,1,$D106))</f>
        <v>74861</v>
      </c>
      <c r="BX106" s="1" cm="1">
        <f t="array" aca="1" ref="BX106" ca="1">INDIRECT(ADDRESS($B106,BX$39+$A106,1,1,$D106))</f>
        <v>74207</v>
      </c>
      <c r="BY106" s="1" cm="1">
        <f t="array" aca="1" ref="BY106" ca="1">INDIRECT(ADDRESS($B106,BY$39+$A106,1,1,$D106))</f>
        <v>72806</v>
      </c>
      <c r="BZ106" s="1" cm="1">
        <f t="array" aca="1" ref="BZ106" ca="1">INDIRECT(ADDRESS($B106,BZ$39+$A106,1,1,$D106))</f>
        <v>71054</v>
      </c>
      <c r="CA106" s="1" cm="1">
        <f t="array" aca="1" ref="CA106" ca="1">INDIRECT(ADDRESS($B106,CA$39+$A106,1,1,$D106))</f>
        <v>69810</v>
      </c>
      <c r="CB106" s="1" cm="1">
        <f t="array" aca="1" ref="CB106" ca="1">INDIRECT(ADDRESS($B106,CB$39+$A106,1,1,$D106))</f>
        <v>68620</v>
      </c>
      <c r="CC106" s="1" cm="1">
        <f t="array" aca="1" ref="CC106" ca="1">INDIRECT(ADDRESS($B106,CC$39+$A106,1,1,$D106))</f>
        <v>66410</v>
      </c>
      <c r="CD106" s="1" cm="1">
        <f t="array" aca="1" ref="CD106" ca="1">INDIRECT(ADDRESS($B106,CD$39+$A106,1,1,$D106))</f>
        <v>65036</v>
      </c>
      <c r="CE106" s="1" cm="1">
        <f t="array" aca="1" ref="CE106" ca="1">INDIRECT(ADDRESS($B106,CE$39+$A106,1,1,$D106))</f>
        <v>63037</v>
      </c>
      <c r="CF106" s="1" cm="1">
        <f t="array" aca="1" ref="CF106" ca="1">INDIRECT(ADDRESS($B106,CF$39+$A106,1,1,$D106))</f>
        <v>61079</v>
      </c>
      <c r="CG106" s="1" cm="1">
        <f t="array" aca="1" ref="CG106" ca="1">INDIRECT(ADDRESS($B106,CG$39+$A106,1,1,$D106))</f>
        <v>59799</v>
      </c>
      <c r="CH106" s="1" cm="1">
        <f t="array" aca="1" ref="CH106" ca="1">INDIRECT(ADDRESS($B106,CH$39+$A106,1,1,$D106))</f>
        <v>58674</v>
      </c>
      <c r="CI106" s="1" cm="1">
        <f t="array" aca="1" ref="CI106" ca="1">INDIRECT(ADDRESS($B106,CI$39+$A106,1,1,$D106))</f>
        <v>57777</v>
      </c>
      <c r="CJ106" s="1" cm="1">
        <f t="array" aca="1" ref="CJ106" ca="1">INDIRECT(ADDRESS($B106,CJ$39+$A106,1,1,$D106))</f>
        <v>56696</v>
      </c>
      <c r="CK106" s="1" cm="1">
        <f t="array" aca="1" ref="CK106" ca="1">INDIRECT(ADDRESS($B106,CK$39+$A106,1,1,$D106))</f>
        <v>54581</v>
      </c>
      <c r="CL106" s="1" cm="1">
        <f t="array" aca="1" ref="CL106" ca="1">INDIRECT(ADDRESS($B106,CL$39+$A106,1,1,$D106))</f>
        <v>53699</v>
      </c>
      <c r="CM106" s="1" cm="1">
        <f t="array" aca="1" ref="CM106" ca="1">INDIRECT(ADDRESS($B106,CM$39+$A106,1,1,$D106))</f>
        <v>52607</v>
      </c>
      <c r="CN106" s="1" cm="1">
        <f t="array" aca="1" ref="CN106" ca="1">INDIRECT(ADDRESS($B106,CN$39+$A106,1,1,$D106))</f>
        <v>0</v>
      </c>
      <c r="CO106" s="1" cm="1">
        <f t="array" aca="1" ref="CO106" ca="1">INDIRECT(ADDRESS($B106,CO$39+$A106,1,1,$D106))</f>
        <v>0</v>
      </c>
    </row>
    <row r="107" spans="1:93" x14ac:dyDescent="0.25">
      <c r="A107">
        <v>8</v>
      </c>
      <c r="B107">
        <f t="shared" ref="B107:B110" ca="1" si="45">MATCH($C107,INDIRECT("'"&amp;$C$122&amp;"'!A:A"),0)</f>
        <v>7</v>
      </c>
      <c r="C107" s="1" t="str">
        <f t="shared" si="44"/>
        <v>France</v>
      </c>
      <c r="D107" t="str">
        <f t="shared" ref="D107:D110" si="46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2</v>
      </c>
      <c r="H107" s="1" cm="1">
        <f t="array" aca="1" ref="H107" ca="1">INDIRECT(ADDRESS($B107,H$39+$A107,1,1,$D107))</f>
        <v>3</v>
      </c>
      <c r="I107" s="1" cm="1">
        <f t="array" aca="1" ref="I107" ca="1">INDIRECT(ADDRESS($B107,I$39+$A107,1,1,$D107))</f>
        <v>3</v>
      </c>
      <c r="J107" s="1" cm="1">
        <f t="array" aca="1" ref="J107" ca="1">INDIRECT(ADDRESS($B107,J$39+$A107,1,1,$D107))</f>
        <v>3</v>
      </c>
      <c r="K107" s="1" cm="1">
        <f t="array" aca="1" ref="K107" ca="1">INDIRECT(ADDRESS($B107,K$39+$A107,1,1,$D107))</f>
        <v>4</v>
      </c>
      <c r="L107" s="1" cm="1">
        <f t="array" aca="1" ref="L107" ca="1">INDIRECT(ADDRESS($B107,L$39+$A107,1,1,$D107))</f>
        <v>5</v>
      </c>
      <c r="M107" s="1" cm="1">
        <f t="array" aca="1" ref="M107" ca="1">INDIRECT(ADDRESS($B107,M$39+$A107,1,1,$D107))</f>
        <v>5.3333333332999997</v>
      </c>
      <c r="N107" s="1" cm="1">
        <f t="array" aca="1" ref="N107" ca="1">INDIRECT(ADDRESS($B107,N$39+$A107,1,1,$D107))</f>
        <v>5.6666666667000003</v>
      </c>
      <c r="O107" s="1" cm="1">
        <f t="array" aca="1" ref="O107" ca="1">INDIRECT(ADDRESS($B107,O$39+$A107,1,1,$D107))</f>
        <v>6</v>
      </c>
      <c r="P107" s="1" cm="1">
        <f t="array" aca="1" ref="P107" ca="1">INDIRECT(ADDRESS($B107,P$39+$A107,1,1,$D107))</f>
        <v>6.7142857142999999</v>
      </c>
      <c r="Q107" s="1" cm="1">
        <f t="array" aca="1" ref="Q107" ca="1">INDIRECT(ADDRESS($B107,Q$39+$A107,1,1,$D107))</f>
        <v>7.4285714285999997</v>
      </c>
      <c r="R107" s="1" cm="1">
        <f t="array" aca="1" ref="R107" ca="1">INDIRECT(ADDRESS($B107,R$39+$A107,1,1,$D107))</f>
        <v>8.1428571429000005</v>
      </c>
      <c r="S107" s="1" cm="1">
        <f t="array" aca="1" ref="S107" ca="1">INDIRECT(ADDRESS($B107,S$39+$A107,1,1,$D107))</f>
        <v>8.8571428570999995</v>
      </c>
      <c r="T107" s="1" cm="1">
        <f t="array" aca="1" ref="T107" ca="1">INDIRECT(ADDRESS($B107,T$39+$A107,1,1,$D107))</f>
        <v>9.5714285714000003</v>
      </c>
      <c r="U107" s="1" cm="1">
        <f t="array" aca="1" ref="U107" ca="1">INDIRECT(ADDRESS($B107,U$39+$A107,1,1,$D107))</f>
        <v>8.2857142856999992</v>
      </c>
      <c r="V107" s="1" cm="1">
        <f t="array" aca="1" ref="V107" ca="1">INDIRECT(ADDRESS($B107,V$39+$A107,1,1,$D107))</f>
        <v>8</v>
      </c>
      <c r="W107" s="1" cm="1">
        <f t="array" aca="1" ref="W107" ca="1">INDIRECT(ADDRESS($B107,W$39+$A107,1,1,$D107))</f>
        <v>8.1428571429000005</v>
      </c>
      <c r="X107" s="1" cm="1">
        <f t="array" aca="1" ref="X107" ca="1">INDIRECT(ADDRESS($B107,X$39+$A107,1,1,$D107))</f>
        <v>8.2857142856999992</v>
      </c>
      <c r="Y107" s="1" cm="1">
        <f t="array" aca="1" ref="Y107" ca="1">INDIRECT(ADDRESS($B107,Y$39+$A107,1,1,$D107))</f>
        <v>7.4285714285999997</v>
      </c>
      <c r="Z107" s="1" cm="1">
        <f t="array" aca="1" ref="Z107" ca="1">INDIRECT(ADDRESS($B107,Z$39+$A107,1,1,$D107))</f>
        <v>6.5714285714000003</v>
      </c>
      <c r="AA107" s="1" cm="1">
        <f t="array" aca="1" ref="AA107" ca="1">INDIRECT(ADDRESS($B107,AA$39+$A107,1,1,$D107))</f>
        <v>6.3809523810000002</v>
      </c>
      <c r="AB107" s="1" cm="1">
        <f t="array" aca="1" ref="AB107" ca="1">INDIRECT(ADDRESS($B107,AB$39+$A107,1,1,$D107))</f>
        <v>6.1904761904000001</v>
      </c>
      <c r="AC107" s="1" cm="1">
        <f t="array" aca="1" ref="AC107" ca="1">INDIRECT(ADDRESS($B107,AC$39+$A107,1,1,$D107))</f>
        <v>6</v>
      </c>
      <c r="AD107" s="1" cm="1">
        <f t="array" aca="1" ref="AD107" ca="1">INDIRECT(ADDRESS($B107,AD$39+$A107,1,1,$D107))</f>
        <v>5.4857142857000003</v>
      </c>
      <c r="AE107" s="1" cm="1">
        <f t="array" aca="1" ref="AE107" ca="1">INDIRECT(ADDRESS($B107,AE$39+$A107,1,1,$D107))</f>
        <v>4.9714285713999997</v>
      </c>
      <c r="AF107" s="1" cm="1">
        <f t="array" aca="1" ref="AF107" ca="1">INDIRECT(ADDRESS($B107,AF$39+$A107,1,1,$D107))</f>
        <v>4.4571428571</v>
      </c>
      <c r="AG107" s="1" cm="1">
        <f t="array" aca="1" ref="AG107" ca="1">INDIRECT(ADDRESS($B107,AG$39+$A107,1,1,$D107))</f>
        <v>3.9428571428999999</v>
      </c>
      <c r="AH107" s="1" cm="1">
        <f t="array" aca="1" ref="AH107" ca="1">INDIRECT(ADDRESS($B107,AH$39+$A107,1,1,$D107))</f>
        <v>3.4285714286000002</v>
      </c>
      <c r="AI107" s="1" cm="1">
        <f t="array" aca="1" ref="AI107" ca="1">INDIRECT(ADDRESS($B107,AI$39+$A107,1,1,$D107))</f>
        <v>2.9142857143000001</v>
      </c>
      <c r="AJ107" s="1" cm="1">
        <f t="array" aca="1" ref="AJ107" ca="1">INDIRECT(ADDRESS($B107,AJ$39+$A107,1,1,$D107))</f>
        <v>2.4</v>
      </c>
      <c r="AK107" s="1" cm="1">
        <f t="array" aca="1" ref="AK107" ca="1">INDIRECT(ADDRESS($B107,AK$39+$A107,1,1,$D107))</f>
        <v>2.4571428571</v>
      </c>
      <c r="AL107" s="1" cm="1">
        <f t="array" aca="1" ref="AL107" ca="1">INDIRECT(ADDRESS($B107,AL$39+$A107,1,1,$D107))</f>
        <v>2.5142857143000001</v>
      </c>
      <c r="AM107" s="1" cm="1">
        <f t="array" aca="1" ref="AM107" ca="1">INDIRECT(ADDRESS($B107,AM$39+$A107,1,1,$D107))</f>
        <v>2.5714285713999998</v>
      </c>
      <c r="AN107" s="1" cm="1">
        <f t="array" aca="1" ref="AN107" ca="1">INDIRECT(ADDRESS($B107,AN$39+$A107,1,1,$D107))</f>
        <v>6.4285714285999997</v>
      </c>
      <c r="AO107" s="1" cm="1">
        <f t="array" aca="1" ref="AO107" ca="1">INDIRECT(ADDRESS($B107,AO$39+$A107,1,1,$D107))</f>
        <v>26.285714285699999</v>
      </c>
      <c r="AP107" s="1" cm="1">
        <f t="array" aca="1" ref="AP107" ca="1">INDIRECT(ADDRESS($B107,AP$39+$A107,1,1,$D107))</f>
        <v>45.142857142899999</v>
      </c>
      <c r="AQ107" s="1" cm="1">
        <f t="array" aca="1" ref="AQ107" ca="1">INDIRECT(ADDRESS($B107,AQ$39+$A107,1,1,$D107))</f>
        <v>88</v>
      </c>
      <c r="AR107" s="1" cm="1">
        <f t="array" aca="1" ref="AR107" ca="1">INDIRECT(ADDRESS($B107,AR$39+$A107,1,1,$D107))</f>
        <v>117.8</v>
      </c>
      <c r="AS107" s="1" cm="1">
        <f t="array" aca="1" ref="AS107" ca="1">INDIRECT(ADDRESS($B107,AS$39+$A107,1,1,$D107))</f>
        <v>178.6</v>
      </c>
      <c r="AT107" s="1" cm="1">
        <f t="array" aca="1" ref="AT107" ca="1">INDIRECT(ADDRESS($B107,AT$39+$A107,1,1,$D107))</f>
        <v>191.4</v>
      </c>
      <c r="AU107" s="1" cm="1">
        <f t="array" aca="1" ref="AU107" ca="1">INDIRECT(ADDRESS($B107,AU$39+$A107,1,1,$D107))</f>
        <v>272.2</v>
      </c>
      <c r="AV107" s="1" cm="1">
        <f t="array" aca="1" ref="AV107" ca="1">INDIRECT(ADDRESS($B107,AV$39+$A107,1,1,$D107))</f>
        <v>364</v>
      </c>
      <c r="AW107" s="1" cm="1">
        <f t="array" aca="1" ref="AW107" ca="1">INDIRECT(ADDRESS($B107,AW$39+$A107,1,1,$D107))</f>
        <v>639.79999999999995</v>
      </c>
      <c r="AX107" s="1" cm="1">
        <f t="array" aca="1" ref="AX107" ca="1">INDIRECT(ADDRESS($B107,AX$39+$A107,1,1,$D107))</f>
        <v>935.6</v>
      </c>
      <c r="AY107" s="1" cm="1">
        <f t="array" aca="1" ref="AY107" ca="1">INDIRECT(ADDRESS($B107,AY$39+$A107,1,1,$D107))</f>
        <v>1107</v>
      </c>
      <c r="AZ107" s="1" cm="1">
        <f t="array" aca="1" ref="AZ107" ca="1">INDIRECT(ADDRESS($B107,AZ$39+$A107,1,1,$D107))</f>
        <v>1190</v>
      </c>
      <c r="BA107" s="1" cm="1">
        <f t="array" aca="1" ref="BA107" ca="1">INDIRECT(ADDRESS($B107,BA$39+$A107,1,1,$D107))</f>
        <v>1751</v>
      </c>
      <c r="BB107" s="1" cm="1">
        <f t="array" aca="1" ref="BB107" ca="1">INDIRECT(ADDRESS($B107,BB$39+$A107,1,1,$D107))</f>
        <v>2233</v>
      </c>
      <c r="BC107" s="1" cm="1">
        <f t="array" aca="1" ref="BC107" ca="1">INDIRECT(ADDRESS($B107,BC$39+$A107,1,1,$D107))</f>
        <v>2923</v>
      </c>
      <c r="BD107" s="1" cm="1">
        <f t="array" aca="1" ref="BD107" ca="1">INDIRECT(ADDRESS($B107,BD$39+$A107,1,1,$D107))</f>
        <v>3582</v>
      </c>
      <c r="BE107" s="1" cm="1">
        <f t="array" aca="1" ref="BE107" ca="1">INDIRECT(ADDRESS($B107,BE$39+$A107,1,1,$D107))</f>
        <v>4369</v>
      </c>
      <c r="BF107" s="1" cm="1">
        <f t="array" aca="1" ref="BF107" ca="1">INDIRECT(ADDRESS($B107,BF$39+$A107,1,1,$D107))</f>
        <v>4369</v>
      </c>
      <c r="BG107" s="1" cm="1">
        <f t="array" aca="1" ref="BG107" ca="1">INDIRECT(ADDRESS($B107,BG$39+$A107,1,1,$D107))</f>
        <v>6442</v>
      </c>
      <c r="BH107" s="1" cm="1">
        <f t="array" aca="1" ref="BH107" ca="1">INDIRECT(ADDRESS($B107,BH$39+$A107,1,1,$D107))</f>
        <v>7448</v>
      </c>
      <c r="BI107" s="1" cm="1">
        <f t="array" aca="1" ref="BI107" ca="1">INDIRECT(ADDRESS($B107,BI$39+$A107,1,1,$D107))</f>
        <v>8758</v>
      </c>
      <c r="BJ107" s="1" cm="1">
        <f t="array" aca="1" ref="BJ107" ca="1">INDIRECT(ADDRESS($B107,BJ$39+$A107,1,1,$D107))</f>
        <v>10494</v>
      </c>
      <c r="BK107" s="1" cm="1">
        <f t="array" aca="1" ref="BK107" ca="1">INDIRECT(ADDRESS($B107,BK$39+$A107,1,1,$D107))</f>
        <v>11959</v>
      </c>
      <c r="BL107" s="1" cm="1">
        <f t="array" aca="1" ref="BL107" ca="1">INDIRECT(ADDRESS($B107,BL$39+$A107,1,1,$D107))</f>
        <v>13333</v>
      </c>
      <c r="BM107" s="1" cm="1">
        <f t="array" aca="1" ref="BM107" ca="1">INDIRECT(ADDRESS($B107,BM$39+$A107,1,1,$D107))</f>
        <v>14892</v>
      </c>
      <c r="BN107" s="1" cm="1">
        <f t="array" aca="1" ref="BN107" ca="1">INDIRECT(ADDRESS($B107,BN$39+$A107,1,1,$D107))</f>
        <v>18647</v>
      </c>
      <c r="BO107" s="1" cm="1">
        <f t="array" aca="1" ref="BO107" ca="1">INDIRECT(ADDRESS($B107,BO$39+$A107,1,1,$D107))</f>
        <v>20520</v>
      </c>
      <c r="BP107" s="1" cm="1">
        <f t="array" aca="1" ref="BP107" ca="1">INDIRECT(ADDRESS($B107,BP$39+$A107,1,1,$D107))</f>
        <v>22952</v>
      </c>
      <c r="BQ107" s="1" cm="1">
        <f t="array" aca="1" ref="BQ107" ca="1">INDIRECT(ADDRESS($B107,BQ$39+$A107,1,1,$D107))</f>
        <v>26184</v>
      </c>
      <c r="BR107" s="1" cm="1">
        <f t="array" aca="1" ref="BR107" ca="1">INDIRECT(ADDRESS($B107,BR$39+$A107,1,1,$D107))</f>
        <v>29303</v>
      </c>
      <c r="BS107" s="1" cm="1">
        <f t="array" aca="1" ref="BS107" ca="1">INDIRECT(ADDRESS($B107,BS$39+$A107,1,1,$D107))</f>
        <v>33106</v>
      </c>
      <c r="BT107" s="1" cm="1">
        <f t="array" aca="1" ref="BT107" ca="1">INDIRECT(ADDRESS($B107,BT$39+$A107,1,1,$D107))</f>
        <v>35675</v>
      </c>
      <c r="BU107" s="1" cm="1">
        <f t="array" aca="1" ref="BU107" ca="1">INDIRECT(ADDRESS($B107,BU$39+$A107,1,1,$D107))</f>
        <v>37917</v>
      </c>
      <c r="BV107" s="1" cm="1">
        <f t="array" aca="1" ref="BV107" ca="1">INDIRECT(ADDRESS($B107,BV$39+$A107,1,1,$D107))</f>
        <v>44476</v>
      </c>
      <c r="BW107" s="1" cm="1">
        <f t="array" aca="1" ref="BW107" ca="1">INDIRECT(ADDRESS($B107,BW$39+$A107,1,1,$D107))</f>
        <v>47946</v>
      </c>
      <c r="BX107" s="1" cm="1">
        <f t="array" aca="1" ref="BX107" ca="1">INDIRECT(ADDRESS($B107,BX$39+$A107,1,1,$D107))</f>
        <v>48234</v>
      </c>
      <c r="BY107" s="1" cm="1">
        <f t="array" aca="1" ref="BY107" ca="1">INDIRECT(ADDRESS($B107,BY$39+$A107,1,1,$D107))</f>
        <v>51726</v>
      </c>
      <c r="BZ107" s="1" cm="1">
        <f t="array" aca="1" ref="BZ107" ca="1">INDIRECT(ADDRESS($B107,BZ$39+$A107,1,1,$D107))</f>
        <v>54323</v>
      </c>
      <c r="CA107" s="1" cm="1">
        <f t="array" aca="1" ref="CA107" ca="1">INDIRECT(ADDRESS($B107,CA$39+$A107,1,1,$D107))</f>
        <v>54460</v>
      </c>
      <c r="CB107" s="1" cm="1">
        <f t="array" aca="1" ref="CB107" ca="1">INDIRECT(ADDRESS($B107,CB$39+$A107,1,1,$D107))</f>
        <v>54534</v>
      </c>
      <c r="CC107" s="1" cm="1">
        <f t="array" aca="1" ref="CC107" ca="1">INDIRECT(ADDRESS($B107,CC$39+$A107,1,1,$D107))</f>
        <v>55863</v>
      </c>
      <c r="CD107" s="1" cm="1">
        <f t="array" aca="1" ref="CD107" ca="1">INDIRECT(ADDRESS($B107,CD$39+$A107,1,1,$D107))</f>
        <v>56815</v>
      </c>
      <c r="CE107" s="1" cm="1">
        <f t="array" aca="1" ref="CE107" ca="1">INDIRECT(ADDRESS($B107,CE$39+$A107,1,1,$D107))</f>
        <v>57179</v>
      </c>
      <c r="CF107" s="1" cm="1">
        <f t="array" aca="1" ref="CF107" ca="1">INDIRECT(ADDRESS($B107,CF$39+$A107,1,1,$D107))</f>
        <v>57712</v>
      </c>
      <c r="CG107" s="1" cm="1">
        <f t="array" aca="1" ref="CG107" ca="1">INDIRECT(ADDRESS($B107,CG$39+$A107,1,1,$D107))</f>
        <v>56215</v>
      </c>
      <c r="CH107" s="1" cm="1">
        <f t="array" aca="1" ref="CH107" ca="1">INDIRECT(ADDRESS($B107,CH$39+$A107,1,1,$D107))</f>
        <v>80459</v>
      </c>
      <c r="CI107" s="1" cm="1">
        <f t="array" aca="1" ref="CI107" ca="1">INDIRECT(ADDRESS($B107,CI$39+$A107,1,1,$D107))</f>
        <v>79748</v>
      </c>
      <c r="CJ107" s="1" cm="1">
        <f t="array" aca="1" ref="CJ107" ca="1">INDIRECT(ADDRESS($B107,CJ$39+$A107,1,1,$D107))</f>
        <v>78125</v>
      </c>
      <c r="CK107" s="1" cm="1">
        <f t="array" aca="1" ref="CK107" ca="1">INDIRECT(ADDRESS($B107,CK$39+$A107,1,1,$D107))</f>
        <v>76481</v>
      </c>
      <c r="CL107" s="1" cm="1">
        <f t="array" aca="1" ref="CL107" ca="1">INDIRECT(ADDRESS($B107,CL$39+$A107,1,1,$D107))</f>
        <v>86855</v>
      </c>
      <c r="CM107" s="1" cm="1">
        <f t="array" aca="1" ref="CM107" ca="1">INDIRECT(ADDRESS($B107,CM$39+$A107,1,1,$D107))</f>
        <v>83631</v>
      </c>
      <c r="CN107" s="1" cm="1">
        <f t="array" aca="1" ref="CN107" ca="1">INDIRECT(ADDRESS($B107,CN$39+$A107,1,1,$D107))</f>
        <v>0</v>
      </c>
      <c r="CO107" s="1" cm="1">
        <f t="array" aca="1" ref="CO107" ca="1">INDIRECT(ADDRESS($B107,CO$39+$A107,1,1,$D107))</f>
        <v>0</v>
      </c>
    </row>
    <row r="108" spans="1:93" x14ac:dyDescent="0.25">
      <c r="A108">
        <v>8</v>
      </c>
      <c r="B108">
        <f t="shared" ca="1" si="45"/>
        <v>19</v>
      </c>
      <c r="C108" s="1" t="str">
        <f t="shared" si="44"/>
        <v>Switzerland</v>
      </c>
      <c r="D108" t="str">
        <f t="shared" si="46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1</v>
      </c>
      <c r="AN108" s="1" cm="1">
        <f t="array" aca="1" ref="AN108" ca="1">INDIRECT(ADDRESS($B108,AN$39+$A108,1,1,$D108))</f>
        <v>1</v>
      </c>
      <c r="AO108" s="1" cm="1">
        <f t="array" aca="1" ref="AO108" ca="1">INDIRECT(ADDRESS($B108,AO$39+$A108,1,1,$D108))</f>
        <v>8</v>
      </c>
      <c r="AP108" s="1" cm="1">
        <f t="array" aca="1" ref="AP108" ca="1">INDIRECT(ADDRESS($B108,AP$39+$A108,1,1,$D108))</f>
        <v>13</v>
      </c>
      <c r="AQ108" s="1" cm="1">
        <f t="array" aca="1" ref="AQ108" ca="1">INDIRECT(ADDRESS($B108,AQ$39+$A108,1,1,$D108))</f>
        <v>18</v>
      </c>
      <c r="AR108" s="1" cm="1">
        <f t="array" aca="1" ref="AR108" ca="1">INDIRECT(ADDRESS($B108,AR$39+$A108,1,1,$D108))</f>
        <v>27</v>
      </c>
      <c r="AS108" s="1" cm="1">
        <f t="array" aca="1" ref="AS108" ca="1">INDIRECT(ADDRESS($B108,AS$39+$A108,1,1,$D108))</f>
        <v>42</v>
      </c>
      <c r="AT108" s="1" cm="1">
        <f t="array" aca="1" ref="AT108" ca="1">INDIRECT(ADDRESS($B108,AT$39+$A108,1,1,$D108))</f>
        <v>56</v>
      </c>
      <c r="AU108" s="1" cm="1">
        <f t="array" aca="1" ref="AU108" ca="1">INDIRECT(ADDRESS($B108,AU$39+$A108,1,1,$D108))</f>
        <v>90</v>
      </c>
      <c r="AV108" s="1" cm="1">
        <f t="array" aca="1" ref="AV108" ca="1">INDIRECT(ADDRESS($B108,AV$39+$A108,1,1,$D108))</f>
        <v>113</v>
      </c>
      <c r="AW108" s="1" cm="1">
        <f t="array" aca="1" ref="AW108" ca="1">INDIRECT(ADDRESS($B108,AW$39+$A108,1,1,$D108))</f>
        <v>213</v>
      </c>
      <c r="AX108" s="1" cm="1">
        <f t="array" aca="1" ref="AX108" ca="1">INDIRECT(ADDRESS($B108,AX$39+$A108,1,1,$D108))</f>
        <v>267</v>
      </c>
      <c r="AY108" s="1" cm="1">
        <f t="array" aca="1" ref="AY108" ca="1">INDIRECT(ADDRESS($B108,AY$39+$A108,1,1,$D108))</f>
        <v>335</v>
      </c>
      <c r="AZ108" s="1" cm="1">
        <f t="array" aca="1" ref="AZ108" ca="1">INDIRECT(ADDRESS($B108,AZ$39+$A108,1,1,$D108))</f>
        <v>372</v>
      </c>
      <c r="BA108" s="1" cm="1">
        <f t="array" aca="1" ref="BA108" ca="1">INDIRECT(ADDRESS($B108,BA$39+$A108,1,1,$D108))</f>
        <v>488</v>
      </c>
      <c r="BB108" s="1" cm="1">
        <f t="array" aca="1" ref="BB108" ca="1">INDIRECT(ADDRESS($B108,BB$39+$A108,1,1,$D108))</f>
        <v>648</v>
      </c>
      <c r="BC108" s="1" cm="1">
        <f t="array" aca="1" ref="BC108" ca="1">INDIRECT(ADDRESS($B108,BC$39+$A108,1,1,$D108))</f>
        <v>887.5</v>
      </c>
      <c r="BD108" s="1" cm="1">
        <f t="array" aca="1" ref="BD108" ca="1">INDIRECT(ADDRESS($B108,BD$39+$A108,1,1,$D108))</f>
        <v>1126</v>
      </c>
      <c r="BE108" s="1" cm="1">
        <f t="array" aca="1" ref="BE108" ca="1">INDIRECT(ADDRESS($B108,BE$39+$A108,1,1,$D108))</f>
        <v>1341</v>
      </c>
      <c r="BF108" s="1" cm="1">
        <f t="array" aca="1" ref="BF108" ca="1">INDIRECT(ADDRESS($B108,BF$39+$A108,1,1,$D108))</f>
        <v>2173</v>
      </c>
      <c r="BG108" s="1" cm="1">
        <f t="array" aca="1" ref="BG108" ca="1">INDIRECT(ADDRESS($B108,BG$39+$A108,1,1,$D108))</f>
        <v>2408</v>
      </c>
      <c r="BH108" s="1" cm="1">
        <f t="array" aca="1" ref="BH108" ca="1">INDIRECT(ADDRESS($B108,BH$39+$A108,1,1,$D108))</f>
        <v>2644</v>
      </c>
      <c r="BI108" s="1" cm="1">
        <f t="array" aca="1" ref="BI108" ca="1">INDIRECT(ADDRESS($B108,BI$39+$A108,1,1,$D108))</f>
        <v>2938</v>
      </c>
      <c r="BJ108" s="1" cm="1">
        <f t="array" aca="1" ref="BJ108" ca="1">INDIRECT(ADDRESS($B108,BJ$39+$A108,1,1,$D108))</f>
        <v>3961</v>
      </c>
      <c r="BK108" s="1" cm="1">
        <f t="array" aca="1" ref="BK108" ca="1">INDIRECT(ADDRESS($B108,BK$39+$A108,1,1,$D108))</f>
        <v>5080</v>
      </c>
      <c r="BL108" s="1" cm="1">
        <f t="array" aca="1" ref="BL108" ca="1">INDIRECT(ADDRESS($B108,BL$39+$A108,1,1,$D108))</f>
        <v>6307</v>
      </c>
      <c r="BM108" s="1" cm="1">
        <f t="array" aca="1" ref="BM108" ca="1">INDIRECT(ADDRESS($B108,BM$39+$A108,1,1,$D108))</f>
        <v>7137</v>
      </c>
      <c r="BN108" s="1" cm="1">
        <f t="array" aca="1" ref="BN108" ca="1">INDIRECT(ADDRESS($B108,BN$39+$A108,1,1,$D108))</f>
        <v>8421</v>
      </c>
      <c r="BO108" s="1" cm="1">
        <f t="array" aca="1" ref="BO108" ca="1">INDIRECT(ADDRESS($B108,BO$39+$A108,1,1,$D108))</f>
        <v>9386</v>
      </c>
      <c r="BP108" s="1" cm="1">
        <f t="array" aca="1" ref="BP108" ca="1">INDIRECT(ADDRESS($B108,BP$39+$A108,1,1,$D108))</f>
        <v>10245</v>
      </c>
      <c r="BQ108" s="1" cm="1">
        <f t="array" aca="1" ref="BQ108" ca="1">INDIRECT(ADDRESS($B108,BQ$39+$A108,1,1,$D108))</f>
        <v>10915.5</v>
      </c>
      <c r="BR108" s="1" cm="1">
        <f t="array" aca="1" ref="BR108" ca="1">INDIRECT(ADDRESS($B108,BR$39+$A108,1,1,$D108))</f>
        <v>11789</v>
      </c>
      <c r="BS108" s="1" cm="1">
        <f t="array" aca="1" ref="BS108" ca="1">INDIRECT(ADDRESS($B108,BS$39+$A108,1,1,$D108))</f>
        <v>12717</v>
      </c>
      <c r="BT108" s="1" cm="1">
        <f t="array" aca="1" ref="BT108" ca="1">INDIRECT(ADDRESS($B108,BT$39+$A108,1,1,$D108))</f>
        <v>12629</v>
      </c>
      <c r="BU108" s="1" cm="1">
        <f t="array" aca="1" ref="BU108" ca="1">INDIRECT(ADDRESS($B108,BU$39+$A108,1,1,$D108))</f>
        <v>13472</v>
      </c>
      <c r="BV108" s="1" cm="1">
        <f t="array" aca="1" ref="BV108" ca="1">INDIRECT(ADDRESS($B108,BV$39+$A108,1,1,$D108))</f>
        <v>13905</v>
      </c>
      <c r="BW108" s="1" cm="1">
        <f t="array" aca="1" ref="BW108" ca="1">INDIRECT(ADDRESS($B108,BW$39+$A108,1,1,$D108))</f>
        <v>14740</v>
      </c>
      <c r="BX108" s="1" cm="1">
        <f t="array" aca="1" ref="BX108" ca="1">INDIRECT(ADDRESS($B108,BX$39+$A108,1,1,$D108))</f>
        <v>14752</v>
      </c>
      <c r="BY108" s="1" cm="1">
        <f t="array" aca="1" ref="BY108" ca="1">INDIRECT(ADDRESS($B108,BY$39+$A108,1,1,$D108))</f>
        <v>14312</v>
      </c>
      <c r="BZ108" s="1" cm="1">
        <f t="array" aca="1" ref="BZ108" ca="1">INDIRECT(ADDRESS($B108,BZ$39+$A108,1,1,$D108))</f>
        <v>13930</v>
      </c>
      <c r="CA108" s="1" cm="1">
        <f t="array" aca="1" ref="CA108" ca="1">INDIRECT(ADDRESS($B108,CA$39+$A108,1,1,$D108))</f>
        <v>13626</v>
      </c>
      <c r="CB108" s="1" cm="1">
        <f t="array" aca="1" ref="CB108" ca="1">INDIRECT(ADDRESS($B108,CB$39+$A108,1,1,$D108))</f>
        <v>12862</v>
      </c>
      <c r="CC108" s="1" cm="1">
        <f t="array" aca="1" ref="CC108" ca="1">INDIRECT(ADDRESS($B108,CC$39+$A108,1,1,$D108))</f>
        <v>12376</v>
      </c>
      <c r="CD108" s="1" cm="1">
        <f t="array" aca="1" ref="CD108" ca="1">INDIRECT(ADDRESS($B108,CD$39+$A108,1,1,$D108))</f>
        <v>12383</v>
      </c>
      <c r="CE108" s="1" cm="1">
        <f t="array" aca="1" ref="CE108" ca="1">INDIRECT(ADDRESS($B108,CE$39+$A108,1,1,$D108))</f>
        <v>12240</v>
      </c>
      <c r="CF108" s="1" cm="1">
        <f t="array" aca="1" ref="CF108" ca="1">INDIRECT(ADDRESS($B108,CF$39+$A108,1,1,$D108))</f>
        <v>11623</v>
      </c>
      <c r="CG108" s="1" cm="1">
        <f t="array" aca="1" ref="CG108" ca="1">INDIRECT(ADDRESS($B108,CG$39+$A108,1,1,$D108))</f>
        <v>11031</v>
      </c>
      <c r="CH108" s="1" cm="1">
        <f t="array" aca="1" ref="CH108" ca="1">INDIRECT(ADDRESS($B108,CH$39+$A108,1,1,$D108))</f>
        <v>10586</v>
      </c>
      <c r="CI108" s="1" cm="1">
        <f t="array" aca="1" ref="CI108" ca="1">INDIRECT(ADDRESS($B108,CI$39+$A108,1,1,$D108))</f>
        <v>9766</v>
      </c>
      <c r="CJ108" s="1" cm="1">
        <f t="array" aca="1" ref="CJ108" ca="1">INDIRECT(ADDRESS($B108,CJ$39+$A108,1,1,$D108))</f>
        <v>9331</v>
      </c>
      <c r="CK108" s="1" cm="1">
        <f t="array" aca="1" ref="CK108" ca="1">INDIRECT(ADDRESS($B108,CK$39+$A108,1,1,$D108))</f>
        <v>8568</v>
      </c>
      <c r="CL108" s="1" cm="1">
        <f t="array" aca="1" ref="CL108" ca="1">INDIRECT(ADDRESS($B108,CL$39+$A108,1,1,$D108))</f>
        <v>7905</v>
      </c>
      <c r="CM108" s="1" cm="1">
        <f t="array" aca="1" ref="CM108" ca="1">INDIRECT(ADDRESS($B108,CM$39+$A108,1,1,$D108))</f>
        <v>7472</v>
      </c>
      <c r="CN108" s="1" cm="1">
        <f t="array" aca="1" ref="CN108" ca="1">INDIRECT(ADDRESS($B108,CN$39+$A108,1,1,$D108))</f>
        <v>0</v>
      </c>
      <c r="CO108" s="1" cm="1">
        <f t="array" aca="1" ref="CO108" ca="1">INDIRECT(ADDRESS($B108,CO$39+$A108,1,1,$D108))</f>
        <v>0</v>
      </c>
    </row>
    <row r="109" spans="1:93" x14ac:dyDescent="0.25">
      <c r="A109">
        <v>8</v>
      </c>
      <c r="B109">
        <f t="shared" ca="1" si="45"/>
        <v>8</v>
      </c>
      <c r="C109" s="1" t="str">
        <f t="shared" si="44"/>
        <v>Germany</v>
      </c>
      <c r="D109" t="str">
        <f t="shared" si="46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1</v>
      </c>
      <c r="K109" s="1" cm="1">
        <f t="array" aca="1" ref="K109" ca="1">INDIRECT(ADDRESS($B109,K$39+$A109,1,1,$D109))</f>
        <v>4</v>
      </c>
      <c r="L109" s="1" cm="1">
        <f t="array" aca="1" ref="L109" ca="1">INDIRECT(ADDRESS($B109,L$39+$A109,1,1,$D109))</f>
        <v>4.3333333332999997</v>
      </c>
      <c r="M109" s="1" cm="1">
        <f t="array" aca="1" ref="M109" ca="1">INDIRECT(ADDRESS($B109,M$39+$A109,1,1,$D109))</f>
        <v>4.6666666667000003</v>
      </c>
      <c r="N109" s="1" cm="1">
        <f t="array" aca="1" ref="N109" ca="1">INDIRECT(ADDRESS($B109,N$39+$A109,1,1,$D109))</f>
        <v>5</v>
      </c>
      <c r="O109" s="1" cm="1">
        <f t="array" aca="1" ref="O109" ca="1">INDIRECT(ADDRESS($B109,O$39+$A109,1,1,$D109))</f>
        <v>8</v>
      </c>
      <c r="P109" s="1" cm="1">
        <f t="array" aca="1" ref="P109" ca="1">INDIRECT(ADDRESS($B109,P$39+$A109,1,1,$D109))</f>
        <v>10</v>
      </c>
      <c r="Q109" s="1" cm="1">
        <f t="array" aca="1" ref="Q109" ca="1">INDIRECT(ADDRESS($B109,Q$39+$A109,1,1,$D109))</f>
        <v>12</v>
      </c>
      <c r="R109" s="1" cm="1">
        <f t="array" aca="1" ref="R109" ca="1">INDIRECT(ADDRESS($B109,R$39+$A109,1,1,$D109))</f>
        <v>12.25</v>
      </c>
      <c r="S109" s="1" cm="1">
        <f t="array" aca="1" ref="S109" ca="1">INDIRECT(ADDRESS($B109,S$39+$A109,1,1,$D109))</f>
        <v>12.5</v>
      </c>
      <c r="T109" s="1" cm="1">
        <f t="array" aca="1" ref="T109" ca="1">INDIRECT(ADDRESS($B109,T$39+$A109,1,1,$D109))</f>
        <v>12.75</v>
      </c>
      <c r="U109" s="1" cm="1">
        <f t="array" aca="1" ref="U109" ca="1">INDIRECT(ADDRESS($B109,U$39+$A109,1,1,$D109))</f>
        <v>13</v>
      </c>
      <c r="V109" s="1" cm="1">
        <f t="array" aca="1" ref="V109" ca="1">INDIRECT(ADDRESS($B109,V$39+$A109,1,1,$D109))</f>
        <v>13.5</v>
      </c>
      <c r="W109" s="1" cm="1">
        <f t="array" aca="1" ref="W109" ca="1">INDIRECT(ADDRESS($B109,W$39+$A109,1,1,$D109))</f>
        <v>14</v>
      </c>
      <c r="X109" s="1" cm="1">
        <f t="array" aca="1" ref="X109" ca="1">INDIRECT(ADDRESS($B109,X$39+$A109,1,1,$D109))</f>
        <v>14</v>
      </c>
      <c r="Y109" s="1" cm="1">
        <f t="array" aca="1" ref="Y109" ca="1">INDIRECT(ADDRESS($B109,Y$39+$A109,1,1,$D109))</f>
        <v>12</v>
      </c>
      <c r="Z109" s="1" cm="1">
        <f t="array" aca="1" ref="Z109" ca="1">INDIRECT(ADDRESS($B109,Z$39+$A109,1,1,$D109))</f>
        <v>11.7380952381</v>
      </c>
      <c r="AA109" s="1" cm="1">
        <f t="array" aca="1" ref="AA109" ca="1">INDIRECT(ADDRESS($B109,AA$39+$A109,1,1,$D109))</f>
        <v>11.476190476199999</v>
      </c>
      <c r="AB109" s="1" cm="1">
        <f t="array" aca="1" ref="AB109" ca="1">INDIRECT(ADDRESS($B109,AB$39+$A109,1,1,$D109))</f>
        <v>11.214285714300001</v>
      </c>
      <c r="AC109" s="1" cm="1">
        <f t="array" aca="1" ref="AC109" ca="1">INDIRECT(ADDRESS($B109,AC$39+$A109,1,1,$D109))</f>
        <v>8.2857142856999992</v>
      </c>
      <c r="AD109" s="1" cm="1">
        <f t="array" aca="1" ref="AD109" ca="1">INDIRECT(ADDRESS($B109,AD$39+$A109,1,1,$D109))</f>
        <v>6.3571428571000004</v>
      </c>
      <c r="AE109" s="1" cm="1">
        <f t="array" aca="1" ref="AE109" ca="1">INDIRECT(ADDRESS($B109,AE$39+$A109,1,1,$D109))</f>
        <v>4.4285714285999997</v>
      </c>
      <c r="AF109" s="1" cm="1">
        <f t="array" aca="1" ref="AF109" ca="1">INDIRECT(ADDRESS($B109,AF$39+$A109,1,1,$D109))</f>
        <v>4.25</v>
      </c>
      <c r="AG109" s="1" cm="1">
        <f t="array" aca="1" ref="AG109" ca="1">INDIRECT(ADDRESS($B109,AG$39+$A109,1,1,$D109))</f>
        <v>4.0714285714000003</v>
      </c>
      <c r="AH109" s="1" cm="1">
        <f t="array" aca="1" ref="AH109" ca="1">INDIRECT(ADDRESS($B109,AH$39+$A109,1,1,$D109))</f>
        <v>3.8928571429000001</v>
      </c>
      <c r="AI109" s="1" cm="1">
        <f t="array" aca="1" ref="AI109" ca="1">INDIRECT(ADDRESS($B109,AI$39+$A109,1,1,$D109))</f>
        <v>3.7142857142999999</v>
      </c>
      <c r="AJ109" s="1" cm="1">
        <f t="array" aca="1" ref="AJ109" ca="1">INDIRECT(ADDRESS($B109,AJ$39+$A109,1,1,$D109))</f>
        <v>3.2857142857000001</v>
      </c>
      <c r="AK109" s="1" cm="1">
        <f t="array" aca="1" ref="AK109" ca="1">INDIRECT(ADDRESS($B109,AK$39+$A109,1,1,$D109))</f>
        <v>2.8571428570999999</v>
      </c>
      <c r="AL109" s="1" cm="1">
        <f t="array" aca="1" ref="AL109" ca="1">INDIRECT(ADDRESS($B109,AL$39+$A109,1,1,$D109))</f>
        <v>1.9285714286</v>
      </c>
      <c r="AM109" s="1" cm="1">
        <f t="array" aca="1" ref="AM109" ca="1">INDIRECT(ADDRESS($B109,AM$39+$A109,1,1,$D109))</f>
        <v>1</v>
      </c>
      <c r="AN109" s="1" cm="1">
        <f t="array" aca="1" ref="AN109" ca="1">INDIRECT(ADDRESS($B109,AN$39+$A109,1,1,$D109))</f>
        <v>10.9285714286</v>
      </c>
      <c r="AO109" s="1" cm="1">
        <f t="array" aca="1" ref="AO109" ca="1">INDIRECT(ADDRESS($B109,AO$39+$A109,1,1,$D109))</f>
        <v>29.857142857100001</v>
      </c>
      <c r="AP109" s="1" cm="1">
        <f t="array" aca="1" ref="AP109" ca="1">INDIRECT(ADDRESS($B109,AP$39+$A109,1,1,$D109))</f>
        <v>31.785714285699999</v>
      </c>
      <c r="AQ109" s="1" cm="1">
        <f t="array" aca="1" ref="AQ109" ca="1">INDIRECT(ADDRESS($B109,AQ$39+$A109,1,1,$D109))</f>
        <v>62.714285714299997</v>
      </c>
      <c r="AR109" s="1" cm="1">
        <f t="array" aca="1" ref="AR109" ca="1">INDIRECT(ADDRESS($B109,AR$39+$A109,1,1,$D109))</f>
        <v>113.6428571429</v>
      </c>
      <c r="AS109" s="1" cm="1">
        <f t="array" aca="1" ref="AS109" ca="1">INDIRECT(ADDRESS($B109,AS$39+$A109,1,1,$D109))</f>
        <v>142.57142857139999</v>
      </c>
      <c r="AT109" s="1" cm="1">
        <f t="array" aca="1" ref="AT109" ca="1">INDIRECT(ADDRESS($B109,AT$39+$A109,1,1,$D109))</f>
        <v>179.5</v>
      </c>
      <c r="AU109" s="1" cm="1">
        <f t="array" aca="1" ref="AU109" ca="1">INDIRECT(ADDRESS($B109,AU$39+$A109,1,1,$D109))</f>
        <v>245.42857142860001</v>
      </c>
      <c r="AV109" s="1" cm="1">
        <f t="array" aca="1" ref="AV109" ca="1">INDIRECT(ADDRESS($B109,AV$39+$A109,1,1,$D109))</f>
        <v>465.35714285709997</v>
      </c>
      <c r="AW109" s="1" cm="1">
        <f t="array" aca="1" ref="AW109" ca="1">INDIRECT(ADDRESS($B109,AW$39+$A109,1,1,$D109))</f>
        <v>653.28571428570001</v>
      </c>
      <c r="AX109" s="1" cm="1">
        <f t="array" aca="1" ref="AX109" ca="1">INDIRECT(ADDRESS($B109,AX$39+$A109,1,1,$D109))</f>
        <v>782.21428571429999</v>
      </c>
      <c r="AY109" s="1" cm="1">
        <f t="array" aca="1" ref="AY109" ca="1">INDIRECT(ADDRESS($B109,AY$39+$A109,1,1,$D109))</f>
        <v>1023.1428571429</v>
      </c>
      <c r="AZ109" s="1" cm="1">
        <f t="array" aca="1" ref="AZ109" ca="1">INDIRECT(ADDRESS($B109,AZ$39+$A109,1,1,$D109))</f>
        <v>1159.0714285714</v>
      </c>
      <c r="BA109" s="1" cm="1">
        <f t="array" aca="1" ref="BA109" ca="1">INDIRECT(ADDRESS($B109,BA$39+$A109,1,1,$D109))</f>
        <v>1440</v>
      </c>
      <c r="BB109" s="1" cm="1">
        <f t="array" aca="1" ref="BB109" ca="1">INDIRECT(ADDRESS($B109,BB$39+$A109,1,1,$D109))</f>
        <v>1881</v>
      </c>
      <c r="BC109" s="1" cm="1">
        <f t="array" aca="1" ref="BC109" ca="1">INDIRECT(ADDRESS($B109,BC$39+$A109,1,1,$D109))</f>
        <v>2032</v>
      </c>
      <c r="BD109" s="1" cm="1">
        <f t="array" aca="1" ref="BD109" ca="1">INDIRECT(ADDRESS($B109,BD$39+$A109,1,1,$D109))</f>
        <v>3627</v>
      </c>
      <c r="BE109" s="1" cm="1">
        <f t="array" aca="1" ref="BE109" ca="1">INDIRECT(ADDRESS($B109,BE$39+$A109,1,1,$D109))</f>
        <v>4506</v>
      </c>
      <c r="BF109" s="1" cm="1">
        <f t="array" aca="1" ref="BF109" ca="1">INDIRECT(ADDRESS($B109,BF$39+$A109,1,1,$D109))</f>
        <v>5665</v>
      </c>
      <c r="BG109" s="1" cm="1">
        <f t="array" aca="1" ref="BG109" ca="1">INDIRECT(ADDRESS($B109,BG$39+$A109,1,1,$D109))</f>
        <v>7113</v>
      </c>
      <c r="BH109" s="1" cm="1">
        <f t="array" aca="1" ref="BH109" ca="1">INDIRECT(ADDRESS($B109,BH$39+$A109,1,1,$D109))</f>
        <v>9061</v>
      </c>
      <c r="BI109" s="1" cm="1">
        <f t="array" aca="1" ref="BI109" ca="1">INDIRECT(ADDRESS($B109,BI$39+$A109,1,1,$D109))</f>
        <v>12065</v>
      </c>
      <c r="BJ109" s="1" cm="1">
        <f t="array" aca="1" ref="BJ109" ca="1">INDIRECT(ADDRESS($B109,BJ$39+$A109,1,1,$D109))</f>
        <v>14838</v>
      </c>
      <c r="BK109" s="1" cm="1">
        <f t="array" aca="1" ref="BK109" ca="1">INDIRECT(ADDRESS($B109,BK$39+$A109,1,1,$D109))</f>
        <v>19178</v>
      </c>
      <c r="BL109" s="1" cm="1">
        <f t="array" aca="1" ref="BL109" ca="1">INDIRECT(ADDRESS($B109,BL$39+$A109,1,1,$D109))</f>
        <v>21414</v>
      </c>
      <c r="BM109" s="1" cm="1">
        <f t="array" aca="1" ref="BM109" ca="1">INDIRECT(ADDRESS($B109,BM$39+$A109,1,1,$D109))</f>
        <v>23833</v>
      </c>
      <c r="BN109" s="1" cm="1">
        <f t="array" aca="1" ref="BN109" ca="1">INDIRECT(ADDRESS($B109,BN$39+$A109,1,1,$D109))</f>
        <v>27880</v>
      </c>
      <c r="BO109" s="1" cm="1">
        <f t="array" aca="1" ref="BO109" ca="1">INDIRECT(ADDRESS($B109,BO$39+$A109,1,1,$D109))</f>
        <v>31529</v>
      </c>
      <c r="BP109" s="1" cm="1">
        <f t="array" aca="1" ref="BP109" ca="1">INDIRECT(ADDRESS($B109,BP$39+$A109,1,1,$D109))</f>
        <v>35415</v>
      </c>
      <c r="BQ109" s="1" cm="1">
        <f t="array" aca="1" ref="BQ109" ca="1">INDIRECT(ADDRESS($B109,BQ$39+$A109,1,1,$D109))</f>
        <v>41860</v>
      </c>
      <c r="BR109" s="1" cm="1">
        <f t="array" aca="1" ref="BR109" ca="1">INDIRECT(ADDRESS($B109,BR$39+$A109,1,1,$D109))</f>
        <v>47196</v>
      </c>
      <c r="BS109" s="1" cm="1">
        <f t="array" aca="1" ref="BS109" ca="1">INDIRECT(ADDRESS($B109,BS$39+$A109,1,1,$D109))</f>
        <v>53110</v>
      </c>
      <c r="BT109" s="1" cm="1">
        <f t="array" aca="1" ref="BT109" ca="1">INDIRECT(ADDRESS($B109,BT$39+$A109,1,1,$D109))</f>
        <v>56300</v>
      </c>
      <c r="BU109" s="1" cm="1">
        <f t="array" aca="1" ref="BU109" ca="1">INDIRECT(ADDRESS($B109,BU$39+$A109,1,1,$D109))</f>
        <v>59613</v>
      </c>
      <c r="BV109" s="1" cm="1">
        <f t="array" aca="1" ref="BV109" ca="1">INDIRECT(ADDRESS($B109,BV$39+$A109,1,1,$D109))</f>
        <v>62551</v>
      </c>
      <c r="BW109" s="1" cm="1">
        <f t="array" aca="1" ref="BW109" ca="1">INDIRECT(ADDRESS($B109,BW$39+$A109,1,1,$D109))</f>
        <v>65545</v>
      </c>
      <c r="BX109" s="1" cm="1">
        <f t="array" aca="1" ref="BX109" ca="1">INDIRECT(ADDRESS($B109,BX$39+$A109,1,1,$D109))</f>
        <v>69474</v>
      </c>
      <c r="BY109" s="1" cm="1">
        <f t="array" aca="1" ref="BY109" ca="1">INDIRECT(ADDRESS($B109,BY$39+$A109,1,1,$D109))</f>
        <v>71311</v>
      </c>
      <c r="BZ109" s="1" cm="1">
        <f t="array" aca="1" ref="BZ109" ca="1">INDIRECT(ADDRESS($B109,BZ$39+$A109,1,1,$D109))</f>
        <v>73879</v>
      </c>
      <c r="CA109" s="1" cm="1">
        <f t="array" aca="1" ref="CA109" ca="1">INDIRECT(ADDRESS($B109,CA$39+$A109,1,1,$D109))</f>
        <v>75250</v>
      </c>
      <c r="CB109" s="1" cm="1">
        <f t="array" aca="1" ref="CB109" ca="1">INDIRECT(ADDRESS($B109,CB$39+$A109,1,1,$D109))</f>
        <v>74318</v>
      </c>
      <c r="CC109" s="1" cm="1">
        <f t="array" aca="1" ref="CC109" ca="1">INDIRECT(ADDRESS($B109,CC$39+$A109,1,1,$D109))</f>
        <v>74677</v>
      </c>
      <c r="CD109" s="1" cm="1">
        <f t="array" aca="1" ref="CD109" ca="1">INDIRECT(ADDRESS($B109,CD$39+$A109,1,1,$D109))</f>
        <v>75973</v>
      </c>
      <c r="CE109" s="1" cm="1">
        <f t="array" aca="1" ref="CE109" ca="1">INDIRECT(ADDRESS($B109,CE$39+$A109,1,1,$D109))</f>
        <v>74243</v>
      </c>
      <c r="CF109" s="1" cm="1">
        <f t="array" aca="1" ref="CF109" ca="1">INDIRECT(ADDRESS($B109,CF$39+$A109,1,1,$D109))</f>
        <v>71300</v>
      </c>
      <c r="CG109" s="1" cm="1">
        <f t="array" aca="1" ref="CG109" ca="1">INDIRECT(ADDRESS($B109,CG$39+$A109,1,1,$D109))</f>
        <v>67213</v>
      </c>
      <c r="CH109" s="1" cm="1">
        <f t="array" aca="1" ref="CH109" ca="1">INDIRECT(ADDRESS($B109,CH$39+$A109,1,1,$D109))</f>
        <v>65759</v>
      </c>
      <c r="CI109" s="1" cm="1">
        <f t="array" aca="1" ref="CI109" ca="1">INDIRECT(ADDRESS($B109,CI$39+$A109,1,1,$D109))</f>
        <v>63187</v>
      </c>
      <c r="CJ109" s="1" cm="1">
        <f t="array" aca="1" ref="CJ109" ca="1">INDIRECT(ADDRESS($B109,CJ$39+$A109,1,1,$D109))</f>
        <v>59551</v>
      </c>
      <c r="CK109" s="1" cm="1">
        <f t="array" aca="1" ref="CK109" ca="1">INDIRECT(ADDRESS($B109,CK$39+$A109,1,1,$D109))</f>
        <v>56881</v>
      </c>
      <c r="CL109" s="1" cm="1">
        <f t="array" aca="1" ref="CL109" ca="1">INDIRECT(ADDRESS($B109,CL$39+$A109,1,1,$D109))</f>
        <v>52904</v>
      </c>
      <c r="CM109" s="1" cm="1">
        <f t="array" aca="1" ref="CM109" ca="1">INDIRECT(ADDRESS($B109,CM$39+$A109,1,1,$D109))</f>
        <v>50238</v>
      </c>
      <c r="CN109" s="1" cm="1">
        <f t="array" aca="1" ref="CN109" ca="1">INDIRECT(ADDRESS($B109,CN$39+$A109,1,1,$D109))</f>
        <v>0</v>
      </c>
      <c r="CO109" s="1" cm="1">
        <f t="array" aca="1" ref="CO109" ca="1">INDIRECT(ADDRESS($B109,CO$39+$A109,1,1,$D109))</f>
        <v>0</v>
      </c>
    </row>
    <row r="110" spans="1:93" x14ac:dyDescent="0.25">
      <c r="A110">
        <v>8</v>
      </c>
      <c r="B110">
        <f t="shared" ca="1" si="45"/>
        <v>16</v>
      </c>
      <c r="C110" s="1" t="str">
        <f t="shared" si="44"/>
        <v>Singapore</v>
      </c>
      <c r="D110" t="str">
        <f t="shared" si="46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1</v>
      </c>
      <c r="G110" s="1" cm="1">
        <f t="array" aca="1" ref="G110" ca="1">INDIRECT(ADDRESS($B110,G$39+$A110,1,1,$D110))</f>
        <v>3</v>
      </c>
      <c r="H110" s="1" cm="1">
        <f t="array" aca="1" ref="H110" ca="1">INDIRECT(ADDRESS($B110,H$39+$A110,1,1,$D110))</f>
        <v>3</v>
      </c>
      <c r="I110" s="1" cm="1">
        <f t="array" aca="1" ref="I110" ca="1">INDIRECT(ADDRESS($B110,I$39+$A110,1,1,$D110))</f>
        <v>4</v>
      </c>
      <c r="J110" s="1" cm="1">
        <f t="array" aca="1" ref="J110" ca="1">INDIRECT(ADDRESS($B110,J$39+$A110,1,1,$D110))</f>
        <v>5</v>
      </c>
      <c r="K110" s="1" cm="1">
        <f t="array" aca="1" ref="K110" ca="1">INDIRECT(ADDRESS($B110,K$39+$A110,1,1,$D110))</f>
        <v>7</v>
      </c>
      <c r="L110" s="1" cm="1">
        <f t="array" aca="1" ref="L110" ca="1">INDIRECT(ADDRESS($B110,L$39+$A110,1,1,$D110))</f>
        <v>8.5</v>
      </c>
      <c r="M110" s="1" cm="1">
        <f t="array" aca="1" ref="M110" ca="1">INDIRECT(ADDRESS($B110,M$39+$A110,1,1,$D110))</f>
        <v>10</v>
      </c>
      <c r="N110" s="1" cm="1">
        <f t="array" aca="1" ref="N110" ca="1">INDIRECT(ADDRESS($B110,N$39+$A110,1,1,$D110))</f>
        <v>13</v>
      </c>
      <c r="O110" s="1" cm="1">
        <f t="array" aca="1" ref="O110" ca="1">INDIRECT(ADDRESS($B110,O$39+$A110,1,1,$D110))</f>
        <v>16</v>
      </c>
      <c r="P110" s="1" cm="1">
        <f t="array" aca="1" ref="P110" ca="1">INDIRECT(ADDRESS($B110,P$39+$A110,1,1,$D110))</f>
        <v>18</v>
      </c>
      <c r="Q110" s="1" cm="1">
        <f t="array" aca="1" ref="Q110" ca="1">INDIRECT(ADDRESS($B110,Q$39+$A110,1,1,$D110))</f>
        <v>21</v>
      </c>
      <c r="R110" s="1" cm="1">
        <f t="array" aca="1" ref="R110" ca="1">INDIRECT(ADDRESS($B110,R$39+$A110,1,1,$D110))</f>
        <v>24</v>
      </c>
      <c r="S110" s="1" cm="1">
        <f t="array" aca="1" ref="S110" ca="1">INDIRECT(ADDRESS($B110,S$39+$A110,1,1,$D110))</f>
        <v>28</v>
      </c>
      <c r="T110" s="1" cm="1">
        <f t="array" aca="1" ref="T110" ca="1">INDIRECT(ADDRESS($B110,T$39+$A110,1,1,$D110))</f>
        <v>28</v>
      </c>
      <c r="U110" s="1" cm="1">
        <f t="array" aca="1" ref="U110" ca="1">INDIRECT(ADDRESS($B110,U$39+$A110,1,1,$D110))</f>
        <v>27</v>
      </c>
      <c r="V110" s="1" cm="1">
        <f t="array" aca="1" ref="V110" ca="1">INDIRECT(ADDRESS($B110,V$39+$A110,1,1,$D110))</f>
        <v>30</v>
      </c>
      <c r="W110" s="1" cm="1">
        <f t="array" aca="1" ref="W110" ca="1">INDIRECT(ADDRESS($B110,W$39+$A110,1,1,$D110))</f>
        <v>36</v>
      </c>
      <c r="X110" s="1" cm="1">
        <f t="array" aca="1" ref="X110" ca="1">INDIRECT(ADDRESS($B110,X$39+$A110,1,1,$D110))</f>
        <v>40</v>
      </c>
      <c r="Y110" s="1" cm="1">
        <f t="array" aca="1" ref="Y110" ca="1">INDIRECT(ADDRESS($B110,Y$39+$A110,1,1,$D110))</f>
        <v>40</v>
      </c>
      <c r="Z110" s="1" cm="1">
        <f t="array" aca="1" ref="Z110" ca="1">INDIRECT(ADDRESS($B110,Z$39+$A110,1,1,$D110))</f>
        <v>41.5</v>
      </c>
      <c r="AA110" s="1" cm="1">
        <f t="array" aca="1" ref="AA110" ca="1">INDIRECT(ADDRESS($B110,AA$39+$A110,1,1,$D110))</f>
        <v>48</v>
      </c>
      <c r="AB110" s="1" cm="1">
        <f t="array" aca="1" ref="AB110" ca="1">INDIRECT(ADDRESS($B110,AB$39+$A110,1,1,$D110))</f>
        <v>54</v>
      </c>
      <c r="AC110" s="1" cm="1">
        <f t="array" aca="1" ref="AC110" ca="1">INDIRECT(ADDRESS($B110,AC$39+$A110,1,1,$D110))</f>
        <v>56</v>
      </c>
      <c r="AD110" s="1" cm="1">
        <f t="array" aca="1" ref="AD110" ca="1">INDIRECT(ADDRESS($B110,AD$39+$A110,1,1,$D110))</f>
        <v>57</v>
      </c>
      <c r="AE110" s="1" cm="1">
        <f t="array" aca="1" ref="AE110" ca="1">INDIRECT(ADDRESS($B110,AE$39+$A110,1,1,$D110))</f>
        <v>56</v>
      </c>
      <c r="AF110" s="1" cm="1">
        <f t="array" aca="1" ref="AF110" ca="1">INDIRECT(ADDRESS($B110,AF$39+$A110,1,1,$D110))</f>
        <v>57</v>
      </c>
      <c r="AG110" s="1" cm="1">
        <f t="array" aca="1" ref="AG110" ca="1">INDIRECT(ADDRESS($B110,AG$39+$A110,1,1,$D110))</f>
        <v>56</v>
      </c>
      <c r="AH110" s="1" cm="1">
        <f t="array" aca="1" ref="AH110" ca="1">INDIRECT(ADDRESS($B110,AH$39+$A110,1,1,$D110))</f>
        <v>55.5</v>
      </c>
      <c r="AI110" s="1" cm="1">
        <f t="array" aca="1" ref="AI110" ca="1">INDIRECT(ADDRESS($B110,AI$39+$A110,1,1,$D110))</f>
        <v>55</v>
      </c>
      <c r="AJ110" s="1" cm="1">
        <f t="array" aca="1" ref="AJ110" ca="1">INDIRECT(ADDRESS($B110,AJ$39+$A110,1,1,$D110))</f>
        <v>54</v>
      </c>
      <c r="AK110" s="1" cm="1">
        <f t="array" aca="1" ref="AK110" ca="1">INDIRECT(ADDRESS($B110,AK$39+$A110,1,1,$D110))</f>
        <v>49</v>
      </c>
      <c r="AL110" s="1" cm="1">
        <f t="array" aca="1" ref="AL110" ca="1">INDIRECT(ADDRESS($B110,AL$39+$A110,1,1,$D110))</f>
        <v>45</v>
      </c>
      <c r="AM110" s="1" cm="1">
        <f t="array" aca="1" ref="AM110" ca="1">INDIRECT(ADDRESS($B110,AM$39+$A110,1,1,$D110))</f>
        <v>44</v>
      </c>
      <c r="AN110" s="1" cm="1">
        <f t="array" aca="1" ref="AN110" ca="1">INDIRECT(ADDRESS($B110,AN$39+$A110,1,1,$D110))</f>
        <v>43</v>
      </c>
      <c r="AO110" s="1" cm="1">
        <f t="array" aca="1" ref="AO110" ca="1">INDIRECT(ADDRESS($B110,AO$39+$A110,1,1,$D110))</f>
        <v>38</v>
      </c>
      <c r="AP110" s="1" cm="1">
        <f t="array" aca="1" ref="AP110" ca="1">INDIRECT(ADDRESS($B110,AP$39+$A110,1,1,$D110))</f>
        <v>32</v>
      </c>
      <c r="AQ110" s="1" cm="1">
        <f t="array" aca="1" ref="AQ110" ca="1">INDIRECT(ADDRESS($B110,AQ$39+$A110,1,1,$D110))</f>
        <v>30</v>
      </c>
      <c r="AR110" s="1" cm="1">
        <f t="array" aca="1" ref="AR110" ca="1">INDIRECT(ADDRESS($B110,AR$39+$A110,1,1,$D110))</f>
        <v>31</v>
      </c>
      <c r="AS110" s="1" cm="1">
        <f t="array" aca="1" ref="AS110" ca="1">INDIRECT(ADDRESS($B110,AS$39+$A110,1,1,$D110))</f>
        <v>31</v>
      </c>
      <c r="AT110" s="1" cm="1">
        <f t="array" aca="1" ref="AT110" ca="1">INDIRECT(ADDRESS($B110,AT$39+$A110,1,1,$D110))</f>
        <v>29</v>
      </c>
      <c r="AU110" s="1" cm="1">
        <f t="array" aca="1" ref="AU110" ca="1">INDIRECT(ADDRESS($B110,AU$39+$A110,1,1,$D110))</f>
        <v>29.5</v>
      </c>
      <c r="AV110" s="1" cm="1">
        <f t="array" aca="1" ref="AV110" ca="1">INDIRECT(ADDRESS($B110,AV$39+$A110,1,1,$D110))</f>
        <v>32.5</v>
      </c>
      <c r="AW110" s="1" cm="1">
        <f t="array" aca="1" ref="AW110" ca="1">INDIRECT(ADDRESS($B110,AW$39+$A110,1,1,$D110))</f>
        <v>45</v>
      </c>
      <c r="AX110" s="1" cm="1">
        <f t="array" aca="1" ref="AX110" ca="1">INDIRECT(ADDRESS($B110,AX$39+$A110,1,1,$D110))</f>
        <v>51</v>
      </c>
      <c r="AY110" s="1" cm="1">
        <f t="array" aca="1" ref="AY110" ca="1">INDIRECT(ADDRESS($B110,AY$39+$A110,1,1,$D110))</f>
        <v>61</v>
      </c>
      <c r="AZ110" s="1" cm="1">
        <f t="array" aca="1" ref="AZ110" ca="1">INDIRECT(ADDRESS($B110,AZ$39+$A110,1,1,$D110))</f>
        <v>65</v>
      </c>
      <c r="BA110" s="1" cm="1">
        <f t="array" aca="1" ref="BA110" ca="1">INDIRECT(ADDRESS($B110,BA$39+$A110,1,1,$D110))</f>
        <v>69</v>
      </c>
      <c r="BB110" s="1" cm="1">
        <f t="array" aca="1" ref="BB110" ca="1">INDIRECT(ADDRESS($B110,BB$39+$A110,1,1,$D110))</f>
        <v>85</v>
      </c>
      <c r="BC110" s="1" cm="1">
        <f t="array" aca="1" ref="BC110" ca="1">INDIRECT(ADDRESS($B110,BC$39+$A110,1,1,$D110))</f>
        <v>93</v>
      </c>
      <c r="BD110" s="1" cm="1">
        <f t="array" aca="1" ref="BD110" ca="1">INDIRECT(ADDRESS($B110,BD$39+$A110,1,1,$D110))</f>
        <v>101</v>
      </c>
      <c r="BE110" s="1" cm="1">
        <f t="array" aca="1" ref="BE110" ca="1">INDIRECT(ADDRESS($B110,BE$39+$A110,1,1,$D110))</f>
        <v>110</v>
      </c>
      <c r="BF110" s="1" cm="1">
        <f t="array" aca="1" ref="BF110" ca="1">INDIRECT(ADDRESS($B110,BF$39+$A110,1,1,$D110))</f>
        <v>120</v>
      </c>
      <c r="BG110" s="1" cm="1">
        <f t="array" aca="1" ref="BG110" ca="1">INDIRECT(ADDRESS($B110,BG$39+$A110,1,1,$D110))</f>
        <v>135</v>
      </c>
      <c r="BH110" s="1" cm="1">
        <f t="array" aca="1" ref="BH110" ca="1">INDIRECT(ADDRESS($B110,BH$39+$A110,1,1,$D110))</f>
        <v>156</v>
      </c>
      <c r="BI110" s="1" cm="1">
        <f t="array" aca="1" ref="BI110" ca="1">INDIRECT(ADDRESS($B110,BI$39+$A110,1,1,$D110))</f>
        <v>199.5</v>
      </c>
      <c r="BJ110" s="1" cm="1">
        <f t="array" aca="1" ref="BJ110" ca="1">INDIRECT(ADDRESS($B110,BJ$39+$A110,1,1,$D110))</f>
        <v>228</v>
      </c>
      <c r="BK110" s="1" cm="1">
        <f t="array" aca="1" ref="BK110" ca="1">INDIRECT(ADDRESS($B110,BK$39+$A110,1,1,$D110))</f>
        <v>255</v>
      </c>
      <c r="BL110" s="1" cm="1">
        <f t="array" aca="1" ref="BL110" ca="1">INDIRECT(ADDRESS($B110,BL$39+$A110,1,1,$D110))</f>
        <v>294</v>
      </c>
      <c r="BM110" s="1" cm="1">
        <f t="array" aca="1" ref="BM110" ca="1">INDIRECT(ADDRESS($B110,BM$39+$A110,1,1,$D110))</f>
        <v>305</v>
      </c>
      <c r="BN110" s="1" cm="1">
        <f t="array" aca="1" ref="BN110" ca="1">INDIRECT(ADDRESS($B110,BN$39+$A110,1,1,$D110))</f>
        <v>354</v>
      </c>
      <c r="BO110" s="1" cm="1">
        <f t="array" aca="1" ref="BO110" ca="1">INDIRECT(ADDRESS($B110,BO$39+$A110,1,1,$D110))</f>
        <v>398</v>
      </c>
      <c r="BP110" s="1" cm="1">
        <f t="array" aca="1" ref="BP110" ca="1">INDIRECT(ADDRESS($B110,BP$39+$A110,1,1,$D110))</f>
        <v>453</v>
      </c>
      <c r="BQ110" s="1" cm="1">
        <f t="array" aca="1" ref="BQ110" ca="1">INDIRECT(ADDRESS($B110,BQ$39+$A110,1,1,$D110))</f>
        <v>494</v>
      </c>
      <c r="BR110" s="1" cm="1">
        <f t="array" aca="1" ref="BR110" ca="1">INDIRECT(ADDRESS($B110,BR$39+$A110,1,1,$D110))</f>
        <v>532</v>
      </c>
      <c r="BS110" s="1" cm="1">
        <f t="array" aca="1" ref="BS110" ca="1">INDIRECT(ADDRESS($B110,BS$39+$A110,1,1,$D110))</f>
        <v>590</v>
      </c>
      <c r="BT110" s="1" cm="1">
        <f t="array" aca="1" ref="BT110" ca="1">INDIRECT(ADDRESS($B110,BT$39+$A110,1,1,$D110))</f>
        <v>618</v>
      </c>
      <c r="BU110" s="1" cm="1">
        <f t="array" aca="1" ref="BU110" ca="1">INDIRECT(ADDRESS($B110,BU$39+$A110,1,1,$D110))</f>
        <v>636</v>
      </c>
      <c r="BV110" s="1" cm="1">
        <f t="array" aca="1" ref="BV110" ca="1">INDIRECT(ADDRESS($B110,BV$39+$A110,1,1,$D110))</f>
        <v>660</v>
      </c>
      <c r="BW110" s="1" cm="1">
        <f t="array" aca="1" ref="BW110" ca="1">INDIRECT(ADDRESS($B110,BW$39+$A110,1,1,$D110))</f>
        <v>687</v>
      </c>
      <c r="BX110" s="1" cm="1">
        <f t="array" aca="1" ref="BX110" ca="1">INDIRECT(ADDRESS($B110,BX$39+$A110,1,1,$D110))</f>
        <v>704</v>
      </c>
      <c r="BY110" s="1" cm="1">
        <f t="array" aca="1" ref="BY110" ca="1">INDIRECT(ADDRESS($B110,BY$39+$A110,1,1,$D110))</f>
        <v>729</v>
      </c>
      <c r="BZ110" s="1" cm="1">
        <f t="array" aca="1" ref="BZ110" ca="1">INDIRECT(ADDRESS($B110,BZ$39+$A110,1,1,$D110))</f>
        <v>757</v>
      </c>
      <c r="CA110" s="1" cm="1">
        <f t="array" aca="1" ref="CA110" ca="1">INDIRECT(ADDRESS($B110,CA$39+$A110,1,1,$D110))</f>
        <v>854</v>
      </c>
      <c r="CB110" s="1" cm="1">
        <f t="array" aca="1" ref="CB110" ca="1">INDIRECT(ADDRESS($B110,CB$39+$A110,1,1,$D110))</f>
        <v>866</v>
      </c>
      <c r="CC110" s="1" cm="1">
        <f t="array" aca="1" ref="CC110" ca="1">INDIRECT(ADDRESS($B110,CC$39+$A110,1,1,$D110))</f>
        <v>923</v>
      </c>
      <c r="CD110" s="1" cm="1">
        <f t="array" aca="1" ref="CD110" ca="1">INDIRECT(ADDRESS($B110,CD$39+$A110,1,1,$D110))</f>
        <v>992</v>
      </c>
      <c r="CE110" s="1" cm="1">
        <f t="array" aca="1" ref="CE110" ca="1">INDIRECT(ADDRESS($B110,CE$39+$A110,1,1,$D110))</f>
        <v>1227</v>
      </c>
      <c r="CF110" s="1" cm="1">
        <f t="array" aca="1" ref="CF110" ca="1">INDIRECT(ADDRESS($B110,CF$39+$A110,1,1,$D110))</f>
        <v>1376</v>
      </c>
      <c r="CG110" s="1" cm="1">
        <f t="array" aca="1" ref="CG110" ca="1">INDIRECT(ADDRESS($B110,CG$39+$A110,1,1,$D110))</f>
        <v>1497</v>
      </c>
      <c r="CH110" s="1" cm="1">
        <f t="array" aca="1" ref="CH110" ca="1">INDIRECT(ADDRESS($B110,CH$39+$A110,1,1,$D110))</f>
        <v>1688</v>
      </c>
      <c r="CI110" s="1" cm="1">
        <f t="array" aca="1" ref="CI110" ca="1">INDIRECT(ADDRESS($B110,CI$39+$A110,1,1,$D110))</f>
        <v>2039</v>
      </c>
      <c r="CJ110" s="1" cm="1">
        <f t="array" aca="1" ref="CJ110" ca="1">INDIRECT(ADDRESS($B110,CJ$39+$A110,1,1,$D110))</f>
        <v>2326</v>
      </c>
      <c r="CK110" s="1" cm="1">
        <f t="array" aca="1" ref="CK110" ca="1">INDIRECT(ADDRESS($B110,CK$39+$A110,1,1,$D110))</f>
        <v>2699</v>
      </c>
      <c r="CL110" s="1" cm="1">
        <f t="array" aca="1" ref="CL110" ca="1">INDIRECT(ADDRESS($B110,CL$39+$A110,1,1,$D110))</f>
        <v>3378</v>
      </c>
      <c r="CM110" s="1" cm="1">
        <f t="array" aca="1" ref="CM110" ca="1">INDIRECT(ADDRESS($B110,CM$39+$A110,1,1,$D110))</f>
        <v>3936</v>
      </c>
      <c r="CN110" s="1" cm="1">
        <f t="array" aca="1" ref="CN110" ca="1">INDIRECT(ADDRESS($B110,CN$39+$A110,1,1,$D110))</f>
        <v>0</v>
      </c>
      <c r="CO110" s="1" cm="1">
        <f t="array" aca="1" ref="CO110" ca="1">INDIRECT(ADDRESS($B110,CO$39+$A110,1,1,$D110))</f>
        <v>0</v>
      </c>
    </row>
    <row r="111" spans="1:93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</row>
    <row r="112" spans="1:93" x14ac:dyDescent="0.25">
      <c r="C112" s="4" t="s">
        <v>139</v>
      </c>
      <c r="D112" s="4"/>
      <c r="E112" s="5" t="str">
        <f t="shared" ref="E112:AJ112" ca="1" si="47">E52</f>
        <v>2020-01-22</v>
      </c>
      <c r="F112" s="5" t="str">
        <f t="shared" ca="1" si="47"/>
        <v>2020-01-23</v>
      </c>
      <c r="G112" s="5" t="str">
        <f t="shared" ca="1" si="47"/>
        <v>2020-01-24</v>
      </c>
      <c r="H112" s="5" t="str">
        <f t="shared" ca="1" si="47"/>
        <v>2020-01-25</v>
      </c>
      <c r="I112" s="5" t="str">
        <f t="shared" ca="1" si="47"/>
        <v>2020-01-26</v>
      </c>
      <c r="J112" s="5" t="str">
        <f t="shared" ca="1" si="47"/>
        <v>2020-01-27</v>
      </c>
      <c r="K112" s="5" t="str">
        <f t="shared" ca="1" si="47"/>
        <v>2020-01-28</v>
      </c>
      <c r="L112" s="5" t="str">
        <f t="shared" ca="1" si="47"/>
        <v>2020-01-29</v>
      </c>
      <c r="M112" s="5" t="str">
        <f t="shared" ca="1" si="47"/>
        <v>2020-01-30</v>
      </c>
      <c r="N112" s="5" t="str">
        <f t="shared" ca="1" si="47"/>
        <v>2020-01-31</v>
      </c>
      <c r="O112" s="5" t="str">
        <f t="shared" ca="1" si="47"/>
        <v>2020-02-01</v>
      </c>
      <c r="P112" s="5" t="str">
        <f t="shared" ca="1" si="47"/>
        <v>2020-02-02</v>
      </c>
      <c r="Q112" s="5" t="str">
        <f t="shared" ca="1" si="47"/>
        <v>2020-02-03</v>
      </c>
      <c r="R112" s="5" t="str">
        <f t="shared" ca="1" si="47"/>
        <v>2020-02-04</v>
      </c>
      <c r="S112" s="5" t="str">
        <f t="shared" ca="1" si="47"/>
        <v>2020-02-05</v>
      </c>
      <c r="T112" s="5" t="str">
        <f t="shared" ca="1" si="47"/>
        <v>2020-02-06</v>
      </c>
      <c r="U112" s="5" t="str">
        <f t="shared" ca="1" si="47"/>
        <v>2020-02-07</v>
      </c>
      <c r="V112" s="5" t="str">
        <f t="shared" ca="1" si="47"/>
        <v>2020-02-08</v>
      </c>
      <c r="W112" s="5" t="str">
        <f t="shared" ca="1" si="47"/>
        <v>2020-02-09</v>
      </c>
      <c r="X112" s="5" t="str">
        <f t="shared" ca="1" si="47"/>
        <v>2020-02-10</v>
      </c>
      <c r="Y112" s="5" t="str">
        <f t="shared" ca="1" si="47"/>
        <v>2020-02-11</v>
      </c>
      <c r="Z112" s="5" t="str">
        <f t="shared" ca="1" si="47"/>
        <v>2020-02-12</v>
      </c>
      <c r="AA112" s="5" t="str">
        <f t="shared" ca="1" si="47"/>
        <v>2020-02-13</v>
      </c>
      <c r="AB112" s="5" t="str">
        <f t="shared" ca="1" si="47"/>
        <v>2020-02-14</v>
      </c>
      <c r="AC112" s="5" t="str">
        <f t="shared" ca="1" si="47"/>
        <v>2020-02-15</v>
      </c>
      <c r="AD112" s="5" t="str">
        <f t="shared" ca="1" si="47"/>
        <v>2020-02-16</v>
      </c>
      <c r="AE112" s="5" t="str">
        <f t="shared" ca="1" si="47"/>
        <v>2020-02-17</v>
      </c>
      <c r="AF112" s="5" t="str">
        <f t="shared" ca="1" si="47"/>
        <v>2020-02-18</v>
      </c>
      <c r="AG112" s="5" t="str">
        <f t="shared" ca="1" si="47"/>
        <v>2020-02-19</v>
      </c>
      <c r="AH112" s="5" t="str">
        <f t="shared" ca="1" si="47"/>
        <v>2020-02-20</v>
      </c>
      <c r="AI112" s="5" t="str">
        <f t="shared" ca="1" si="47"/>
        <v>2020-02-21</v>
      </c>
      <c r="AJ112" s="5" t="str">
        <f t="shared" ca="1" si="47"/>
        <v>2020-02-22</v>
      </c>
      <c r="AK112" s="5" t="str">
        <f t="shared" ref="AK112:BP112" ca="1" si="48">AK52</f>
        <v>2020-02-23</v>
      </c>
      <c r="AL112" s="5" t="str">
        <f t="shared" ca="1" si="48"/>
        <v>2020-02-24</v>
      </c>
      <c r="AM112" s="5" t="str">
        <f t="shared" ca="1" si="48"/>
        <v>2020-02-25</v>
      </c>
      <c r="AN112" s="5" t="str">
        <f t="shared" ca="1" si="48"/>
        <v>2020-02-26</v>
      </c>
      <c r="AO112" s="5" t="str">
        <f t="shared" ca="1" si="48"/>
        <v>2020-02-27</v>
      </c>
      <c r="AP112" s="5" t="str">
        <f t="shared" ca="1" si="48"/>
        <v>2020-02-28</v>
      </c>
      <c r="AQ112" s="5" t="str">
        <f t="shared" ca="1" si="48"/>
        <v>2020-02-29</v>
      </c>
      <c r="AR112" s="5" t="str">
        <f t="shared" ca="1" si="48"/>
        <v>2020-03-01</v>
      </c>
      <c r="AS112" s="5" t="str">
        <f t="shared" ca="1" si="48"/>
        <v>2020-03-02</v>
      </c>
      <c r="AT112" s="5" t="str">
        <f t="shared" ca="1" si="48"/>
        <v>2020-03-03</v>
      </c>
      <c r="AU112" s="5" t="str">
        <f t="shared" ca="1" si="48"/>
        <v>2020-03-04</v>
      </c>
      <c r="AV112" s="5" t="str">
        <f t="shared" ca="1" si="48"/>
        <v>2020-03-05</v>
      </c>
      <c r="AW112" s="5" t="str">
        <f t="shared" ca="1" si="48"/>
        <v>2020-03-06</v>
      </c>
      <c r="AX112" s="5" t="str">
        <f t="shared" ca="1" si="48"/>
        <v>2020-03-07</v>
      </c>
      <c r="AY112" s="5" t="str">
        <f t="shared" ca="1" si="48"/>
        <v>2020-03-08</v>
      </c>
      <c r="AZ112" s="5" t="str">
        <f t="shared" ca="1" si="48"/>
        <v>2020-03-09</v>
      </c>
      <c r="BA112" s="5" t="str">
        <f t="shared" ca="1" si="48"/>
        <v>2020-03-10</v>
      </c>
      <c r="BB112" s="5" t="str">
        <f t="shared" ca="1" si="48"/>
        <v>2020-03-11</v>
      </c>
      <c r="BC112" s="5" t="str">
        <f t="shared" ca="1" si="48"/>
        <v>2020-03-12</v>
      </c>
      <c r="BD112" s="5" t="str">
        <f t="shared" ca="1" si="48"/>
        <v>2020-03-13</v>
      </c>
      <c r="BE112" s="5" t="str">
        <f t="shared" ca="1" si="48"/>
        <v>2020-03-14</v>
      </c>
      <c r="BF112" s="5" t="str">
        <f t="shared" ca="1" si="48"/>
        <v>2020-03-15</v>
      </c>
      <c r="BG112" s="5" t="str">
        <f t="shared" ca="1" si="48"/>
        <v>2020-03-16</v>
      </c>
      <c r="BH112" s="5" t="str">
        <f t="shared" ca="1" si="48"/>
        <v>2020-03-17</v>
      </c>
      <c r="BI112" s="5" t="str">
        <f t="shared" ca="1" si="48"/>
        <v>2020-03-18</v>
      </c>
      <c r="BJ112" s="5" t="str">
        <f t="shared" ca="1" si="48"/>
        <v>2020-03-19</v>
      </c>
      <c r="BK112" s="5" t="str">
        <f t="shared" ca="1" si="48"/>
        <v>2020-03-20</v>
      </c>
      <c r="BL112" s="5" t="str">
        <f t="shared" ca="1" si="48"/>
        <v>2020-03-21</v>
      </c>
      <c r="BM112" s="5" t="str">
        <f t="shared" ca="1" si="48"/>
        <v>2020-03-22</v>
      </c>
      <c r="BN112" s="5" t="str">
        <f t="shared" ca="1" si="48"/>
        <v>2020-03-23</v>
      </c>
      <c r="BO112" s="5" t="str">
        <f t="shared" ca="1" si="48"/>
        <v>2020-03-24</v>
      </c>
      <c r="BP112" s="5" t="str">
        <f t="shared" ca="1" si="48"/>
        <v>2020-03-25</v>
      </c>
      <c r="BQ112" s="5" t="str">
        <f t="shared" ref="BQ112:BU112" ca="1" si="49">BQ52</f>
        <v>2020-03-26</v>
      </c>
      <c r="BR112" s="5" t="str">
        <f t="shared" ca="1" si="49"/>
        <v>2020-03-27</v>
      </c>
      <c r="BS112" s="5" t="str">
        <f t="shared" ca="1" si="49"/>
        <v>2020-03-28</v>
      </c>
      <c r="BT112" s="5" t="str">
        <f t="shared" ca="1" si="49"/>
        <v>2020-03-29</v>
      </c>
      <c r="BU112" s="5" t="str">
        <f t="shared" ca="1" si="49"/>
        <v>2020-03-30</v>
      </c>
      <c r="BV112" s="5" t="str">
        <f t="shared" ref="BV112:CO112" ca="1" si="50">BV52</f>
        <v>2020-03-31</v>
      </c>
      <c r="BW112" s="5" t="str">
        <f t="shared" ca="1" si="50"/>
        <v>2020-04-01</v>
      </c>
      <c r="BX112" s="5" t="str">
        <f t="shared" ca="1" si="50"/>
        <v>2020-04-02</v>
      </c>
      <c r="BY112" s="5" t="str">
        <f t="shared" ca="1" si="50"/>
        <v>2020-04-03</v>
      </c>
      <c r="BZ112" s="5" t="str">
        <f t="shared" ca="1" si="50"/>
        <v>2020-04-04</v>
      </c>
      <c r="CA112" s="5" t="str">
        <f t="shared" ca="1" si="50"/>
        <v>2020-04-05</v>
      </c>
      <c r="CB112" s="5" t="str">
        <f t="shared" ca="1" si="50"/>
        <v>2020-04-06</v>
      </c>
      <c r="CC112" s="5" t="str">
        <f t="shared" ca="1" si="50"/>
        <v>2020-04-07</v>
      </c>
      <c r="CD112" s="5" t="str">
        <f t="shared" ca="1" si="50"/>
        <v>2020-04-08</v>
      </c>
      <c r="CE112" s="5" t="str">
        <f t="shared" ca="1" si="50"/>
        <v>2020-04-09</v>
      </c>
      <c r="CF112" s="5" t="str">
        <f t="shared" ca="1" si="50"/>
        <v>2020-04-10</v>
      </c>
      <c r="CG112" s="5" t="str">
        <f t="shared" ca="1" si="50"/>
        <v>2020-04-11</v>
      </c>
      <c r="CH112" s="5" t="str">
        <f t="shared" ca="1" si="50"/>
        <v>2020-04-12</v>
      </c>
      <c r="CI112" s="5" t="str">
        <f t="shared" ca="1" si="50"/>
        <v>2020-04-13</v>
      </c>
      <c r="CJ112" s="5" t="str">
        <f t="shared" ca="1" si="50"/>
        <v>2020-04-14</v>
      </c>
      <c r="CK112" s="5" t="str">
        <f t="shared" ca="1" si="50"/>
        <v>2020-04-15</v>
      </c>
      <c r="CL112" s="5" t="str">
        <f t="shared" ca="1" si="50"/>
        <v>2020-04-16</v>
      </c>
      <c r="CM112" s="5" t="str">
        <f t="shared" ca="1" si="50"/>
        <v>2020-04-17</v>
      </c>
      <c r="CN112" s="5">
        <f t="shared" ca="1" si="50"/>
        <v>0</v>
      </c>
      <c r="CO112" s="5">
        <f t="shared" ca="1" si="50"/>
        <v>0</v>
      </c>
    </row>
    <row r="113" spans="1:93" x14ac:dyDescent="0.25">
      <c r="C113" s="1" t="str">
        <f t="shared" ref="C113:C120" si="51">C8</f>
        <v>US</v>
      </c>
      <c r="D113" t="str">
        <f>C112</f>
        <v>Recovered not reported</v>
      </c>
      <c r="E113" s="1">
        <f t="shared" ref="E113:AJ113" ca="1" si="52">E73-E63</f>
        <v>0</v>
      </c>
      <c r="F113" s="1">
        <f t="shared" ca="1" si="52"/>
        <v>0</v>
      </c>
      <c r="G113" s="1">
        <f t="shared" ca="1" si="52"/>
        <v>0</v>
      </c>
      <c r="H113" s="1">
        <f t="shared" ca="1" si="52"/>
        <v>0</v>
      </c>
      <c r="I113" s="1">
        <f t="shared" ca="1" si="52"/>
        <v>0</v>
      </c>
      <c r="J113" s="1">
        <f t="shared" ca="1" si="52"/>
        <v>0</v>
      </c>
      <c r="K113" s="1">
        <f t="shared" ca="1" si="52"/>
        <v>0</v>
      </c>
      <c r="L113" s="1">
        <f t="shared" ca="1" si="52"/>
        <v>0</v>
      </c>
      <c r="M113" s="1">
        <f t="shared" ca="1" si="52"/>
        <v>0</v>
      </c>
      <c r="N113" s="1">
        <f t="shared" ca="1" si="52"/>
        <v>0</v>
      </c>
      <c r="O113" s="1">
        <f t="shared" ca="1" si="52"/>
        <v>0</v>
      </c>
      <c r="P113" s="1">
        <f t="shared" ca="1" si="52"/>
        <v>0</v>
      </c>
      <c r="Q113" s="1">
        <f t="shared" ca="1" si="52"/>
        <v>0</v>
      </c>
      <c r="R113" s="1">
        <f t="shared" ca="1" si="52"/>
        <v>0</v>
      </c>
      <c r="S113" s="1">
        <f t="shared" ca="1" si="52"/>
        <v>1</v>
      </c>
      <c r="T113" s="1">
        <f t="shared" ca="1" si="52"/>
        <v>1</v>
      </c>
      <c r="U113" s="1">
        <f t="shared" ca="1" si="52"/>
        <v>2</v>
      </c>
      <c r="V113" s="1">
        <f t="shared" ca="1" si="52"/>
        <v>2</v>
      </c>
      <c r="W113" s="1">
        <f t="shared" ca="1" si="52"/>
        <v>5</v>
      </c>
      <c r="X113" s="1">
        <f t="shared" ca="1" si="52"/>
        <v>5.4</v>
      </c>
      <c r="Y113" s="1">
        <f t="shared" ca="1" si="52"/>
        <v>5.8</v>
      </c>
      <c r="Z113" s="1">
        <f t="shared" ca="1" si="52"/>
        <v>6.2</v>
      </c>
      <c r="AA113" s="1">
        <f t="shared" ca="1" si="52"/>
        <v>6.6</v>
      </c>
      <c r="AB113" s="1">
        <f t="shared" ca="1" si="52"/>
        <v>7</v>
      </c>
      <c r="AC113" s="1">
        <f t="shared" ca="1" si="52"/>
        <v>8</v>
      </c>
      <c r="AD113" s="1">
        <f t="shared" ca="1" si="52"/>
        <v>9.5</v>
      </c>
      <c r="AE113" s="1">
        <f t="shared" ca="1" si="52"/>
        <v>11</v>
      </c>
      <c r="AF113" s="1">
        <f t="shared" ca="1" si="52"/>
        <v>11.125</v>
      </c>
      <c r="AG113" s="1">
        <f t="shared" ca="1" si="52"/>
        <v>11.25</v>
      </c>
      <c r="AH113" s="1">
        <f t="shared" ca="1" si="52"/>
        <v>11.375</v>
      </c>
      <c r="AI113" s="1">
        <f t="shared" ca="1" si="52"/>
        <v>11.5</v>
      </c>
      <c r="AJ113" s="1">
        <f t="shared" ca="1" si="52"/>
        <v>11.625</v>
      </c>
      <c r="AK113" s="1">
        <f t="shared" ref="AK113:BP113" ca="1" si="53">AK73-AK63</f>
        <v>11.75</v>
      </c>
      <c r="AL113" s="1">
        <f t="shared" ca="1" si="53"/>
        <v>11.875</v>
      </c>
      <c r="AM113" s="1">
        <f t="shared" ca="1" si="53"/>
        <v>12</v>
      </c>
      <c r="AN113" s="1">
        <f t="shared" ca="1" si="53"/>
        <v>12.5</v>
      </c>
      <c r="AO113" s="1">
        <f t="shared" ca="1" si="53"/>
        <v>13</v>
      </c>
      <c r="AP113" s="1">
        <f t="shared" ca="1" si="53"/>
        <v>13.25</v>
      </c>
      <c r="AQ113" s="1">
        <f t="shared" ca="1" si="53"/>
        <v>12.5</v>
      </c>
      <c r="AR113" s="1">
        <f t="shared" ca="1" si="53"/>
        <v>12.75</v>
      </c>
      <c r="AS113" s="1">
        <f t="shared" ca="1" si="53"/>
        <v>8</v>
      </c>
      <c r="AT113" s="1">
        <f t="shared" ca="1" si="53"/>
        <v>7.25</v>
      </c>
      <c r="AU113" s="1">
        <f t="shared" ca="1" si="53"/>
        <v>3.5</v>
      </c>
      <c r="AV113" s="1">
        <f t="shared" ca="1" si="53"/>
        <v>2.75</v>
      </c>
      <c r="AW113" s="1">
        <f t="shared" ca="1" si="53"/>
        <v>1</v>
      </c>
      <c r="AX113" s="1">
        <f t="shared" ca="1" si="53"/>
        <v>10</v>
      </c>
      <c r="AY113" s="1">
        <f t="shared" ca="1" si="53"/>
        <v>18</v>
      </c>
      <c r="AZ113" s="1">
        <f t="shared" ca="1" si="53"/>
        <v>29</v>
      </c>
      <c r="BA113" s="1">
        <f t="shared" ca="1" si="53"/>
        <v>26</v>
      </c>
      <c r="BB113" s="1">
        <f t="shared" ca="1" si="53"/>
        <v>21</v>
      </c>
      <c r="BC113" s="1">
        <f t="shared" ca="1" si="53"/>
        <v>18</v>
      </c>
      <c r="BD113" s="1">
        <f t="shared" ca="1" si="53"/>
        <v>13</v>
      </c>
      <c r="BE113" s="1">
        <f t="shared" ca="1" si="53"/>
        <v>14</v>
      </c>
      <c r="BF113" s="1">
        <f t="shared" ca="1" si="53"/>
        <v>11</v>
      </c>
      <c r="BG113" s="1">
        <f t="shared" ca="1" si="53"/>
        <v>13</v>
      </c>
      <c r="BH113" s="1">
        <f t="shared" ca="1" si="53"/>
        <v>10</v>
      </c>
      <c r="BI113" s="1">
        <f t="shared" ca="1" si="53"/>
        <v>31</v>
      </c>
      <c r="BJ113" s="1">
        <f t="shared" ca="1" si="53"/>
        <v>17</v>
      </c>
      <c r="BK113" s="1">
        <f t="shared" ca="1" si="53"/>
        <v>18</v>
      </c>
      <c r="BL113" s="1">
        <f t="shared" ca="1" si="53"/>
        <v>95</v>
      </c>
      <c r="BM113" s="1">
        <f t="shared" ca="1" si="53"/>
        <v>101</v>
      </c>
      <c r="BN113" s="1">
        <f t="shared" ca="1" si="53"/>
        <v>26</v>
      </c>
      <c r="BO113" s="1">
        <f t="shared" ca="1" si="53"/>
        <v>253</v>
      </c>
      <c r="BP113" s="1">
        <f t="shared" ca="1" si="53"/>
        <v>339</v>
      </c>
      <c r="BQ113" s="1">
        <f t="shared" ref="BQ113:BU113" ca="1" si="54">BQ73-BQ63</f>
        <v>454</v>
      </c>
      <c r="BR113" s="1">
        <f t="shared" ca="1" si="54"/>
        <v>598</v>
      </c>
      <c r="BS113" s="1">
        <f t="shared" ca="1" si="54"/>
        <v>701</v>
      </c>
      <c r="BT113" s="1">
        <f t="shared" ca="1" si="54"/>
        <v>1032</v>
      </c>
      <c r="BU113" s="1">
        <f t="shared" ca="1" si="54"/>
        <v>1654</v>
      </c>
      <c r="BV113" s="1">
        <f t="shared" ref="BV113:CO113" ca="1" si="55">BV73-BV63</f>
        <v>2548</v>
      </c>
      <c r="BW113" s="1">
        <f t="shared" ca="1" si="55"/>
        <v>3026</v>
      </c>
      <c r="BX113" s="1">
        <f t="shared" ca="1" si="55"/>
        <v>7821</v>
      </c>
      <c r="BY113" s="1">
        <f t="shared" ca="1" si="55"/>
        <v>12186</v>
      </c>
      <c r="BZ113" s="1">
        <f t="shared" ca="1" si="55"/>
        <v>17193</v>
      </c>
      <c r="CA113" s="1">
        <f t="shared" ca="1" si="55"/>
        <v>23657</v>
      </c>
      <c r="CB113" s="1">
        <f t="shared" ca="1" si="55"/>
        <v>33060</v>
      </c>
      <c r="CC113" s="1">
        <f t="shared" ca="1" si="55"/>
        <v>41014</v>
      </c>
      <c r="CD113" s="1">
        <f t="shared" ca="1" si="55"/>
        <v>51083</v>
      </c>
      <c r="CE113" s="1">
        <f t="shared" ca="1" si="55"/>
        <v>67358</v>
      </c>
      <c r="CF113" s="1">
        <f t="shared" ca="1" si="55"/>
        <v>83071</v>
      </c>
      <c r="CG113" s="1">
        <f t="shared" ca="1" si="55"/>
        <v>101003</v>
      </c>
      <c r="CH113" s="1">
        <f t="shared" ca="1" si="55"/>
        <v>118890</v>
      </c>
      <c r="CI113" s="1">
        <f t="shared" ca="1" si="55"/>
        <v>138303</v>
      </c>
      <c r="CJ113" s="1">
        <f t="shared" ca="1" si="55"/>
        <v>162341</v>
      </c>
      <c r="CK113" s="1">
        <f t="shared" ca="1" si="55"/>
        <v>185047</v>
      </c>
      <c r="CL113" s="1">
        <f t="shared" ca="1" si="55"/>
        <v>210846</v>
      </c>
      <c r="CM113" s="1">
        <f t="shared" ca="1" si="55"/>
        <v>238813</v>
      </c>
      <c r="CN113" s="1">
        <f t="shared" ca="1" si="55"/>
        <v>0</v>
      </c>
      <c r="CO113" s="1">
        <f t="shared" ca="1" si="55"/>
        <v>0</v>
      </c>
    </row>
    <row r="114" spans="1:93" x14ac:dyDescent="0.25">
      <c r="C114" s="1" t="str">
        <f t="shared" si="51"/>
        <v>China</v>
      </c>
      <c r="D114" t="str">
        <f>D113</f>
        <v>Recovered not reported</v>
      </c>
      <c r="E114" s="1">
        <f t="shared" ref="E114:AJ114" ca="1" si="56">E74-E64</f>
        <v>0</v>
      </c>
      <c r="F114" s="1">
        <f t="shared" ca="1" si="56"/>
        <v>0</v>
      </c>
      <c r="G114" s="1">
        <f t="shared" ca="1" si="56"/>
        <v>0</v>
      </c>
      <c r="H114" s="1">
        <f t="shared" ca="1" si="56"/>
        <v>0</v>
      </c>
      <c r="I114" s="1">
        <f t="shared" ca="1" si="56"/>
        <v>0</v>
      </c>
      <c r="J114" s="1">
        <f t="shared" ca="1" si="56"/>
        <v>0</v>
      </c>
      <c r="K114" s="1">
        <f t="shared" ca="1" si="56"/>
        <v>0</v>
      </c>
      <c r="L114" s="1">
        <f t="shared" ca="1" si="56"/>
        <v>0</v>
      </c>
      <c r="M114" s="1">
        <f t="shared" ca="1" si="56"/>
        <v>0</v>
      </c>
      <c r="N114" s="1">
        <f t="shared" ca="1" si="56"/>
        <v>0</v>
      </c>
      <c r="O114" s="1">
        <f t="shared" ca="1" si="56"/>
        <v>0</v>
      </c>
      <c r="P114" s="1">
        <f t="shared" ca="1" si="56"/>
        <v>0</v>
      </c>
      <c r="Q114" s="1">
        <f t="shared" ca="1" si="56"/>
        <v>0</v>
      </c>
      <c r="R114" s="1">
        <f t="shared" ca="1" si="56"/>
        <v>0</v>
      </c>
      <c r="S114" s="1">
        <f t="shared" ca="1" si="56"/>
        <v>0</v>
      </c>
      <c r="T114" s="1">
        <f t="shared" ca="1" si="56"/>
        <v>10</v>
      </c>
      <c r="U114" s="1">
        <f t="shared" ca="1" si="56"/>
        <v>202</v>
      </c>
      <c r="V114" s="1">
        <f t="shared" ca="1" si="56"/>
        <v>601</v>
      </c>
      <c r="W114" s="1">
        <f t="shared" ca="1" si="56"/>
        <v>1170</v>
      </c>
      <c r="X114" s="1">
        <f t="shared" ca="1" si="56"/>
        <v>1865</v>
      </c>
      <c r="Y114" s="1">
        <f t="shared" ca="1" si="56"/>
        <v>4397</v>
      </c>
      <c r="Z114" s="1">
        <f t="shared" ca="1" si="56"/>
        <v>4970</v>
      </c>
      <c r="AA114" s="1">
        <f t="shared" ca="1" si="56"/>
        <v>6772</v>
      </c>
      <c r="AB114" s="1">
        <f t="shared" ca="1" si="56"/>
        <v>8281</v>
      </c>
      <c r="AC114" s="1">
        <f t="shared" ca="1" si="56"/>
        <v>10228</v>
      </c>
      <c r="AD114" s="1">
        <f t="shared" ca="1" si="56"/>
        <v>14864</v>
      </c>
      <c r="AE114" s="1">
        <f t="shared" ca="1" si="56"/>
        <v>17852</v>
      </c>
      <c r="AF114" s="1">
        <f t="shared" ca="1" si="56"/>
        <v>21704</v>
      </c>
      <c r="AG114" s="1">
        <f t="shared" ca="1" si="56"/>
        <v>25324</v>
      </c>
      <c r="AH114" s="1">
        <f t="shared" ca="1" si="56"/>
        <v>28349</v>
      </c>
      <c r="AI114" s="1">
        <f t="shared" ca="1" si="56"/>
        <v>31872</v>
      </c>
      <c r="AJ114" s="1">
        <f t="shared" ca="1" si="56"/>
        <v>34371</v>
      </c>
      <c r="AK114" s="1">
        <f t="shared" ref="AK114:BP114" ca="1" si="57">AK74-AK64</f>
        <v>37384</v>
      </c>
      <c r="AL114" s="1">
        <f t="shared" ca="1" si="57"/>
        <v>39759</v>
      </c>
      <c r="AM114" s="1">
        <f t="shared" ca="1" si="57"/>
        <v>41721</v>
      </c>
      <c r="AN114" s="1">
        <f t="shared" ca="1" si="57"/>
        <v>42042</v>
      </c>
      <c r="AO114" s="1">
        <f t="shared" ca="1" si="57"/>
        <v>57149</v>
      </c>
      <c r="AP114" s="1">
        <f t="shared" ca="1" si="57"/>
        <v>63568</v>
      </c>
      <c r="AQ114" s="1">
        <f t="shared" ca="1" si="57"/>
        <v>65576</v>
      </c>
      <c r="AR114" s="1">
        <f t="shared" ca="1" si="57"/>
        <v>67641</v>
      </c>
      <c r="AS114" s="1">
        <f t="shared" ca="1" si="57"/>
        <v>69520</v>
      </c>
      <c r="AT114" s="1">
        <f t="shared" ca="1" si="57"/>
        <v>71264</v>
      </c>
      <c r="AU114" s="1">
        <f t="shared" ca="1" si="57"/>
        <v>71636</v>
      </c>
      <c r="AV114" s="1">
        <f t="shared" ca="1" si="57"/>
        <v>72062</v>
      </c>
      <c r="AW114" s="1">
        <f t="shared" ca="1" si="57"/>
        <v>72506</v>
      </c>
      <c r="AX114" s="1">
        <f t="shared" ca="1" si="57"/>
        <v>73929</v>
      </c>
      <c r="AY114" s="1">
        <f t="shared" ca="1" si="57"/>
        <v>73922</v>
      </c>
      <c r="AZ114" s="1">
        <f t="shared" ca="1" si="57"/>
        <v>74118</v>
      </c>
      <c r="BA114" s="1">
        <f t="shared" ca="1" si="57"/>
        <v>74615</v>
      </c>
      <c r="BB114" s="1">
        <f t="shared" ca="1" si="57"/>
        <v>75005</v>
      </c>
      <c r="BC114" s="1">
        <f t="shared" ca="1" si="57"/>
        <v>75428</v>
      </c>
      <c r="BD114" s="1">
        <f t="shared" ca="1" si="57"/>
        <v>75748</v>
      </c>
      <c r="BE114" s="1">
        <f t="shared" ca="1" si="57"/>
        <v>76163</v>
      </c>
      <c r="BF114" s="1">
        <f t="shared" ca="1" si="57"/>
        <v>76729</v>
      </c>
      <c r="BG114" s="1">
        <f t="shared" ca="1" si="57"/>
        <v>76919</v>
      </c>
      <c r="BH114" s="1">
        <f t="shared" ca="1" si="57"/>
        <v>77031</v>
      </c>
      <c r="BI114" s="1">
        <f t="shared" ca="1" si="57"/>
        <v>77145</v>
      </c>
      <c r="BJ114" s="1">
        <f t="shared" ca="1" si="57"/>
        <v>77288</v>
      </c>
      <c r="BK114" s="1">
        <f t="shared" ca="1" si="57"/>
        <v>77437</v>
      </c>
      <c r="BL114" s="1">
        <f t="shared" ca="1" si="57"/>
        <v>77511</v>
      </c>
      <c r="BM114" s="1">
        <f t="shared" ca="1" si="57"/>
        <v>77549</v>
      </c>
      <c r="BN114" s="1">
        <f t="shared" ca="1" si="57"/>
        <v>77586</v>
      </c>
      <c r="BO114" s="1">
        <f t="shared" ca="1" si="57"/>
        <v>77606</v>
      </c>
      <c r="BP114" s="1">
        <f t="shared" ca="1" si="57"/>
        <v>77636</v>
      </c>
      <c r="BQ114" s="1">
        <f t="shared" ref="BQ114:BU114" ca="1" si="58">BQ74-BQ64</f>
        <v>77641</v>
      </c>
      <c r="BR114" s="1">
        <f t="shared" ca="1" si="58"/>
        <v>77649</v>
      </c>
      <c r="BS114" s="1">
        <f t="shared" ca="1" si="58"/>
        <v>77678</v>
      </c>
      <c r="BT114" s="1">
        <f t="shared" ca="1" si="58"/>
        <v>77699</v>
      </c>
      <c r="BU114" s="1">
        <f t="shared" ca="1" si="58"/>
        <v>77725</v>
      </c>
      <c r="BV114" s="1">
        <f t="shared" ref="BV114:CO114" ca="1" si="59">BV74-BV64</f>
        <v>77749</v>
      </c>
      <c r="BW114" s="1">
        <f t="shared" ca="1" si="59"/>
        <v>77786</v>
      </c>
      <c r="BX114" s="1">
        <f t="shared" ca="1" si="59"/>
        <v>77834</v>
      </c>
      <c r="BY114" s="1">
        <f t="shared" ca="1" si="59"/>
        <v>77924</v>
      </c>
      <c r="BZ114" s="1">
        <f t="shared" ca="1" si="59"/>
        <v>77975</v>
      </c>
      <c r="CA114" s="1">
        <f t="shared" ca="1" si="59"/>
        <v>78102</v>
      </c>
      <c r="CB114" s="1">
        <f t="shared" ca="1" si="59"/>
        <v>78163</v>
      </c>
      <c r="CC114" s="1">
        <f t="shared" ca="1" si="59"/>
        <v>78256</v>
      </c>
      <c r="CD114" s="1">
        <f t="shared" ca="1" si="59"/>
        <v>78324</v>
      </c>
      <c r="CE114" s="1">
        <f t="shared" ca="1" si="59"/>
        <v>78443</v>
      </c>
      <c r="CF114" s="1">
        <f t="shared" ca="1" si="59"/>
        <v>78557</v>
      </c>
      <c r="CG114" s="1">
        <f t="shared" ca="1" si="59"/>
        <v>78656</v>
      </c>
      <c r="CH114" s="1">
        <f t="shared" ca="1" si="59"/>
        <v>78779</v>
      </c>
      <c r="CI114" s="1">
        <f t="shared" ca="1" si="59"/>
        <v>78853</v>
      </c>
      <c r="CJ114" s="1">
        <f t="shared" ca="1" si="59"/>
        <v>78934</v>
      </c>
      <c r="CK114" s="1">
        <f t="shared" ca="1" si="59"/>
        <v>79015</v>
      </c>
      <c r="CL114" s="1">
        <f t="shared" ca="1" si="59"/>
        <v>79086</v>
      </c>
      <c r="CM114" s="1">
        <f t="shared" ca="1" si="59"/>
        <v>77875</v>
      </c>
      <c r="CN114" s="1">
        <f t="shared" ca="1" si="59"/>
        <v>0</v>
      </c>
      <c r="CO114" s="1">
        <f t="shared" ca="1" si="59"/>
        <v>0</v>
      </c>
    </row>
    <row r="115" spans="1:93" x14ac:dyDescent="0.25">
      <c r="C115" s="1" t="str">
        <f t="shared" si="51"/>
        <v>Belgium</v>
      </c>
      <c r="D115" t="str">
        <f>D114</f>
        <v>Recovered not reported</v>
      </c>
      <c r="E115" s="1">
        <f t="shared" ref="E115:AJ115" ca="1" si="60">E75-E65</f>
        <v>0</v>
      </c>
      <c r="F115" s="1">
        <f t="shared" ca="1" si="60"/>
        <v>0</v>
      </c>
      <c r="G115" s="1">
        <f t="shared" ca="1" si="60"/>
        <v>0</v>
      </c>
      <c r="H115" s="1">
        <f t="shared" ca="1" si="60"/>
        <v>0</v>
      </c>
      <c r="I115" s="1">
        <f t="shared" ca="1" si="60"/>
        <v>0</v>
      </c>
      <c r="J115" s="1">
        <f t="shared" ca="1" si="60"/>
        <v>0</v>
      </c>
      <c r="K115" s="1">
        <f t="shared" ca="1" si="60"/>
        <v>0</v>
      </c>
      <c r="L115" s="1">
        <f t="shared" ca="1" si="60"/>
        <v>0</v>
      </c>
      <c r="M115" s="1">
        <f t="shared" ca="1" si="60"/>
        <v>0</v>
      </c>
      <c r="N115" s="1">
        <f t="shared" ca="1" si="60"/>
        <v>0</v>
      </c>
      <c r="O115" s="1">
        <f t="shared" ca="1" si="60"/>
        <v>0</v>
      </c>
      <c r="P115" s="1">
        <f t="shared" ca="1" si="60"/>
        <v>0</v>
      </c>
      <c r="Q115" s="1">
        <f t="shared" ca="1" si="60"/>
        <v>0</v>
      </c>
      <c r="R115" s="1">
        <f t="shared" ca="1" si="60"/>
        <v>0</v>
      </c>
      <c r="S115" s="1">
        <f t="shared" ca="1" si="60"/>
        <v>0</v>
      </c>
      <c r="T115" s="1">
        <f t="shared" ca="1" si="60"/>
        <v>0</v>
      </c>
      <c r="U115" s="1">
        <f t="shared" ca="1" si="60"/>
        <v>0</v>
      </c>
      <c r="V115" s="1">
        <f t="shared" ca="1" si="60"/>
        <v>0</v>
      </c>
      <c r="W115" s="1">
        <f t="shared" ca="1" si="60"/>
        <v>0</v>
      </c>
      <c r="X115" s="1">
        <f t="shared" ca="1" si="60"/>
        <v>0</v>
      </c>
      <c r="Y115" s="1">
        <f t="shared" ca="1" si="60"/>
        <v>0</v>
      </c>
      <c r="Z115" s="1">
        <f t="shared" ca="1" si="60"/>
        <v>0</v>
      </c>
      <c r="AA115" s="1">
        <f t="shared" ca="1" si="60"/>
        <v>0</v>
      </c>
      <c r="AB115" s="1">
        <f t="shared" ca="1" si="60"/>
        <v>0</v>
      </c>
      <c r="AC115" s="1">
        <f t="shared" ca="1" si="60"/>
        <v>0</v>
      </c>
      <c r="AD115" s="1">
        <f t="shared" ca="1" si="60"/>
        <v>0</v>
      </c>
      <c r="AE115" s="1">
        <f t="shared" ca="1" si="60"/>
        <v>0</v>
      </c>
      <c r="AF115" s="1">
        <f t="shared" ca="1" si="60"/>
        <v>1</v>
      </c>
      <c r="AG115" s="1">
        <f t="shared" ca="1" si="60"/>
        <v>1</v>
      </c>
      <c r="AH115" s="1">
        <f t="shared" ca="1" si="60"/>
        <v>1</v>
      </c>
      <c r="AI115" s="1">
        <f t="shared" ca="1" si="60"/>
        <v>1</v>
      </c>
      <c r="AJ115" s="1">
        <f t="shared" ca="1" si="60"/>
        <v>1</v>
      </c>
      <c r="AK115" s="1">
        <f t="shared" ref="AK115:BP115" ca="1" si="61">AK75-AK65</f>
        <v>1</v>
      </c>
      <c r="AL115" s="1">
        <f t="shared" ca="1" si="61"/>
        <v>1</v>
      </c>
      <c r="AM115" s="1">
        <f t="shared" ca="1" si="61"/>
        <v>1</v>
      </c>
      <c r="AN115" s="1">
        <f t="shared" ca="1" si="61"/>
        <v>1</v>
      </c>
      <c r="AO115" s="1">
        <f t="shared" ca="1" si="61"/>
        <v>1</v>
      </c>
      <c r="AP115" s="1">
        <f t="shared" ca="1" si="61"/>
        <v>1</v>
      </c>
      <c r="AQ115" s="1">
        <f t="shared" ca="1" si="61"/>
        <v>1</v>
      </c>
      <c r="AR115" s="1">
        <f t="shared" ca="1" si="61"/>
        <v>1</v>
      </c>
      <c r="AS115" s="1">
        <f t="shared" ca="1" si="61"/>
        <v>1</v>
      </c>
      <c r="AT115" s="1">
        <f t="shared" ca="1" si="61"/>
        <v>1</v>
      </c>
      <c r="AU115" s="1">
        <f t="shared" ca="1" si="61"/>
        <v>1</v>
      </c>
      <c r="AV115" s="1">
        <f t="shared" ca="1" si="61"/>
        <v>1</v>
      </c>
      <c r="AW115" s="1">
        <f t="shared" ca="1" si="61"/>
        <v>1</v>
      </c>
      <c r="AX115" s="1">
        <f t="shared" ca="1" si="61"/>
        <v>1</v>
      </c>
      <c r="AY115" s="1">
        <f t="shared" ca="1" si="61"/>
        <v>1</v>
      </c>
      <c r="AZ115" s="1">
        <f t="shared" ca="1" si="61"/>
        <v>1</v>
      </c>
      <c r="BA115" s="1">
        <f t="shared" ca="1" si="61"/>
        <v>1</v>
      </c>
      <c r="BB115" s="1">
        <f t="shared" ca="1" si="61"/>
        <v>0</v>
      </c>
      <c r="BC115" s="1">
        <f t="shared" ca="1" si="61"/>
        <v>0</v>
      </c>
      <c r="BD115" s="1">
        <f t="shared" ca="1" si="61"/>
        <v>0</v>
      </c>
      <c r="BE115" s="1">
        <f t="shared" ca="1" si="61"/>
        <v>0</v>
      </c>
      <c r="BF115" s="1">
        <f t="shared" ca="1" si="61"/>
        <v>0</v>
      </c>
      <c r="BG115" s="1">
        <f t="shared" ca="1" si="61"/>
        <v>3</v>
      </c>
      <c r="BH115" s="1">
        <f t="shared" ca="1" si="61"/>
        <v>3</v>
      </c>
      <c r="BI115" s="1">
        <f t="shared" ca="1" si="61"/>
        <v>9</v>
      </c>
      <c r="BJ115" s="1">
        <f t="shared" ca="1" si="61"/>
        <v>29</v>
      </c>
      <c r="BK115" s="1">
        <f t="shared" ca="1" si="61"/>
        <v>72</v>
      </c>
      <c r="BL115" s="1">
        <f t="shared" ca="1" si="61"/>
        <v>102</v>
      </c>
      <c r="BM115" s="1">
        <f t="shared" ca="1" si="61"/>
        <v>125</v>
      </c>
      <c r="BN115" s="1">
        <f t="shared" ca="1" si="61"/>
        <v>151</v>
      </c>
      <c r="BO115" s="1">
        <f t="shared" ca="1" si="61"/>
        <v>145</v>
      </c>
      <c r="BP115" s="1">
        <f t="shared" ca="1" si="61"/>
        <v>136</v>
      </c>
      <c r="BQ115" s="1">
        <f t="shared" ref="BQ115:BU115" ca="1" si="62">BQ75-BQ65</f>
        <v>216.5</v>
      </c>
      <c r="BR115" s="1">
        <f t="shared" ca="1" si="62"/>
        <v>270</v>
      </c>
      <c r="BS115" s="1">
        <f t="shared" ca="1" si="62"/>
        <v>336</v>
      </c>
      <c r="BT115" s="1">
        <f t="shared" ca="1" si="62"/>
        <v>455</v>
      </c>
      <c r="BU115" s="1">
        <f t="shared" ca="1" si="62"/>
        <v>545</v>
      </c>
      <c r="BV115" s="1">
        <f t="shared" ref="BV115:CO115" ca="1" si="63">BV75-BV65</f>
        <v>538</v>
      </c>
      <c r="BW115" s="1">
        <f t="shared" ca="1" si="63"/>
        <v>658</v>
      </c>
      <c r="BX115" s="1">
        <f t="shared" ca="1" si="63"/>
        <v>784</v>
      </c>
      <c r="BY115" s="1">
        <f t="shared" ca="1" si="63"/>
        <v>1114</v>
      </c>
      <c r="BZ115" s="1">
        <f t="shared" ca="1" si="63"/>
        <v>1532</v>
      </c>
      <c r="CA115" s="1">
        <f t="shared" ca="1" si="63"/>
        <v>1954</v>
      </c>
      <c r="CB115" s="1">
        <f t="shared" ca="1" si="63"/>
        <v>2111</v>
      </c>
      <c r="CC115" s="1">
        <f t="shared" ca="1" si="63"/>
        <v>2234</v>
      </c>
      <c r="CD115" s="1">
        <f t="shared" ca="1" si="63"/>
        <v>2697</v>
      </c>
      <c r="CE115" s="1">
        <f t="shared" ca="1" si="63"/>
        <v>3712</v>
      </c>
      <c r="CF115" s="1">
        <f t="shared" ca="1" si="63"/>
        <v>4265</v>
      </c>
      <c r="CG115" s="1">
        <f t="shared" ca="1" si="63"/>
        <v>5788</v>
      </c>
      <c r="CH115" s="1">
        <f t="shared" ca="1" si="63"/>
        <v>7236</v>
      </c>
      <c r="CI115" s="1">
        <f t="shared" ca="1" si="63"/>
        <v>7996</v>
      </c>
      <c r="CJ115" s="1">
        <f t="shared" ca="1" si="63"/>
        <v>8618</v>
      </c>
      <c r="CK115" s="1">
        <f t="shared" ca="1" si="63"/>
        <v>9524</v>
      </c>
      <c r="CL115" s="1">
        <f t="shared" ca="1" si="63"/>
        <v>10491</v>
      </c>
      <c r="CM115" s="1">
        <f t="shared" ca="1" si="63"/>
        <v>11607</v>
      </c>
      <c r="CN115" s="1">
        <f t="shared" ca="1" si="63"/>
        <v>0</v>
      </c>
      <c r="CO115" s="1">
        <f t="shared" ca="1" si="63"/>
        <v>0</v>
      </c>
    </row>
    <row r="116" spans="1:93" x14ac:dyDescent="0.25">
      <c r="C116" s="1" t="str">
        <f t="shared" si="51"/>
        <v>Italy</v>
      </c>
      <c r="D116" t="str">
        <f>D115</f>
        <v>Recovered not reported</v>
      </c>
      <c r="E116" s="1">
        <f t="shared" ref="E116:AJ116" ca="1" si="64">E76-E66</f>
        <v>0</v>
      </c>
      <c r="F116" s="1">
        <f t="shared" ca="1" si="64"/>
        <v>0</v>
      </c>
      <c r="G116" s="1">
        <f t="shared" ca="1" si="64"/>
        <v>0</v>
      </c>
      <c r="H116" s="1">
        <f t="shared" ca="1" si="64"/>
        <v>0</v>
      </c>
      <c r="I116" s="1">
        <f t="shared" ca="1" si="64"/>
        <v>0</v>
      </c>
      <c r="J116" s="1">
        <f t="shared" ca="1" si="64"/>
        <v>0</v>
      </c>
      <c r="K116" s="1">
        <f t="shared" ca="1" si="64"/>
        <v>0</v>
      </c>
      <c r="L116" s="1">
        <f t="shared" ca="1" si="64"/>
        <v>0</v>
      </c>
      <c r="M116" s="1">
        <f t="shared" ca="1" si="64"/>
        <v>0</v>
      </c>
      <c r="N116" s="1">
        <f t="shared" ca="1" si="64"/>
        <v>0</v>
      </c>
      <c r="O116" s="1">
        <f t="shared" ca="1" si="64"/>
        <v>0</v>
      </c>
      <c r="P116" s="1">
        <f t="shared" ca="1" si="64"/>
        <v>0</v>
      </c>
      <c r="Q116" s="1">
        <f t="shared" ca="1" si="64"/>
        <v>0</v>
      </c>
      <c r="R116" s="1">
        <f t="shared" ca="1" si="64"/>
        <v>0</v>
      </c>
      <c r="S116" s="1">
        <f t="shared" ca="1" si="64"/>
        <v>0</v>
      </c>
      <c r="T116" s="1">
        <f t="shared" ca="1" si="64"/>
        <v>0</v>
      </c>
      <c r="U116" s="1">
        <f t="shared" ca="1" si="64"/>
        <v>0</v>
      </c>
      <c r="V116" s="1">
        <f t="shared" ca="1" si="64"/>
        <v>0</v>
      </c>
      <c r="W116" s="1">
        <f t="shared" ca="1" si="64"/>
        <v>0</v>
      </c>
      <c r="X116" s="1">
        <f t="shared" ca="1" si="64"/>
        <v>0</v>
      </c>
      <c r="Y116" s="1">
        <f t="shared" ca="1" si="64"/>
        <v>0</v>
      </c>
      <c r="Z116" s="1">
        <f t="shared" ca="1" si="64"/>
        <v>0</v>
      </c>
      <c r="AA116" s="1">
        <f t="shared" ca="1" si="64"/>
        <v>0</v>
      </c>
      <c r="AB116" s="1">
        <f t="shared" ca="1" si="64"/>
        <v>2</v>
      </c>
      <c r="AC116" s="1">
        <f t="shared" ca="1" si="64"/>
        <v>2</v>
      </c>
      <c r="AD116" s="1">
        <f t="shared" ca="1" si="64"/>
        <v>2</v>
      </c>
      <c r="AE116" s="1">
        <f t="shared" ca="1" si="64"/>
        <v>2</v>
      </c>
      <c r="AF116" s="1">
        <f t="shared" ca="1" si="64"/>
        <v>2</v>
      </c>
      <c r="AG116" s="1">
        <f t="shared" ca="1" si="64"/>
        <v>2</v>
      </c>
      <c r="AH116" s="1">
        <f t="shared" ca="1" si="64"/>
        <v>2</v>
      </c>
      <c r="AI116" s="1">
        <f t="shared" ca="1" si="64"/>
        <v>2</v>
      </c>
      <c r="AJ116" s="1">
        <f t="shared" ca="1" si="64"/>
        <v>1</v>
      </c>
      <c r="AK116" s="1">
        <f t="shared" ref="AK116:BP116" ca="1" si="65">AK76-AK66</f>
        <v>0</v>
      </c>
      <c r="AL116" s="1">
        <f t="shared" ca="1" si="65"/>
        <v>0</v>
      </c>
      <c r="AM116" s="1">
        <f t="shared" ca="1" si="65"/>
        <v>0</v>
      </c>
      <c r="AN116" s="1">
        <f t="shared" ca="1" si="65"/>
        <v>0</v>
      </c>
      <c r="AO116" s="1">
        <f t="shared" ca="1" si="65"/>
        <v>0</v>
      </c>
      <c r="AP116" s="1">
        <f t="shared" ca="1" si="65"/>
        <v>0</v>
      </c>
      <c r="AQ116" s="1">
        <f t="shared" ca="1" si="65"/>
        <v>0</v>
      </c>
      <c r="AR116" s="1">
        <f t="shared" ca="1" si="65"/>
        <v>0</v>
      </c>
      <c r="AS116" s="1">
        <f t="shared" ca="1" si="65"/>
        <v>0</v>
      </c>
      <c r="AT116" s="1">
        <f t="shared" ca="1" si="65"/>
        <v>0</v>
      </c>
      <c r="AU116" s="1">
        <f t="shared" ca="1" si="65"/>
        <v>0</v>
      </c>
      <c r="AV116" s="1">
        <f t="shared" ca="1" si="65"/>
        <v>0</v>
      </c>
      <c r="AW116" s="1">
        <f t="shared" ca="1" si="65"/>
        <v>0</v>
      </c>
      <c r="AX116" s="1">
        <f t="shared" ca="1" si="65"/>
        <v>0</v>
      </c>
      <c r="AY116" s="1">
        <f t="shared" ca="1" si="65"/>
        <v>0</v>
      </c>
      <c r="AZ116" s="1">
        <f t="shared" ca="1" si="65"/>
        <v>0</v>
      </c>
      <c r="BA116" s="1">
        <f t="shared" ca="1" si="65"/>
        <v>0</v>
      </c>
      <c r="BB116" s="1">
        <f t="shared" ca="1" si="65"/>
        <v>0</v>
      </c>
      <c r="BC116" s="1">
        <f t="shared" ca="1" si="65"/>
        <v>0</v>
      </c>
      <c r="BD116" s="1">
        <f t="shared" ca="1" si="65"/>
        <v>0</v>
      </c>
      <c r="BE116" s="1">
        <f t="shared" ca="1" si="65"/>
        <v>0</v>
      </c>
      <c r="BF116" s="1">
        <f t="shared" ca="1" si="65"/>
        <v>0</v>
      </c>
      <c r="BG116" s="1">
        <f t="shared" ca="1" si="65"/>
        <v>0</v>
      </c>
      <c r="BH116" s="1">
        <f t="shared" ca="1" si="65"/>
        <v>0</v>
      </c>
      <c r="BI116" s="1">
        <f t="shared" ca="1" si="65"/>
        <v>111</v>
      </c>
      <c r="BJ116" s="1">
        <f t="shared" ca="1" si="65"/>
        <v>453</v>
      </c>
      <c r="BK116" s="1">
        <f t="shared" ca="1" si="65"/>
        <v>604</v>
      </c>
      <c r="BL116" s="1">
        <f t="shared" ca="1" si="65"/>
        <v>1058</v>
      </c>
      <c r="BM116" s="1">
        <f t="shared" ca="1" si="65"/>
        <v>1899</v>
      </c>
      <c r="BN116" s="1">
        <f t="shared" ca="1" si="65"/>
        <v>3095</v>
      </c>
      <c r="BO116" s="1">
        <f t="shared" ca="1" si="65"/>
        <v>3329</v>
      </c>
      <c r="BP116" s="1">
        <f t="shared" ca="1" si="65"/>
        <v>4959</v>
      </c>
      <c r="BQ116" s="1">
        <f t="shared" ref="BQ116:BU116" ca="1" si="66">BQ76-BQ66</f>
        <v>6846</v>
      </c>
      <c r="BR116" s="1">
        <f t="shared" ca="1" si="66"/>
        <v>8526</v>
      </c>
      <c r="BS116" s="1">
        <f t="shared" ca="1" si="66"/>
        <v>11134</v>
      </c>
      <c r="BT116" s="1">
        <f t="shared" ca="1" si="66"/>
        <v>13968</v>
      </c>
      <c r="BU116" s="1">
        <f t="shared" ca="1" si="66"/>
        <v>16389</v>
      </c>
      <c r="BV116" s="1">
        <f t="shared" ref="BV116:CO116" ca="1" si="67">BV76-BV66</f>
        <v>19078</v>
      </c>
      <c r="BW116" s="1">
        <f t="shared" ca="1" si="67"/>
        <v>22558</v>
      </c>
      <c r="BX116" s="1">
        <f t="shared" ca="1" si="67"/>
        <v>27120</v>
      </c>
      <c r="BY116" s="1">
        <f t="shared" ca="1" si="67"/>
        <v>32340</v>
      </c>
      <c r="BZ116" s="1">
        <f t="shared" ca="1" si="67"/>
        <v>38216</v>
      </c>
      <c r="CA116" s="1">
        <f t="shared" ca="1" si="67"/>
        <v>43251</v>
      </c>
      <c r="CB116" s="1">
        <f t="shared" ca="1" si="67"/>
        <v>47404</v>
      </c>
      <c r="CC116" s="1">
        <f t="shared" ca="1" si="67"/>
        <v>52049</v>
      </c>
      <c r="CD116" s="1">
        <f t="shared" ca="1" si="67"/>
        <v>56717</v>
      </c>
      <c r="CE116" s="1">
        <f t="shared" ca="1" si="67"/>
        <v>62310</v>
      </c>
      <c r="CF116" s="1">
        <f t="shared" ca="1" si="67"/>
        <v>67649</v>
      </c>
      <c r="CG116" s="1">
        <f t="shared" ca="1" si="67"/>
        <v>73004</v>
      </c>
      <c r="CH116" s="1">
        <f t="shared" ca="1" si="67"/>
        <v>77790</v>
      </c>
      <c r="CI116" s="1">
        <f t="shared" ca="1" si="67"/>
        <v>81274</v>
      </c>
      <c r="CJ116" s="1">
        <f t="shared" ca="1" si="67"/>
        <v>84725</v>
      </c>
      <c r="CK116" s="1">
        <f t="shared" ca="1" si="67"/>
        <v>88929</v>
      </c>
      <c r="CL116" s="1">
        <f t="shared" ca="1" si="67"/>
        <v>93072</v>
      </c>
      <c r="CM116" s="1">
        <f t="shared" ca="1" si="67"/>
        <v>97082</v>
      </c>
      <c r="CN116" s="1">
        <f t="shared" ca="1" si="67"/>
        <v>0</v>
      </c>
      <c r="CO116" s="1">
        <f t="shared" ca="1" si="67"/>
        <v>0</v>
      </c>
    </row>
    <row r="117" spans="1:93" x14ac:dyDescent="0.25">
      <c r="C117" s="1" t="str">
        <f t="shared" si="51"/>
        <v>France</v>
      </c>
      <c r="D117" t="str">
        <f t="shared" ref="D117:D120" si="68">D116</f>
        <v>Recovered not reported</v>
      </c>
      <c r="E117" s="1">
        <f t="shared" ref="E117:BP117" ca="1" si="69">E77-E67</f>
        <v>0</v>
      </c>
      <c r="F117" s="1">
        <f t="shared" ca="1" si="69"/>
        <v>0</v>
      </c>
      <c r="G117" s="1">
        <f t="shared" ca="1" si="69"/>
        <v>0</v>
      </c>
      <c r="H117" s="1">
        <f t="shared" ca="1" si="69"/>
        <v>0</v>
      </c>
      <c r="I117" s="1">
        <f t="shared" ca="1" si="69"/>
        <v>0</v>
      </c>
      <c r="J117" s="1">
        <f t="shared" ca="1" si="69"/>
        <v>0</v>
      </c>
      <c r="K117" s="1">
        <f t="shared" ca="1" si="69"/>
        <v>0</v>
      </c>
      <c r="L117" s="1">
        <f t="shared" ca="1" si="69"/>
        <v>0</v>
      </c>
      <c r="M117" s="1">
        <f t="shared" ca="1" si="69"/>
        <v>0</v>
      </c>
      <c r="N117" s="1">
        <f t="shared" ca="1" si="69"/>
        <v>0</v>
      </c>
      <c r="O117" s="1">
        <f t="shared" ca="1" si="69"/>
        <v>0</v>
      </c>
      <c r="P117" s="1">
        <f t="shared" ca="1" si="69"/>
        <v>0</v>
      </c>
      <c r="Q117" s="1">
        <f t="shared" ca="1" si="69"/>
        <v>0</v>
      </c>
      <c r="R117" s="1">
        <f t="shared" ca="1" si="69"/>
        <v>0</v>
      </c>
      <c r="S117" s="1">
        <f t="shared" ca="1" si="69"/>
        <v>0</v>
      </c>
      <c r="T117" s="1">
        <f t="shared" ca="1" si="69"/>
        <v>0</v>
      </c>
      <c r="U117" s="1">
        <f t="shared" ca="1" si="69"/>
        <v>2</v>
      </c>
      <c r="V117" s="1">
        <f t="shared" ca="1" si="69"/>
        <v>3</v>
      </c>
      <c r="W117" s="1">
        <f t="shared" ca="1" si="69"/>
        <v>3</v>
      </c>
      <c r="X117" s="1">
        <f t="shared" ca="1" si="69"/>
        <v>3</v>
      </c>
      <c r="Y117" s="1">
        <f t="shared" ca="1" si="69"/>
        <v>4</v>
      </c>
      <c r="Z117" s="1">
        <f t="shared" ca="1" si="69"/>
        <v>5</v>
      </c>
      <c r="AA117" s="1">
        <f t="shared" ca="1" si="69"/>
        <v>5.3333333332999997</v>
      </c>
      <c r="AB117" s="1">
        <f t="shared" ca="1" si="69"/>
        <v>5.6666666667000003</v>
      </c>
      <c r="AC117" s="1">
        <f t="shared" ca="1" si="69"/>
        <v>5</v>
      </c>
      <c r="AD117" s="1">
        <f t="shared" ca="1" si="69"/>
        <v>5.7142857142999999</v>
      </c>
      <c r="AE117" s="1">
        <f t="shared" ca="1" si="69"/>
        <v>6.4285714285999997</v>
      </c>
      <c r="AF117" s="1">
        <f t="shared" ca="1" si="69"/>
        <v>7.1428571428999996</v>
      </c>
      <c r="AG117" s="1">
        <f t="shared" ca="1" si="69"/>
        <v>7.8571428571000004</v>
      </c>
      <c r="AH117" s="1">
        <f t="shared" ca="1" si="69"/>
        <v>8.5714285714000003</v>
      </c>
      <c r="AI117" s="1">
        <f t="shared" ca="1" si="69"/>
        <v>9.2857142856999992</v>
      </c>
      <c r="AJ117" s="1">
        <f t="shared" ca="1" si="69"/>
        <v>10</v>
      </c>
      <c r="AK117" s="1">
        <f t="shared" ca="1" si="69"/>
        <v>10.142857142900001</v>
      </c>
      <c r="AL117" s="1">
        <f t="shared" ca="1" si="69"/>
        <v>10.285714285699999</v>
      </c>
      <c r="AM117" s="1">
        <f t="shared" ca="1" si="69"/>
        <v>10.4285714286</v>
      </c>
      <c r="AN117" s="1">
        <f t="shared" ca="1" si="69"/>
        <v>9.5714285714000003</v>
      </c>
      <c r="AO117" s="1">
        <f t="shared" ca="1" si="69"/>
        <v>9.7142857143000008</v>
      </c>
      <c r="AP117" s="1">
        <f t="shared" ca="1" si="69"/>
        <v>9.8571428570999995</v>
      </c>
      <c r="AQ117" s="1">
        <f t="shared" ca="1" si="69"/>
        <v>10</v>
      </c>
      <c r="AR117" s="1">
        <f t="shared" ca="1" si="69"/>
        <v>10.199999999999999</v>
      </c>
      <c r="AS117" s="1">
        <f t="shared" ca="1" si="69"/>
        <v>9.4</v>
      </c>
      <c r="AT117" s="1">
        <f t="shared" ca="1" si="69"/>
        <v>8.6</v>
      </c>
      <c r="AU117" s="1">
        <f t="shared" ca="1" si="69"/>
        <v>8.8000000000000007</v>
      </c>
      <c r="AV117" s="1">
        <f t="shared" ca="1" si="69"/>
        <v>7</v>
      </c>
      <c r="AW117" s="1">
        <f t="shared" ca="1" si="69"/>
        <v>4.2</v>
      </c>
      <c r="AX117" s="1">
        <f t="shared" ca="1" si="69"/>
        <v>2.4</v>
      </c>
      <c r="AY117" s="1">
        <f t="shared" ca="1" si="69"/>
        <v>0</v>
      </c>
      <c r="AZ117" s="1">
        <f t="shared" ca="1" si="69"/>
        <v>0</v>
      </c>
      <c r="BA117" s="1">
        <f t="shared" ca="1" si="69"/>
        <v>0</v>
      </c>
      <c r="BB117" s="1">
        <f t="shared" ca="1" si="69"/>
        <v>0</v>
      </c>
      <c r="BC117" s="1">
        <f t="shared" ca="1" si="69"/>
        <v>0</v>
      </c>
      <c r="BD117" s="1">
        <f t="shared" ca="1" si="69"/>
        <v>0</v>
      </c>
      <c r="BE117" s="1">
        <f t="shared" ca="1" si="69"/>
        <v>9</v>
      </c>
      <c r="BF117" s="1">
        <f t="shared" ca="1" si="69"/>
        <v>39</v>
      </c>
      <c r="BG117" s="1">
        <f t="shared" ca="1" si="69"/>
        <v>43</v>
      </c>
      <c r="BH117" s="1">
        <f t="shared" ca="1" si="69"/>
        <v>56</v>
      </c>
      <c r="BI117" s="1">
        <f t="shared" ca="1" si="69"/>
        <v>137</v>
      </c>
      <c r="BJ117" s="1">
        <f t="shared" ca="1" si="69"/>
        <v>134</v>
      </c>
      <c r="BK117" s="1">
        <f t="shared" ca="1" si="69"/>
        <v>203</v>
      </c>
      <c r="BL117" s="1">
        <f t="shared" ca="1" si="69"/>
        <v>387</v>
      </c>
      <c r="BM117" s="1">
        <f t="shared" ca="1" si="69"/>
        <v>452</v>
      </c>
      <c r="BN117" s="1">
        <f t="shared" ca="1" si="69"/>
        <v>349</v>
      </c>
      <c r="BO117" s="1">
        <f t="shared" ca="1" si="69"/>
        <v>684</v>
      </c>
      <c r="BP117" s="1">
        <f t="shared" ca="1" si="69"/>
        <v>950</v>
      </c>
      <c r="BQ117" s="1">
        <f t="shared" ref="BQ117:CO117" ca="1" si="70">BQ77-BQ67</f>
        <v>1275</v>
      </c>
      <c r="BR117" s="1">
        <f t="shared" ca="1" si="70"/>
        <v>1666</v>
      </c>
      <c r="BS117" s="1">
        <f t="shared" ca="1" si="70"/>
        <v>2155</v>
      </c>
      <c r="BT117" s="1">
        <f t="shared" ca="1" si="70"/>
        <v>1893</v>
      </c>
      <c r="BU117" s="1">
        <f t="shared" ca="1" si="70"/>
        <v>3609</v>
      </c>
      <c r="BV117" s="1">
        <f t="shared" ca="1" si="70"/>
        <v>4129</v>
      </c>
      <c r="BW117" s="1">
        <f t="shared" ca="1" si="70"/>
        <v>4640</v>
      </c>
      <c r="BX117" s="1">
        <f t="shared" ca="1" si="70"/>
        <v>5484</v>
      </c>
      <c r="BY117" s="1">
        <f t="shared" ca="1" si="70"/>
        <v>6105</v>
      </c>
      <c r="BZ117" s="1">
        <f t="shared" ca="1" si="70"/>
        <v>6722</v>
      </c>
      <c r="CA117" s="1">
        <f t="shared" ca="1" si="70"/>
        <v>7940</v>
      </c>
      <c r="CB117" s="1">
        <f t="shared" ca="1" si="70"/>
        <v>10945</v>
      </c>
      <c r="CC117" s="1">
        <f t="shared" ca="1" si="70"/>
        <v>11976</v>
      </c>
      <c r="CD117" s="1">
        <f t="shared" ca="1" si="70"/>
        <v>14364</v>
      </c>
      <c r="CE117" s="1">
        <f t="shared" ca="1" si="70"/>
        <v>16945</v>
      </c>
      <c r="CF117" s="1">
        <f t="shared" ca="1" si="70"/>
        <v>19767</v>
      </c>
      <c r="CG117" s="1">
        <f t="shared" ca="1" si="70"/>
        <v>23743</v>
      </c>
      <c r="CH117" s="1">
        <f t="shared" ca="1" si="70"/>
        <v>25781</v>
      </c>
      <c r="CI117" s="1">
        <f t="shared" ca="1" si="70"/>
        <v>29583</v>
      </c>
      <c r="CJ117" s="1">
        <f t="shared" ca="1" si="70"/>
        <v>36399</v>
      </c>
      <c r="CK117" s="1">
        <f t="shared" ca="1" si="70"/>
        <v>39822</v>
      </c>
      <c r="CL117" s="1">
        <f t="shared" ca="1" si="70"/>
        <v>41185</v>
      </c>
      <c r="CM117" s="1">
        <f t="shared" ca="1" si="70"/>
        <v>45657</v>
      </c>
      <c r="CN117" s="1">
        <f t="shared" ca="1" si="70"/>
        <v>0</v>
      </c>
      <c r="CO117" s="1">
        <f t="shared" ca="1" si="70"/>
        <v>0</v>
      </c>
    </row>
    <row r="118" spans="1:93" x14ac:dyDescent="0.25">
      <c r="C118" s="1" t="str">
        <f t="shared" si="51"/>
        <v>Switzerland</v>
      </c>
      <c r="D118" t="str">
        <f t="shared" si="68"/>
        <v>Recovered not reported</v>
      </c>
      <c r="E118" s="1">
        <f t="shared" ref="E118:BP118" ca="1" si="71">E78-E68</f>
        <v>0</v>
      </c>
      <c r="F118" s="1">
        <f t="shared" ca="1" si="71"/>
        <v>0</v>
      </c>
      <c r="G118" s="1">
        <f t="shared" ca="1" si="71"/>
        <v>0</v>
      </c>
      <c r="H118" s="1">
        <f t="shared" ca="1" si="71"/>
        <v>0</v>
      </c>
      <c r="I118" s="1">
        <f t="shared" ca="1" si="71"/>
        <v>0</v>
      </c>
      <c r="J118" s="1">
        <f t="shared" ca="1" si="71"/>
        <v>0</v>
      </c>
      <c r="K118" s="1">
        <f t="shared" ca="1" si="71"/>
        <v>0</v>
      </c>
      <c r="L118" s="1">
        <f t="shared" ca="1" si="71"/>
        <v>0</v>
      </c>
      <c r="M118" s="1">
        <f t="shared" ca="1" si="71"/>
        <v>0</v>
      </c>
      <c r="N118" s="1">
        <f t="shared" ca="1" si="71"/>
        <v>0</v>
      </c>
      <c r="O118" s="1">
        <f t="shared" ca="1" si="71"/>
        <v>0</v>
      </c>
      <c r="P118" s="1">
        <f t="shared" ca="1" si="71"/>
        <v>0</v>
      </c>
      <c r="Q118" s="1">
        <f t="shared" ca="1" si="71"/>
        <v>0</v>
      </c>
      <c r="R118" s="1">
        <f t="shared" ca="1" si="71"/>
        <v>0</v>
      </c>
      <c r="S118" s="1">
        <f t="shared" ca="1" si="71"/>
        <v>0</v>
      </c>
      <c r="T118" s="1">
        <f t="shared" ca="1" si="71"/>
        <v>0</v>
      </c>
      <c r="U118" s="1">
        <f t="shared" ca="1" si="71"/>
        <v>0</v>
      </c>
      <c r="V118" s="1">
        <f t="shared" ca="1" si="71"/>
        <v>0</v>
      </c>
      <c r="W118" s="1">
        <f t="shared" ca="1" si="71"/>
        <v>0</v>
      </c>
      <c r="X118" s="1">
        <f t="shared" ca="1" si="71"/>
        <v>0</v>
      </c>
      <c r="Y118" s="1">
        <f t="shared" ca="1" si="71"/>
        <v>0</v>
      </c>
      <c r="Z118" s="1">
        <f t="shared" ca="1" si="71"/>
        <v>0</v>
      </c>
      <c r="AA118" s="1">
        <f t="shared" ca="1" si="71"/>
        <v>0</v>
      </c>
      <c r="AB118" s="1">
        <f t="shared" ca="1" si="71"/>
        <v>0</v>
      </c>
      <c r="AC118" s="1">
        <f t="shared" ca="1" si="71"/>
        <v>0</v>
      </c>
      <c r="AD118" s="1">
        <f t="shared" ca="1" si="71"/>
        <v>0</v>
      </c>
      <c r="AE118" s="1">
        <f t="shared" ca="1" si="71"/>
        <v>0</v>
      </c>
      <c r="AF118" s="1">
        <f t="shared" ca="1" si="71"/>
        <v>0</v>
      </c>
      <c r="AG118" s="1">
        <f t="shared" ca="1" si="71"/>
        <v>0</v>
      </c>
      <c r="AH118" s="1">
        <f t="shared" ca="1" si="71"/>
        <v>0</v>
      </c>
      <c r="AI118" s="1">
        <f t="shared" ca="1" si="71"/>
        <v>0</v>
      </c>
      <c r="AJ118" s="1">
        <f t="shared" ca="1" si="71"/>
        <v>0</v>
      </c>
      <c r="AK118" s="1">
        <f t="shared" ca="1" si="71"/>
        <v>0</v>
      </c>
      <c r="AL118" s="1">
        <f t="shared" ca="1" si="71"/>
        <v>0</v>
      </c>
      <c r="AM118" s="1">
        <f t="shared" ca="1" si="71"/>
        <v>0</v>
      </c>
      <c r="AN118" s="1">
        <f t="shared" ca="1" si="71"/>
        <v>0</v>
      </c>
      <c r="AO118" s="1">
        <f t="shared" ca="1" si="71"/>
        <v>0</v>
      </c>
      <c r="AP118" s="1">
        <f t="shared" ca="1" si="71"/>
        <v>0</v>
      </c>
      <c r="AQ118" s="1">
        <f t="shared" ca="1" si="71"/>
        <v>0</v>
      </c>
      <c r="AR118" s="1">
        <f t="shared" ca="1" si="71"/>
        <v>0</v>
      </c>
      <c r="AS118" s="1">
        <f t="shared" ca="1" si="71"/>
        <v>0</v>
      </c>
      <c r="AT118" s="1">
        <f t="shared" ca="1" si="71"/>
        <v>0</v>
      </c>
      <c r="AU118" s="1">
        <f t="shared" ca="1" si="71"/>
        <v>0</v>
      </c>
      <c r="AV118" s="1">
        <f t="shared" ca="1" si="71"/>
        <v>0</v>
      </c>
      <c r="AW118" s="1">
        <f t="shared" ca="1" si="71"/>
        <v>0</v>
      </c>
      <c r="AX118" s="1">
        <f t="shared" ca="1" si="71"/>
        <v>0</v>
      </c>
      <c r="AY118" s="1">
        <f t="shared" ca="1" si="71"/>
        <v>0</v>
      </c>
      <c r="AZ118" s="1">
        <f t="shared" ca="1" si="71"/>
        <v>0</v>
      </c>
      <c r="BA118" s="1">
        <f t="shared" ca="1" si="71"/>
        <v>0</v>
      </c>
      <c r="BB118" s="1">
        <f t="shared" ca="1" si="71"/>
        <v>0</v>
      </c>
      <c r="BC118" s="1">
        <f t="shared" ca="1" si="71"/>
        <v>4</v>
      </c>
      <c r="BD118" s="1">
        <f t="shared" ca="1" si="71"/>
        <v>2</v>
      </c>
      <c r="BE118" s="1">
        <f t="shared" ca="1" si="71"/>
        <v>5</v>
      </c>
      <c r="BF118" s="1">
        <f t="shared" ca="1" si="71"/>
        <v>13</v>
      </c>
      <c r="BG118" s="1">
        <f t="shared" ca="1" si="71"/>
        <v>28</v>
      </c>
      <c r="BH118" s="1">
        <f t="shared" ca="1" si="71"/>
        <v>29</v>
      </c>
      <c r="BI118" s="1">
        <f t="shared" ca="1" si="71"/>
        <v>62</v>
      </c>
      <c r="BJ118" s="1">
        <f t="shared" ca="1" si="71"/>
        <v>73</v>
      </c>
      <c r="BK118" s="1">
        <f t="shared" ca="1" si="71"/>
        <v>160</v>
      </c>
      <c r="BL118" s="1">
        <f t="shared" ca="1" si="71"/>
        <v>193</v>
      </c>
      <c r="BM118" s="1">
        <f t="shared" ca="1" si="71"/>
        <v>239</v>
      </c>
      <c r="BN118" s="1">
        <f t="shared" ca="1" si="71"/>
        <v>254</v>
      </c>
      <c r="BO118" s="1">
        <f t="shared" ca="1" si="71"/>
        <v>369</v>
      </c>
      <c r="BP118" s="1">
        <f t="shared" ca="1" si="71"/>
        <v>499</v>
      </c>
      <c r="BQ118" s="1">
        <f t="shared" ref="BQ118:CO118" ca="1" si="72">BQ78-BQ68</f>
        <v>704.5</v>
      </c>
      <c r="BR118" s="1">
        <f t="shared" ca="1" si="72"/>
        <v>908</v>
      </c>
      <c r="BS118" s="1">
        <f t="shared" ca="1" si="72"/>
        <v>1095</v>
      </c>
      <c r="BT118" s="1">
        <f t="shared" ca="1" si="72"/>
        <v>1900</v>
      </c>
      <c r="BU118" s="1">
        <f t="shared" ca="1" si="72"/>
        <v>2091</v>
      </c>
      <c r="BV118" s="1">
        <f t="shared" ca="1" si="72"/>
        <v>2267</v>
      </c>
      <c r="BW118" s="1">
        <f t="shared" ca="1" si="72"/>
        <v>2540</v>
      </c>
      <c r="BX118" s="1">
        <f t="shared" ca="1" si="72"/>
        <v>3539</v>
      </c>
      <c r="BY118" s="1">
        <f t="shared" ca="1" si="72"/>
        <v>4703</v>
      </c>
      <c r="BZ118" s="1">
        <f t="shared" ca="1" si="72"/>
        <v>5909</v>
      </c>
      <c r="CA118" s="1">
        <f t="shared" ca="1" si="72"/>
        <v>6759</v>
      </c>
      <c r="CB118" s="1">
        <f t="shared" ca="1" si="72"/>
        <v>8030</v>
      </c>
      <c r="CC118" s="1">
        <f t="shared" ca="1" si="72"/>
        <v>9056</v>
      </c>
      <c r="CD118" s="1">
        <f t="shared" ca="1" si="72"/>
        <v>10002</v>
      </c>
      <c r="CE118" s="1">
        <f t="shared" ca="1" si="72"/>
        <v>10863</v>
      </c>
      <c r="CF118" s="1">
        <f t="shared" ca="1" si="72"/>
        <v>11926</v>
      </c>
      <c r="CG118" s="1">
        <f t="shared" ca="1" si="72"/>
        <v>13040</v>
      </c>
      <c r="CH118" s="1">
        <f t="shared" ca="1" si="72"/>
        <v>13723</v>
      </c>
      <c r="CI118" s="1">
        <f t="shared" ca="1" si="72"/>
        <v>14784</v>
      </c>
      <c r="CJ118" s="1">
        <f t="shared" ca="1" si="72"/>
        <v>15431</v>
      </c>
      <c r="CK118" s="1">
        <f t="shared" ca="1" si="72"/>
        <v>16529</v>
      </c>
      <c r="CL118" s="1">
        <f t="shared" ca="1" si="72"/>
        <v>17546</v>
      </c>
      <c r="CM118" s="1">
        <f t="shared" ca="1" si="72"/>
        <v>18279</v>
      </c>
      <c r="CN118" s="1">
        <f t="shared" ca="1" si="72"/>
        <v>0</v>
      </c>
      <c r="CO118" s="1">
        <f t="shared" ca="1" si="72"/>
        <v>0</v>
      </c>
    </row>
    <row r="119" spans="1:93" x14ac:dyDescent="0.25">
      <c r="C119" s="1" t="str">
        <f t="shared" si="51"/>
        <v>Germany</v>
      </c>
      <c r="D119" t="str">
        <f t="shared" si="68"/>
        <v>Recovered not reported</v>
      </c>
      <c r="E119" s="1">
        <f t="shared" ref="E119:BP119" ca="1" si="73">E79-E69</f>
        <v>0</v>
      </c>
      <c r="F119" s="1">
        <f t="shared" ca="1" si="73"/>
        <v>0</v>
      </c>
      <c r="G119" s="1">
        <f t="shared" ca="1" si="73"/>
        <v>0</v>
      </c>
      <c r="H119" s="1">
        <f t="shared" ca="1" si="73"/>
        <v>0</v>
      </c>
      <c r="I119" s="1">
        <f t="shared" ca="1" si="73"/>
        <v>0</v>
      </c>
      <c r="J119" s="1">
        <f t="shared" ca="1" si="73"/>
        <v>0</v>
      </c>
      <c r="K119" s="1">
        <f t="shared" ca="1" si="73"/>
        <v>0</v>
      </c>
      <c r="L119" s="1">
        <f t="shared" ca="1" si="73"/>
        <v>0</v>
      </c>
      <c r="M119" s="1">
        <f t="shared" ca="1" si="73"/>
        <v>0</v>
      </c>
      <c r="N119" s="1">
        <f t="shared" ca="1" si="73"/>
        <v>0</v>
      </c>
      <c r="O119" s="1">
        <f t="shared" ca="1" si="73"/>
        <v>0</v>
      </c>
      <c r="P119" s="1">
        <f t="shared" ca="1" si="73"/>
        <v>0</v>
      </c>
      <c r="Q119" s="1">
        <f t="shared" ca="1" si="73"/>
        <v>0</v>
      </c>
      <c r="R119" s="1">
        <f t="shared" ca="1" si="73"/>
        <v>0</v>
      </c>
      <c r="S119" s="1">
        <f t="shared" ca="1" si="73"/>
        <v>0</v>
      </c>
      <c r="T119" s="1">
        <f t="shared" ca="1" si="73"/>
        <v>0</v>
      </c>
      <c r="U119" s="1">
        <f t="shared" ca="1" si="73"/>
        <v>0</v>
      </c>
      <c r="V119" s="1">
        <f t="shared" ca="1" si="73"/>
        <v>0</v>
      </c>
      <c r="W119" s="1">
        <f t="shared" ca="1" si="73"/>
        <v>0</v>
      </c>
      <c r="X119" s="1">
        <f t="shared" ca="1" si="73"/>
        <v>1</v>
      </c>
      <c r="Y119" s="1">
        <f t="shared" ca="1" si="73"/>
        <v>4</v>
      </c>
      <c r="Z119" s="1">
        <f t="shared" ca="1" si="73"/>
        <v>4.3333333332999997</v>
      </c>
      <c r="AA119" s="1">
        <f t="shared" ca="1" si="73"/>
        <v>4.6666666667000003</v>
      </c>
      <c r="AB119" s="1">
        <f t="shared" ca="1" si="73"/>
        <v>5</v>
      </c>
      <c r="AC119" s="1">
        <f t="shared" ca="1" si="73"/>
        <v>8</v>
      </c>
      <c r="AD119" s="1">
        <f t="shared" ca="1" si="73"/>
        <v>10</v>
      </c>
      <c r="AE119" s="1">
        <f t="shared" ca="1" si="73"/>
        <v>12</v>
      </c>
      <c r="AF119" s="1">
        <f t="shared" ca="1" si="73"/>
        <v>12.25</v>
      </c>
      <c r="AG119" s="1">
        <f t="shared" ca="1" si="73"/>
        <v>12.5</v>
      </c>
      <c r="AH119" s="1">
        <f t="shared" ca="1" si="73"/>
        <v>12.75</v>
      </c>
      <c r="AI119" s="1">
        <f t="shared" ca="1" si="73"/>
        <v>13</v>
      </c>
      <c r="AJ119" s="1">
        <f t="shared" ca="1" si="73"/>
        <v>13.5</v>
      </c>
      <c r="AK119" s="1">
        <f t="shared" ca="1" si="73"/>
        <v>14</v>
      </c>
      <c r="AL119" s="1">
        <f t="shared" ca="1" si="73"/>
        <v>15</v>
      </c>
      <c r="AM119" s="1">
        <f t="shared" ca="1" si="73"/>
        <v>16</v>
      </c>
      <c r="AN119" s="1">
        <f t="shared" ca="1" si="73"/>
        <v>16.071428571399998</v>
      </c>
      <c r="AO119" s="1">
        <f t="shared" ca="1" si="73"/>
        <v>16.142857142899999</v>
      </c>
      <c r="AP119" s="1">
        <f t="shared" ca="1" si="73"/>
        <v>16.214285714300001</v>
      </c>
      <c r="AQ119" s="1">
        <f t="shared" ca="1" si="73"/>
        <v>16.285714285699999</v>
      </c>
      <c r="AR119" s="1">
        <f t="shared" ca="1" si="73"/>
        <v>16.357142857100001</v>
      </c>
      <c r="AS119" s="1">
        <f t="shared" ca="1" si="73"/>
        <v>16.428571428600002</v>
      </c>
      <c r="AT119" s="1">
        <f t="shared" ca="1" si="73"/>
        <v>16.5</v>
      </c>
      <c r="AU119" s="1">
        <f t="shared" ca="1" si="73"/>
        <v>16.571428571399998</v>
      </c>
      <c r="AV119" s="1">
        <f t="shared" ca="1" si="73"/>
        <v>16.642857142899999</v>
      </c>
      <c r="AW119" s="1">
        <f t="shared" ca="1" si="73"/>
        <v>16.714285714300001</v>
      </c>
      <c r="AX119" s="1">
        <f t="shared" ca="1" si="73"/>
        <v>16.785714285699999</v>
      </c>
      <c r="AY119" s="1">
        <f t="shared" ca="1" si="73"/>
        <v>16.857142857100001</v>
      </c>
      <c r="AZ119" s="1">
        <f t="shared" ca="1" si="73"/>
        <v>14.9285714286</v>
      </c>
      <c r="BA119" s="1">
        <f t="shared" ca="1" si="73"/>
        <v>15</v>
      </c>
      <c r="BB119" s="1">
        <f t="shared" ca="1" si="73"/>
        <v>24</v>
      </c>
      <c r="BC119" s="1">
        <f t="shared" ca="1" si="73"/>
        <v>43</v>
      </c>
      <c r="BD119" s="1">
        <f t="shared" ca="1" si="73"/>
        <v>41</v>
      </c>
      <c r="BE119" s="1">
        <f t="shared" ca="1" si="73"/>
        <v>70</v>
      </c>
      <c r="BF119" s="1">
        <f t="shared" ca="1" si="73"/>
        <v>119</v>
      </c>
      <c r="BG119" s="1">
        <f t="shared" ca="1" si="73"/>
        <v>142</v>
      </c>
      <c r="BH119" s="1">
        <f t="shared" ca="1" si="73"/>
        <v>172</v>
      </c>
      <c r="BI119" s="1">
        <f t="shared" ca="1" si="73"/>
        <v>234</v>
      </c>
      <c r="BJ119" s="1">
        <f t="shared" ca="1" si="73"/>
        <v>438</v>
      </c>
      <c r="BK119" s="1">
        <f t="shared" ca="1" si="73"/>
        <v>603</v>
      </c>
      <c r="BL119" s="1">
        <f t="shared" ca="1" si="73"/>
        <v>715</v>
      </c>
      <c r="BM119" s="1">
        <f t="shared" ca="1" si="73"/>
        <v>946</v>
      </c>
      <c r="BN119" s="1">
        <f t="shared" ca="1" si="73"/>
        <v>1053</v>
      </c>
      <c r="BO119" s="1">
        <f t="shared" ca="1" si="73"/>
        <v>1300</v>
      </c>
      <c r="BP119" s="1">
        <f t="shared" ca="1" si="73"/>
        <v>1702</v>
      </c>
      <c r="BQ119" s="1">
        <f t="shared" ref="BQ119:CO119" ca="1" si="74">BQ79-BQ69</f>
        <v>1811</v>
      </c>
      <c r="BR119" s="1">
        <f t="shared" ca="1" si="74"/>
        <v>3333</v>
      </c>
      <c r="BS119" s="1">
        <f t="shared" ca="1" si="74"/>
        <v>4152</v>
      </c>
      <c r="BT119" s="1">
        <f t="shared" ca="1" si="74"/>
        <v>5262</v>
      </c>
      <c r="BU119" s="1">
        <f t="shared" ca="1" si="74"/>
        <v>6627</v>
      </c>
      <c r="BV119" s="1">
        <f t="shared" ca="1" si="74"/>
        <v>8482</v>
      </c>
      <c r="BW119" s="1">
        <f t="shared" ca="1" si="74"/>
        <v>11407</v>
      </c>
      <c r="BX119" s="1">
        <f t="shared" ca="1" si="74"/>
        <v>14213</v>
      </c>
      <c r="BY119" s="1">
        <f t="shared" ca="1" si="74"/>
        <v>18573</v>
      </c>
      <c r="BZ119" s="1">
        <f t="shared" ca="1" si="74"/>
        <v>20769</v>
      </c>
      <c r="CA119" s="1">
        <f t="shared" ca="1" si="74"/>
        <v>23289</v>
      </c>
      <c r="CB119" s="1">
        <f t="shared" ca="1" si="74"/>
        <v>27246</v>
      </c>
      <c r="CC119" s="1">
        <f t="shared" ca="1" si="74"/>
        <v>30970</v>
      </c>
      <c r="CD119" s="1">
        <f t="shared" ca="1" si="74"/>
        <v>34974</v>
      </c>
      <c r="CE119" s="1">
        <f t="shared" ca="1" si="74"/>
        <v>41331</v>
      </c>
      <c r="CF119" s="1">
        <f t="shared" ca="1" si="74"/>
        <v>48104</v>
      </c>
      <c r="CG119" s="1">
        <f t="shared" ca="1" si="74"/>
        <v>54959</v>
      </c>
      <c r="CH119" s="1">
        <f t="shared" ca="1" si="74"/>
        <v>59073</v>
      </c>
      <c r="CI119" s="1">
        <f t="shared" ca="1" si="74"/>
        <v>63691</v>
      </c>
      <c r="CJ119" s="1">
        <f t="shared" ca="1" si="74"/>
        <v>68514</v>
      </c>
      <c r="CK119" s="1">
        <f t="shared" ca="1" si="74"/>
        <v>74068</v>
      </c>
      <c r="CL119" s="1">
        <f t="shared" ca="1" si="74"/>
        <v>80742</v>
      </c>
      <c r="CM119" s="1">
        <f t="shared" ca="1" si="74"/>
        <v>86807</v>
      </c>
      <c r="CN119" s="1">
        <f t="shared" ca="1" si="74"/>
        <v>0</v>
      </c>
      <c r="CO119" s="1">
        <f t="shared" ca="1" si="74"/>
        <v>0</v>
      </c>
    </row>
    <row r="120" spans="1:93" x14ac:dyDescent="0.25">
      <c r="C120" s="1" t="str">
        <f t="shared" si="51"/>
        <v>Singapore</v>
      </c>
      <c r="D120" t="str">
        <f t="shared" si="68"/>
        <v>Recovered not reported</v>
      </c>
      <c r="E120" s="1">
        <f t="shared" ref="E120:BP120" ca="1" si="75">E80-E70</f>
        <v>0</v>
      </c>
      <c r="F120" s="1">
        <f t="shared" ca="1" si="75"/>
        <v>0</v>
      </c>
      <c r="G120" s="1">
        <f t="shared" ca="1" si="75"/>
        <v>0</v>
      </c>
      <c r="H120" s="1">
        <f t="shared" ca="1" si="75"/>
        <v>0</v>
      </c>
      <c r="I120" s="1">
        <f t="shared" ca="1" si="75"/>
        <v>0</v>
      </c>
      <c r="J120" s="1">
        <f t="shared" ca="1" si="75"/>
        <v>0</v>
      </c>
      <c r="K120" s="1">
        <f t="shared" ca="1" si="75"/>
        <v>0</v>
      </c>
      <c r="L120" s="1">
        <f t="shared" ca="1" si="75"/>
        <v>0</v>
      </c>
      <c r="M120" s="1">
        <f t="shared" ca="1" si="75"/>
        <v>0</v>
      </c>
      <c r="N120" s="1">
        <f t="shared" ca="1" si="75"/>
        <v>0</v>
      </c>
      <c r="O120" s="1">
        <f t="shared" ca="1" si="75"/>
        <v>0</v>
      </c>
      <c r="P120" s="1">
        <f t="shared" ca="1" si="75"/>
        <v>0</v>
      </c>
      <c r="Q120" s="1">
        <f t="shared" ca="1" si="75"/>
        <v>0</v>
      </c>
      <c r="R120" s="1">
        <f t="shared" ca="1" si="75"/>
        <v>0</v>
      </c>
      <c r="S120" s="1">
        <f t="shared" ca="1" si="75"/>
        <v>0</v>
      </c>
      <c r="T120" s="1">
        <f t="shared" ca="1" si="75"/>
        <v>1</v>
      </c>
      <c r="U120" s="1">
        <f t="shared" ca="1" si="75"/>
        <v>3</v>
      </c>
      <c r="V120" s="1">
        <f t="shared" ca="1" si="75"/>
        <v>3</v>
      </c>
      <c r="W120" s="1">
        <f t="shared" ca="1" si="75"/>
        <v>4</v>
      </c>
      <c r="X120" s="1">
        <f t="shared" ca="1" si="75"/>
        <v>5</v>
      </c>
      <c r="Y120" s="1">
        <f t="shared" ca="1" si="75"/>
        <v>7</v>
      </c>
      <c r="Z120" s="1">
        <f t="shared" ca="1" si="75"/>
        <v>8.5</v>
      </c>
      <c r="AA120" s="1">
        <f t="shared" ca="1" si="75"/>
        <v>10</v>
      </c>
      <c r="AB120" s="1">
        <f t="shared" ca="1" si="75"/>
        <v>13</v>
      </c>
      <c r="AC120" s="1">
        <f t="shared" ca="1" si="75"/>
        <v>16</v>
      </c>
      <c r="AD120" s="1">
        <f t="shared" ca="1" si="75"/>
        <v>18</v>
      </c>
      <c r="AE120" s="1">
        <f t="shared" ca="1" si="75"/>
        <v>21</v>
      </c>
      <c r="AF120" s="1">
        <f t="shared" ca="1" si="75"/>
        <v>24</v>
      </c>
      <c r="AG120" s="1">
        <f t="shared" ca="1" si="75"/>
        <v>28</v>
      </c>
      <c r="AH120" s="1">
        <f t="shared" ca="1" si="75"/>
        <v>29</v>
      </c>
      <c r="AI120" s="1">
        <f t="shared" ca="1" si="75"/>
        <v>30</v>
      </c>
      <c r="AJ120" s="1">
        <f t="shared" ca="1" si="75"/>
        <v>33</v>
      </c>
      <c r="AK120" s="1">
        <f t="shared" ca="1" si="75"/>
        <v>40</v>
      </c>
      <c r="AL120" s="1">
        <f t="shared" ca="1" si="75"/>
        <v>45</v>
      </c>
      <c r="AM120" s="1">
        <f t="shared" ca="1" si="75"/>
        <v>47</v>
      </c>
      <c r="AN120" s="1">
        <f t="shared" ca="1" si="75"/>
        <v>50</v>
      </c>
      <c r="AO120" s="1">
        <f t="shared" ca="1" si="75"/>
        <v>58</v>
      </c>
      <c r="AP120" s="1">
        <f t="shared" ca="1" si="75"/>
        <v>67</v>
      </c>
      <c r="AQ120" s="1">
        <f t="shared" ca="1" si="75"/>
        <v>72</v>
      </c>
      <c r="AR120" s="1">
        <f t="shared" ca="1" si="75"/>
        <v>75</v>
      </c>
      <c r="AS120" s="1">
        <f t="shared" ca="1" si="75"/>
        <v>77</v>
      </c>
      <c r="AT120" s="1">
        <f t="shared" ca="1" si="75"/>
        <v>81</v>
      </c>
      <c r="AU120" s="1">
        <f t="shared" ca="1" si="75"/>
        <v>84</v>
      </c>
      <c r="AV120" s="1">
        <f t="shared" ca="1" si="75"/>
        <v>84.5</v>
      </c>
      <c r="AW120" s="1">
        <f t="shared" ca="1" si="75"/>
        <v>85</v>
      </c>
      <c r="AX120" s="1">
        <f t="shared" ca="1" si="75"/>
        <v>87</v>
      </c>
      <c r="AY120" s="1">
        <f t="shared" ca="1" si="75"/>
        <v>89</v>
      </c>
      <c r="AZ120" s="1">
        <f t="shared" ca="1" si="75"/>
        <v>90</v>
      </c>
      <c r="BA120" s="1">
        <f t="shared" ca="1" si="75"/>
        <v>91</v>
      </c>
      <c r="BB120" s="1">
        <f t="shared" ca="1" si="75"/>
        <v>93</v>
      </c>
      <c r="BC120" s="1">
        <f t="shared" ca="1" si="75"/>
        <v>96</v>
      </c>
      <c r="BD120" s="1">
        <f t="shared" ca="1" si="75"/>
        <v>99</v>
      </c>
      <c r="BE120" s="1">
        <f t="shared" ca="1" si="75"/>
        <v>102</v>
      </c>
      <c r="BF120" s="1">
        <f t="shared" ca="1" si="75"/>
        <v>106</v>
      </c>
      <c r="BG120" s="1">
        <f t="shared" ca="1" si="75"/>
        <v>108</v>
      </c>
      <c r="BH120" s="1">
        <f t="shared" ca="1" si="75"/>
        <v>110</v>
      </c>
      <c r="BI120" s="1">
        <f t="shared" ca="1" si="75"/>
        <v>113.5</v>
      </c>
      <c r="BJ120" s="1">
        <f t="shared" ca="1" si="75"/>
        <v>117</v>
      </c>
      <c r="BK120" s="1">
        <f t="shared" ca="1" si="75"/>
        <v>130</v>
      </c>
      <c r="BL120" s="1">
        <f t="shared" ca="1" si="75"/>
        <v>136</v>
      </c>
      <c r="BM120" s="1">
        <f t="shared" ca="1" si="75"/>
        <v>148</v>
      </c>
      <c r="BN120" s="1">
        <f t="shared" ca="1" si="75"/>
        <v>153</v>
      </c>
      <c r="BO120" s="1">
        <f t="shared" ca="1" si="75"/>
        <v>158</v>
      </c>
      <c r="BP120" s="1">
        <f t="shared" ca="1" si="75"/>
        <v>176</v>
      </c>
      <c r="BQ120" s="1">
        <f t="shared" ref="BQ120:CO120" ca="1" si="76">BQ80-BQ70</f>
        <v>187</v>
      </c>
      <c r="BR120" s="1">
        <f t="shared" ca="1" si="76"/>
        <v>198</v>
      </c>
      <c r="BS120" s="1">
        <f t="shared" ca="1" si="76"/>
        <v>210</v>
      </c>
      <c r="BT120" s="1">
        <f t="shared" ca="1" si="76"/>
        <v>223</v>
      </c>
      <c r="BU120" s="1">
        <f t="shared" ca="1" si="76"/>
        <v>240</v>
      </c>
      <c r="BV120" s="1">
        <f t="shared" ca="1" si="76"/>
        <v>263</v>
      </c>
      <c r="BW120" s="1">
        <f t="shared" ca="1" si="76"/>
        <v>310</v>
      </c>
      <c r="BX120" s="1">
        <f t="shared" ca="1" si="76"/>
        <v>341</v>
      </c>
      <c r="BY120" s="1">
        <f t="shared" ca="1" si="76"/>
        <v>380</v>
      </c>
      <c r="BZ120" s="1">
        <f t="shared" ca="1" si="76"/>
        <v>426</v>
      </c>
      <c r="CA120" s="1">
        <f t="shared" ca="1" si="76"/>
        <v>449</v>
      </c>
      <c r="CB120" s="1">
        <f t="shared" ca="1" si="76"/>
        <v>503</v>
      </c>
      <c r="CC120" s="1">
        <f t="shared" ca="1" si="76"/>
        <v>552</v>
      </c>
      <c r="CD120" s="1">
        <f t="shared" ca="1" si="76"/>
        <v>625</v>
      </c>
      <c r="CE120" s="1">
        <f t="shared" ca="1" si="76"/>
        <v>677</v>
      </c>
      <c r="CF120" s="1">
        <f t="shared" ca="1" si="76"/>
        <v>725</v>
      </c>
      <c r="CG120" s="1">
        <f t="shared" ca="1" si="76"/>
        <v>794</v>
      </c>
      <c r="CH120" s="1">
        <f t="shared" ca="1" si="76"/>
        <v>836</v>
      </c>
      <c r="CI120" s="1">
        <f t="shared" ca="1" si="76"/>
        <v>870</v>
      </c>
      <c r="CJ120" s="1">
        <f t="shared" ca="1" si="76"/>
        <v>916</v>
      </c>
      <c r="CK120" s="1">
        <f t="shared" ca="1" si="76"/>
        <v>990</v>
      </c>
      <c r="CL120" s="1">
        <f t="shared" ca="1" si="76"/>
        <v>1039</v>
      </c>
      <c r="CM120" s="1">
        <f t="shared" ca="1" si="76"/>
        <v>1103</v>
      </c>
      <c r="CN120" s="1">
        <f t="shared" ca="1" si="76"/>
        <v>0</v>
      </c>
      <c r="CO120" s="1">
        <f t="shared" ca="1" si="76"/>
        <v>0</v>
      </c>
    </row>
    <row r="121" spans="1:93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</row>
    <row r="122" spans="1:93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cm="1">
        <f t="array" aca="1" ref="CN122" ca="1">INDIRECT(ADDRESS($B122,CN$39+$A122,1,1,"Confirmed Trend"))</f>
        <v>0</v>
      </c>
      <c r="CO122" s="4" cm="1">
        <f t="array" aca="1" ref="CO122" ca="1">INDIRECT(ADDRESS($B122,CO$39+$A122,1,1,"Confirmed Trend"))</f>
        <v>0</v>
      </c>
    </row>
    <row r="123" spans="1:93" x14ac:dyDescent="0.25">
      <c r="A123">
        <v>8</v>
      </c>
      <c r="B123">
        <f ca="1">MATCH($C123,INDIRECT("'"&amp;$C$122&amp;"'!A:A"),0)</f>
        <v>20</v>
      </c>
      <c r="C123" s="1" t="str">
        <f t="shared" ref="C123:C130" si="77">C8</f>
        <v>US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1.1051401400000001E-2</v>
      </c>
      <c r="X123" s="3" cm="1">
        <f t="array" aca="1" ref="X123" ca="1">INDIRECT(ADDRESS($B123,X$39+$A123,1,1,$C$122))</f>
        <v>1.0930585E-2</v>
      </c>
      <c r="Y123" s="3" cm="1">
        <f t="array" aca="1" ref="Y123" ca="1">INDIRECT(ADDRESS($B123,Y$39+$A123,1,1,$C$122))</f>
        <v>1.08123821E-2</v>
      </c>
      <c r="Z123" s="3" cm="1">
        <f t="array" aca="1" ref="Z123" ca="1">INDIRECT(ADDRESS($B123,Z$39+$A123,1,1,$C$122))</f>
        <v>1.3318511999999999E-2</v>
      </c>
      <c r="AA123" s="3" cm="1">
        <f t="array" aca="1" ref="AA123" ca="1">INDIRECT(ADDRESS($B123,AA$39+$A123,1,1,$C$122))</f>
        <v>1.8308251300000002E-2</v>
      </c>
      <c r="AB123" s="3" cm="1">
        <f t="array" aca="1" ref="AB123" ca="1">INDIRECT(ADDRESS($B123,AB$39+$A123,1,1,$C$122))</f>
        <v>2.3948575999999999E-2</v>
      </c>
      <c r="AC123" s="3" cm="1">
        <f t="array" aca="1" ref="AC123" ca="1">INDIRECT(ADDRESS($B123,AC$39+$A123,1,1,$C$122))</f>
        <v>2.7769120299999998E-2</v>
      </c>
      <c r="AD123" s="3" cm="1">
        <f t="array" aca="1" ref="AD123" ca="1">INDIRECT(ADDRESS($B123,AD$39+$A123,1,1,$C$122))</f>
        <v>2.7218909100000001E-2</v>
      </c>
      <c r="AE123" s="3" cm="1">
        <f t="array" aca="1" ref="AE123" ca="1">INDIRECT(ADDRESS($B123,AE$39+$A123,1,1,$C$122))</f>
        <v>2.4113689099999999E-2</v>
      </c>
      <c r="AF123" s="3" cm="1">
        <f t="array" aca="1" ref="AF123" ca="1">INDIRECT(ADDRESS($B123,AF$39+$A123,1,1,$C$122))</f>
        <v>2.0338786300000002E-2</v>
      </c>
      <c r="AG123" s="3" cm="1">
        <f t="array" aca="1" ref="AG123" ca="1">INDIRECT(ADDRESS($B123,AG$39+$A123,1,1,$C$122))</f>
        <v>1.8356281299999999E-2</v>
      </c>
      <c r="AH123" s="3" cm="1">
        <f t="array" aca="1" ref="AH123" ca="1">INDIRECT(ADDRESS($B123,AH$39+$A123,1,1,$C$122))</f>
        <v>1.8025269999999999E-2</v>
      </c>
      <c r="AI123" s="3" cm="1">
        <f t="array" aca="1" ref="AI123" ca="1">INDIRECT(ADDRESS($B123,AI$39+$A123,1,1,$C$122))</f>
        <v>1.7705989599999999E-2</v>
      </c>
      <c r="AJ123" s="3" cm="1">
        <f t="array" aca="1" ref="AJ123" ca="1">INDIRECT(ADDRESS($B123,AJ$39+$A123,1,1,$C$122))</f>
        <v>7.8149892299999996E-2</v>
      </c>
      <c r="AK123" s="3" cm="1">
        <f t="array" aca="1" ref="AK123" ca="1">INDIRECT(ADDRESS($B123,AK$39+$A123,1,1,$C$122))</f>
        <v>0.17324098260000001</v>
      </c>
      <c r="AL123" s="3" cm="1">
        <f t="array" aca="1" ref="AL123" ca="1">INDIRECT(ADDRESS($B123,AL$39+$A123,1,1,$C$122))</f>
        <v>0.28063141489999999</v>
      </c>
      <c r="AM123" s="3" cm="1">
        <f t="array" aca="1" ref="AM123" ca="1">INDIRECT(ADDRESS($B123,AM$39+$A123,1,1,$C$122))</f>
        <v>0.3431122318</v>
      </c>
      <c r="AN123" s="3" cm="1">
        <f t="array" aca="1" ref="AN123" ca="1">INDIRECT(ADDRESS($B123,AN$39+$A123,1,1,$C$122))</f>
        <v>0.29983218769999997</v>
      </c>
      <c r="AO123" s="3" cm="1">
        <f t="array" aca="1" ref="AO123" ca="1">INDIRECT(ADDRESS($B123,AO$39+$A123,1,1,$C$122))</f>
        <v>0.20185042519999999</v>
      </c>
      <c r="AP123" s="3" cm="1">
        <f t="array" aca="1" ref="AP123" ca="1">INDIRECT(ADDRESS($B123,AP$39+$A123,1,1,$C$122))</f>
        <v>0.1058928412</v>
      </c>
      <c r="AQ123" s="3" cm="1">
        <f t="array" aca="1" ref="AQ123" ca="1">INDIRECT(ADDRESS($B123,AQ$39+$A123,1,1,$C$122))</f>
        <v>6.6074641599999998E-2</v>
      </c>
      <c r="AR123" s="3" cm="1">
        <f t="array" aca="1" ref="AR123" ca="1">INDIRECT(ADDRESS($B123,AR$39+$A123,1,1,$C$122))</f>
        <v>5.6717959900000003E-2</v>
      </c>
      <c r="AS123" s="3" cm="1">
        <f t="array" aca="1" ref="AS123" ca="1">INDIRECT(ADDRESS($B123,AS$39+$A123,1,1,$C$122))</f>
        <v>9.1644256800000004E-2</v>
      </c>
      <c r="AT123" s="3" cm="1">
        <f t="array" aca="1" ref="AT123" ca="1">INDIRECT(ADDRESS($B123,AT$39+$A123,1,1,$C$122))</f>
        <v>0.13459270609999999</v>
      </c>
      <c r="AU123" s="3" cm="1">
        <f t="array" aca="1" ref="AU123" ca="1">INDIRECT(ADDRESS($B123,AU$39+$A123,1,1,$C$122))</f>
        <v>0.18357281119999999</v>
      </c>
      <c r="AV123" s="3" cm="1">
        <f t="array" aca="1" ref="AV123" ca="1">INDIRECT(ADDRESS($B123,AV$39+$A123,1,1,$C$122))</f>
        <v>0.24415216049999999</v>
      </c>
      <c r="AW123" s="3" cm="1">
        <f t="array" aca="1" ref="AW123" ca="1">INDIRECT(ADDRESS($B123,AW$39+$A123,1,1,$C$122))</f>
        <v>0.27185353239999999</v>
      </c>
      <c r="AX123" s="3" cm="1">
        <f t="array" aca="1" ref="AX123" ca="1">INDIRECT(ADDRESS($B123,AX$39+$A123,1,1,$C$122))</f>
        <v>0.32021443710000003</v>
      </c>
      <c r="AY123" s="3" cm="1">
        <f t="array" aca="1" ref="AY123" ca="1">INDIRECT(ADDRESS($B123,AY$39+$A123,1,1,$C$122))</f>
        <v>0.34147058149999998</v>
      </c>
      <c r="AZ123" s="3" cm="1">
        <f t="array" aca="1" ref="AZ123" ca="1">INDIRECT(ADDRESS($B123,AZ$39+$A123,1,1,$C$122))</f>
        <v>0.32748127789999998</v>
      </c>
      <c r="BA123" s="3" cm="1">
        <f t="array" aca="1" ref="BA123" ca="1">INDIRECT(ADDRESS($B123,BA$39+$A123,1,1,$C$122))</f>
        <v>0.34578875190000002</v>
      </c>
      <c r="BB123" s="3" cm="1">
        <f t="array" aca="1" ref="BB123" ca="1">INDIRECT(ADDRESS($B123,BB$39+$A123,1,1,$C$122))</f>
        <v>0.33793107989999999</v>
      </c>
      <c r="BC123" s="3" cm="1">
        <f t="array" aca="1" ref="BC123" ca="1">INDIRECT(ADDRESS($B123,BC$39+$A123,1,1,$C$122))</f>
        <v>0.34801668810000003</v>
      </c>
      <c r="BD123" s="3" cm="1">
        <f t="array" aca="1" ref="BD123" ca="1">INDIRECT(ADDRESS($B123,BD$39+$A123,1,1,$C$122))</f>
        <v>0.35875559000000001</v>
      </c>
      <c r="BE123" s="3" cm="1">
        <f t="array" aca="1" ref="BE123" ca="1">INDIRECT(ADDRESS($B123,BE$39+$A123,1,1,$C$122))</f>
        <v>0.33631243700000002</v>
      </c>
      <c r="BF123" s="3" cm="1">
        <f t="array" aca="1" ref="BF123" ca="1">INDIRECT(ADDRESS($B123,BF$39+$A123,1,1,$C$122))</f>
        <v>0.3135805519</v>
      </c>
      <c r="BG123" s="3" cm="1">
        <f t="array" aca="1" ref="BG123" ca="1">INDIRECT(ADDRESS($B123,BG$39+$A123,1,1,$C$122))</f>
        <v>0.29148040590000002</v>
      </c>
      <c r="BH123" s="3" cm="1">
        <f t="array" aca="1" ref="BH123" ca="1">INDIRECT(ADDRESS($B123,BH$39+$A123,1,1,$C$122))</f>
        <v>0.29822384740000002</v>
      </c>
      <c r="BI123" s="3" cm="1">
        <f t="array" aca="1" ref="BI123" ca="1">INDIRECT(ADDRESS($B123,BI$39+$A123,1,1,$C$122))</f>
        <v>0.30128479419999998</v>
      </c>
      <c r="BJ123" s="3" cm="1">
        <f t="array" aca="1" ref="BJ123" ca="1">INDIRECT(ADDRESS($B123,BJ$39+$A123,1,1,$C$122))</f>
        <v>0.35040770770000002</v>
      </c>
      <c r="BK123" s="3" cm="1">
        <f t="array" aca="1" ref="BK123" ca="1">INDIRECT(ADDRESS($B123,BK$39+$A123,1,1,$C$122))</f>
        <v>0.39230878850000001</v>
      </c>
      <c r="BL123" s="3" cm="1">
        <f t="array" aca="1" ref="BL123" ca="1">INDIRECT(ADDRESS($B123,BL$39+$A123,1,1,$C$122))</f>
        <v>0.41670942119999999</v>
      </c>
      <c r="BM123" s="3" cm="1">
        <f t="array" aca="1" ref="BM123" ca="1">INDIRECT(ADDRESS($B123,BM$39+$A123,1,1,$C$122))</f>
        <v>0.42719621689999998</v>
      </c>
      <c r="BN123" s="3" cm="1">
        <f t="array" aca="1" ref="BN123" ca="1">INDIRECT(ADDRESS($B123,BN$39+$A123,1,1,$C$122))</f>
        <v>0.38456502910000001</v>
      </c>
      <c r="BO123" s="3" cm="1">
        <f t="array" aca="1" ref="BO123" ca="1">INDIRECT(ADDRESS($B123,BO$39+$A123,1,1,$C$122))</f>
        <v>0.33821088040000002</v>
      </c>
      <c r="BP123" s="3" cm="1">
        <f t="array" aca="1" ref="BP123" ca="1">INDIRECT(ADDRESS($B123,BP$39+$A123,1,1,$C$122))</f>
        <v>0.29203114829999999</v>
      </c>
      <c r="BQ123" s="3" cm="1">
        <f t="array" aca="1" ref="BQ123" ca="1">INDIRECT(ADDRESS($B123,BQ$39+$A123,1,1,$C$122))</f>
        <v>0.27007739920000001</v>
      </c>
      <c r="BR123" s="3" cm="1">
        <f t="array" aca="1" ref="BR123" ca="1">INDIRECT(ADDRESS($B123,BR$39+$A123,1,1,$C$122))</f>
        <v>0.25061287770000001</v>
      </c>
      <c r="BS123" s="3" cm="1">
        <f t="array" aca="1" ref="BS123" ca="1">INDIRECT(ADDRESS($B123,BS$39+$A123,1,1,$C$122))</f>
        <v>0.23757679809999999</v>
      </c>
      <c r="BT123" s="3" cm="1">
        <f t="array" aca="1" ref="BT123" ca="1">INDIRECT(ADDRESS($B123,BT$39+$A123,1,1,$C$122))</f>
        <v>0.22180009589999999</v>
      </c>
      <c r="BU123" s="3" cm="1">
        <f t="array" aca="1" ref="BU123" ca="1">INDIRECT(ADDRESS($B123,BU$39+$A123,1,1,$C$122))</f>
        <v>0.20180194239999999</v>
      </c>
      <c r="BV123" s="3" cm="1">
        <f t="array" aca="1" ref="BV123" ca="1">INDIRECT(ADDRESS($B123,BV$39+$A123,1,1,$C$122))</f>
        <v>0.1822663263</v>
      </c>
      <c r="BW123" s="3" cm="1">
        <f t="array" aca="1" ref="BW123" ca="1">INDIRECT(ADDRESS($B123,BW$39+$A123,1,1,$C$122))</f>
        <v>0.16393748129999999</v>
      </c>
      <c r="BX123" s="3" cm="1">
        <f t="array" aca="1" ref="BX123" ca="1">INDIRECT(ADDRESS($B123,BX$39+$A123,1,1,$C$122))</f>
        <v>0.15386987129999999</v>
      </c>
      <c r="BY123" s="3" cm="1">
        <f t="array" aca="1" ref="BY123" ca="1">INDIRECT(ADDRESS($B123,BY$39+$A123,1,1,$C$122))</f>
        <v>0.1464115839</v>
      </c>
      <c r="BZ123" s="3" cm="1">
        <f t="array" aca="1" ref="BZ123" ca="1">INDIRECT(ADDRESS($B123,BZ$39+$A123,1,1,$C$122))</f>
        <v>0.1396802587</v>
      </c>
      <c r="CA123" s="3" cm="1">
        <f t="array" aca="1" ref="CA123" ca="1">INDIRECT(ADDRESS($B123,CA$39+$A123,1,1,$C$122))</f>
        <v>0.13090399480000001</v>
      </c>
      <c r="CB123" s="3" cm="1">
        <f t="array" aca="1" ref="CB123" ca="1">INDIRECT(ADDRESS($B123,CB$39+$A123,1,1,$C$122))</f>
        <v>0.1192244712</v>
      </c>
      <c r="CC123" s="3" cm="1">
        <f t="array" aca="1" ref="CC123" ca="1">INDIRECT(ADDRESS($B123,CC$39+$A123,1,1,$C$122))</f>
        <v>0.10690387799999999</v>
      </c>
      <c r="CD123" s="3" cm="1">
        <f t="array" aca="1" ref="CD123" ca="1">INDIRECT(ADDRESS($B123,CD$39+$A123,1,1,$C$122))</f>
        <v>9.5291817299999998E-2</v>
      </c>
      <c r="CE123" s="3" cm="1">
        <f t="array" aca="1" ref="CE123" ca="1">INDIRECT(ADDRESS($B123,CE$39+$A123,1,1,$C$122))</f>
        <v>8.7039203300000006E-2</v>
      </c>
      <c r="CF123" s="3" cm="1">
        <f t="array" aca="1" ref="CF123" ca="1">INDIRECT(ADDRESS($B123,CF$39+$A123,1,1,$C$122))</f>
        <v>8.1838345800000004E-2</v>
      </c>
      <c r="CG123" s="3" cm="1">
        <f t="array" aca="1" ref="CG123" ca="1">INDIRECT(ADDRESS($B123,CG$39+$A123,1,1,$C$122))</f>
        <v>7.78069391E-2</v>
      </c>
      <c r="CH123" s="3" cm="1">
        <f t="array" aca="1" ref="CH123" ca="1">INDIRECT(ADDRESS($B123,CH$39+$A123,1,1,$C$122))</f>
        <v>7.2703644100000006E-2</v>
      </c>
      <c r="CI123" s="3" cm="1">
        <f t="array" aca="1" ref="CI123" ca="1">INDIRECT(ADDRESS($B123,CI$39+$A123,1,1,$C$122))</f>
        <v>6.6126754699999998E-2</v>
      </c>
      <c r="CJ123" s="3" cm="1">
        <f t="array" aca="1" ref="CJ123" ca="1">INDIRECT(ADDRESS($B123,CJ$39+$A123,1,1,$C$122))</f>
        <v>5.8865615400000001E-2</v>
      </c>
      <c r="CK123" s="3" cm="1">
        <f t="array" aca="1" ref="CK123" ca="1">INDIRECT(ADDRESS($B123,CK$39+$A123,1,1,$C$122))</f>
        <v>5.2952651400000002E-2</v>
      </c>
      <c r="CL123" s="3" cm="1">
        <f t="array" aca="1" ref="CL123" ca="1">INDIRECT(ADDRESS($B123,CL$39+$A123,1,1,$C$122))</f>
        <v>4.9103341199999997E-2</v>
      </c>
      <c r="CM123" s="3" cm="1">
        <f t="array" aca="1" ref="CM123" ca="1">INDIRECT(ADDRESS($B123,CM$39+$A123,1,1,$C$122))</f>
        <v>4.7821973099999998E-2</v>
      </c>
      <c r="CN123" s="3" cm="1">
        <f t="array" aca="1" ref="CN123" ca="1">INDIRECT(ADDRESS($B123,CN$39+$A123,1,1,$C$122))</f>
        <v>0</v>
      </c>
      <c r="CO123" s="3" cm="1">
        <f t="array" aca="1" ref="CO123" ca="1">INDIRECT(ADDRESS($B123,CO$39+$A123,1,1,$C$122))</f>
        <v>0</v>
      </c>
    </row>
    <row r="124" spans="1:93" x14ac:dyDescent="0.25">
      <c r="A124">
        <v>8</v>
      </c>
      <c r="B124">
        <f ca="1">MATCH($C124,INDIRECT("'"&amp;$C$122&amp;"'!A:A"),0)</f>
        <v>5</v>
      </c>
      <c r="C124" s="1" t="str">
        <f t="shared" si="77"/>
        <v>China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0.4920083106</v>
      </c>
      <c r="L124" s="3" cm="1">
        <f t="array" aca="1" ref="L124" ca="1">INDIRECT(ADDRESS($B124,L$39+$A124,1,1,$C$122))</f>
        <v>0.48589147529999999</v>
      </c>
      <c r="M124" s="3" cm="1">
        <f t="array" aca="1" ref="M124" ca="1">INDIRECT(ADDRESS($B124,M$39+$A124,1,1,$C$122))</f>
        <v>0.45523269360000002</v>
      </c>
      <c r="N124" s="3" cm="1">
        <f t="array" aca="1" ref="N124" ca="1">INDIRECT(ADDRESS($B124,N$39+$A124,1,1,$C$122))</f>
        <v>0.39430669210000002</v>
      </c>
      <c r="O124" s="3" cm="1">
        <f t="array" aca="1" ref="O124" ca="1">INDIRECT(ADDRESS($B124,O$39+$A124,1,1,$C$122))</f>
        <v>0.29952479659999998</v>
      </c>
      <c r="P124" s="3" cm="1">
        <f t="array" aca="1" ref="P124" ca="1">INDIRECT(ADDRESS($B124,P$39+$A124,1,1,$C$122))</f>
        <v>0.27563149780000001</v>
      </c>
      <c r="Q124" s="3" cm="1">
        <f t="array" aca="1" ref="Q124" ca="1">INDIRECT(ADDRESS($B124,Q$39+$A124,1,1,$C$122))</f>
        <v>0.25033039029999998</v>
      </c>
      <c r="R124" s="3" cm="1">
        <f t="array" aca="1" ref="R124" ca="1">INDIRECT(ADDRESS($B124,R$39+$A124,1,1,$C$122))</f>
        <v>0.25731829299999998</v>
      </c>
      <c r="S124" s="3" cm="1">
        <f t="array" aca="1" ref="S124" ca="1">INDIRECT(ADDRESS($B124,S$39+$A124,1,1,$C$122))</f>
        <v>0.24144365239999999</v>
      </c>
      <c r="T124" s="3" cm="1">
        <f t="array" aca="1" ref="T124" ca="1">INDIRECT(ADDRESS($B124,T$39+$A124,1,1,$C$122))</f>
        <v>0.20846983290000001</v>
      </c>
      <c r="U124" s="3" cm="1">
        <f t="array" aca="1" ref="U124" ca="1">INDIRECT(ADDRESS($B124,U$39+$A124,1,1,$C$122))</f>
        <v>0.17561046759999999</v>
      </c>
      <c r="V124" s="3" cm="1">
        <f t="array" aca="1" ref="V124" ca="1">INDIRECT(ADDRESS($B124,V$39+$A124,1,1,$C$122))</f>
        <v>0.14023560869999999</v>
      </c>
      <c r="W124" s="3" cm="1">
        <f t="array" aca="1" ref="W124" ca="1">INDIRECT(ADDRESS($B124,W$39+$A124,1,1,$C$122))</f>
        <v>0.1181086084</v>
      </c>
      <c r="X124" s="3" cm="1">
        <f t="array" aca="1" ref="X124" ca="1">INDIRECT(ADDRESS($B124,X$39+$A124,1,1,$C$122))</f>
        <v>9.8457642499999998E-2</v>
      </c>
      <c r="Y124" s="3" cm="1">
        <f t="array" aca="1" ref="Y124" ca="1">INDIRECT(ADDRESS($B124,Y$39+$A124,1,1,$C$122))</f>
        <v>8.2613205800000006E-2</v>
      </c>
      <c r="Z124" s="3" cm="1">
        <f t="array" aca="1" ref="Z124" ca="1">INDIRECT(ADDRESS($B124,Z$39+$A124,1,1,$C$122))</f>
        <v>6.6847480799999998E-2</v>
      </c>
      <c r="AA124" s="3" cm="1">
        <f t="array" aca="1" ref="AA124" ca="1">INDIRECT(ADDRESS($B124,AA$39+$A124,1,1,$C$122))</f>
        <v>7.70524073E-2</v>
      </c>
      <c r="AB124" s="3" cm="1">
        <f t="array" aca="1" ref="AB124" ca="1">INDIRECT(ADDRESS($B124,AB$39+$A124,1,1,$C$122))</f>
        <v>9.48954308E-2</v>
      </c>
      <c r="AC124" s="3" cm="1">
        <f t="array" aca="1" ref="AC124" ca="1">INDIRECT(ADDRESS($B124,AC$39+$A124,1,1,$C$122))</f>
        <v>0.1136294031</v>
      </c>
      <c r="AD124" s="3" cm="1">
        <f t="array" aca="1" ref="AD124" ca="1">INDIRECT(ADDRESS($B124,AD$39+$A124,1,1,$C$122))</f>
        <v>0.11778470520000001</v>
      </c>
      <c r="AE124" s="3" cm="1">
        <f t="array" aca="1" ref="AE124" ca="1">INDIRECT(ADDRESS($B124,AE$39+$A124,1,1,$C$122))</f>
        <v>9.1264405100000001E-2</v>
      </c>
      <c r="AF124" s="3" cm="1">
        <f t="array" aca="1" ref="AF124" ca="1">INDIRECT(ADDRESS($B124,AF$39+$A124,1,1,$C$122))</f>
        <v>6.1542317800000003E-2</v>
      </c>
      <c r="AG124" s="3" cm="1">
        <f t="array" aca="1" ref="AG124" ca="1">INDIRECT(ADDRESS($B124,AG$39+$A124,1,1,$C$122))</f>
        <v>3.25359073E-2</v>
      </c>
      <c r="AH124" s="3" cm="1">
        <f t="array" aca="1" ref="AH124" ca="1">INDIRECT(ADDRESS($B124,AH$39+$A124,1,1,$C$122))</f>
        <v>2.1946457199999998E-2</v>
      </c>
      <c r="AI124" s="3" cm="1">
        <f t="array" aca="1" ref="AI124" ca="1">INDIRECT(ADDRESS($B124,AI$39+$A124,1,1,$C$122))</f>
        <v>1.6034773400000001E-2</v>
      </c>
      <c r="AJ124" s="3" cm="1">
        <f t="array" aca="1" ref="AJ124" ca="1">INDIRECT(ADDRESS($B124,AJ$39+$A124,1,1,$C$122))</f>
        <v>1.18414408E-2</v>
      </c>
      <c r="AK124" s="3" cm="1">
        <f t="array" aca="1" ref="AK124" ca="1">INDIRECT(ADDRESS($B124,AK$39+$A124,1,1,$C$122))</f>
        <v>9.2587250000000006E-3</v>
      </c>
      <c r="AL124" s="3" cm="1">
        <f t="array" aca="1" ref="AL124" ca="1">INDIRECT(ADDRESS($B124,AL$39+$A124,1,1,$C$122))</f>
        <v>8.1150318000000003E-3</v>
      </c>
      <c r="AM124" s="3" cm="1">
        <f t="array" aca="1" ref="AM124" ca="1">INDIRECT(ADDRESS($B124,AM$39+$A124,1,1,$C$122))</f>
        <v>7.4318568E-3</v>
      </c>
      <c r="AN124" s="3" cm="1">
        <f t="array" aca="1" ref="AN124" ca="1">INDIRECT(ADDRESS($B124,AN$39+$A124,1,1,$C$122))</f>
        <v>6.0221820000000001E-3</v>
      </c>
      <c r="AO124" s="3" cm="1">
        <f t="array" aca="1" ref="AO124" ca="1">INDIRECT(ADDRESS($B124,AO$39+$A124,1,1,$C$122))</f>
        <v>5.3441820999999999E-3</v>
      </c>
      <c r="AP124" s="3" cm="1">
        <f t="array" aca="1" ref="AP124" ca="1">INDIRECT(ADDRESS($B124,AP$39+$A124,1,1,$C$122))</f>
        <v>4.7548783000000002E-3</v>
      </c>
      <c r="AQ124" s="3" cm="1">
        <f t="array" aca="1" ref="AQ124" ca="1">INDIRECT(ADDRESS($B124,AQ$39+$A124,1,1,$C$122))</f>
        <v>5.2034725000000004E-3</v>
      </c>
      <c r="AR124" s="3" cm="1">
        <f t="array" aca="1" ref="AR124" ca="1">INDIRECT(ADDRESS($B124,AR$39+$A124,1,1,$C$122))</f>
        <v>5.3765578E-3</v>
      </c>
      <c r="AS124" s="3" cm="1">
        <f t="array" aca="1" ref="AS124" ca="1">INDIRECT(ADDRESS($B124,AS$39+$A124,1,1,$C$122))</f>
        <v>5.1871987999999999E-3</v>
      </c>
      <c r="AT124" s="3" cm="1">
        <f t="array" aca="1" ref="AT124" ca="1">INDIRECT(ADDRESS($B124,AT$39+$A124,1,1,$C$122))</f>
        <v>4.8804870999999998E-3</v>
      </c>
      <c r="AU124" s="3" cm="1">
        <f t="array" aca="1" ref="AU124" ca="1">INDIRECT(ADDRESS($B124,AU$39+$A124,1,1,$C$122))</f>
        <v>4.0897260000000001E-3</v>
      </c>
      <c r="AV124" s="3" cm="1">
        <f t="array" aca="1" ref="AV124" ca="1">INDIRECT(ADDRESS($B124,AV$39+$A124,1,1,$C$122))</f>
        <v>3.1003719000000001E-3</v>
      </c>
      <c r="AW124" s="3" cm="1">
        <f t="array" aca="1" ref="AW124" ca="1">INDIRECT(ADDRESS($B124,AW$39+$A124,1,1,$C$122))</f>
        <v>2.2778988999999999E-3</v>
      </c>
      <c r="AX124" s="3" cm="1">
        <f t="array" aca="1" ref="AX124" ca="1">INDIRECT(ADDRESS($B124,AX$39+$A124,1,1,$C$122))</f>
        <v>1.7306236999999999E-3</v>
      </c>
      <c r="AY124" s="3" cm="1">
        <f t="array" aca="1" ref="AY124" ca="1">INDIRECT(ADDRESS($B124,AY$39+$A124,1,1,$C$122))</f>
        <v>1.5537938E-3</v>
      </c>
      <c r="AZ124" s="3" cm="1">
        <f t="array" aca="1" ref="AZ124" ca="1">INDIRECT(ADDRESS($B124,AZ$39+$A124,1,1,$C$122))</f>
        <v>1.3127983000000001E-3</v>
      </c>
      <c r="BA124" s="3" cm="1">
        <f t="array" aca="1" ref="BA124" ca="1">INDIRECT(ADDRESS($B124,BA$39+$A124,1,1,$C$122))</f>
        <v>9.8875250000000003E-4</v>
      </c>
      <c r="BB124" s="3" cm="1">
        <f t="array" aca="1" ref="BB124" ca="1">INDIRECT(ADDRESS($B124,BB$39+$A124,1,1,$C$122))</f>
        <v>6.9247079999999999E-4</v>
      </c>
      <c r="BC124" s="3" cm="1">
        <f t="array" aca="1" ref="BC124" ca="1">INDIRECT(ADDRESS($B124,BC$39+$A124,1,1,$C$122))</f>
        <v>4.7122279999999998E-4</v>
      </c>
      <c r="BD124" s="3" cm="1">
        <f t="array" aca="1" ref="BD124" ca="1">INDIRECT(ADDRESS($B124,BD$39+$A124,1,1,$C$122))</f>
        <v>3.5554940000000001E-4</v>
      </c>
      <c r="BE124" s="3" cm="1">
        <f t="array" aca="1" ref="BE124" ca="1">INDIRECT(ADDRESS($B124,BE$39+$A124,1,1,$C$122))</f>
        <v>2.9257060000000001E-4</v>
      </c>
      <c r="BF124" s="3" cm="1">
        <f t="array" aca="1" ref="BF124" ca="1">INDIRECT(ADDRESS($B124,BF$39+$A124,1,1,$C$122))</f>
        <v>2.6465990000000002E-4</v>
      </c>
      <c r="BG124" s="3" cm="1">
        <f t="array" aca="1" ref="BG124" ca="1">INDIRECT(ADDRESS($B124,BG$39+$A124,1,1,$C$122))</f>
        <v>2.8104649999999997E-4</v>
      </c>
      <c r="BH124" s="3" cm="1">
        <f t="array" aca="1" ref="BH124" ca="1">INDIRECT(ADDRESS($B124,BH$39+$A124,1,1,$C$122))</f>
        <v>3.0464089999999999E-4</v>
      </c>
      <c r="BI124" s="3" cm="1">
        <f t="array" aca="1" ref="BI124" ca="1">INDIRECT(ADDRESS($B124,BI$39+$A124,1,1,$C$122))</f>
        <v>3.4879259999999999E-4</v>
      </c>
      <c r="BJ124" s="3" cm="1">
        <f t="array" aca="1" ref="BJ124" ca="1">INDIRECT(ADDRESS($B124,BJ$39+$A124,1,1,$C$122))</f>
        <v>4.0214489999999999E-4</v>
      </c>
      <c r="BK124" s="3" cm="1">
        <f t="array" aca="1" ref="BK124" ca="1">INDIRECT(ADDRESS($B124,BK$39+$A124,1,1,$C$122))</f>
        <v>5.0884349999999999E-4</v>
      </c>
      <c r="BL124" s="3" cm="1">
        <f t="array" aca="1" ref="BL124" ca="1">INDIRECT(ADDRESS($B124,BL$39+$A124,1,1,$C$122))</f>
        <v>6.3392519999999999E-4</v>
      </c>
      <c r="BM124" s="3" cm="1">
        <f t="array" aca="1" ref="BM124" ca="1">INDIRECT(ADDRESS($B124,BM$39+$A124,1,1,$C$122))</f>
        <v>8.1830309999999997E-4</v>
      </c>
      <c r="BN124" s="3" cm="1">
        <f t="array" aca="1" ref="BN124" ca="1">INDIRECT(ADDRESS($B124,BN$39+$A124,1,1,$C$122))</f>
        <v>9.4598459999999996E-4</v>
      </c>
      <c r="BO124" s="3" cm="1">
        <f t="array" aca="1" ref="BO124" ca="1">INDIRECT(ADDRESS($B124,BO$39+$A124,1,1,$C$122))</f>
        <v>1.0414587999999999E-3</v>
      </c>
      <c r="BP124" s="3" cm="1">
        <f t="array" aca="1" ref="BP124" ca="1">INDIRECT(ADDRESS($B124,BP$39+$A124,1,1,$C$122))</f>
        <v>1.0641118E-3</v>
      </c>
      <c r="BQ124" s="3" cm="1">
        <f t="array" aca="1" ref="BQ124" ca="1">INDIRECT(ADDRESS($B124,BQ$39+$A124,1,1,$C$122))</f>
        <v>1.0680037999999999E-3</v>
      </c>
      <c r="BR124" s="3" cm="1">
        <f t="array" aca="1" ref="BR124" ca="1">INDIRECT(ADDRESS($B124,BR$39+$A124,1,1,$C$122))</f>
        <v>1.1260945E-3</v>
      </c>
      <c r="BS124" s="3" cm="1">
        <f t="array" aca="1" ref="BS124" ca="1">INDIRECT(ADDRESS($B124,BS$39+$A124,1,1,$C$122))</f>
        <v>1.177761E-3</v>
      </c>
      <c r="BT124" s="3" cm="1">
        <f t="array" aca="1" ref="BT124" ca="1">INDIRECT(ADDRESS($B124,BT$39+$A124,1,1,$C$122))</f>
        <v>1.2926903999999999E-3</v>
      </c>
      <c r="BU124" s="3" cm="1">
        <f t="array" aca="1" ref="BU124" ca="1">INDIRECT(ADDRESS($B124,BU$39+$A124,1,1,$C$122))</f>
        <v>1.3084722E-3</v>
      </c>
      <c r="BV124" s="3" cm="1">
        <f t="array" aca="1" ref="BV124" ca="1">INDIRECT(ADDRESS($B124,BV$39+$A124,1,1,$C$122))</f>
        <v>1.2804521000000001E-3</v>
      </c>
      <c r="BW124" s="3" cm="1">
        <f t="array" aca="1" ref="BW124" ca="1">INDIRECT(ADDRESS($B124,BW$39+$A124,1,1,$C$122))</f>
        <v>1.1783226000000001E-3</v>
      </c>
      <c r="BX124" s="3" cm="1">
        <f t="array" aca="1" ref="BX124" ca="1">INDIRECT(ADDRESS($B124,BX$39+$A124,1,1,$C$122))</f>
        <v>1.0693434000000001E-3</v>
      </c>
      <c r="BY124" s="3" cm="1">
        <f t="array" aca="1" ref="BY124" ca="1">INDIRECT(ADDRESS($B124,BY$39+$A124,1,1,$C$122))</f>
        <v>9.982242000000001E-4</v>
      </c>
      <c r="BZ124" s="3" cm="1">
        <f t="array" aca="1" ref="BZ124" ca="1">INDIRECT(ADDRESS($B124,BZ$39+$A124,1,1,$C$122))</f>
        <v>8.980228E-4</v>
      </c>
      <c r="CA124" s="3" cm="1">
        <f t="array" aca="1" ref="CA124" ca="1">INDIRECT(ADDRESS($B124,CA$39+$A124,1,1,$C$122))</f>
        <v>8.2745099999999999E-4</v>
      </c>
      <c r="CB124" s="3" cm="1">
        <f t="array" aca="1" ref="CB124" ca="1">INDIRECT(ADDRESS($B124,CB$39+$A124,1,1,$C$122))</f>
        <v>7.459109E-4</v>
      </c>
      <c r="CC124" s="3" cm="1">
        <f t="array" aca="1" ref="CC124" ca="1">INDIRECT(ADDRESS($B124,CC$39+$A124,1,1,$C$122))</f>
        <v>6.8771420000000004E-4</v>
      </c>
      <c r="CD124" s="3" cm="1">
        <f t="array" aca="1" ref="CD124" ca="1">INDIRECT(ADDRESS($B124,CD$39+$A124,1,1,$C$122))</f>
        <v>7.1241000000000002E-4</v>
      </c>
      <c r="CE124" s="3" cm="1">
        <f t="array" aca="1" ref="CE124" ca="1">INDIRECT(ADDRESS($B124,CE$39+$A124,1,1,$C$122))</f>
        <v>7.6026900000000005E-4</v>
      </c>
      <c r="CF124" s="3" cm="1">
        <f t="array" aca="1" ref="CF124" ca="1">INDIRECT(ADDRESS($B124,CF$39+$A124,1,1,$C$122))</f>
        <v>8.2924120000000005E-4</v>
      </c>
      <c r="CG124" s="3" cm="1">
        <f t="array" aca="1" ref="CG124" ca="1">INDIRECT(ADDRESS($B124,CG$39+$A124,1,1,$C$122))</f>
        <v>8.58824E-4</v>
      </c>
      <c r="CH124" s="3" cm="1">
        <f t="array" aca="1" ref="CH124" ca="1">INDIRECT(ADDRESS($B124,CH$39+$A124,1,1,$C$122))</f>
        <v>9.0231239999999998E-4</v>
      </c>
      <c r="CI124" s="3" cm="1">
        <f t="array" aca="1" ref="CI124" ca="1">INDIRECT(ADDRESS($B124,CI$39+$A124,1,1,$C$122))</f>
        <v>9.5571610000000004E-4</v>
      </c>
      <c r="CJ124" s="3" cm="1">
        <f t="array" aca="1" ref="CJ124" ca="1">INDIRECT(ADDRESS($B124,CJ$39+$A124,1,1,$C$122))</f>
        <v>1.0240340000000001E-3</v>
      </c>
      <c r="CK124" s="3" cm="1">
        <f t="array" aca="1" ref="CK124" ca="1">INDIRECT(ADDRESS($B124,CK$39+$A124,1,1,$C$122))</f>
        <v>1.0402183E-3</v>
      </c>
      <c r="CL124" s="3" cm="1">
        <f t="array" aca="1" ref="CL124" ca="1">INDIRECT(ADDRESS($B124,CL$39+$A124,1,1,$C$122))</f>
        <v>9.7813349999999991E-4</v>
      </c>
      <c r="CM124" s="3" cm="1">
        <f t="array" aca="1" ref="CM124" ca="1">INDIRECT(ADDRESS($B124,CM$39+$A124,1,1,$C$122))</f>
        <v>1.1589510999999999E-3</v>
      </c>
      <c r="CN124" s="3" cm="1">
        <f t="array" aca="1" ref="CN124" ca="1">INDIRECT(ADDRESS($B124,CN$39+$A124,1,1,$C$122))</f>
        <v>0</v>
      </c>
      <c r="CO124" s="3" cm="1">
        <f t="array" aca="1" ref="CO124" ca="1">INDIRECT(ADDRESS($B124,CO$39+$A124,1,1,$C$122))</f>
        <v>0</v>
      </c>
    </row>
    <row r="125" spans="1:93" x14ac:dyDescent="0.25">
      <c r="A125">
        <v>8</v>
      </c>
      <c r="B125">
        <f ca="1">MATCH($C125,INDIRECT("'"&amp;$C$122&amp;"'!A:A"),0)</f>
        <v>3</v>
      </c>
      <c r="C125" s="1" t="str">
        <f t="shared" si="77"/>
        <v>Belgium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0.63061443279999996</v>
      </c>
      <c r="BA125" s="3" cm="1">
        <f t="array" aca="1" ref="BA125" ca="1">INDIRECT(ADDRESS($B125,BA$39+$A125,1,1,$C$122))</f>
        <v>0.40340599780000003</v>
      </c>
      <c r="BB125" s="3" cm="1">
        <f t="array" aca="1" ref="BB125" ca="1">INDIRECT(ADDRESS($B125,BB$39+$A125,1,1,$C$122))</f>
        <v>0.25743342969999999</v>
      </c>
      <c r="BC125" s="3" cm="1">
        <f t="array" aca="1" ref="BC125" ca="1">INDIRECT(ADDRESS($B125,BC$39+$A125,1,1,$C$122))</f>
        <v>0.2078878988</v>
      </c>
      <c r="BD125" s="3" cm="1">
        <f t="array" aca="1" ref="BD125" ca="1">INDIRECT(ADDRESS($B125,BD$39+$A125,1,1,$C$122))</f>
        <v>0.21143601540000001</v>
      </c>
      <c r="BE125" s="3" cm="1">
        <f t="array" aca="1" ref="BE125" ca="1">INDIRECT(ADDRESS($B125,BE$39+$A125,1,1,$C$122))</f>
        <v>0.24284388130000001</v>
      </c>
      <c r="BF125" s="3" cm="1">
        <f t="array" aca="1" ref="BF125" ca="1">INDIRECT(ADDRESS($B125,BF$39+$A125,1,1,$C$122))</f>
        <v>0.2701211288</v>
      </c>
      <c r="BG125" s="3" cm="1">
        <f t="array" aca="1" ref="BG125" ca="1">INDIRECT(ADDRESS($B125,BG$39+$A125,1,1,$C$122))</f>
        <v>0.2683207869</v>
      </c>
      <c r="BH125" s="3" cm="1">
        <f t="array" aca="1" ref="BH125" ca="1">INDIRECT(ADDRESS($B125,BH$39+$A125,1,1,$C$122))</f>
        <v>0.24901927409999999</v>
      </c>
      <c r="BI125" s="3" cm="1">
        <f t="array" aca="1" ref="BI125" ca="1">INDIRECT(ADDRESS($B125,BI$39+$A125,1,1,$C$122))</f>
        <v>0.22449233939999999</v>
      </c>
      <c r="BJ125" s="3" cm="1">
        <f t="array" aca="1" ref="BJ125" ca="1">INDIRECT(ADDRESS($B125,BJ$39+$A125,1,1,$C$122))</f>
        <v>0.20665202290000001</v>
      </c>
      <c r="BK125" s="3" cm="1">
        <f t="array" aca="1" ref="BK125" ca="1">INDIRECT(ADDRESS($B125,BK$39+$A125,1,1,$C$122))</f>
        <v>0.20427459049999999</v>
      </c>
      <c r="BL125" s="3" cm="1">
        <f t="array" aca="1" ref="BL125" ca="1">INDIRECT(ADDRESS($B125,BL$39+$A125,1,1,$C$122))</f>
        <v>0.2115636809</v>
      </c>
      <c r="BM125" s="3" cm="1">
        <f t="array" aca="1" ref="BM125" ca="1">INDIRECT(ADDRESS($B125,BM$39+$A125,1,1,$C$122))</f>
        <v>0.22302539630000001</v>
      </c>
      <c r="BN125" s="3" cm="1">
        <f t="array" aca="1" ref="BN125" ca="1">INDIRECT(ADDRESS($B125,BN$39+$A125,1,1,$C$122))</f>
        <v>0.2180729085</v>
      </c>
      <c r="BO125" s="3" cm="1">
        <f t="array" aca="1" ref="BO125" ca="1">INDIRECT(ADDRESS($B125,BO$39+$A125,1,1,$C$122))</f>
        <v>0.19815144670000001</v>
      </c>
      <c r="BP125" s="3" cm="1">
        <f t="array" aca="1" ref="BP125" ca="1">INDIRECT(ADDRESS($B125,BP$39+$A125,1,1,$C$122))</f>
        <v>0.1718372413</v>
      </c>
      <c r="BQ125" s="3" cm="1">
        <f t="array" aca="1" ref="BQ125" ca="1">INDIRECT(ADDRESS($B125,BQ$39+$A125,1,1,$C$122))</f>
        <v>0.1618753933</v>
      </c>
      <c r="BR125" s="3" cm="1">
        <f t="array" aca="1" ref="BR125" ca="1">INDIRECT(ADDRESS($B125,BR$39+$A125,1,1,$C$122))</f>
        <v>0.16675712670000001</v>
      </c>
      <c r="BS125" s="3" cm="1">
        <f t="array" aca="1" ref="BS125" ca="1">INDIRECT(ADDRESS($B125,BS$39+$A125,1,1,$C$122))</f>
        <v>0.18694740949999999</v>
      </c>
      <c r="BT125" s="3" cm="1">
        <f t="array" aca="1" ref="BT125" ca="1">INDIRECT(ADDRESS($B125,BT$39+$A125,1,1,$C$122))</f>
        <v>0.20447698280000001</v>
      </c>
      <c r="BU125" s="3" cm="1">
        <f t="array" aca="1" ref="BU125" ca="1">INDIRECT(ADDRESS($B125,BU$39+$A125,1,1,$C$122))</f>
        <v>0.19859718479999999</v>
      </c>
      <c r="BV125" s="3" cm="1">
        <f t="array" aca="1" ref="BV125" ca="1">INDIRECT(ADDRESS($B125,BV$39+$A125,1,1,$C$122))</f>
        <v>0.17775043330000001</v>
      </c>
      <c r="BW125" s="3" cm="1">
        <f t="array" aca="1" ref="BW125" ca="1">INDIRECT(ADDRESS($B125,BW$39+$A125,1,1,$C$122))</f>
        <v>0.1428052538</v>
      </c>
      <c r="BX125" s="3" cm="1">
        <f t="array" aca="1" ref="BX125" ca="1">INDIRECT(ADDRESS($B125,BX$39+$A125,1,1,$C$122))</f>
        <v>0.1147550016</v>
      </c>
      <c r="BY125" s="3" cm="1">
        <f t="array" aca="1" ref="BY125" ca="1">INDIRECT(ADDRESS($B125,BY$39+$A125,1,1,$C$122))</f>
        <v>9.6581010300000006E-2</v>
      </c>
      <c r="BZ125" s="3" cm="1">
        <f t="array" aca="1" ref="BZ125" ca="1">INDIRECT(ADDRESS($B125,BZ$39+$A125,1,1,$C$122))</f>
        <v>9.2296328900000002E-2</v>
      </c>
      <c r="CA125" s="3" cm="1">
        <f t="array" aca="1" ref="CA125" ca="1">INDIRECT(ADDRESS($B125,CA$39+$A125,1,1,$C$122))</f>
        <v>9.1751014399999997E-2</v>
      </c>
      <c r="CB125" s="3" cm="1">
        <f t="array" aca="1" ref="CB125" ca="1">INDIRECT(ADDRESS($B125,CB$39+$A125,1,1,$C$122))</f>
        <v>8.7822836700000004E-2</v>
      </c>
      <c r="CC125" s="3" cm="1">
        <f t="array" aca="1" ref="CC125" ca="1">INDIRECT(ADDRESS($B125,CC$39+$A125,1,1,$C$122))</f>
        <v>8.00213075E-2</v>
      </c>
      <c r="CD125" s="3" cm="1">
        <f t="array" aca="1" ref="CD125" ca="1">INDIRECT(ADDRESS($B125,CD$39+$A125,1,1,$C$122))</f>
        <v>7.0611398399999997E-2</v>
      </c>
      <c r="CE125" s="3" cm="1">
        <f t="array" aca="1" ref="CE125" ca="1">INDIRECT(ADDRESS($B125,CE$39+$A125,1,1,$C$122))</f>
        <v>6.4861559799999996E-2</v>
      </c>
      <c r="CF125" s="3" cm="1">
        <f t="array" aca="1" ref="CF125" ca="1">INDIRECT(ADDRESS($B125,CF$39+$A125,1,1,$C$122))</f>
        <v>6.2299188899999997E-2</v>
      </c>
      <c r="CG125" s="3" cm="1">
        <f t="array" aca="1" ref="CG125" ca="1">INDIRECT(ADDRESS($B125,CG$39+$A125,1,1,$C$122))</f>
        <v>6.1709797599999998E-2</v>
      </c>
      <c r="CH125" s="3" cm="1">
        <f t="array" aca="1" ref="CH125" ca="1">INDIRECT(ADDRESS($B125,CH$39+$A125,1,1,$C$122))</f>
        <v>6.1544232499999997E-2</v>
      </c>
      <c r="CI125" s="3" cm="1">
        <f t="array" aca="1" ref="CI125" ca="1">INDIRECT(ADDRESS($B125,CI$39+$A125,1,1,$C$122))</f>
        <v>5.7458143500000003E-2</v>
      </c>
      <c r="CJ125" s="3" cm="1">
        <f t="array" aca="1" ref="CJ125" ca="1">INDIRECT(ADDRESS($B125,CJ$39+$A125,1,1,$C$122))</f>
        <v>5.03669941E-2</v>
      </c>
      <c r="CK125" s="3" cm="1">
        <f t="array" aca="1" ref="CK125" ca="1">INDIRECT(ADDRESS($B125,CK$39+$A125,1,1,$C$122))</f>
        <v>4.57565609E-2</v>
      </c>
      <c r="CL125" s="3" cm="1">
        <f t="array" aca="1" ref="CL125" ca="1">INDIRECT(ADDRESS($B125,CL$39+$A125,1,1,$C$122))</f>
        <v>4.2218460300000003E-2</v>
      </c>
      <c r="CM125" s="3" cm="1">
        <f t="array" aca="1" ref="CM125" ca="1">INDIRECT(ADDRESS($B125,CM$39+$A125,1,1,$C$122))</f>
        <v>4.3196810799999999E-2</v>
      </c>
      <c r="CN125" s="3" cm="1">
        <f t="array" aca="1" ref="CN125" ca="1">INDIRECT(ADDRESS($B125,CN$39+$A125,1,1,$C$122))</f>
        <v>0</v>
      </c>
      <c r="CO125" s="3" cm="1">
        <f t="array" aca="1" ref="CO125" ca="1">INDIRECT(ADDRESS($B125,CO$39+$A125,1,1,$C$122))</f>
        <v>0</v>
      </c>
    </row>
    <row r="126" spans="1:93" x14ac:dyDescent="0.25">
      <c r="A126">
        <v>8</v>
      </c>
      <c r="B126">
        <f ca="1">MATCH($C126,INDIRECT("'"&amp;$C$122&amp;"'!A:A"),0)</f>
        <v>11</v>
      </c>
      <c r="C126" s="1" t="str">
        <f t="shared" si="77"/>
        <v>Italy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0.56728119539999999</v>
      </c>
      <c r="AP126" s="3" cm="1">
        <f t="array" aca="1" ref="AP126" ca="1">INDIRECT(ADDRESS($B126,AP$39+$A126,1,1,$C$122))</f>
        <v>0.45447553149999997</v>
      </c>
      <c r="AQ126" s="3" cm="1">
        <f t="array" aca="1" ref="AQ126" ca="1">INDIRECT(ADDRESS($B126,AQ$39+$A126,1,1,$C$122))</f>
        <v>0.3946566332</v>
      </c>
      <c r="AR126" s="3" cm="1">
        <f t="array" aca="1" ref="AR126" ca="1">INDIRECT(ADDRESS($B126,AR$39+$A126,1,1,$C$122))</f>
        <v>0.38646863460000003</v>
      </c>
      <c r="AS126" s="3" cm="1">
        <f t="array" aca="1" ref="AS126" ca="1">INDIRECT(ADDRESS($B126,AS$39+$A126,1,1,$C$122))</f>
        <v>0.35762669289999999</v>
      </c>
      <c r="AT126" s="3" cm="1">
        <f t="array" aca="1" ref="AT126" ca="1">INDIRECT(ADDRESS($B126,AT$39+$A126,1,1,$C$122))</f>
        <v>0.3292807848</v>
      </c>
      <c r="AU126" s="3" cm="1">
        <f t="array" aca="1" ref="AU126" ca="1">INDIRECT(ADDRESS($B126,AU$39+$A126,1,1,$C$122))</f>
        <v>0.29992999399999998</v>
      </c>
      <c r="AV126" s="3" cm="1">
        <f t="array" aca="1" ref="AV126" ca="1">INDIRECT(ADDRESS($B126,AV$39+$A126,1,1,$C$122))</f>
        <v>0.26328978619999999</v>
      </c>
      <c r="AW126" s="3" cm="1">
        <f t="array" aca="1" ref="AW126" ca="1">INDIRECT(ADDRESS($B126,AW$39+$A126,1,1,$C$122))</f>
        <v>0.242627288</v>
      </c>
      <c r="AX126" s="3" cm="1">
        <f t="array" aca="1" ref="AX126" ca="1">INDIRECT(ADDRESS($B126,AX$39+$A126,1,1,$C$122))</f>
        <v>0.23242417000000001</v>
      </c>
      <c r="AY126" s="3" cm="1">
        <f t="array" aca="1" ref="AY126" ca="1">INDIRECT(ADDRESS($B126,AY$39+$A126,1,1,$C$122))</f>
        <v>0.23762314239999999</v>
      </c>
      <c r="AZ126" s="3" cm="1">
        <f t="array" aca="1" ref="AZ126" ca="1">INDIRECT(ADDRESS($B126,AZ$39+$A126,1,1,$C$122))</f>
        <v>0.2412545576</v>
      </c>
      <c r="BA126" s="3" cm="1">
        <f t="array" aca="1" ref="BA126" ca="1">INDIRECT(ADDRESS($B126,BA$39+$A126,1,1,$C$122))</f>
        <v>0.2321292975</v>
      </c>
      <c r="BB126" s="3" cm="1">
        <f t="array" aca="1" ref="BB126" ca="1">INDIRECT(ADDRESS($B126,BB$39+$A126,1,1,$C$122))</f>
        <v>0.21935918439999999</v>
      </c>
      <c r="BC126" s="3" cm="1">
        <f t="array" aca="1" ref="BC126" ca="1">INDIRECT(ADDRESS($B126,BC$39+$A126,1,1,$C$122))</f>
        <v>0.20455826290000001</v>
      </c>
      <c r="BD126" s="3" cm="1">
        <f t="array" aca="1" ref="BD126" ca="1">INDIRECT(ADDRESS($B126,BD$39+$A126,1,1,$C$122))</f>
        <v>0.19134198520000001</v>
      </c>
      <c r="BE126" s="3" cm="1">
        <f t="array" aca="1" ref="BE126" ca="1">INDIRECT(ADDRESS($B126,BE$39+$A126,1,1,$C$122))</f>
        <v>0.19190411199999999</v>
      </c>
      <c r="BF126" s="3" cm="1">
        <f t="array" aca="1" ref="BF126" ca="1">INDIRECT(ADDRESS($B126,BF$39+$A126,1,1,$C$122))</f>
        <v>0.1891977608</v>
      </c>
      <c r="BG126" s="3" cm="1">
        <f t="array" aca="1" ref="BG126" ca="1">INDIRECT(ADDRESS($B126,BG$39+$A126,1,1,$C$122))</f>
        <v>0.1834037211</v>
      </c>
      <c r="BH126" s="3" cm="1">
        <f t="array" aca="1" ref="BH126" ca="1">INDIRECT(ADDRESS($B126,BH$39+$A126,1,1,$C$122))</f>
        <v>0.16849484649999999</v>
      </c>
      <c r="BI126" s="3" cm="1">
        <f t="array" aca="1" ref="BI126" ca="1">INDIRECT(ADDRESS($B126,BI$39+$A126,1,1,$C$122))</f>
        <v>0.15293607980000001</v>
      </c>
      <c r="BJ126" s="3" cm="1">
        <f t="array" aca="1" ref="BJ126" ca="1">INDIRECT(ADDRESS($B126,BJ$39+$A126,1,1,$C$122))</f>
        <v>0.1423736665</v>
      </c>
      <c r="BK126" s="3" cm="1">
        <f t="array" aca="1" ref="BK126" ca="1">INDIRECT(ADDRESS($B126,BK$39+$A126,1,1,$C$122))</f>
        <v>0.13766754959999999</v>
      </c>
      <c r="BL126" s="3" cm="1">
        <f t="array" aca="1" ref="BL126" ca="1">INDIRECT(ADDRESS($B126,BL$39+$A126,1,1,$C$122))</f>
        <v>0.13873144379999999</v>
      </c>
      <c r="BM126" s="3" cm="1">
        <f t="array" aca="1" ref="BM126" ca="1">INDIRECT(ADDRESS($B126,BM$39+$A126,1,1,$C$122))</f>
        <v>0.13813370359999999</v>
      </c>
      <c r="BN126" s="3" cm="1">
        <f t="array" aca="1" ref="BN126" ca="1">INDIRECT(ADDRESS($B126,BN$39+$A126,1,1,$C$122))</f>
        <v>0.13022034269999999</v>
      </c>
      <c r="BO126" s="3" cm="1">
        <f t="array" aca="1" ref="BO126" ca="1">INDIRECT(ADDRESS($B126,BO$39+$A126,1,1,$C$122))</f>
        <v>0.11637096769999999</v>
      </c>
      <c r="BP126" s="3" cm="1">
        <f t="array" aca="1" ref="BP126" ca="1">INDIRECT(ADDRESS($B126,BP$39+$A126,1,1,$C$122))</f>
        <v>0.100162631</v>
      </c>
      <c r="BQ126" s="3" cm="1">
        <f t="array" aca="1" ref="BQ126" ca="1">INDIRECT(ADDRESS($B126,BQ$39+$A126,1,1,$C$122))</f>
        <v>8.8388111300000002E-2</v>
      </c>
      <c r="BR126" s="3" cm="1">
        <f t="array" aca="1" ref="BR126" ca="1">INDIRECT(ADDRESS($B126,BR$39+$A126,1,1,$C$122))</f>
        <v>8.1292115999999998E-2</v>
      </c>
      <c r="BS126" s="3" cm="1">
        <f t="array" aca="1" ref="BS126" ca="1">INDIRECT(ADDRESS($B126,BS$39+$A126,1,1,$C$122))</f>
        <v>7.7947274699999999E-2</v>
      </c>
      <c r="BT126" s="3" cm="1">
        <f t="array" aca="1" ref="BT126" ca="1">INDIRECT(ADDRESS($B126,BT$39+$A126,1,1,$C$122))</f>
        <v>7.4576729100000003E-2</v>
      </c>
      <c r="BU126" s="3" cm="1">
        <f t="array" aca="1" ref="BU126" ca="1">INDIRECT(ADDRESS($B126,BU$39+$A126,1,1,$C$122))</f>
        <v>6.8251112000000003E-2</v>
      </c>
      <c r="BV126" s="3" cm="1">
        <f t="array" aca="1" ref="BV126" ca="1">INDIRECT(ADDRESS($B126,BV$39+$A126,1,1,$C$122))</f>
        <v>6.0317923099999997E-2</v>
      </c>
      <c r="BW126" s="3" cm="1">
        <f t="array" aca="1" ref="BW126" ca="1">INDIRECT(ADDRESS($B126,BW$39+$A126,1,1,$C$122))</f>
        <v>5.21643938E-2</v>
      </c>
      <c r="BX126" s="3" cm="1">
        <f t="array" aca="1" ref="BX126" ca="1">INDIRECT(ADDRESS($B126,BX$39+$A126,1,1,$C$122))</f>
        <v>4.6333304800000003E-2</v>
      </c>
      <c r="BY126" s="3" cm="1">
        <f t="array" aca="1" ref="BY126" ca="1">INDIRECT(ADDRESS($B126,BY$39+$A126,1,1,$C$122))</f>
        <v>4.3153975999999997E-2</v>
      </c>
      <c r="BZ126" s="3" cm="1">
        <f t="array" aca="1" ref="BZ126" ca="1">INDIRECT(ADDRESS($B126,BZ$39+$A126,1,1,$C$122))</f>
        <v>4.1914697399999999E-2</v>
      </c>
      <c r="CA126" s="3" cm="1">
        <f t="array" aca="1" ref="CA126" ca="1">INDIRECT(ADDRESS($B126,CA$39+$A126,1,1,$C$122))</f>
        <v>4.0885574899999999E-2</v>
      </c>
      <c r="CB126" s="3" cm="1">
        <f t="array" aca="1" ref="CB126" ca="1">INDIRECT(ADDRESS($B126,CB$39+$A126,1,1,$C$122))</f>
        <v>3.8786490299999997E-2</v>
      </c>
      <c r="CC126" s="3" cm="1">
        <f t="array" aca="1" ref="CC126" ca="1">INDIRECT(ADDRESS($B126,CC$39+$A126,1,1,$C$122))</f>
        <v>3.5291945499999998E-2</v>
      </c>
      <c r="CD126" s="3" cm="1">
        <f t="array" aca="1" ref="CD126" ca="1">INDIRECT(ADDRESS($B126,CD$39+$A126,1,1,$C$122))</f>
        <v>3.17183267E-2</v>
      </c>
      <c r="CE126" s="3" cm="1">
        <f t="array" aca="1" ref="CE126" ca="1">INDIRECT(ADDRESS($B126,CE$39+$A126,1,1,$C$122))</f>
        <v>2.8994398399999999E-2</v>
      </c>
      <c r="CF126" s="3" cm="1">
        <f t="array" aca="1" ref="CF126" ca="1">INDIRECT(ADDRESS($B126,CF$39+$A126,1,1,$C$122))</f>
        <v>2.7642997200000002E-2</v>
      </c>
      <c r="CG126" s="3" cm="1">
        <f t="array" aca="1" ref="CG126" ca="1">INDIRECT(ADDRESS($B126,CG$39+$A126,1,1,$C$122))</f>
        <v>2.8009821899999999E-2</v>
      </c>
      <c r="CH126" s="3" cm="1">
        <f t="array" aca="1" ref="CH126" ca="1">INDIRECT(ADDRESS($B126,CH$39+$A126,1,1,$C$122))</f>
        <v>2.8596119999999999E-2</v>
      </c>
      <c r="CI126" s="3" cm="1">
        <f t="array" aca="1" ref="CI126" ca="1">INDIRECT(ADDRESS($B126,CI$39+$A126,1,1,$C$122))</f>
        <v>2.8342139200000002E-2</v>
      </c>
      <c r="CJ126" s="3" cm="1">
        <f t="array" aca="1" ref="CJ126" ca="1">INDIRECT(ADDRESS($B126,CJ$39+$A126,1,1,$C$122))</f>
        <v>2.6633645800000001E-2</v>
      </c>
      <c r="CK126" s="3" cm="1">
        <f t="array" aca="1" ref="CK126" ca="1">INDIRECT(ADDRESS($B126,CK$39+$A126,1,1,$C$122))</f>
        <v>2.3765857599999999E-2</v>
      </c>
      <c r="CL126" s="3" cm="1">
        <f t="array" aca="1" ref="CL126" ca="1">INDIRECT(ADDRESS($B126,CL$39+$A126,1,1,$C$122))</f>
        <v>2.1425609599999999E-2</v>
      </c>
      <c r="CM126" s="3" cm="1">
        <f t="array" aca="1" ref="CM126" ca="1">INDIRECT(ADDRESS($B126,CM$39+$A126,1,1,$C$122))</f>
        <v>1.98939983E-2</v>
      </c>
      <c r="CN126" s="3" cm="1">
        <f t="array" aca="1" ref="CN126" ca="1">INDIRECT(ADDRESS($B126,CN$39+$A126,1,1,$C$122))</f>
        <v>0</v>
      </c>
      <c r="CO126" s="3" cm="1">
        <f t="array" aca="1" ref="CO126" ca="1">INDIRECT(ADDRESS($B126,CO$39+$A126,1,1,$C$122))</f>
        <v>0</v>
      </c>
    </row>
    <row r="127" spans="1:93" x14ac:dyDescent="0.25">
      <c r="A127">
        <v>8</v>
      </c>
      <c r="B127">
        <f t="shared" ref="B127:B130" ca="1" si="78">MATCH($C127,INDIRECT("'"&amp;$C$122&amp;"'!A:A"),0)</f>
        <v>7</v>
      </c>
      <c r="C127" s="1" t="str">
        <f t="shared" si="77"/>
        <v>France</v>
      </c>
      <c r="D127" t="str">
        <f t="shared" ref="D127:D130" si="79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1.7173656799999999E-2</v>
      </c>
      <c r="AB127" s="3" cm="1">
        <f t="array" aca="1" ref="AB127" ca="1">INDIRECT(ADDRESS($B127,AB$39+$A127,1,1,$C$122))</f>
        <v>1.25810895E-2</v>
      </c>
      <c r="AC127" s="3" cm="1">
        <f t="array" aca="1" ref="AC127" ca="1">INDIRECT(ADDRESS($B127,AC$39+$A127,1,1,$C$122))</f>
        <v>1.2424742500000001E-2</v>
      </c>
      <c r="AD127" s="3" cm="1">
        <f t="array" aca="1" ref="AD127" ca="1">INDIRECT(ADDRESS($B127,AD$39+$A127,1,1,$C$122))</f>
        <v>1.2673690899999999E-2</v>
      </c>
      <c r="AE127" s="3" cm="1">
        <f t="array" aca="1" ref="AE127" ca="1">INDIRECT(ADDRESS($B127,AE$39+$A127,1,1,$C$122))</f>
        <v>1.33120635E-2</v>
      </c>
      <c r="AF127" s="3" cm="1">
        <f t="array" aca="1" ref="AF127" ca="1">INDIRECT(ADDRESS($B127,AF$39+$A127,1,1,$C$122))</f>
        <v>1.43234551E-2</v>
      </c>
      <c r="AG127" s="3" cm="1">
        <f t="array" aca="1" ref="AG127" ca="1">INDIRECT(ADDRESS($B127,AG$39+$A127,1,1,$C$122))</f>
        <v>1.5307567500000001E-2</v>
      </c>
      <c r="AH127" s="3" cm="1">
        <f t="array" aca="1" ref="AH127" ca="1">INDIRECT(ADDRESS($B127,AH$39+$A127,1,1,$C$122))</f>
        <v>1.5862616E-2</v>
      </c>
      <c r="AI127" s="3" cm="1">
        <f t="array" aca="1" ref="AI127" ca="1">INDIRECT(ADDRESS($B127,AI$39+$A127,1,1,$C$122))</f>
        <v>1.6005082300000001E-2</v>
      </c>
      <c r="AJ127" s="3" cm="1">
        <f t="array" aca="1" ref="AJ127" ca="1">INDIRECT(ADDRESS($B127,AJ$39+$A127,1,1,$C$122))</f>
        <v>1.5752878000000001E-2</v>
      </c>
      <c r="AK127" s="3" cm="1">
        <f t="array" aca="1" ref="AK127" ca="1">INDIRECT(ADDRESS($B127,AK$39+$A127,1,1,$C$122))</f>
        <v>1.5508500999999999E-2</v>
      </c>
      <c r="AL127" s="3" cm="1">
        <f t="array" aca="1" ref="AL127" ca="1">INDIRECT(ADDRESS($B127,AL$39+$A127,1,1,$C$122))</f>
        <v>1.5271592400000001E-2</v>
      </c>
      <c r="AM127" s="3" cm="1">
        <f t="array" aca="1" ref="AM127" ca="1">INDIRECT(ADDRESS($B127,AM$39+$A127,1,1,$C$122))</f>
        <v>1.5041815E-2</v>
      </c>
      <c r="AN127" s="3" cm="1">
        <f t="array" aca="1" ref="AN127" ca="1">INDIRECT(ADDRESS($B127,AN$39+$A127,1,1,$C$122))</f>
        <v>3.7032991600000002E-2</v>
      </c>
      <c r="AO127" s="3" cm="1">
        <f t="array" aca="1" ref="AO127" ca="1">INDIRECT(ADDRESS($B127,AO$39+$A127,1,1,$C$122))</f>
        <v>0.14873008879999999</v>
      </c>
      <c r="AP127" s="3" cm="1">
        <f t="array" aca="1" ref="AP127" ca="1">INDIRECT(ADDRESS($B127,AP$39+$A127,1,1,$C$122))</f>
        <v>0.2900441393</v>
      </c>
      <c r="AQ127" s="3" cm="1">
        <f t="array" aca="1" ref="AQ127" ca="1">INDIRECT(ADDRESS($B127,AQ$39+$A127,1,1,$C$122))</f>
        <v>0.47318933969999999</v>
      </c>
      <c r="AR127" s="3" cm="1">
        <f t="array" aca="1" ref="AR127" ca="1">INDIRECT(ADDRESS($B127,AR$39+$A127,1,1,$C$122))</f>
        <v>0.5821734945</v>
      </c>
      <c r="AS127" s="3" cm="1">
        <f t="array" aca="1" ref="AS127" ca="1">INDIRECT(ADDRESS($B127,AS$39+$A127,1,1,$C$122))</f>
        <v>0.56601534740000004</v>
      </c>
      <c r="AT127" s="3" cm="1">
        <f t="array" aca="1" ref="AT127" ca="1">INDIRECT(ADDRESS($B127,AT$39+$A127,1,1,$C$122))</f>
        <v>0.46814927499999998</v>
      </c>
      <c r="AU127" s="3" cm="1">
        <f t="array" aca="1" ref="AU127" ca="1">INDIRECT(ADDRESS($B127,AU$39+$A127,1,1,$C$122))</f>
        <v>0.36652812769999998</v>
      </c>
      <c r="AV127" s="3" cm="1">
        <f t="array" aca="1" ref="AV127" ca="1">INDIRECT(ADDRESS($B127,AV$39+$A127,1,1,$C$122))</f>
        <v>0.31798054269999998</v>
      </c>
      <c r="AW127" s="3" cm="1">
        <f t="array" aca="1" ref="AW127" ca="1">INDIRECT(ADDRESS($B127,AW$39+$A127,1,1,$C$122))</f>
        <v>0.32941603949999998</v>
      </c>
      <c r="AX127" s="3" cm="1">
        <f t="array" aca="1" ref="AX127" ca="1">INDIRECT(ADDRESS($B127,AX$39+$A127,1,1,$C$122))</f>
        <v>0.39338657760000001</v>
      </c>
      <c r="AY127" s="3" cm="1">
        <f t="array" aca="1" ref="AY127" ca="1">INDIRECT(ADDRESS($B127,AY$39+$A127,1,1,$C$122))</f>
        <v>0.4152522803</v>
      </c>
      <c r="AZ127" s="3" cm="1">
        <f t="array" aca="1" ref="AZ127" ca="1">INDIRECT(ADDRESS($B127,AZ$39+$A127,1,1,$C$122))</f>
        <v>0.39547260169999998</v>
      </c>
      <c r="BA127" s="3" cm="1">
        <f t="array" aca="1" ref="BA127" ca="1">INDIRECT(ADDRESS($B127,BA$39+$A127,1,1,$C$122))</f>
        <v>0.3303518252</v>
      </c>
      <c r="BB127" s="3" cm="1">
        <f t="array" aca="1" ref="BB127" ca="1">INDIRECT(ADDRESS($B127,BB$39+$A127,1,1,$C$122))</f>
        <v>0.27768437219999997</v>
      </c>
      <c r="BC127" s="3" cm="1">
        <f t="array" aca="1" ref="BC127" ca="1">INDIRECT(ADDRESS($B127,BC$39+$A127,1,1,$C$122))</f>
        <v>0.26727353729999997</v>
      </c>
      <c r="BD127" s="3" cm="1">
        <f t="array" aca="1" ref="BD127" ca="1">INDIRECT(ADDRESS($B127,BD$39+$A127,1,1,$C$122))</f>
        <v>0.28352753400000003</v>
      </c>
      <c r="BE127" s="3" cm="1">
        <f t="array" aca="1" ref="BE127" ca="1">INDIRECT(ADDRESS($B127,BE$39+$A127,1,1,$C$122))</f>
        <v>0.28127566469999998</v>
      </c>
      <c r="BF127" s="3" cm="1">
        <f t="array" aca="1" ref="BF127" ca="1">INDIRECT(ADDRESS($B127,BF$39+$A127,1,1,$C$122))</f>
        <v>0.2439622736</v>
      </c>
      <c r="BG127" s="3" cm="1">
        <f t="array" aca="1" ref="BG127" ca="1">INDIRECT(ADDRESS($B127,BG$39+$A127,1,1,$C$122))</f>
        <v>0.22027201499999999</v>
      </c>
      <c r="BH127" s="3" cm="1">
        <f t="array" aca="1" ref="BH127" ca="1">INDIRECT(ADDRESS($B127,BH$39+$A127,1,1,$C$122))</f>
        <v>0.2048723643</v>
      </c>
      <c r="BI127" s="3" cm="1">
        <f t="array" aca="1" ref="BI127" ca="1">INDIRECT(ADDRESS($B127,BI$39+$A127,1,1,$C$122))</f>
        <v>0.20400655400000001</v>
      </c>
      <c r="BJ127" s="3" cm="1">
        <f t="array" aca="1" ref="BJ127" ca="1">INDIRECT(ADDRESS($B127,BJ$39+$A127,1,1,$C$122))</f>
        <v>0.2154894597</v>
      </c>
      <c r="BK127" s="3" cm="1">
        <f t="array" aca="1" ref="BK127" ca="1">INDIRECT(ADDRESS($B127,BK$39+$A127,1,1,$C$122))</f>
        <v>0.2016266598</v>
      </c>
      <c r="BL127" s="3" cm="1">
        <f t="array" aca="1" ref="BL127" ca="1">INDIRECT(ADDRESS($B127,BL$39+$A127,1,1,$C$122))</f>
        <v>0.19076305700000001</v>
      </c>
      <c r="BM127" s="3" cm="1">
        <f t="array" aca="1" ref="BM127" ca="1">INDIRECT(ADDRESS($B127,BM$39+$A127,1,1,$C$122))</f>
        <v>0.16459604899999999</v>
      </c>
      <c r="BN127" s="3" cm="1">
        <f t="array" aca="1" ref="BN127" ca="1">INDIRECT(ADDRESS($B127,BN$39+$A127,1,1,$C$122))</f>
        <v>0.16141461139999999</v>
      </c>
      <c r="BO127" s="3" cm="1">
        <f t="array" aca="1" ref="BO127" ca="1">INDIRECT(ADDRESS($B127,BO$39+$A127,1,1,$C$122))</f>
        <v>0.15646377210000001</v>
      </c>
      <c r="BP127" s="3" cm="1">
        <f t="array" aca="1" ref="BP127" ca="1">INDIRECT(ADDRESS($B127,BP$39+$A127,1,1,$C$122))</f>
        <v>0.15579636720000001</v>
      </c>
      <c r="BQ127" s="3" cm="1">
        <f t="array" aca="1" ref="BQ127" ca="1">INDIRECT(ADDRESS($B127,BQ$39+$A127,1,1,$C$122))</f>
        <v>0.1562262549</v>
      </c>
      <c r="BR127" s="3" cm="1">
        <f t="array" aca="1" ref="BR127" ca="1">INDIRECT(ADDRESS($B127,BR$39+$A127,1,1,$C$122))</f>
        <v>0.1487816501</v>
      </c>
      <c r="BS127" s="3" cm="1">
        <f t="array" aca="1" ref="BS127" ca="1">INDIRECT(ADDRESS($B127,BS$39+$A127,1,1,$C$122))</f>
        <v>0.14413575689999999</v>
      </c>
      <c r="BT127" s="3" cm="1">
        <f t="array" aca="1" ref="BT127" ca="1">INDIRECT(ADDRESS($B127,BT$39+$A127,1,1,$C$122))</f>
        <v>0.1321291101</v>
      </c>
      <c r="BU127" s="3" cm="1">
        <f t="array" aca="1" ref="BU127" ca="1">INDIRECT(ADDRESS($B127,BU$39+$A127,1,1,$C$122))</f>
        <v>0.1237461338</v>
      </c>
      <c r="BV127" s="3" cm="1">
        <f t="array" aca="1" ref="BV127" ca="1">INDIRECT(ADDRESS($B127,BV$39+$A127,1,1,$C$122))</f>
        <v>0.1187796906</v>
      </c>
      <c r="BW127" s="3" cm="1">
        <f t="array" aca="1" ref="BW127" ca="1">INDIRECT(ADDRESS($B127,BW$39+$A127,1,1,$C$122))</f>
        <v>0.1142378262</v>
      </c>
      <c r="BX127" s="3" cm="1">
        <f t="array" aca="1" ref="BX127" ca="1">INDIRECT(ADDRESS($B127,BX$39+$A127,1,1,$C$122))</f>
        <v>0.11025066829999999</v>
      </c>
      <c r="BY127" s="3" cm="1">
        <f t="array" aca="1" ref="BY127" ca="1">INDIRECT(ADDRESS($B127,BY$39+$A127,1,1,$C$122))</f>
        <v>0.1021042174</v>
      </c>
      <c r="BZ127" s="3" cm="1">
        <f t="array" aca="1" ref="BZ127" ca="1">INDIRECT(ADDRESS($B127,BZ$39+$A127,1,1,$C$122))</f>
        <v>8.8402824199999994E-2</v>
      </c>
      <c r="CA127" s="3" cm="1">
        <f t="array" aca="1" ref="CA127" ca="1">INDIRECT(ADDRESS($B127,CA$39+$A127,1,1,$C$122))</f>
        <v>7.2639517799999997E-2</v>
      </c>
      <c r="CB127" s="3" cm="1">
        <f t="array" aca="1" ref="CB127" ca="1">INDIRECT(ADDRESS($B127,CB$39+$A127,1,1,$C$122))</f>
        <v>6.13656801E-2</v>
      </c>
      <c r="CC127" s="3" cm="1">
        <f t="array" aca="1" ref="CC127" ca="1">INDIRECT(ADDRESS($B127,CC$39+$A127,1,1,$C$122))</f>
        <v>5.4422984899999999E-2</v>
      </c>
      <c r="CD127" s="3" cm="1">
        <f t="array" aca="1" ref="CD127" ca="1">INDIRECT(ADDRESS($B127,CD$39+$A127,1,1,$C$122))</f>
        <v>5.1312598199999997E-2</v>
      </c>
      <c r="CE127" s="3" cm="1">
        <f t="array" aca="1" ref="CE127" ca="1">INDIRECT(ADDRESS($B127,CE$39+$A127,1,1,$C$122))</f>
        <v>4.9244895599999998E-2</v>
      </c>
      <c r="CF127" s="3" cm="1">
        <f t="array" aca="1" ref="CF127" ca="1">INDIRECT(ADDRESS($B127,CF$39+$A127,1,1,$C$122))</f>
        <v>4.9575087300000001E-2</v>
      </c>
      <c r="CG127" s="3" cm="1">
        <f t="array" aca="1" ref="CG127" ca="1">INDIRECT(ADDRESS($B127,CG$39+$A127,1,1,$C$122))</f>
        <v>4.9708973699999999E-2</v>
      </c>
      <c r="CH127" s="3" cm="1">
        <f t="array" aca="1" ref="CH127" ca="1">INDIRECT(ADDRESS($B127,CH$39+$A127,1,1,$C$122))</f>
        <v>6.7888427400000007E-2</v>
      </c>
      <c r="CI127" s="3" cm="1">
        <f t="array" aca="1" ref="CI127" ca="1">INDIRECT(ADDRESS($B127,CI$39+$A127,1,1,$C$122))</f>
        <v>8.2641621799999995E-2</v>
      </c>
      <c r="CJ127" s="3" cm="1">
        <f t="array" aca="1" ref="CJ127" ca="1">INDIRECT(ADDRESS($B127,CJ$39+$A127,1,1,$C$122))</f>
        <v>9.7013129000000003E-2</v>
      </c>
      <c r="CK127" s="3" cm="1">
        <f t="array" aca="1" ref="CK127" ca="1">INDIRECT(ADDRESS($B127,CK$39+$A127,1,1,$C$122))</f>
        <v>9.4086458100000006E-2</v>
      </c>
      <c r="CL127" s="3" cm="1">
        <f t="array" aca="1" ref="CL127" ca="1">INDIRECT(ADDRESS($B127,CL$39+$A127,1,1,$C$122))</f>
        <v>7.6469649700000003E-2</v>
      </c>
      <c r="CM127" s="3" cm="1">
        <f t="array" aca="1" ref="CM127" ca="1">INDIRECT(ADDRESS($B127,CM$39+$A127,1,1,$C$122))</f>
        <v>5.98583964E-2</v>
      </c>
      <c r="CN127" s="3" cm="1">
        <f t="array" aca="1" ref="CN127" ca="1">INDIRECT(ADDRESS($B127,CN$39+$A127,1,1,$C$122))</f>
        <v>0</v>
      </c>
      <c r="CO127" s="3" cm="1">
        <f t="array" aca="1" ref="CO127" ca="1">INDIRECT(ADDRESS($B127,CO$39+$A127,1,1,$C$122))</f>
        <v>0</v>
      </c>
    </row>
    <row r="128" spans="1:93" x14ac:dyDescent="0.25">
      <c r="A128">
        <v>8</v>
      </c>
      <c r="B128">
        <f t="shared" ca="1" si="78"/>
        <v>19</v>
      </c>
      <c r="C128" s="1" t="str">
        <f t="shared" si="77"/>
        <v>Switzerland</v>
      </c>
      <c r="D128" t="str">
        <f t="shared" si="79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0.4550782149</v>
      </c>
      <c r="AW128" s="3" cm="1">
        <f t="array" aca="1" ref="AW128" ca="1">INDIRECT(ADDRESS($B128,AW$39+$A128,1,1,$C$122))</f>
        <v>0.4805199275</v>
      </c>
      <c r="AX128" s="3" cm="1">
        <f t="array" aca="1" ref="AX128" ca="1">INDIRECT(ADDRESS($B128,AX$39+$A128,1,1,$C$122))</f>
        <v>0.4776924749</v>
      </c>
      <c r="AY128" s="3" cm="1">
        <f t="array" aca="1" ref="AY128" ca="1">INDIRECT(ADDRESS($B128,AY$39+$A128,1,1,$C$122))</f>
        <v>0.44471277510000001</v>
      </c>
      <c r="AZ128" s="3" cm="1">
        <f t="array" aca="1" ref="AZ128" ca="1">INDIRECT(ADDRESS($B128,AZ$39+$A128,1,1,$C$122))</f>
        <v>0.39300391169999999</v>
      </c>
      <c r="BA128" s="3" cm="1">
        <f t="array" aca="1" ref="BA128" ca="1">INDIRECT(ADDRESS($B128,BA$39+$A128,1,1,$C$122))</f>
        <v>0.3022130596</v>
      </c>
      <c r="BB128" s="3" cm="1">
        <f t="array" aca="1" ref="BB128" ca="1">INDIRECT(ADDRESS($B128,BB$39+$A128,1,1,$C$122))</f>
        <v>0.26309155150000002</v>
      </c>
      <c r="BC128" s="3" cm="1">
        <f t="array" aca="1" ref="BC128" ca="1">INDIRECT(ADDRESS($B128,BC$39+$A128,1,1,$C$122))</f>
        <v>0.2560493512</v>
      </c>
      <c r="BD128" s="3" cm="1">
        <f t="array" aca="1" ref="BD128" ca="1">INDIRECT(ADDRESS($B128,BD$39+$A128,1,1,$C$122))</f>
        <v>0.28706665329999997</v>
      </c>
      <c r="BE128" s="3" cm="1">
        <f t="array" aca="1" ref="BE128" ca="1">INDIRECT(ADDRESS($B128,BE$39+$A128,1,1,$C$122))</f>
        <v>0.29624127589999999</v>
      </c>
      <c r="BF128" s="3" cm="1">
        <f t="array" aca="1" ref="BF128" ca="1">INDIRECT(ADDRESS($B128,BF$39+$A128,1,1,$C$122))</f>
        <v>0.32657515079999999</v>
      </c>
      <c r="BG128" s="3" cm="1">
        <f t="array" aca="1" ref="BG128" ca="1">INDIRECT(ADDRESS($B128,BG$39+$A128,1,1,$C$122))</f>
        <v>0.31030642949999998</v>
      </c>
      <c r="BH128" s="3" cm="1">
        <f t="array" aca="1" ref="BH128" ca="1">INDIRECT(ADDRESS($B128,BH$39+$A128,1,1,$C$122))</f>
        <v>0.28610114110000001</v>
      </c>
      <c r="BI128" s="3" cm="1">
        <f t="array" aca="1" ref="BI128" ca="1">INDIRECT(ADDRESS($B128,BI$39+$A128,1,1,$C$122))</f>
        <v>0.24594770129999999</v>
      </c>
      <c r="BJ128" s="3" cm="1">
        <f t="array" aca="1" ref="BJ128" ca="1">INDIRECT(ADDRESS($B128,BJ$39+$A128,1,1,$C$122))</f>
        <v>0.20188107720000001</v>
      </c>
      <c r="BK128" s="3" cm="1">
        <f t="array" aca="1" ref="BK128" ca="1">INDIRECT(ADDRESS($B128,BK$39+$A128,1,1,$C$122))</f>
        <v>0.19847395179999999</v>
      </c>
      <c r="BL128" s="3" cm="1">
        <f t="array" aca="1" ref="BL128" ca="1">INDIRECT(ADDRESS($B128,BL$39+$A128,1,1,$C$122))</f>
        <v>0.2136053621</v>
      </c>
      <c r="BM128" s="3" cm="1">
        <f t="array" aca="1" ref="BM128" ca="1">INDIRECT(ADDRESS($B128,BM$39+$A128,1,1,$C$122))</f>
        <v>0.24013561889999999</v>
      </c>
      <c r="BN128" s="3" cm="1">
        <f t="array" aca="1" ref="BN128" ca="1">INDIRECT(ADDRESS($B128,BN$39+$A128,1,1,$C$122))</f>
        <v>0.23552997780000001</v>
      </c>
      <c r="BO128" s="3" cm="1">
        <f t="array" aca="1" ref="BO128" ca="1">INDIRECT(ADDRESS($B128,BO$39+$A128,1,1,$C$122))</f>
        <v>0.2050974401</v>
      </c>
      <c r="BP128" s="3" cm="1">
        <f t="array" aca="1" ref="BP128" ca="1">INDIRECT(ADDRESS($B128,BP$39+$A128,1,1,$C$122))</f>
        <v>0.16697039329999999</v>
      </c>
      <c r="BQ128" s="3" cm="1">
        <f t="array" aca="1" ref="BQ128" ca="1">INDIRECT(ADDRESS($B128,BQ$39+$A128,1,1,$C$122))</f>
        <v>0.13926163699999999</v>
      </c>
      <c r="BR128" s="3" cm="1">
        <f t="array" aca="1" ref="BR128" ca="1">INDIRECT(ADDRESS($B128,BR$39+$A128,1,1,$C$122))</f>
        <v>0.11758148879999999</v>
      </c>
      <c r="BS128" s="3" cm="1">
        <f t="array" aca="1" ref="BS128" ca="1">INDIRECT(ADDRESS($B128,BS$39+$A128,1,1,$C$122))</f>
        <v>0.10382082519999999</v>
      </c>
      <c r="BT128" s="3" cm="1">
        <f t="array" aca="1" ref="BT128" ca="1">INDIRECT(ADDRESS($B128,BT$39+$A128,1,1,$C$122))</f>
        <v>9.0612807099999998E-2</v>
      </c>
      <c r="BU128" s="3" cm="1">
        <f t="array" aca="1" ref="BU128" ca="1">INDIRECT(ADDRESS($B128,BU$39+$A128,1,1,$C$122))</f>
        <v>8.30050643E-2</v>
      </c>
      <c r="BV128" s="3" cm="1">
        <f t="array" aca="1" ref="BV128" ca="1">INDIRECT(ADDRESS($B128,BV$39+$A128,1,1,$C$122))</f>
        <v>7.3671723100000003E-2</v>
      </c>
      <c r="BW128" s="3" cm="1">
        <f t="array" aca="1" ref="BW128" ca="1">INDIRECT(ADDRESS($B128,BW$39+$A128,1,1,$C$122))</f>
        <v>6.6918646900000003E-2</v>
      </c>
      <c r="BX128" s="3" cm="1">
        <f t="array" aca="1" ref="BX128" ca="1">INDIRECT(ADDRESS($B128,BX$39+$A128,1,1,$C$122))</f>
        <v>6.1935539400000003E-2</v>
      </c>
      <c r="BY128" s="3" cm="1">
        <f t="array" aca="1" ref="BY128" ca="1">INDIRECT(ADDRESS($B128,BY$39+$A128,1,1,$C$122))</f>
        <v>5.8159394500000003E-2</v>
      </c>
      <c r="BZ128" s="3" cm="1">
        <f t="array" aca="1" ref="BZ128" ca="1">INDIRECT(ADDRESS($B128,BZ$39+$A128,1,1,$C$122))</f>
        <v>5.6221723899999999E-2</v>
      </c>
      <c r="CA128" s="3" cm="1">
        <f t="array" aca="1" ref="CA128" ca="1">INDIRECT(ADDRESS($B128,CA$39+$A128,1,1,$C$122))</f>
        <v>5.0330956099999997E-2</v>
      </c>
      <c r="CB128" s="3" cm="1">
        <f t="array" aca="1" ref="CB128" ca="1">INDIRECT(ADDRESS($B128,CB$39+$A128,1,1,$C$122))</f>
        <v>4.4258024799999997E-2</v>
      </c>
      <c r="CC128" s="3" cm="1">
        <f t="array" aca="1" ref="CC128" ca="1">INDIRECT(ADDRESS($B128,CC$39+$A128,1,1,$C$122))</f>
        <v>3.7072291E-2</v>
      </c>
      <c r="CD128" s="3" cm="1">
        <f t="array" aca="1" ref="CD128" ca="1">INDIRECT(ADDRESS($B128,CD$39+$A128,1,1,$C$122))</f>
        <v>3.3302099199999997E-2</v>
      </c>
      <c r="CE128" s="3" cm="1">
        <f t="array" aca="1" ref="CE128" ca="1">INDIRECT(ADDRESS($B128,CE$39+$A128,1,1,$C$122))</f>
        <v>3.2571131500000003E-2</v>
      </c>
      <c r="CF128" s="3" cm="1">
        <f t="array" aca="1" ref="CF128" ca="1">INDIRECT(ADDRESS($B128,CF$39+$A128,1,1,$C$122))</f>
        <v>3.2450665599999998E-2</v>
      </c>
      <c r="CG128" s="3" cm="1">
        <f t="array" aca="1" ref="CG128" ca="1">INDIRECT(ADDRESS($B128,CG$39+$A128,1,1,$C$122))</f>
        <v>3.1894002499999997E-2</v>
      </c>
      <c r="CH128" s="3" cm="1">
        <f t="array" aca="1" ref="CH128" ca="1">INDIRECT(ADDRESS($B128,CH$39+$A128,1,1,$C$122))</f>
        <v>2.8122307999999999E-2</v>
      </c>
      <c r="CI128" s="3" cm="1">
        <f t="array" aca="1" ref="CI128" ca="1">INDIRECT(ADDRESS($B128,CI$39+$A128,1,1,$C$122))</f>
        <v>2.3000021499999999E-2</v>
      </c>
      <c r="CJ128" s="3" cm="1">
        <f t="array" aca="1" ref="CJ128" ca="1">INDIRECT(ADDRESS($B128,CJ$39+$A128,1,1,$C$122))</f>
        <v>1.74723621E-2</v>
      </c>
      <c r="CK128" s="3" cm="1">
        <f t="array" aca="1" ref="CK128" ca="1">INDIRECT(ADDRESS($B128,CK$39+$A128,1,1,$C$122))</f>
        <v>1.4116450799999999E-2</v>
      </c>
      <c r="CL128" s="3" cm="1">
        <f t="array" aca="1" ref="CL128" ca="1">INDIRECT(ADDRESS($B128,CL$39+$A128,1,1,$C$122))</f>
        <v>1.28411258E-2</v>
      </c>
      <c r="CM128" s="3" cm="1">
        <f t="array" aca="1" ref="CM128" ca="1">INDIRECT(ADDRESS($B128,CM$39+$A128,1,1,$C$122))</f>
        <v>1.26689E-2</v>
      </c>
      <c r="CN128" s="3" cm="1">
        <f t="array" aca="1" ref="CN128" ca="1">INDIRECT(ADDRESS($B128,CN$39+$A128,1,1,$C$122))</f>
        <v>0</v>
      </c>
      <c r="CO128" s="3" cm="1">
        <f t="array" aca="1" ref="CO128" ca="1">INDIRECT(ADDRESS($B128,CO$39+$A128,1,1,$C$122))</f>
        <v>0</v>
      </c>
    </row>
    <row r="129" spans="1:93" x14ac:dyDescent="0.25">
      <c r="A129">
        <v>8</v>
      </c>
      <c r="B129">
        <f t="shared" ca="1" si="78"/>
        <v>8</v>
      </c>
      <c r="C129" s="1" t="str">
        <f t="shared" si="77"/>
        <v>Germany</v>
      </c>
      <c r="D129" t="str">
        <f t="shared" si="79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3.4653119099999997E-2</v>
      </c>
      <c r="W129" s="3" cm="1">
        <f t="array" aca="1" ref="W129" ca="1">INDIRECT(ADDRESS($B129,W$39+$A129,1,1,$C$122))</f>
        <v>2.4588365300000001E-2</v>
      </c>
      <c r="X129" s="3" cm="1">
        <f t="array" aca="1" ref="X129" ca="1">INDIRECT(ADDRESS($B129,X$39+$A129,1,1,$C$122))</f>
        <v>3.1785488799999997E-2</v>
      </c>
      <c r="Y129" s="3" cm="1">
        <f t="array" aca="1" ref="Y129" ca="1">INDIRECT(ADDRESS($B129,Y$39+$A129,1,1,$C$122))</f>
        <v>4.1466412799999998E-2</v>
      </c>
      <c r="Z129" s="3" cm="1">
        <f t="array" aca="1" ref="Z129" ca="1">INDIRECT(ADDRESS($B129,Z$39+$A129,1,1,$C$122))</f>
        <v>4.6476377899999997E-2</v>
      </c>
      <c r="AA129" s="3" cm="1">
        <f t="array" aca="1" ref="AA129" ca="1">INDIRECT(ADDRESS($B129,AA$39+$A129,1,1,$C$122))</f>
        <v>4.4552273099999998E-2</v>
      </c>
      <c r="AB129" s="3" cm="1">
        <f t="array" aca="1" ref="AB129" ca="1">INDIRECT(ADDRESS($B129,AB$39+$A129,1,1,$C$122))</f>
        <v>3.3185213300000002E-2</v>
      </c>
      <c r="AC129" s="3" cm="1">
        <f t="array" aca="1" ref="AC129" ca="1">INDIRECT(ADDRESS($B129,AC$39+$A129,1,1,$C$122))</f>
        <v>1.9651213899999999E-2</v>
      </c>
      <c r="AD129" s="3" cm="1">
        <f t="array" aca="1" ref="AD129" ca="1">INDIRECT(ADDRESS($B129,AD$39+$A129,1,1,$C$122))</f>
        <v>9.3520554999999995E-3</v>
      </c>
      <c r="AE129" s="3" cm="1">
        <f t="array" aca="1" ref="AE129" ca="1">INDIRECT(ADDRESS($B129,AE$39+$A129,1,1,$C$122))</f>
        <v>4.4151184000000001E-3</v>
      </c>
      <c r="AF129" s="3" cm="1">
        <f t="array" aca="1" ref="AF129" ca="1">INDIRECT(ADDRESS($B129,AF$39+$A129,1,1,$C$122))</f>
        <v>4.3957103000000003E-3</v>
      </c>
      <c r="AG129" s="3" cm="1">
        <f t="array" aca="1" ref="AG129" ca="1">INDIRECT(ADDRESS($B129,AG$39+$A129,1,1,$C$122))</f>
        <v>4.3764722000000002E-3</v>
      </c>
      <c r="AH129" s="3" cm="1">
        <f t="array" aca="1" ref="AH129" ca="1">INDIRECT(ADDRESS($B129,AH$39+$A129,1,1,$C$122))</f>
        <v>4.3574017000000001E-3</v>
      </c>
      <c r="AI129" s="3" cm="1">
        <f t="array" aca="1" ref="AI129" ca="1">INDIRECT(ADDRESS($B129,AI$39+$A129,1,1,$C$122))</f>
        <v>4.3384966000000001E-3</v>
      </c>
      <c r="AJ129" s="3" cm="1">
        <f t="array" aca="1" ref="AJ129" ca="1">INDIRECT(ADDRESS($B129,AJ$39+$A129,1,1,$C$122))</f>
        <v>4.3197549999999998E-3</v>
      </c>
      <c r="AK129" s="3" cm="1">
        <f t="array" aca="1" ref="AK129" ca="1">INDIRECT(ADDRESS($B129,AK$39+$A129,1,1,$C$122))</f>
        <v>4.3011745000000002E-3</v>
      </c>
      <c r="AL129" s="3" cm="1">
        <f t="array" aca="1" ref="AL129" ca="1">INDIRECT(ADDRESS($B129,AL$39+$A129,1,1,$C$122))</f>
        <v>4.2827532000000003E-3</v>
      </c>
      <c r="AM129" s="3" cm="1">
        <f t="array" aca="1" ref="AM129" ca="1">INDIRECT(ADDRESS($B129,AM$39+$A129,1,1,$C$122))</f>
        <v>4.2644891000000002E-3</v>
      </c>
      <c r="AN129" s="3" cm="1">
        <f t="array" aca="1" ref="AN129" ca="1">INDIRECT(ADDRESS($B129,AN$39+$A129,1,1,$C$122))</f>
        <v>4.9912194E-2</v>
      </c>
      <c r="AO129" s="3" cm="1">
        <f t="array" aca="1" ref="AO129" ca="1">INDIRECT(ADDRESS($B129,AO$39+$A129,1,1,$C$122))</f>
        <v>0.15623299099999999</v>
      </c>
      <c r="AP129" s="3" cm="1">
        <f t="array" aca="1" ref="AP129" ca="1">INDIRECT(ADDRESS($B129,AP$39+$A129,1,1,$C$122))</f>
        <v>0.24371260829999999</v>
      </c>
      <c r="AQ129" s="3" cm="1">
        <f t="array" aca="1" ref="AQ129" ca="1">INDIRECT(ADDRESS($B129,AQ$39+$A129,1,1,$C$122))</f>
        <v>0.35855158819999999</v>
      </c>
      <c r="AR129" s="3" cm="1">
        <f t="array" aca="1" ref="AR129" ca="1">INDIRECT(ADDRESS($B129,AR$39+$A129,1,1,$C$122))</f>
        <v>0.43310506840000002</v>
      </c>
      <c r="AS129" s="3" cm="1">
        <f t="array" aca="1" ref="AS129" ca="1">INDIRECT(ADDRESS($B129,AS$39+$A129,1,1,$C$122))</f>
        <v>0.42200566750000001</v>
      </c>
      <c r="AT129" s="3" cm="1">
        <f t="array" aca="1" ref="AT129" ca="1">INDIRECT(ADDRESS($B129,AT$39+$A129,1,1,$C$122))</f>
        <v>0.41494347929999997</v>
      </c>
      <c r="AU129" s="3" cm="1">
        <f t="array" aca="1" ref="AU129" ca="1">INDIRECT(ADDRESS($B129,AU$39+$A129,1,1,$C$122))</f>
        <v>0.3742310761</v>
      </c>
      <c r="AV129" s="3" cm="1">
        <f t="array" aca="1" ref="AV129" ca="1">INDIRECT(ADDRESS($B129,AV$39+$A129,1,1,$C$122))</f>
        <v>0.38292517469999998</v>
      </c>
      <c r="AW129" s="3" cm="1">
        <f t="array" aca="1" ref="AW129" ca="1">INDIRECT(ADDRESS($B129,AW$39+$A129,1,1,$C$122))</f>
        <v>0.40007208849999998</v>
      </c>
      <c r="AX129" s="3" cm="1">
        <f t="array" aca="1" ref="AX129" ca="1">INDIRECT(ADDRESS($B129,AX$39+$A129,1,1,$C$122))</f>
        <v>0.41621399809999998</v>
      </c>
      <c r="AY129" s="3" cm="1">
        <f t="array" aca="1" ref="AY129" ca="1">INDIRECT(ADDRESS($B129,AY$39+$A129,1,1,$C$122))</f>
        <v>0.42005077870000002</v>
      </c>
      <c r="AZ129" s="3" cm="1">
        <f t="array" aca="1" ref="AZ129" ca="1">INDIRECT(ADDRESS($B129,AZ$39+$A129,1,1,$C$122))</f>
        <v>0.33825805390000002</v>
      </c>
      <c r="BA129" s="3" cm="1">
        <f t="array" aca="1" ref="BA129" ca="1">INDIRECT(ADDRESS($B129,BA$39+$A129,1,1,$C$122))</f>
        <v>0.2695297418</v>
      </c>
      <c r="BB129" s="3" cm="1">
        <f t="array" aca="1" ref="BB129" ca="1">INDIRECT(ADDRESS($B129,BB$39+$A129,1,1,$C$122))</f>
        <v>0.235160965</v>
      </c>
      <c r="BC129" s="3" cm="1">
        <f t="array" aca="1" ref="BC129" ca="1">INDIRECT(ADDRESS($B129,BC$39+$A129,1,1,$C$122))</f>
        <v>0.2136247322</v>
      </c>
      <c r="BD129" s="3" cm="1">
        <f t="array" aca="1" ref="BD129" ca="1">INDIRECT(ADDRESS($B129,BD$39+$A129,1,1,$C$122))</f>
        <v>0.26255276249999998</v>
      </c>
      <c r="BE129" s="3" cm="1">
        <f t="array" aca="1" ref="BE129" ca="1">INDIRECT(ADDRESS($B129,BE$39+$A129,1,1,$C$122))</f>
        <v>0.2952508915</v>
      </c>
      <c r="BF129" s="3" cm="1">
        <f t="array" aca="1" ref="BF129" ca="1">INDIRECT(ADDRESS($B129,BF$39+$A129,1,1,$C$122))</f>
        <v>0.32638571830000002</v>
      </c>
      <c r="BG129" s="3" cm="1">
        <f t="array" aca="1" ref="BG129" ca="1">INDIRECT(ADDRESS($B129,BG$39+$A129,1,1,$C$122))</f>
        <v>0.34195791479999998</v>
      </c>
      <c r="BH129" s="3" cm="1">
        <f t="array" aca="1" ref="BH129" ca="1">INDIRECT(ADDRESS($B129,BH$39+$A129,1,1,$C$122))</f>
        <v>0.30653677369999999</v>
      </c>
      <c r="BI129" s="3" cm="1">
        <f t="array" aca="1" ref="BI129" ca="1">INDIRECT(ADDRESS($B129,BI$39+$A129,1,1,$C$122))</f>
        <v>0.29255758450000002</v>
      </c>
      <c r="BJ129" s="3" cm="1">
        <f t="array" aca="1" ref="BJ129" ca="1">INDIRECT(ADDRESS($B129,BJ$39+$A129,1,1,$C$122))</f>
        <v>0.27294795560000001</v>
      </c>
      <c r="BK129" s="3" cm="1">
        <f t="array" aca="1" ref="BK129" ca="1">INDIRECT(ADDRESS($B129,BK$39+$A129,1,1,$C$122))</f>
        <v>0.28074743070000002</v>
      </c>
      <c r="BL129" s="3" cm="1">
        <f t="array" aca="1" ref="BL129" ca="1">INDIRECT(ADDRESS($B129,BL$39+$A129,1,1,$C$122))</f>
        <v>0.26619042399999998</v>
      </c>
      <c r="BM129" s="3" cm="1">
        <f t="array" aca="1" ref="BM129" ca="1">INDIRECT(ADDRESS($B129,BM$39+$A129,1,1,$C$122))</f>
        <v>0.23410656469999999</v>
      </c>
      <c r="BN129" s="3" cm="1">
        <f t="array" aca="1" ref="BN129" ca="1">INDIRECT(ADDRESS($B129,BN$39+$A129,1,1,$C$122))</f>
        <v>0.1984990928</v>
      </c>
      <c r="BO129" s="3" cm="1">
        <f t="array" aca="1" ref="BO129" ca="1">INDIRECT(ADDRESS($B129,BO$39+$A129,1,1,$C$122))</f>
        <v>0.1630856852</v>
      </c>
      <c r="BP129" s="3" cm="1">
        <f t="array" aca="1" ref="BP129" ca="1">INDIRECT(ADDRESS($B129,BP$39+$A129,1,1,$C$122))</f>
        <v>0.14713975560000001</v>
      </c>
      <c r="BQ129" s="3" cm="1">
        <f t="array" aca="1" ref="BQ129" ca="1">INDIRECT(ADDRESS($B129,BQ$39+$A129,1,1,$C$122))</f>
        <v>0.14300862189999999</v>
      </c>
      <c r="BR129" s="3" cm="1">
        <f t="array" aca="1" ref="BR129" ca="1">INDIRECT(ADDRESS($B129,BR$39+$A129,1,1,$C$122))</f>
        <v>0.1477463812</v>
      </c>
      <c r="BS129" s="3" cm="1">
        <f t="array" aca="1" ref="BS129" ca="1">INDIRECT(ADDRESS($B129,BS$39+$A129,1,1,$C$122))</f>
        <v>0.15092394349999999</v>
      </c>
      <c r="BT129" s="3" cm="1">
        <f t="array" aca="1" ref="BT129" ca="1">INDIRECT(ADDRESS($B129,BT$39+$A129,1,1,$C$122))</f>
        <v>0.1447883794</v>
      </c>
      <c r="BU129" s="3" cm="1">
        <f t="array" aca="1" ref="BU129" ca="1">INDIRECT(ADDRESS($B129,BU$39+$A129,1,1,$C$122))</f>
        <v>0.1306035344</v>
      </c>
      <c r="BV129" s="3" cm="1">
        <f t="array" aca="1" ref="BV129" ca="1">INDIRECT(ADDRESS($B129,BV$39+$A129,1,1,$C$122))</f>
        <v>0.1102797943</v>
      </c>
      <c r="BW129" s="3" cm="1">
        <f t="array" aca="1" ref="BW129" ca="1">INDIRECT(ADDRESS($B129,BW$39+$A129,1,1,$C$122))</f>
        <v>9.1633258499999995E-2</v>
      </c>
      <c r="BX129" s="3" cm="1">
        <f t="array" aca="1" ref="BX129" ca="1">INDIRECT(ADDRESS($B129,BX$39+$A129,1,1,$C$122))</f>
        <v>8.2655039E-2</v>
      </c>
      <c r="BY129" s="3" cm="1">
        <f t="array" aca="1" ref="BY129" ca="1">INDIRECT(ADDRESS($B129,BY$39+$A129,1,1,$C$122))</f>
        <v>7.9846583900000004E-2</v>
      </c>
      <c r="BZ129" s="3" cm="1">
        <f t="array" aca="1" ref="BZ129" ca="1">INDIRECT(ADDRESS($B129,BZ$39+$A129,1,1,$C$122))</f>
        <v>7.8886474600000006E-2</v>
      </c>
      <c r="CA129" s="3" cm="1">
        <f t="array" aca="1" ref="CA129" ca="1">INDIRECT(ADDRESS($B129,CA$39+$A129,1,1,$C$122))</f>
        <v>7.3284360000000007E-2</v>
      </c>
      <c r="CB129" s="3" cm="1">
        <f t="array" aca="1" ref="CB129" ca="1">INDIRECT(ADDRESS($B129,CB$39+$A129,1,1,$C$122))</f>
        <v>6.3182434499999995E-2</v>
      </c>
      <c r="CC129" s="3" cm="1">
        <f t="array" aca="1" ref="CC129" ca="1">INDIRECT(ADDRESS($B129,CC$39+$A129,1,1,$C$122))</f>
        <v>5.2234027400000001E-2</v>
      </c>
      <c r="CD129" s="3" cm="1">
        <f t="array" aca="1" ref="CD129" ca="1">INDIRECT(ADDRESS($B129,CD$39+$A129,1,1,$C$122))</f>
        <v>4.4930961800000002E-2</v>
      </c>
      <c r="CE129" s="3" cm="1">
        <f t="array" aca="1" ref="CE129" ca="1">INDIRECT(ADDRESS($B129,CE$39+$A129,1,1,$C$122))</f>
        <v>4.2276355500000001E-2</v>
      </c>
      <c r="CF129" s="3" cm="1">
        <f t="array" aca="1" ref="CF129" ca="1">INDIRECT(ADDRESS($B129,CF$39+$A129,1,1,$C$122))</f>
        <v>4.2344635800000002E-2</v>
      </c>
      <c r="CG129" s="3" cm="1">
        <f t="array" aca="1" ref="CG129" ca="1">INDIRECT(ADDRESS($B129,CG$39+$A129,1,1,$C$122))</f>
        <v>4.0889405099999998E-2</v>
      </c>
      <c r="CH129" s="3" cm="1">
        <f t="array" aca="1" ref="CH129" ca="1">INDIRECT(ADDRESS($B129,CH$39+$A129,1,1,$C$122))</f>
        <v>3.69089711E-2</v>
      </c>
      <c r="CI129" s="3" cm="1">
        <f t="array" aca="1" ref="CI129" ca="1">INDIRECT(ADDRESS($B129,CI$39+$A129,1,1,$C$122))</f>
        <v>3.07607464E-2</v>
      </c>
      <c r="CJ129" s="3" cm="1">
        <f t="array" aca="1" ref="CJ129" ca="1">INDIRECT(ADDRESS($B129,CJ$39+$A129,1,1,$C$122))</f>
        <v>2.4292790299999999E-2</v>
      </c>
      <c r="CK129" s="3" cm="1">
        <f t="array" aca="1" ref="CK129" ca="1">INDIRECT(ADDRESS($B129,CK$39+$A129,1,1,$C$122))</f>
        <v>2.0525132200000001E-2</v>
      </c>
      <c r="CL129" s="3" cm="1">
        <f t="array" aca="1" ref="CL129" ca="1">INDIRECT(ADDRESS($B129,CL$39+$A129,1,1,$C$122))</f>
        <v>1.87223883E-2</v>
      </c>
      <c r="CM129" s="3" cm="1">
        <f t="array" aca="1" ref="CM129" ca="1">INDIRECT(ADDRESS($B129,CM$39+$A129,1,1,$C$122))</f>
        <v>1.9665182E-2</v>
      </c>
      <c r="CN129" s="3" cm="1">
        <f t="array" aca="1" ref="CN129" ca="1">INDIRECT(ADDRESS($B129,CN$39+$A129,1,1,$C$122))</f>
        <v>0</v>
      </c>
      <c r="CO129" s="3" cm="1">
        <f t="array" aca="1" ref="CO129" ca="1">INDIRECT(ADDRESS($B129,CO$39+$A129,1,1,$C$122))</f>
        <v>0</v>
      </c>
    </row>
    <row r="130" spans="1:93" x14ac:dyDescent="0.25">
      <c r="A130">
        <v>8</v>
      </c>
      <c r="B130">
        <f t="shared" ca="1" si="78"/>
        <v>16</v>
      </c>
      <c r="C130" s="1" t="str">
        <f t="shared" si="77"/>
        <v>Singapore</v>
      </c>
      <c r="D130" t="str">
        <f t="shared" si="79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0.16967326460000001</v>
      </c>
      <c r="T130" s="3" cm="1">
        <f t="array" aca="1" ref="T130" ca="1">INDIRECT(ADDRESS($B130,T$39+$A130,1,1,$C$122))</f>
        <v>0.14576826779999999</v>
      </c>
      <c r="U130" s="3" cm="1">
        <f t="array" aca="1" ref="U130" ca="1">INDIRECT(ADDRESS($B130,U$39+$A130,1,1,$C$122))</f>
        <v>0.1214738227</v>
      </c>
      <c r="V130" s="3" cm="1">
        <f t="array" aca="1" ref="V130" ca="1">INDIRECT(ADDRESS($B130,V$39+$A130,1,1,$C$122))</f>
        <v>9.9288841099999997E-2</v>
      </c>
      <c r="W130" s="3" cm="1">
        <f t="array" aca="1" ref="W130" ca="1">INDIRECT(ADDRESS($B130,W$39+$A130,1,1,$C$122))</f>
        <v>8.9879769299999995E-2</v>
      </c>
      <c r="X130" s="3" cm="1">
        <f t="array" aca="1" ref="X130" ca="1">INDIRECT(ADDRESS($B130,X$39+$A130,1,1,$C$122))</f>
        <v>9.8624417199999995E-2</v>
      </c>
      <c r="Y130" s="3" cm="1">
        <f t="array" aca="1" ref="Y130" ca="1">INDIRECT(ADDRESS($B130,Y$39+$A130,1,1,$C$122))</f>
        <v>0.10984842390000001</v>
      </c>
      <c r="Z130" s="3" cm="1">
        <f t="array" aca="1" ref="Z130" ca="1">INDIRECT(ADDRESS($B130,Z$39+$A130,1,1,$C$122))</f>
        <v>0.1146156312</v>
      </c>
      <c r="AA130" s="3" cm="1">
        <f t="array" aca="1" ref="AA130" ca="1">INDIRECT(ADDRESS($B130,AA$39+$A130,1,1,$C$122))</f>
        <v>0.1075762088</v>
      </c>
      <c r="AB130" s="3" cm="1">
        <f t="array" aca="1" ref="AB130" ca="1">INDIRECT(ADDRESS($B130,AB$39+$A130,1,1,$C$122))</f>
        <v>0.1035423649</v>
      </c>
      <c r="AC130" s="3" cm="1">
        <f t="array" aca="1" ref="AC130" ca="1">INDIRECT(ADDRESS($B130,AC$39+$A130,1,1,$C$122))</f>
        <v>0.1052819398</v>
      </c>
      <c r="AD130" s="3" cm="1">
        <f t="array" aca="1" ref="AD130" ca="1">INDIRECT(ADDRESS($B130,AD$39+$A130,1,1,$C$122))</f>
        <v>0.1079785615</v>
      </c>
      <c r="AE130" s="3" cm="1">
        <f t="array" aca="1" ref="AE130" ca="1">INDIRECT(ADDRESS($B130,AE$39+$A130,1,1,$C$122))</f>
        <v>9.6425380099999999E-2</v>
      </c>
      <c r="AF130" s="3" cm="1">
        <f t="array" aca="1" ref="AF130" ca="1">INDIRECT(ADDRESS($B130,AF$39+$A130,1,1,$C$122))</f>
        <v>7.4185951099999994E-2</v>
      </c>
      <c r="AG130" s="3" cm="1">
        <f t="array" aca="1" ref="AG130" ca="1">INDIRECT(ADDRESS($B130,AG$39+$A130,1,1,$C$122))</f>
        <v>5.2779173499999998E-2</v>
      </c>
      <c r="AH130" s="3" cm="1">
        <f t="array" aca="1" ref="AH130" ca="1">INDIRECT(ADDRESS($B130,AH$39+$A130,1,1,$C$122))</f>
        <v>3.9116387900000001E-2</v>
      </c>
      <c r="AI130" s="3" cm="1">
        <f t="array" aca="1" ref="AI130" ca="1">INDIRECT(ADDRESS($B130,AI$39+$A130,1,1,$C$122))</f>
        <v>3.1412727699999997E-2</v>
      </c>
      <c r="AJ130" s="3" cm="1">
        <f t="array" aca="1" ref="AJ130" ca="1">INDIRECT(ADDRESS($B130,AJ$39+$A130,1,1,$C$122))</f>
        <v>2.4313418699999999E-2</v>
      </c>
      <c r="AK130" s="3" cm="1">
        <f t="array" aca="1" ref="AK130" ca="1">INDIRECT(ADDRESS($B130,AK$39+$A130,1,1,$C$122))</f>
        <v>1.9075323200000001E-2</v>
      </c>
      <c r="AL130" s="3" cm="1">
        <f t="array" aca="1" ref="AL130" ca="1">INDIRECT(ADDRESS($B130,AL$39+$A130,1,1,$C$122))</f>
        <v>1.6138184600000001E-2</v>
      </c>
      <c r="AM130" s="3" cm="1">
        <f t="array" aca="1" ref="AM130" ca="1">INDIRECT(ADDRESS($B130,AM$39+$A130,1,1,$C$122))</f>
        <v>1.58894498E-2</v>
      </c>
      <c r="AN130" s="3" cm="1">
        <f t="array" aca="1" ref="AN130" ca="1">INDIRECT(ADDRESS($B130,AN$39+$A130,1,1,$C$122))</f>
        <v>1.6636734899999998E-2</v>
      </c>
      <c r="AO130" s="3" cm="1">
        <f t="array" aca="1" ref="AO130" ca="1">INDIRECT(ADDRESS($B130,AO$39+$A130,1,1,$C$122))</f>
        <v>1.77225115E-2</v>
      </c>
      <c r="AP130" s="3" cm="1">
        <f t="array" aca="1" ref="AP130" ca="1">INDIRECT(ADDRESS($B130,AP$39+$A130,1,1,$C$122))</f>
        <v>2.00646859E-2</v>
      </c>
      <c r="AQ130" s="3" cm="1">
        <f t="array" aca="1" ref="AQ130" ca="1">INDIRECT(ADDRESS($B130,AQ$39+$A130,1,1,$C$122))</f>
        <v>2.4113689099999999E-2</v>
      </c>
      <c r="AR130" s="3" cm="1">
        <f t="array" aca="1" ref="AR130" ca="1">INDIRECT(ADDRESS($B130,AR$39+$A130,1,1,$C$122))</f>
        <v>2.88378974E-2</v>
      </c>
      <c r="AS130" s="3" cm="1">
        <f t="array" aca="1" ref="AS130" ca="1">INDIRECT(ADDRESS($B130,AS$39+$A130,1,1,$C$122))</f>
        <v>3.0699968599999999E-2</v>
      </c>
      <c r="AT130" s="3" cm="1">
        <f t="array" aca="1" ref="AT130" ca="1">INDIRECT(ADDRESS($B130,AT$39+$A130,1,1,$C$122))</f>
        <v>2.9883572000000001E-2</v>
      </c>
      <c r="AU130" s="3" cm="1">
        <f t="array" aca="1" ref="AU130" ca="1">INDIRECT(ADDRESS($B130,AU$39+$A130,1,1,$C$122))</f>
        <v>2.7854805900000001E-2</v>
      </c>
      <c r="AV130" s="3" cm="1">
        <f t="array" aca="1" ref="AV130" ca="1">INDIRECT(ADDRESS($B130,AV$39+$A130,1,1,$C$122))</f>
        <v>2.62299501E-2</v>
      </c>
      <c r="AW130" s="3" cm="1">
        <f t="array" aca="1" ref="AW130" ca="1">INDIRECT(ADDRESS($B130,AW$39+$A130,1,1,$C$122))</f>
        <v>3.3485877999999997E-2</v>
      </c>
      <c r="AX130" s="3" cm="1">
        <f t="array" aca="1" ref="AX130" ca="1">INDIRECT(ADDRESS($B130,AX$39+$A130,1,1,$C$122))</f>
        <v>4.4068347899999999E-2</v>
      </c>
      <c r="AY130" s="3" cm="1">
        <f t="array" aca="1" ref="AY130" ca="1">INDIRECT(ADDRESS($B130,AY$39+$A130,1,1,$C$122))</f>
        <v>5.9676216900000002E-2</v>
      </c>
      <c r="AZ130" s="3" cm="1">
        <f t="array" aca="1" ref="AZ130" ca="1">INDIRECT(ADDRESS($B130,AZ$39+$A130,1,1,$C$122))</f>
        <v>6.8000983200000004E-2</v>
      </c>
      <c r="BA130" s="3" cm="1">
        <f t="array" aca="1" ref="BA130" ca="1">INDIRECT(ADDRESS($B130,BA$39+$A130,1,1,$C$122))</f>
        <v>6.5704797800000006E-2</v>
      </c>
      <c r="BB130" s="3" cm="1">
        <f t="array" aca="1" ref="BB130" ca="1">INDIRECT(ADDRESS($B130,BB$39+$A130,1,1,$C$122))</f>
        <v>6.3767082899999994E-2</v>
      </c>
      <c r="BC130" s="3" cm="1">
        <f t="array" aca="1" ref="BC130" ca="1">INDIRECT(ADDRESS($B130,BC$39+$A130,1,1,$C$122))</f>
        <v>5.9640584099999998E-2</v>
      </c>
      <c r="BD130" s="3" cm="1">
        <f t="array" aca="1" ref="BD130" ca="1">INDIRECT(ADDRESS($B130,BD$39+$A130,1,1,$C$122))</f>
        <v>6.36404208E-2</v>
      </c>
      <c r="BE130" s="3" cm="1">
        <f t="array" aca="1" ref="BE130" ca="1">INDIRECT(ADDRESS($B130,BE$39+$A130,1,1,$C$122))</f>
        <v>6.6241003500000006E-2</v>
      </c>
      <c r="BF130" s="3" cm="1">
        <f t="array" aca="1" ref="BF130" ca="1">INDIRECT(ADDRESS($B130,BF$39+$A130,1,1,$C$122))</f>
        <v>6.6580010100000003E-2</v>
      </c>
      <c r="BG130" s="3" cm="1">
        <f t="array" aca="1" ref="BG130" ca="1">INDIRECT(ADDRESS($B130,BG$39+$A130,1,1,$C$122))</f>
        <v>6.6188819900000001E-2</v>
      </c>
      <c r="BH130" s="3" cm="1">
        <f t="array" aca="1" ref="BH130" ca="1">INDIRECT(ADDRESS($B130,BH$39+$A130,1,1,$C$122))</f>
        <v>6.7028624300000006E-2</v>
      </c>
      <c r="BI130" s="3" cm="1">
        <f t="array" aca="1" ref="BI130" ca="1">INDIRECT(ADDRESS($B130,BI$39+$A130,1,1,$C$122))</f>
        <v>8.1432298799999997E-2</v>
      </c>
      <c r="BJ130" s="3" cm="1">
        <f t="array" aca="1" ref="BJ130" ca="1">INDIRECT(ADDRESS($B130,BJ$39+$A130,1,1,$C$122))</f>
        <v>9.7015649699999998E-2</v>
      </c>
      <c r="BK130" s="3" cm="1">
        <f t="array" aca="1" ref="BK130" ca="1">INDIRECT(ADDRESS($B130,BK$39+$A130,1,1,$C$122))</f>
        <v>0.1124597306</v>
      </c>
      <c r="BL130" s="3" cm="1">
        <f t="array" aca="1" ref="BL130" ca="1">INDIRECT(ADDRESS($B130,BL$39+$A130,1,1,$C$122))</f>
        <v>0.1213203328</v>
      </c>
      <c r="BM130" s="3" cm="1">
        <f t="array" aca="1" ref="BM130" ca="1">INDIRECT(ADDRESS($B130,BM$39+$A130,1,1,$C$122))</f>
        <v>0.11533112869999999</v>
      </c>
      <c r="BN130" s="3" cm="1">
        <f t="array" aca="1" ref="BN130" ca="1">INDIRECT(ADDRESS($B130,BN$39+$A130,1,1,$C$122))</f>
        <v>0.10867272090000001</v>
      </c>
      <c r="BO130" s="3" cm="1">
        <f t="array" aca="1" ref="BO130" ca="1">INDIRECT(ADDRESS($B130,BO$39+$A130,1,1,$C$122))</f>
        <v>9.9088303200000005E-2</v>
      </c>
      <c r="BP130" s="3" cm="1">
        <f t="array" aca="1" ref="BP130" ca="1">INDIRECT(ADDRESS($B130,BP$39+$A130,1,1,$C$122))</f>
        <v>9.9468748600000004E-2</v>
      </c>
      <c r="BQ130" s="3" cm="1">
        <f t="array" aca="1" ref="BQ130" ca="1">INDIRECT(ADDRESS($B130,BQ$39+$A130,1,1,$C$122))</f>
        <v>0.1014243747</v>
      </c>
      <c r="BR130" s="3" cm="1">
        <f t="array" aca="1" ref="BR130" ca="1">INDIRECT(ADDRESS($B130,BR$39+$A130,1,1,$C$122))</f>
        <v>0.1002846464</v>
      </c>
      <c r="BS130" s="3" cm="1">
        <f t="array" aca="1" ref="BS130" ca="1">INDIRECT(ADDRESS($B130,BS$39+$A130,1,1,$C$122))</f>
        <v>9.8595359399999999E-2</v>
      </c>
      <c r="BT130" s="3" cm="1">
        <f t="array" aca="1" ref="BT130" ca="1">INDIRECT(ADDRESS($B130,BT$39+$A130,1,1,$C$122))</f>
        <v>8.7848810200000002E-2</v>
      </c>
      <c r="BU130" s="3" cm="1">
        <f t="array" aca="1" ref="BU130" ca="1">INDIRECT(ADDRESS($B130,BU$39+$A130,1,1,$C$122))</f>
        <v>7.7677670899999995E-2</v>
      </c>
      <c r="BV130" s="3" cm="1">
        <f t="array" aca="1" ref="BV130" ca="1">INDIRECT(ADDRESS($B130,BV$39+$A130,1,1,$C$122))</f>
        <v>6.6704389500000003E-2</v>
      </c>
      <c r="BW130" s="3" cm="1">
        <f t="array" aca="1" ref="BW130" ca="1">INDIRECT(ADDRESS($B130,BW$39+$A130,1,1,$C$122))</f>
        <v>6.0575995000000001E-2</v>
      </c>
      <c r="BX130" s="3" cm="1">
        <f t="array" aca="1" ref="BX130" ca="1">INDIRECT(ADDRESS($B130,BX$39+$A130,1,1,$C$122))</f>
        <v>5.7593516999999997E-2</v>
      </c>
      <c r="BY130" s="3" cm="1">
        <f t="array" aca="1" ref="BY130" ca="1">INDIRECT(ADDRESS($B130,BY$39+$A130,1,1,$C$122))</f>
        <v>5.7936137800000002E-2</v>
      </c>
      <c r="BZ130" s="3" cm="1">
        <f t="array" aca="1" ref="BZ130" ca="1">INDIRECT(ADDRESS($B130,BZ$39+$A130,1,1,$C$122))</f>
        <v>6.0609500199999999E-2</v>
      </c>
      <c r="CA130" s="3" cm="1">
        <f t="array" aca="1" ref="CA130" ca="1">INDIRECT(ADDRESS($B130,CA$39+$A130,1,1,$C$122))</f>
        <v>6.5255337699999999E-2</v>
      </c>
      <c r="CB130" s="3" cm="1">
        <f t="array" aca="1" ref="CB130" ca="1">INDIRECT(ADDRESS($B130,CB$39+$A130,1,1,$C$122))</f>
        <v>6.81693981E-2</v>
      </c>
      <c r="CC130" s="3" cm="1">
        <f t="array" aca="1" ref="CC130" ca="1">INDIRECT(ADDRESS($B130,CC$39+$A130,1,1,$C$122))</f>
        <v>7.1220693000000002E-2</v>
      </c>
      <c r="CD130" s="3" cm="1">
        <f t="array" aca="1" ref="CD130" ca="1">INDIRECT(ADDRESS($B130,CD$39+$A130,1,1,$C$122))</f>
        <v>7.5150504699999995E-2</v>
      </c>
      <c r="CE130" s="3" cm="1">
        <f t="array" aca="1" ref="CE130" ca="1">INDIRECT(ADDRESS($B130,CE$39+$A130,1,1,$C$122))</f>
        <v>8.5448310499999999E-2</v>
      </c>
      <c r="CF130" s="3" cm="1">
        <f t="array" aca="1" ref="CF130" ca="1">INDIRECT(ADDRESS($B130,CF$39+$A130,1,1,$C$122))</f>
        <v>9.8568521899999997E-2</v>
      </c>
      <c r="CG130" s="3" cm="1">
        <f t="array" aca="1" ref="CG130" ca="1">INDIRECT(ADDRESS($B130,CG$39+$A130,1,1,$C$122))</f>
        <v>0.1097469697</v>
      </c>
      <c r="CH130" s="3" cm="1">
        <f t="array" aca="1" ref="CH130" ca="1">INDIRECT(ADDRESS($B130,CH$39+$A130,1,1,$C$122))</f>
        <v>0.1156525342</v>
      </c>
      <c r="CI130" s="3" cm="1">
        <f t="array" aca="1" ref="CI130" ca="1">INDIRECT(ADDRESS($B130,CI$39+$A130,1,1,$C$122))</f>
        <v>0.1149755214</v>
      </c>
      <c r="CJ130" s="3" cm="1">
        <f t="array" aca="1" ref="CJ130" ca="1">INDIRECT(ADDRESS($B130,CJ$39+$A130,1,1,$C$122))</f>
        <v>0.11446323160000001</v>
      </c>
      <c r="CK130" s="3" cm="1">
        <f t="array" aca="1" ref="CK130" ca="1">INDIRECT(ADDRESS($B130,CK$39+$A130,1,1,$C$122))</f>
        <v>0.11799681939999999</v>
      </c>
      <c r="CL130" s="3" cm="1">
        <f t="array" aca="1" ref="CL130" ca="1">INDIRECT(ADDRESS($B130,CL$39+$A130,1,1,$C$122))</f>
        <v>0.1315982326</v>
      </c>
      <c r="CM130" s="3" cm="1">
        <f t="array" aca="1" ref="CM130" ca="1">INDIRECT(ADDRESS($B130,CM$39+$A130,1,1,$C$122))</f>
        <v>0.14191684979999999</v>
      </c>
      <c r="CN130" s="3" cm="1">
        <f t="array" aca="1" ref="CN130" ca="1">INDIRECT(ADDRESS($B130,CN$39+$A130,1,1,$C$122))</f>
        <v>0</v>
      </c>
      <c r="CO130" s="3" cm="1">
        <f t="array" aca="1" ref="CO130" ca="1">INDIRECT(ADDRESS($B130,CO$39+$A130,1,1,$C$122))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CR291"/>
  <sheetViews>
    <sheetView zoomScaleNormal="100" workbookViewId="0"/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37" spans="1:96" x14ac:dyDescent="0.25">
      <c r="D37" t="s">
        <v>151</v>
      </c>
      <c r="F37">
        <v>100000</v>
      </c>
    </row>
    <row r="38" spans="1:96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</row>
    <row r="39" spans="1:96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1:96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24">IF(F40*$D40&gt;$F$37,#N/A,F40*$D40)</f>
        <v>100.00000000000001</v>
      </c>
      <c r="H40" s="17">
        <f t="shared" si="24"/>
        <v>141.42135623730954</v>
      </c>
      <c r="I40" s="17">
        <f t="shared" si="24"/>
        <v>200.00000000000006</v>
      </c>
      <c r="J40" s="17">
        <f t="shared" si="24"/>
        <v>282.84271247461913</v>
      </c>
      <c r="K40" s="17">
        <f t="shared" si="24"/>
        <v>400.00000000000023</v>
      </c>
      <c r="L40" s="17">
        <f t="shared" si="24"/>
        <v>565.68542494923838</v>
      </c>
      <c r="M40" s="17">
        <f t="shared" si="24"/>
        <v>800.00000000000057</v>
      </c>
      <c r="N40" s="17">
        <f t="shared" si="24"/>
        <v>1131.370849898477</v>
      </c>
      <c r="O40" s="17">
        <f t="shared" si="24"/>
        <v>1600.0000000000014</v>
      </c>
      <c r="P40" s="17">
        <f t="shared" si="24"/>
        <v>2262.741699796954</v>
      </c>
      <c r="Q40" s="17">
        <f t="shared" si="24"/>
        <v>3200.0000000000027</v>
      </c>
      <c r="R40" s="17">
        <f t="shared" si="24"/>
        <v>4525.483399593908</v>
      </c>
      <c r="S40" s="17">
        <f t="shared" si="24"/>
        <v>6400.0000000000055</v>
      </c>
      <c r="T40" s="17">
        <f t="shared" si="24"/>
        <v>9050.9667991878159</v>
      </c>
      <c r="U40" s="17">
        <f t="shared" si="24"/>
        <v>12800.000000000011</v>
      </c>
      <c r="V40" s="17">
        <f t="shared" si="24"/>
        <v>18101.933598375632</v>
      </c>
      <c r="W40" s="17">
        <f t="shared" si="24"/>
        <v>25600.000000000022</v>
      </c>
      <c r="X40" s="17">
        <f t="shared" si="24"/>
        <v>36203.867196751264</v>
      </c>
      <c r="Y40" s="17">
        <f t="shared" si="24"/>
        <v>51200.000000000044</v>
      </c>
      <c r="Z40" s="17">
        <f t="shared" si="24"/>
        <v>72407.734393502527</v>
      </c>
      <c r="AA40" s="17" t="e">
        <f t="shared" si="24"/>
        <v>#N/A</v>
      </c>
      <c r="AB40" s="17" t="e">
        <f t="shared" si="24"/>
        <v>#N/A</v>
      </c>
      <c r="AC40" s="17" t="e">
        <f t="shared" si="24"/>
        <v>#N/A</v>
      </c>
      <c r="AD40" s="17" t="e">
        <f t="shared" si="24"/>
        <v>#N/A</v>
      </c>
      <c r="AE40" s="17" t="e">
        <f t="shared" si="24"/>
        <v>#N/A</v>
      </c>
      <c r="AF40" s="17" t="e">
        <f t="shared" si="24"/>
        <v>#N/A</v>
      </c>
      <c r="AG40" s="17" t="e">
        <f t="shared" si="24"/>
        <v>#N/A</v>
      </c>
      <c r="AH40" s="17" t="e">
        <f t="shared" si="24"/>
        <v>#N/A</v>
      </c>
      <c r="AI40" s="17" t="e">
        <f t="shared" si="24"/>
        <v>#N/A</v>
      </c>
      <c r="AJ40" s="17" t="e">
        <f t="shared" si="24"/>
        <v>#N/A</v>
      </c>
      <c r="AK40" s="17" t="e">
        <f t="shared" si="24"/>
        <v>#N/A</v>
      </c>
      <c r="AL40" s="17" t="e">
        <f t="shared" si="24"/>
        <v>#N/A</v>
      </c>
      <c r="AM40" s="17" t="e">
        <f t="shared" si="24"/>
        <v>#N/A</v>
      </c>
      <c r="AN40" s="17" t="e">
        <f t="shared" si="24"/>
        <v>#N/A</v>
      </c>
      <c r="AO40" s="17" t="e">
        <f t="shared" si="24"/>
        <v>#N/A</v>
      </c>
      <c r="AP40" s="17" t="e">
        <f t="shared" si="24"/>
        <v>#N/A</v>
      </c>
      <c r="AQ40" s="17" t="e">
        <f t="shared" si="24"/>
        <v>#N/A</v>
      </c>
      <c r="AR40" s="17" t="e">
        <f t="shared" si="24"/>
        <v>#N/A</v>
      </c>
      <c r="AS40" s="17" t="e">
        <f t="shared" si="24"/>
        <v>#N/A</v>
      </c>
      <c r="AT40" s="17" t="e">
        <f t="shared" si="24"/>
        <v>#N/A</v>
      </c>
      <c r="AU40" s="17" t="e">
        <f t="shared" si="24"/>
        <v>#N/A</v>
      </c>
      <c r="AV40" s="17" t="e">
        <f t="shared" si="24"/>
        <v>#N/A</v>
      </c>
      <c r="AW40" s="17" t="e">
        <f t="shared" si="24"/>
        <v>#N/A</v>
      </c>
      <c r="AX40" s="17" t="e">
        <f t="shared" si="24"/>
        <v>#N/A</v>
      </c>
      <c r="AY40" s="17" t="e">
        <f t="shared" si="24"/>
        <v>#N/A</v>
      </c>
      <c r="AZ40" s="17" t="e">
        <f t="shared" si="24"/>
        <v>#N/A</v>
      </c>
      <c r="BA40" s="17" t="e">
        <f t="shared" si="24"/>
        <v>#N/A</v>
      </c>
      <c r="BB40" s="17" t="e">
        <f t="shared" si="24"/>
        <v>#N/A</v>
      </c>
      <c r="BC40" s="17" t="e">
        <f t="shared" si="24"/>
        <v>#N/A</v>
      </c>
      <c r="BD40" s="17" t="e">
        <f t="shared" si="24"/>
        <v>#N/A</v>
      </c>
      <c r="BE40" s="17" t="e">
        <f t="shared" si="24"/>
        <v>#N/A</v>
      </c>
      <c r="BF40" s="17" t="e">
        <f t="shared" si="24"/>
        <v>#N/A</v>
      </c>
      <c r="BG40" s="17" t="e">
        <f t="shared" si="24"/>
        <v>#N/A</v>
      </c>
      <c r="BH40" s="17" t="e">
        <f t="shared" si="24"/>
        <v>#N/A</v>
      </c>
      <c r="BI40" s="17" t="e">
        <f t="shared" si="24"/>
        <v>#N/A</v>
      </c>
      <c r="BJ40" s="17" t="e">
        <f t="shared" si="24"/>
        <v>#N/A</v>
      </c>
      <c r="BK40" s="17" t="e">
        <f t="shared" si="24"/>
        <v>#N/A</v>
      </c>
      <c r="BL40" s="17" t="e">
        <f t="shared" si="24"/>
        <v>#N/A</v>
      </c>
      <c r="BM40" s="17" t="e">
        <f t="shared" si="24"/>
        <v>#N/A</v>
      </c>
      <c r="BN40" s="17" t="e">
        <f t="shared" si="24"/>
        <v>#N/A</v>
      </c>
      <c r="BO40" s="17" t="e">
        <f t="shared" si="24"/>
        <v>#N/A</v>
      </c>
      <c r="BP40" s="17" t="e">
        <f t="shared" si="24"/>
        <v>#N/A</v>
      </c>
      <c r="BQ40" s="17" t="e">
        <f t="shared" si="24"/>
        <v>#N/A</v>
      </c>
      <c r="BR40" s="17" t="e">
        <f t="shared" si="24"/>
        <v>#N/A</v>
      </c>
      <c r="BS40" s="17" t="e">
        <f t="shared" ref="BS40:BV40" si="25">IF(BR40*$D40&gt;$F$37,#N/A,BR40*$D40)</f>
        <v>#N/A</v>
      </c>
      <c r="BT40" s="17" t="e">
        <f t="shared" si="25"/>
        <v>#N/A</v>
      </c>
      <c r="BU40" s="17" t="e">
        <f t="shared" si="25"/>
        <v>#N/A</v>
      </c>
      <c r="BV40" s="17" t="e">
        <f t="shared" si="25"/>
        <v>#N/A</v>
      </c>
      <c r="BW40" s="17" t="e">
        <f t="shared" ref="BW40:BW42" si="26">IF(BV40*$D40&gt;$F$37,#N/A,BV40*$D40)</f>
        <v>#N/A</v>
      </c>
      <c r="BX40" s="17" t="e">
        <f t="shared" ref="BX40:BX42" si="27">IF(BW40*$D40&gt;$F$37,#N/A,BW40*$D40)</f>
        <v>#N/A</v>
      </c>
      <c r="BY40" s="17" t="e">
        <f t="shared" ref="BY40:BY42" si="28">IF(BX40*$D40&gt;$F$37,#N/A,BX40*$D40)</f>
        <v>#N/A</v>
      </c>
      <c r="BZ40" s="17" t="e">
        <f t="shared" ref="BZ40:BZ42" si="29">IF(BY40*$D40&gt;$F$37,#N/A,BY40*$D40)</f>
        <v>#N/A</v>
      </c>
      <c r="CA40" s="17" t="e">
        <f t="shared" ref="CA40:CA42" si="30">IF(BZ40*$D40&gt;$F$37,#N/A,BZ40*$D40)</f>
        <v>#N/A</v>
      </c>
      <c r="CB40" s="17" t="e">
        <f t="shared" ref="CB40:CB42" si="31">IF(CA40*$D40&gt;$F$37,#N/A,CA40*$D40)</f>
        <v>#N/A</v>
      </c>
      <c r="CC40" s="17" t="e">
        <f t="shared" ref="CC40:CC42" si="32">IF(CB40*$D40&gt;$F$37,#N/A,CB40*$D40)</f>
        <v>#N/A</v>
      </c>
      <c r="CD40" s="17" t="e">
        <f t="shared" ref="CD40:CD42" si="33">IF(CC40*$D40&gt;$F$37,#N/A,CC40*$D40)</f>
        <v>#N/A</v>
      </c>
      <c r="CE40" s="17" t="e">
        <f t="shared" ref="CE40:CE42" si="34">IF(CD40*$D40&gt;$F$37,#N/A,CD40*$D40)</f>
        <v>#N/A</v>
      </c>
      <c r="CF40" s="17" t="e">
        <f t="shared" ref="CF40:CF42" si="35">IF(CE40*$D40&gt;$F$37,#N/A,CE40*$D40)</f>
        <v>#N/A</v>
      </c>
      <c r="CG40" s="17" t="e">
        <f t="shared" ref="CG40:CG42" si="36">IF(CF40*$D40&gt;$F$37,#N/A,CF40*$D40)</f>
        <v>#N/A</v>
      </c>
      <c r="CH40" s="17" t="e">
        <f t="shared" ref="CH40:CH42" si="37">IF(CG40*$D40&gt;$F$37,#N/A,CG40*$D40)</f>
        <v>#N/A</v>
      </c>
      <c r="CI40" s="17" t="e">
        <f t="shared" ref="CI40:CI42" si="38">IF(CH40*$D40&gt;$F$37,#N/A,CH40*$D40)</f>
        <v>#N/A</v>
      </c>
      <c r="CJ40" s="17" t="e">
        <f t="shared" ref="CJ40:CJ42" si="39">IF(CI40*$D40&gt;$F$37,#N/A,CI40*$D40)</f>
        <v>#N/A</v>
      </c>
      <c r="CK40" s="17" t="e">
        <f t="shared" ref="CK40:CK42" si="40">IF(CJ40*$D40&gt;$F$37,#N/A,CJ40*$D40)</f>
        <v>#N/A</v>
      </c>
      <c r="CL40" s="17" t="e">
        <f t="shared" ref="CL40:CL42" si="41">IF(CK40*$D40&gt;$F$37,#N/A,CK40*$D40)</f>
        <v>#N/A</v>
      </c>
      <c r="CM40" s="17" t="e">
        <f t="shared" ref="CM40:CM42" si="42">IF(CL40*$D40&gt;$F$37,#N/A,CL40*$D40)</f>
        <v>#N/A</v>
      </c>
      <c r="CN40" s="17" t="e">
        <f t="shared" ref="CN40:CN42" si="43">IF(CM40*$D40&gt;$F$37,#N/A,CM40*$D40)</f>
        <v>#N/A</v>
      </c>
      <c r="CO40" s="17" t="e">
        <f t="shared" ref="CO40:CO42" si="44">IF(CN40*$D40&gt;$F$37,#N/A,CN40*$D40)</f>
        <v>#N/A</v>
      </c>
      <c r="CP40" s="17" t="e">
        <f t="shared" ref="CP40:CP42" si="45">IF(CO40*$D40&gt;$F$37,#N/A,CO40*$D40)</f>
        <v>#N/A</v>
      </c>
      <c r="CQ40" s="17" t="e">
        <f t="shared" ref="CQ40:CQ42" si="46">IF(CP40*$D40&gt;$F$37,#N/A,CP40*$D40)</f>
        <v>#N/A</v>
      </c>
      <c r="CR40" s="17" t="e">
        <f t="shared" ref="CR40:CR42" si="47">IF(CQ40*$D40&gt;$F$37,#N/A,CQ40*$D40)</f>
        <v>#N/A</v>
      </c>
    </row>
    <row r="41" spans="1:96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48">IF(F41*$D41&gt;$F$37,#N/A,F41*$D41)</f>
        <v>65.975395538644719</v>
      </c>
      <c r="H41" s="17">
        <f t="shared" si="48"/>
        <v>75.785828325519915</v>
      </c>
      <c r="I41" s="17">
        <f t="shared" si="48"/>
        <v>87.055056329612441</v>
      </c>
      <c r="J41" s="17">
        <f t="shared" si="48"/>
        <v>100.00000000000004</v>
      </c>
      <c r="K41" s="17">
        <f t="shared" si="48"/>
        <v>114.86983549970356</v>
      </c>
      <c r="L41" s="17">
        <f t="shared" si="48"/>
        <v>131.95079107728949</v>
      </c>
      <c r="M41" s="17">
        <f t="shared" si="48"/>
        <v>151.57165665103989</v>
      </c>
      <c r="N41" s="17">
        <f t="shared" si="48"/>
        <v>174.11011265922494</v>
      </c>
      <c r="O41" s="17">
        <f t="shared" si="48"/>
        <v>200.00000000000014</v>
      </c>
      <c r="P41" s="17">
        <f t="shared" si="48"/>
        <v>229.7396709994072</v>
      </c>
      <c r="Q41" s="17">
        <f t="shared" si="48"/>
        <v>263.9015821545791</v>
      </c>
      <c r="R41" s="17">
        <f t="shared" si="48"/>
        <v>303.14331330207995</v>
      </c>
      <c r="S41" s="17">
        <f t="shared" si="48"/>
        <v>348.22022531845005</v>
      </c>
      <c r="T41" s="17">
        <f t="shared" si="48"/>
        <v>400.00000000000045</v>
      </c>
      <c r="U41" s="17">
        <f t="shared" si="48"/>
        <v>459.47934199881456</v>
      </c>
      <c r="V41" s="17">
        <f t="shared" si="48"/>
        <v>527.80316430915843</v>
      </c>
      <c r="W41" s="17">
        <f t="shared" si="48"/>
        <v>606.28662660416012</v>
      </c>
      <c r="X41" s="17">
        <f t="shared" si="48"/>
        <v>696.44045063690044</v>
      </c>
      <c r="Y41" s="17">
        <f t="shared" si="48"/>
        <v>800.00000000000136</v>
      </c>
      <c r="Z41" s="17">
        <f t="shared" si="48"/>
        <v>918.95868399762969</v>
      </c>
      <c r="AA41" s="17">
        <f t="shared" si="48"/>
        <v>1055.6063286183173</v>
      </c>
      <c r="AB41" s="17">
        <f t="shared" si="48"/>
        <v>1212.5732532083207</v>
      </c>
      <c r="AC41" s="17">
        <f t="shared" si="48"/>
        <v>1392.8809012738013</v>
      </c>
      <c r="AD41" s="17">
        <f t="shared" si="48"/>
        <v>1600.0000000000032</v>
      </c>
      <c r="AE41" s="17">
        <f t="shared" si="48"/>
        <v>1837.9173679952598</v>
      </c>
      <c r="AF41" s="17">
        <f t="shared" si="48"/>
        <v>2111.2126572366356</v>
      </c>
      <c r="AG41" s="17">
        <f t="shared" si="48"/>
        <v>2425.1465064166428</v>
      </c>
      <c r="AH41" s="17">
        <f t="shared" si="48"/>
        <v>2785.761802547604</v>
      </c>
      <c r="AI41" s="17">
        <f t="shared" si="48"/>
        <v>3200.0000000000082</v>
      </c>
      <c r="AJ41" s="17">
        <f t="shared" si="48"/>
        <v>3675.8347359905215</v>
      </c>
      <c r="AK41" s="17">
        <f t="shared" si="48"/>
        <v>4222.4253144732729</v>
      </c>
      <c r="AL41" s="17">
        <f t="shared" si="48"/>
        <v>4850.2930128332873</v>
      </c>
      <c r="AM41" s="17">
        <f t="shared" si="48"/>
        <v>5571.5236050952108</v>
      </c>
      <c r="AN41" s="17">
        <f t="shared" si="48"/>
        <v>6400.0000000000191</v>
      </c>
      <c r="AO41" s="17">
        <f t="shared" si="48"/>
        <v>7351.6694719810466</v>
      </c>
      <c r="AP41" s="17">
        <f t="shared" si="48"/>
        <v>8444.8506289465495</v>
      </c>
      <c r="AQ41" s="17">
        <f t="shared" si="48"/>
        <v>9700.5860256665783</v>
      </c>
      <c r="AR41" s="17">
        <f t="shared" si="48"/>
        <v>11143.047210190425</v>
      </c>
      <c r="AS41" s="17">
        <f t="shared" si="48"/>
        <v>12800.000000000042</v>
      </c>
      <c r="AT41" s="17">
        <f t="shared" si="48"/>
        <v>14703.338943962097</v>
      </c>
      <c r="AU41" s="17">
        <f t="shared" si="48"/>
        <v>16889.701257893103</v>
      </c>
      <c r="AV41" s="17">
        <f t="shared" si="48"/>
        <v>19401.17205133316</v>
      </c>
      <c r="AW41" s="17">
        <f t="shared" si="48"/>
        <v>22286.094420380854</v>
      </c>
      <c r="AX41" s="17">
        <f t="shared" si="48"/>
        <v>25600.000000000091</v>
      </c>
      <c r="AY41" s="17">
        <f t="shared" si="48"/>
        <v>29406.677887924205</v>
      </c>
      <c r="AZ41" s="17">
        <f t="shared" si="48"/>
        <v>33779.40251578622</v>
      </c>
      <c r="BA41" s="17">
        <f t="shared" si="48"/>
        <v>38802.344102666342</v>
      </c>
      <c r="BB41" s="17">
        <f t="shared" si="48"/>
        <v>44572.18884076173</v>
      </c>
      <c r="BC41" s="17">
        <f t="shared" si="48"/>
        <v>51200.000000000204</v>
      </c>
      <c r="BD41" s="17">
        <f t="shared" si="48"/>
        <v>58813.355775848431</v>
      </c>
      <c r="BE41" s="17">
        <f t="shared" si="48"/>
        <v>67558.805031572469</v>
      </c>
      <c r="BF41" s="17">
        <f t="shared" si="48"/>
        <v>77604.688205332714</v>
      </c>
      <c r="BG41" s="17">
        <f t="shared" si="48"/>
        <v>89144.377681523503</v>
      </c>
      <c r="BH41" s="17" t="e">
        <f t="shared" si="48"/>
        <v>#N/A</v>
      </c>
      <c r="BI41" s="17" t="e">
        <f t="shared" si="48"/>
        <v>#N/A</v>
      </c>
      <c r="BJ41" s="17" t="e">
        <f t="shared" si="48"/>
        <v>#N/A</v>
      </c>
      <c r="BK41" s="17" t="e">
        <f t="shared" si="48"/>
        <v>#N/A</v>
      </c>
      <c r="BL41" s="17" t="e">
        <f t="shared" si="48"/>
        <v>#N/A</v>
      </c>
      <c r="BM41" s="17" t="e">
        <f t="shared" si="48"/>
        <v>#N/A</v>
      </c>
      <c r="BN41" s="17" t="e">
        <f t="shared" si="48"/>
        <v>#N/A</v>
      </c>
      <c r="BO41" s="17" t="e">
        <f t="shared" si="48"/>
        <v>#N/A</v>
      </c>
      <c r="BP41" s="17" t="e">
        <f t="shared" si="48"/>
        <v>#N/A</v>
      </c>
      <c r="BQ41" s="17" t="e">
        <f t="shared" si="48"/>
        <v>#N/A</v>
      </c>
      <c r="BR41" s="17" t="e">
        <f t="shared" si="48"/>
        <v>#N/A</v>
      </c>
      <c r="BS41" s="17" t="e">
        <f t="shared" ref="BS41:BV41" si="49">IF(BR41*$D41&gt;$F$37,#N/A,BR41*$D41)</f>
        <v>#N/A</v>
      </c>
      <c r="BT41" s="17" t="e">
        <f t="shared" si="49"/>
        <v>#N/A</v>
      </c>
      <c r="BU41" s="17" t="e">
        <f t="shared" si="49"/>
        <v>#N/A</v>
      </c>
      <c r="BV41" s="17" t="e">
        <f t="shared" si="49"/>
        <v>#N/A</v>
      </c>
      <c r="BW41" s="17" t="e">
        <f t="shared" si="26"/>
        <v>#N/A</v>
      </c>
      <c r="BX41" s="17" t="e">
        <f t="shared" si="27"/>
        <v>#N/A</v>
      </c>
      <c r="BY41" s="17" t="e">
        <f t="shared" si="28"/>
        <v>#N/A</v>
      </c>
      <c r="BZ41" s="17" t="e">
        <f t="shared" si="29"/>
        <v>#N/A</v>
      </c>
      <c r="CA41" s="17" t="e">
        <f t="shared" si="30"/>
        <v>#N/A</v>
      </c>
      <c r="CB41" s="17" t="e">
        <f t="shared" si="31"/>
        <v>#N/A</v>
      </c>
      <c r="CC41" s="17" t="e">
        <f t="shared" si="32"/>
        <v>#N/A</v>
      </c>
      <c r="CD41" s="17" t="e">
        <f t="shared" si="33"/>
        <v>#N/A</v>
      </c>
      <c r="CE41" s="17" t="e">
        <f t="shared" si="34"/>
        <v>#N/A</v>
      </c>
      <c r="CF41" s="17" t="e">
        <f t="shared" si="35"/>
        <v>#N/A</v>
      </c>
      <c r="CG41" s="17" t="e">
        <f t="shared" si="36"/>
        <v>#N/A</v>
      </c>
      <c r="CH41" s="17" t="e">
        <f t="shared" si="37"/>
        <v>#N/A</v>
      </c>
      <c r="CI41" s="17" t="e">
        <f t="shared" si="38"/>
        <v>#N/A</v>
      </c>
      <c r="CJ41" s="17" t="e">
        <f t="shared" si="39"/>
        <v>#N/A</v>
      </c>
      <c r="CK41" s="17" t="e">
        <f t="shared" si="40"/>
        <v>#N/A</v>
      </c>
      <c r="CL41" s="17" t="e">
        <f t="shared" si="41"/>
        <v>#N/A</v>
      </c>
      <c r="CM41" s="17" t="e">
        <f t="shared" si="42"/>
        <v>#N/A</v>
      </c>
      <c r="CN41" s="17" t="e">
        <f t="shared" si="43"/>
        <v>#N/A</v>
      </c>
      <c r="CO41" s="17" t="e">
        <f t="shared" si="44"/>
        <v>#N/A</v>
      </c>
      <c r="CP41" s="17" t="e">
        <f t="shared" si="45"/>
        <v>#N/A</v>
      </c>
      <c r="CQ41" s="17" t="e">
        <f t="shared" si="46"/>
        <v>#N/A</v>
      </c>
      <c r="CR41" s="17" t="e">
        <f t="shared" si="47"/>
        <v>#N/A</v>
      </c>
    </row>
    <row r="42" spans="1:96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50">IF(F42*$D42&gt;$F$37,#N/A,F42*$D42)</f>
        <v>57.434917749851742</v>
      </c>
      <c r="H42" s="18">
        <f t="shared" si="50"/>
        <v>61.557220667245801</v>
      </c>
      <c r="I42" s="18">
        <f t="shared" si="50"/>
        <v>65.97539553864469</v>
      </c>
      <c r="J42" s="18">
        <f t="shared" si="50"/>
        <v>70.710678118654727</v>
      </c>
      <c r="K42" s="18">
        <f t="shared" si="50"/>
        <v>75.785828325519873</v>
      </c>
      <c r="L42" s="18">
        <f t="shared" si="50"/>
        <v>81.22523963562351</v>
      </c>
      <c r="M42" s="18">
        <f t="shared" si="50"/>
        <v>87.05505632961237</v>
      </c>
      <c r="N42" s="18">
        <f t="shared" si="50"/>
        <v>93.303299153680697</v>
      </c>
      <c r="O42" s="18">
        <f t="shared" si="50"/>
        <v>99.999999999999943</v>
      </c>
      <c r="P42" s="18">
        <f t="shared" si="50"/>
        <v>107.17734625362925</v>
      </c>
      <c r="Q42" s="18">
        <f t="shared" si="50"/>
        <v>114.86983549970343</v>
      </c>
      <c r="R42" s="18">
        <f t="shared" si="50"/>
        <v>123.11444133449154</v>
      </c>
      <c r="S42" s="18">
        <f t="shared" si="50"/>
        <v>131.95079107728932</v>
      </c>
      <c r="T42" s="18">
        <f t="shared" si="50"/>
        <v>141.4213562373094</v>
      </c>
      <c r="U42" s="18">
        <f t="shared" si="50"/>
        <v>151.57165665103969</v>
      </c>
      <c r="V42" s="18">
        <f t="shared" si="50"/>
        <v>162.45047927124696</v>
      </c>
      <c r="W42" s="18">
        <f t="shared" si="50"/>
        <v>174.11011265922468</v>
      </c>
      <c r="X42" s="18">
        <f t="shared" si="50"/>
        <v>186.60659830736131</v>
      </c>
      <c r="Y42" s="18">
        <f t="shared" si="50"/>
        <v>199.9999999999998</v>
      </c>
      <c r="Z42" s="18">
        <f t="shared" si="50"/>
        <v>214.35469250725842</v>
      </c>
      <c r="AA42" s="18">
        <f t="shared" si="50"/>
        <v>229.73967099940677</v>
      </c>
      <c r="AB42" s="18">
        <f t="shared" si="50"/>
        <v>246.228882668983</v>
      </c>
      <c r="AC42" s="18">
        <f t="shared" si="50"/>
        <v>263.90158215457859</v>
      </c>
      <c r="AD42" s="18">
        <f t="shared" si="50"/>
        <v>282.84271247461874</v>
      </c>
      <c r="AE42" s="18">
        <f t="shared" si="50"/>
        <v>303.14331330207932</v>
      </c>
      <c r="AF42" s="18">
        <f t="shared" si="50"/>
        <v>324.90095854249387</v>
      </c>
      <c r="AG42" s="18">
        <f t="shared" si="50"/>
        <v>348.22022531844925</v>
      </c>
      <c r="AH42" s="18">
        <f t="shared" si="50"/>
        <v>373.21319661472251</v>
      </c>
      <c r="AI42" s="18">
        <f t="shared" si="50"/>
        <v>399.99999999999949</v>
      </c>
      <c r="AJ42" s="18">
        <f t="shared" si="50"/>
        <v>428.70938501451673</v>
      </c>
      <c r="AK42" s="18">
        <f t="shared" si="50"/>
        <v>459.47934199881342</v>
      </c>
      <c r="AL42" s="18">
        <f t="shared" si="50"/>
        <v>492.4577653379659</v>
      </c>
      <c r="AM42" s="18">
        <f t="shared" si="50"/>
        <v>527.80316430915707</v>
      </c>
      <c r="AN42" s="18">
        <f t="shared" si="50"/>
        <v>565.68542494923736</v>
      </c>
      <c r="AO42" s="18">
        <f t="shared" si="50"/>
        <v>606.28662660415853</v>
      </c>
      <c r="AP42" s="18">
        <f t="shared" si="50"/>
        <v>649.80191708498762</v>
      </c>
      <c r="AQ42" s="18">
        <f t="shared" si="50"/>
        <v>696.44045063689839</v>
      </c>
      <c r="AR42" s="18">
        <f t="shared" si="50"/>
        <v>746.4263932294449</v>
      </c>
      <c r="AS42" s="18">
        <f t="shared" si="50"/>
        <v>799.99999999999886</v>
      </c>
      <c r="AT42" s="18">
        <f t="shared" si="50"/>
        <v>857.41877002903334</v>
      </c>
      <c r="AU42" s="18">
        <f t="shared" si="50"/>
        <v>918.95868399762674</v>
      </c>
      <c r="AV42" s="18">
        <f t="shared" si="50"/>
        <v>984.91553067593168</v>
      </c>
      <c r="AW42" s="18">
        <f t="shared" si="50"/>
        <v>1055.6063286183139</v>
      </c>
      <c r="AX42" s="18">
        <f t="shared" si="50"/>
        <v>1131.3708498984745</v>
      </c>
      <c r="AY42" s="18">
        <f t="shared" si="50"/>
        <v>1212.5732532083168</v>
      </c>
      <c r="AZ42" s="18">
        <f t="shared" si="50"/>
        <v>1299.603834169975</v>
      </c>
      <c r="BA42" s="18">
        <f t="shared" si="50"/>
        <v>1392.8809012737966</v>
      </c>
      <c r="BB42" s="18">
        <f t="shared" si="50"/>
        <v>1492.8527864588896</v>
      </c>
      <c r="BC42" s="18">
        <f t="shared" si="50"/>
        <v>1599.9999999999975</v>
      </c>
      <c r="BD42" s="18">
        <f t="shared" si="50"/>
        <v>1714.8375400580662</v>
      </c>
      <c r="BE42" s="18">
        <f t="shared" si="50"/>
        <v>1837.917367995253</v>
      </c>
      <c r="BF42" s="18">
        <f t="shared" si="50"/>
        <v>1969.8310613518627</v>
      </c>
      <c r="BG42" s="18">
        <f t="shared" si="50"/>
        <v>2111.2126572366269</v>
      </c>
      <c r="BH42" s="18">
        <f t="shared" si="50"/>
        <v>2262.7416997969476</v>
      </c>
      <c r="BI42" s="18">
        <f t="shared" si="50"/>
        <v>2425.1465064166323</v>
      </c>
      <c r="BJ42" s="18">
        <f t="shared" si="50"/>
        <v>2599.2076683399487</v>
      </c>
      <c r="BK42" s="18">
        <f t="shared" si="50"/>
        <v>2785.7618025475917</v>
      </c>
      <c r="BL42" s="18">
        <f t="shared" si="50"/>
        <v>2985.7055729177778</v>
      </c>
      <c r="BM42" s="18">
        <f t="shared" si="50"/>
        <v>3199.9999999999936</v>
      </c>
      <c r="BN42" s="18">
        <f t="shared" si="50"/>
        <v>3429.6750801161311</v>
      </c>
      <c r="BO42" s="18">
        <f t="shared" si="50"/>
        <v>3675.8347359905042</v>
      </c>
      <c r="BP42" s="18">
        <f t="shared" si="50"/>
        <v>3939.6621227037235</v>
      </c>
      <c r="BQ42" s="18">
        <f t="shared" si="50"/>
        <v>4222.425314473252</v>
      </c>
      <c r="BR42" s="18">
        <f t="shared" si="50"/>
        <v>4525.4833995938934</v>
      </c>
      <c r="BS42" s="18">
        <f t="shared" ref="BS42:BV42" si="51">IF(BR42*$D42&gt;$F$37,#N/A,BR42*$D42)</f>
        <v>4850.2930128332619</v>
      </c>
      <c r="BT42" s="18">
        <f t="shared" si="51"/>
        <v>5198.4153366798946</v>
      </c>
      <c r="BU42" s="18">
        <f t="shared" si="51"/>
        <v>5571.5236050951808</v>
      </c>
      <c r="BV42" s="18">
        <f t="shared" si="51"/>
        <v>5971.4111458355528</v>
      </c>
      <c r="BW42" s="18">
        <f t="shared" si="26"/>
        <v>6399.9999999999845</v>
      </c>
      <c r="BX42" s="18">
        <f t="shared" si="27"/>
        <v>6859.3501602322594</v>
      </c>
      <c r="BY42" s="18">
        <f t="shared" si="28"/>
        <v>7351.6694719810057</v>
      </c>
      <c r="BZ42" s="18">
        <f t="shared" si="29"/>
        <v>7879.3242454074443</v>
      </c>
      <c r="CA42" s="18">
        <f t="shared" si="30"/>
        <v>8444.8506289465022</v>
      </c>
      <c r="CB42" s="18">
        <f t="shared" si="31"/>
        <v>9050.966799187785</v>
      </c>
      <c r="CC42" s="18">
        <f t="shared" si="32"/>
        <v>9700.5860256665219</v>
      </c>
      <c r="CD42" s="18">
        <f t="shared" si="33"/>
        <v>10396.830673359787</v>
      </c>
      <c r="CE42" s="18">
        <f t="shared" si="34"/>
        <v>11143.04721019036</v>
      </c>
      <c r="CF42" s="18">
        <f t="shared" si="35"/>
        <v>11942.822291671104</v>
      </c>
      <c r="CG42" s="18">
        <f t="shared" si="36"/>
        <v>12799.999999999965</v>
      </c>
      <c r="CH42" s="18">
        <f t="shared" si="37"/>
        <v>13718.700320464515</v>
      </c>
      <c r="CI42" s="18">
        <f t="shared" si="38"/>
        <v>14703.338943962008</v>
      </c>
      <c r="CJ42" s="18">
        <f t="shared" si="39"/>
        <v>15758.648490814885</v>
      </c>
      <c r="CK42" s="18">
        <f t="shared" si="40"/>
        <v>16889.701257893001</v>
      </c>
      <c r="CL42" s="18">
        <f t="shared" si="41"/>
        <v>18101.933598375566</v>
      </c>
      <c r="CM42" s="18">
        <f t="shared" si="42"/>
        <v>19401.17205133304</v>
      </c>
      <c r="CN42" s="18">
        <f t="shared" si="43"/>
        <v>20793.661346719571</v>
      </c>
      <c r="CO42" s="18">
        <f t="shared" si="44"/>
        <v>22286.094420380716</v>
      </c>
      <c r="CP42" s="18">
        <f t="shared" si="45"/>
        <v>23885.644583342204</v>
      </c>
      <c r="CQ42" s="18">
        <f t="shared" si="46"/>
        <v>25599.999999999927</v>
      </c>
      <c r="CR42" s="18">
        <f t="shared" si="47"/>
        <v>27437.400640929027</v>
      </c>
    </row>
    <row r="43" spans="1:96" x14ac:dyDescent="0.25">
      <c r="B43" s="12">
        <v>1</v>
      </c>
      <c r="C43" t="str" cm="1">
        <f t="array" aca="1" ref="C43" ca="1">INDIRECT(ADDRESS($B43+1,1,1,1,"Confirmed Day Zero"))</f>
        <v>Austria</v>
      </c>
      <c r="D43" s="1" cm="1">
        <f t="array" aca="1" ref="D43" ca="1">IF(INDIRECT(ADDRESS($B43+1,D$38,1,1,"Confirmed Day Zero"))=0,#N/A,INDIRECT(ADDRESS($B43+1,D$38,1,1,"Confirmed Day Zero")))</f>
        <v>9006398</v>
      </c>
      <c r="E43" cm="1">
        <f t="array" aca="1" ref="E43" ca="1">IF(INDIRECT(ADDRESS($B43+1,E$38,1,1,"Confirmed Day Zero"))=0,#N/A,INDIRECT(ADDRESS($B43+1,E$38,1,1,"Confirmed Day Zero")))</f>
        <v>41</v>
      </c>
      <c r="F43" cm="1">
        <f t="array" aca="1" ref="F43" ca="1">IF(INDIRECT(ADDRESS($B43+1,F$38,1,1,"Confirmed Day Zero"))=0,#N/A,INDIRECT(ADDRESS($B43+1,F$38,1,1,"Confirmed Day Zero")))</f>
        <v>55</v>
      </c>
      <c r="G43" cm="1">
        <f t="array" aca="1" ref="G43" ca="1">IF(INDIRECT(ADDRESS($B43+1,G$38,1,1,"Confirmed Day Zero"))=0,#N/A,INDIRECT(ADDRESS($B43+1,G$38,1,1,"Confirmed Day Zero")))</f>
        <v>79</v>
      </c>
      <c r="H43" cm="1">
        <f t="array" aca="1" ref="H43" ca="1">IF(INDIRECT(ADDRESS($B43+1,H$38,1,1,"Confirmed Day Zero"))=0,#N/A,INDIRECT(ADDRESS($B43+1,H$38,1,1,"Confirmed Day Zero")))</f>
        <v>104</v>
      </c>
      <c r="I43" cm="1">
        <f t="array" aca="1" ref="I43" ca="1">IF(INDIRECT(ADDRESS($B43+1,I$38,1,1,"Confirmed Day Zero"))=0,#N/A,INDIRECT(ADDRESS($B43+1,I$38,1,1,"Confirmed Day Zero")))</f>
        <v>131</v>
      </c>
      <c r="J43" cm="1">
        <f t="array" aca="1" ref="J43" ca="1">IF(INDIRECT(ADDRESS($B43+1,J$38,1,1,"Confirmed Day Zero"))=0,#N/A,INDIRECT(ADDRESS($B43+1,J$38,1,1,"Confirmed Day Zero")))</f>
        <v>182</v>
      </c>
      <c r="K43" cm="1">
        <f t="array" aca="1" ref="K43" ca="1">IF(INDIRECT(ADDRESS($B43+1,K$38,1,1,"Confirmed Day Zero"))=0,#N/A,INDIRECT(ADDRESS($B43+1,K$38,1,1,"Confirmed Day Zero")))</f>
        <v>246</v>
      </c>
      <c r="L43" cm="1">
        <f t="array" aca="1" ref="L43" ca="1">IF(INDIRECT(ADDRESS($B43+1,L$38,1,1,"Confirmed Day Zero"))=0,#N/A,INDIRECT(ADDRESS($B43+1,L$38,1,1,"Confirmed Day Zero")))</f>
        <v>302</v>
      </c>
      <c r="M43" cm="1">
        <f t="array" aca="1" ref="M43" ca="1">IF(INDIRECT(ADDRESS($B43+1,M$38,1,1,"Confirmed Day Zero"))=0,#N/A,INDIRECT(ADDRESS($B43+1,M$38,1,1,"Confirmed Day Zero")))</f>
        <v>504</v>
      </c>
      <c r="N43" cm="1">
        <f t="array" aca="1" ref="N43" ca="1">IF(INDIRECT(ADDRESS($B43+1,N$38,1,1,"Confirmed Day Zero"))=0,#N/A,INDIRECT(ADDRESS($B43+1,N$38,1,1,"Confirmed Day Zero")))</f>
        <v>655</v>
      </c>
      <c r="O43" cm="1">
        <f t="array" aca="1" ref="O43" ca="1">IF(INDIRECT(ADDRESS($B43+1,O$38,1,1,"Confirmed Day Zero"))=0,#N/A,INDIRECT(ADDRESS($B43+1,O$38,1,1,"Confirmed Day Zero")))</f>
        <v>860</v>
      </c>
      <c r="P43" cm="1">
        <f t="array" aca="1" ref="P43" ca="1">IF(INDIRECT(ADDRESS($B43+1,P$38,1,1,"Confirmed Day Zero"))=0,#N/A,INDIRECT(ADDRESS($B43+1,P$38,1,1,"Confirmed Day Zero")))</f>
        <v>1018</v>
      </c>
      <c r="Q43" cm="1">
        <f t="array" aca="1" ref="Q43" ca="1">IF(INDIRECT(ADDRESS($B43+1,Q$38,1,1,"Confirmed Day Zero"))=0,#N/A,INDIRECT(ADDRESS($B43+1,Q$38,1,1,"Confirmed Day Zero")))</f>
        <v>1332</v>
      </c>
      <c r="R43" cm="1">
        <f t="array" aca="1" ref="R43" ca="1">IF(INDIRECT(ADDRESS($B43+1,R$38,1,1,"Confirmed Day Zero"))=0,#N/A,INDIRECT(ADDRESS($B43+1,R$38,1,1,"Confirmed Day Zero")))</f>
        <v>1646</v>
      </c>
      <c r="S43" cm="1">
        <f t="array" aca="1" ref="S43" ca="1">IF(INDIRECT(ADDRESS($B43+1,S$38,1,1,"Confirmed Day Zero"))=0,#N/A,INDIRECT(ADDRESS($B43+1,S$38,1,1,"Confirmed Day Zero")))</f>
        <v>2013</v>
      </c>
      <c r="T43" cm="1">
        <f t="array" aca="1" ref="T43" ca="1">IF(INDIRECT(ADDRESS($B43+1,T$38,1,1,"Confirmed Day Zero"))=0,#N/A,INDIRECT(ADDRESS($B43+1,T$38,1,1,"Confirmed Day Zero")))</f>
        <v>2388</v>
      </c>
      <c r="U43" cm="1">
        <f t="array" aca="1" ref="U43" ca="1">IF(INDIRECT(ADDRESS($B43+1,U$38,1,1,"Confirmed Day Zero"))=0,#N/A,INDIRECT(ADDRESS($B43+1,U$38,1,1,"Confirmed Day Zero")))</f>
        <v>2814</v>
      </c>
      <c r="V43" cm="1">
        <f t="array" aca="1" ref="V43" ca="1">IF(INDIRECT(ADDRESS($B43+1,V$38,1,1,"Confirmed Day Zero"))=0,#N/A,INDIRECT(ADDRESS($B43+1,V$38,1,1,"Confirmed Day Zero")))</f>
        <v>3582</v>
      </c>
      <c r="W43" cm="1">
        <f t="array" aca="1" ref="W43" ca="1">IF(INDIRECT(ADDRESS($B43+1,W$38,1,1,"Confirmed Day Zero"))=0,#N/A,INDIRECT(ADDRESS($B43+1,W$38,1,1,"Confirmed Day Zero")))</f>
        <v>4474</v>
      </c>
      <c r="X43" cm="1">
        <f t="array" aca="1" ref="X43" ca="1">IF(INDIRECT(ADDRESS($B43+1,X$38,1,1,"Confirmed Day Zero"))=0,#N/A,INDIRECT(ADDRESS($B43+1,X$38,1,1,"Confirmed Day Zero")))</f>
        <v>5283</v>
      </c>
      <c r="Y43" cm="1">
        <f t="array" aca="1" ref="Y43" ca="1">IF(INDIRECT(ADDRESS($B43+1,Y$38,1,1,"Confirmed Day Zero"))=0,#N/A,INDIRECT(ADDRESS($B43+1,Y$38,1,1,"Confirmed Day Zero")))</f>
        <v>5588</v>
      </c>
      <c r="Z43" cm="1">
        <f t="array" aca="1" ref="Z43" ca="1">IF(INDIRECT(ADDRESS($B43+1,Z$38,1,1,"Confirmed Day Zero"))=0,#N/A,INDIRECT(ADDRESS($B43+1,Z$38,1,1,"Confirmed Day Zero")))</f>
        <v>6909</v>
      </c>
      <c r="AA43" cm="1">
        <f t="array" aca="1" ref="AA43" ca="1">IF(INDIRECT(ADDRESS($B43+1,AA$38,1,1,"Confirmed Day Zero"))=0,#N/A,INDIRECT(ADDRESS($B43+1,AA$38,1,1,"Confirmed Day Zero")))</f>
        <v>7657</v>
      </c>
      <c r="AB43" cm="1">
        <f t="array" aca="1" ref="AB43" ca="1">IF(INDIRECT(ADDRESS($B43+1,AB$38,1,1,"Confirmed Day Zero"))=0,#N/A,INDIRECT(ADDRESS($B43+1,AB$38,1,1,"Confirmed Day Zero")))</f>
        <v>8271</v>
      </c>
      <c r="AC43" cm="1">
        <f t="array" aca="1" ref="AC43" ca="1">IF(INDIRECT(ADDRESS($B43+1,AC$38,1,1,"Confirmed Day Zero"))=0,#N/A,INDIRECT(ADDRESS($B43+1,AC$38,1,1,"Confirmed Day Zero")))</f>
        <v>8788</v>
      </c>
      <c r="AD43" cm="1">
        <f t="array" aca="1" ref="AD43" ca="1">IF(INDIRECT(ADDRESS($B43+1,AD$38,1,1,"Confirmed Day Zero"))=0,#N/A,INDIRECT(ADDRESS($B43+1,AD$38,1,1,"Confirmed Day Zero")))</f>
        <v>9618</v>
      </c>
      <c r="AE43" cm="1">
        <f t="array" aca="1" ref="AE43" ca="1">IF(INDIRECT(ADDRESS($B43+1,AE$38,1,1,"Confirmed Day Zero"))=0,#N/A,INDIRECT(ADDRESS($B43+1,AE$38,1,1,"Confirmed Day Zero")))</f>
        <v>10180</v>
      </c>
      <c r="AF43" cm="1">
        <f t="array" aca="1" ref="AF43" ca="1">IF(INDIRECT(ADDRESS($B43+1,AF$38,1,1,"Confirmed Day Zero"))=0,#N/A,INDIRECT(ADDRESS($B43+1,AF$38,1,1,"Confirmed Day Zero")))</f>
        <v>10711</v>
      </c>
      <c r="AG43" cm="1">
        <f t="array" aca="1" ref="AG43" ca="1">IF(INDIRECT(ADDRESS($B43+1,AG$38,1,1,"Confirmed Day Zero"))=0,#N/A,INDIRECT(ADDRESS($B43+1,AG$38,1,1,"Confirmed Day Zero")))</f>
        <v>11129</v>
      </c>
      <c r="AH43" cm="1">
        <f t="array" aca="1" ref="AH43" ca="1">IF(INDIRECT(ADDRESS($B43+1,AH$38,1,1,"Confirmed Day Zero"))=0,#N/A,INDIRECT(ADDRESS($B43+1,AH$38,1,1,"Confirmed Day Zero")))</f>
        <v>11524</v>
      </c>
      <c r="AI43" cm="1">
        <f t="array" aca="1" ref="AI43" ca="1">IF(INDIRECT(ADDRESS($B43+1,AI$38,1,1,"Confirmed Day Zero"))=0,#N/A,INDIRECT(ADDRESS($B43+1,AI$38,1,1,"Confirmed Day Zero")))</f>
        <v>11781</v>
      </c>
      <c r="AJ43" cm="1">
        <f t="array" aca="1" ref="AJ43" ca="1">IF(INDIRECT(ADDRESS($B43+1,AJ$38,1,1,"Confirmed Day Zero"))=0,#N/A,INDIRECT(ADDRESS($B43+1,AJ$38,1,1,"Confirmed Day Zero")))</f>
        <v>12051</v>
      </c>
      <c r="AK43" cm="1">
        <f t="array" aca="1" ref="AK43" ca="1">IF(INDIRECT(ADDRESS($B43+1,AK$38,1,1,"Confirmed Day Zero"))=0,#N/A,INDIRECT(ADDRESS($B43+1,AK$38,1,1,"Confirmed Day Zero")))</f>
        <v>12297</v>
      </c>
      <c r="AL43" cm="1">
        <f t="array" aca="1" ref="AL43" ca="1">IF(INDIRECT(ADDRESS($B43+1,AL$38,1,1,"Confirmed Day Zero"))=0,#N/A,INDIRECT(ADDRESS($B43+1,AL$38,1,1,"Confirmed Day Zero")))</f>
        <v>12639</v>
      </c>
      <c r="AM43" cm="1">
        <f t="array" aca="1" ref="AM43" ca="1">IF(INDIRECT(ADDRESS($B43+1,AM$38,1,1,"Confirmed Day Zero"))=0,#N/A,INDIRECT(ADDRESS($B43+1,AM$38,1,1,"Confirmed Day Zero")))</f>
        <v>12942</v>
      </c>
      <c r="AN43" cm="1">
        <f t="array" aca="1" ref="AN43" ca="1">IF(INDIRECT(ADDRESS($B43+1,AN$38,1,1,"Confirmed Day Zero"))=0,#N/A,INDIRECT(ADDRESS($B43+1,AN$38,1,1,"Confirmed Day Zero")))</f>
        <v>13244</v>
      </c>
      <c r="AO43" cm="1">
        <f t="array" aca="1" ref="AO43" ca="1">IF(INDIRECT(ADDRESS($B43+1,AO$38,1,1,"Confirmed Day Zero"))=0,#N/A,INDIRECT(ADDRESS($B43+1,AO$38,1,1,"Confirmed Day Zero")))</f>
        <v>13555</v>
      </c>
      <c r="AP43" cm="1">
        <f t="array" aca="1" ref="AP43" ca="1">IF(INDIRECT(ADDRESS($B43+1,AP$38,1,1,"Confirmed Day Zero"))=0,#N/A,INDIRECT(ADDRESS($B43+1,AP$38,1,1,"Confirmed Day Zero")))</f>
        <v>13806</v>
      </c>
      <c r="AQ43" cm="1">
        <f t="array" aca="1" ref="AQ43" ca="1">IF(INDIRECT(ADDRESS($B43+1,AQ$38,1,1,"Confirmed Day Zero"))=0,#N/A,INDIRECT(ADDRESS($B43+1,AQ$38,1,1,"Confirmed Day Zero")))</f>
        <v>13945</v>
      </c>
      <c r="AR43" cm="1">
        <f t="array" aca="1" ref="AR43" ca="1">IF(INDIRECT(ADDRESS($B43+1,AR$38,1,1,"Confirmed Day Zero"))=0,#N/A,INDIRECT(ADDRESS($B43+1,AR$38,1,1,"Confirmed Day Zero")))</f>
        <v>14041</v>
      </c>
      <c r="AS43" cm="1">
        <f t="array" aca="1" ref="AS43" ca="1">IF(INDIRECT(ADDRESS($B43+1,AS$38,1,1,"Confirmed Day Zero"))=0,#N/A,INDIRECT(ADDRESS($B43+1,AS$38,1,1,"Confirmed Day Zero")))</f>
        <v>14226</v>
      </c>
      <c r="AT43" cm="1">
        <f t="array" aca="1" ref="AT43" ca="1">IF(INDIRECT(ADDRESS($B43+1,AT$38,1,1,"Confirmed Day Zero"))=0,#N/A,INDIRECT(ADDRESS($B43+1,AT$38,1,1,"Confirmed Day Zero")))</f>
        <v>14336</v>
      </c>
      <c r="AU43" cm="1">
        <f t="array" aca="1" ref="AU43" ca="1">IF(INDIRECT(ADDRESS($B43+1,AU$38,1,1,"Confirmed Day Zero"))=0,#N/A,INDIRECT(ADDRESS($B43+1,AU$38,1,1,"Confirmed Day Zero")))</f>
        <v>14476</v>
      </c>
      <c r="AV43" cm="1">
        <f t="array" aca="1" ref="AV43" ca="1">IF(INDIRECT(ADDRESS($B43+1,AV$38,1,1,"Confirmed Day Zero"))=0,#N/A,INDIRECT(ADDRESS($B43+1,AV$38,1,1,"Confirmed Day Zero")))</f>
        <v>14595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1:96" x14ac:dyDescent="0.25">
      <c r="A44" t="e">
        <f ca="1">RIGHT(C44,LEN(C44)-LEN(C$43)-1)</f>
        <v>#VALUE!</v>
      </c>
      <c r="B44" s="12">
        <f t="shared" ref="B44:B102" si="52">B43+1</f>
        <v>2</v>
      </c>
      <c r="C44" t="str" cm="1">
        <f t="array" aca="1" ref="C44" ca="1">INDIRECT(ADDRESS($B44+1,1,1,1,"Confirmed Day Zero"))</f>
        <v>Belgium</v>
      </c>
      <c r="D44" s="1" cm="1">
        <f t="array" aca="1" ref="D44" ca="1">IF(INDIRECT(ADDRESS($B44+1,D$38,1,1,"Confirmed Day Zero"))=0,#N/A,INDIRECT(ADDRESS($B44+1,D$38,1,1,"Confirmed Day Zero")))</f>
        <v>11589623</v>
      </c>
      <c r="E44" cm="1">
        <f t="array" aca="1" ref="E44" ca="1">IF(INDIRECT(ADDRESS($B44+1,E$38,1,1,"Confirmed Day Zero"))=0,#N/A,INDIRECT(ADDRESS($B44+1,E$38,1,1,"Confirmed Day Zero")))</f>
        <v>50</v>
      </c>
      <c r="F44" cm="1">
        <f t="array" aca="1" ref="F44" ca="1">IF(INDIRECT(ADDRESS($B44+1,F$38,1,1,"Confirmed Day Zero"))=0,#N/A,INDIRECT(ADDRESS($B44+1,F$38,1,1,"Confirmed Day Zero")))</f>
        <v>109</v>
      </c>
      <c r="G44" cm="1">
        <f t="array" aca="1" ref="G44" ca="1">IF(INDIRECT(ADDRESS($B44+1,G$38,1,1,"Confirmed Day Zero"))=0,#N/A,INDIRECT(ADDRESS($B44+1,G$38,1,1,"Confirmed Day Zero")))</f>
        <v>169</v>
      </c>
      <c r="H44" cm="1">
        <f t="array" aca="1" ref="H44" ca="1">IF(INDIRECT(ADDRESS($B44+1,H$38,1,1,"Confirmed Day Zero"))=0,#N/A,INDIRECT(ADDRESS($B44+1,H$38,1,1,"Confirmed Day Zero")))</f>
        <v>200</v>
      </c>
      <c r="I44" cm="1">
        <f t="array" aca="1" ref="I44" ca="1">IF(INDIRECT(ADDRESS($B44+1,I$38,1,1,"Confirmed Day Zero"))=0,#N/A,INDIRECT(ADDRESS($B44+1,I$38,1,1,"Confirmed Day Zero")))</f>
        <v>239</v>
      </c>
      <c r="J44" cm="1">
        <f t="array" aca="1" ref="J44" ca="1">IF(INDIRECT(ADDRESS($B44+1,J$38,1,1,"Confirmed Day Zero"))=0,#N/A,INDIRECT(ADDRESS($B44+1,J$38,1,1,"Confirmed Day Zero")))</f>
        <v>267</v>
      </c>
      <c r="K44" cm="1">
        <f t="array" aca="1" ref="K44" ca="1">IF(INDIRECT(ADDRESS($B44+1,K$38,1,1,"Confirmed Day Zero"))=0,#N/A,INDIRECT(ADDRESS($B44+1,K$38,1,1,"Confirmed Day Zero")))</f>
        <v>314</v>
      </c>
      <c r="L44" cm="1">
        <f t="array" aca="1" ref="L44" ca="1">IF(INDIRECT(ADDRESS($B44+1,L$38,1,1,"Confirmed Day Zero"))=0,#N/A,INDIRECT(ADDRESS($B44+1,L$38,1,1,"Confirmed Day Zero")))</f>
        <v>436.5</v>
      </c>
      <c r="M44" cm="1">
        <f t="array" aca="1" ref="M44" ca="1">IF(INDIRECT(ADDRESS($B44+1,M$38,1,1,"Confirmed Day Zero"))=0,#N/A,INDIRECT(ADDRESS($B44+1,M$38,1,1,"Confirmed Day Zero")))</f>
        <v>559</v>
      </c>
      <c r="N44" cm="1">
        <f t="array" aca="1" ref="N44" ca="1">IF(INDIRECT(ADDRESS($B44+1,N$38,1,1,"Confirmed Day Zero"))=0,#N/A,INDIRECT(ADDRESS($B44+1,N$38,1,1,"Confirmed Day Zero")))</f>
        <v>689</v>
      </c>
      <c r="O44" cm="1">
        <f t="array" aca="1" ref="O44" ca="1">IF(INDIRECT(ADDRESS($B44+1,O$38,1,1,"Confirmed Day Zero"))=0,#N/A,INDIRECT(ADDRESS($B44+1,O$38,1,1,"Confirmed Day Zero")))</f>
        <v>886</v>
      </c>
      <c r="P44" cm="1">
        <f t="array" aca="1" ref="P44" ca="1">IF(INDIRECT(ADDRESS($B44+1,P$38,1,1,"Confirmed Day Zero"))=0,#N/A,INDIRECT(ADDRESS($B44+1,P$38,1,1,"Confirmed Day Zero")))</f>
        <v>1058</v>
      </c>
      <c r="Q44" cm="1">
        <f t="array" aca="1" ref="Q44" ca="1">IF(INDIRECT(ADDRESS($B44+1,Q$38,1,1,"Confirmed Day Zero"))=0,#N/A,INDIRECT(ADDRESS($B44+1,Q$38,1,1,"Confirmed Day Zero")))</f>
        <v>1243</v>
      </c>
      <c r="R44" cm="1">
        <f t="array" aca="1" ref="R44" ca="1">IF(INDIRECT(ADDRESS($B44+1,R$38,1,1,"Confirmed Day Zero"))=0,#N/A,INDIRECT(ADDRESS($B44+1,R$38,1,1,"Confirmed Day Zero")))</f>
        <v>1486</v>
      </c>
      <c r="S44" cm="1">
        <f t="array" aca="1" ref="S44" ca="1">IF(INDIRECT(ADDRESS($B44+1,S$38,1,1,"Confirmed Day Zero"))=0,#N/A,INDIRECT(ADDRESS($B44+1,S$38,1,1,"Confirmed Day Zero")))</f>
        <v>1795</v>
      </c>
      <c r="T44" cm="1">
        <f t="array" aca="1" ref="T44" ca="1">IF(INDIRECT(ADDRESS($B44+1,T$38,1,1,"Confirmed Day Zero"))=0,#N/A,INDIRECT(ADDRESS($B44+1,T$38,1,1,"Confirmed Day Zero")))</f>
        <v>2257</v>
      </c>
      <c r="U44" cm="1">
        <f t="array" aca="1" ref="U44" ca="1">IF(INDIRECT(ADDRESS($B44+1,U$38,1,1,"Confirmed Day Zero"))=0,#N/A,INDIRECT(ADDRESS($B44+1,U$38,1,1,"Confirmed Day Zero")))</f>
        <v>2815</v>
      </c>
      <c r="V44" cm="1">
        <f t="array" aca="1" ref="V44" ca="1">IF(INDIRECT(ADDRESS($B44+1,V$38,1,1,"Confirmed Day Zero"))=0,#N/A,INDIRECT(ADDRESS($B44+1,V$38,1,1,"Confirmed Day Zero")))</f>
        <v>3401</v>
      </c>
      <c r="W44" cm="1">
        <f t="array" aca="1" ref="W44" ca="1">IF(INDIRECT(ADDRESS($B44+1,W$38,1,1,"Confirmed Day Zero"))=0,#N/A,INDIRECT(ADDRESS($B44+1,W$38,1,1,"Confirmed Day Zero")))</f>
        <v>3743</v>
      </c>
      <c r="X44" cm="1">
        <f t="array" aca="1" ref="X44" ca="1">IF(INDIRECT(ADDRESS($B44+1,X$38,1,1,"Confirmed Day Zero"))=0,#N/A,INDIRECT(ADDRESS($B44+1,X$38,1,1,"Confirmed Day Zero")))</f>
        <v>4269</v>
      </c>
      <c r="Y44" cm="1">
        <f t="array" aca="1" ref="Y44" ca="1">IF(INDIRECT(ADDRESS($B44+1,Y$38,1,1,"Confirmed Day Zero"))=0,#N/A,INDIRECT(ADDRESS($B44+1,Y$38,1,1,"Confirmed Day Zero")))</f>
        <v>4937</v>
      </c>
      <c r="Z44" cm="1">
        <f t="array" aca="1" ref="Z44" ca="1">IF(INDIRECT(ADDRESS($B44+1,Z$38,1,1,"Confirmed Day Zero"))=0,#N/A,INDIRECT(ADDRESS($B44+1,Z$38,1,1,"Confirmed Day Zero")))</f>
        <v>6235</v>
      </c>
      <c r="AA44" cm="1">
        <f t="array" aca="1" ref="AA44" ca="1">IF(INDIRECT(ADDRESS($B44+1,AA$38,1,1,"Confirmed Day Zero"))=0,#N/A,INDIRECT(ADDRESS($B44+1,AA$38,1,1,"Confirmed Day Zero")))</f>
        <v>7284</v>
      </c>
      <c r="AB44" cm="1">
        <f t="array" aca="1" ref="AB44" ca="1">IF(INDIRECT(ADDRESS($B44+1,AB$38,1,1,"Confirmed Day Zero"))=0,#N/A,INDIRECT(ADDRESS($B44+1,AB$38,1,1,"Confirmed Day Zero")))</f>
        <v>9134</v>
      </c>
      <c r="AC44" cm="1">
        <f t="array" aca="1" ref="AC44" ca="1">IF(INDIRECT(ADDRESS($B44+1,AC$38,1,1,"Confirmed Day Zero"))=0,#N/A,INDIRECT(ADDRESS($B44+1,AC$38,1,1,"Confirmed Day Zero")))</f>
        <v>10836</v>
      </c>
      <c r="AD44" cm="1">
        <f t="array" aca="1" ref="AD44" ca="1">IF(INDIRECT(ADDRESS($B44+1,AD$38,1,1,"Confirmed Day Zero"))=0,#N/A,INDIRECT(ADDRESS($B44+1,AD$38,1,1,"Confirmed Day Zero")))</f>
        <v>11899</v>
      </c>
      <c r="AE44" cm="1">
        <f t="array" aca="1" ref="AE44" ca="1">IF(INDIRECT(ADDRESS($B44+1,AE$38,1,1,"Confirmed Day Zero"))=0,#N/A,INDIRECT(ADDRESS($B44+1,AE$38,1,1,"Confirmed Day Zero")))</f>
        <v>12775</v>
      </c>
      <c r="AF44" cm="1">
        <f t="array" aca="1" ref="AF44" ca="1">IF(INDIRECT(ADDRESS($B44+1,AF$38,1,1,"Confirmed Day Zero"))=0,#N/A,INDIRECT(ADDRESS($B44+1,AF$38,1,1,"Confirmed Day Zero")))</f>
        <v>13964</v>
      </c>
      <c r="AG44" cm="1">
        <f t="array" aca="1" ref="AG44" ca="1">IF(INDIRECT(ADDRESS($B44+1,AG$38,1,1,"Confirmed Day Zero"))=0,#N/A,INDIRECT(ADDRESS($B44+1,AG$38,1,1,"Confirmed Day Zero")))</f>
        <v>15348</v>
      </c>
      <c r="AH44" cm="1">
        <f t="array" aca="1" ref="AH44" ca="1">IF(INDIRECT(ADDRESS($B44+1,AH$38,1,1,"Confirmed Day Zero"))=0,#N/A,INDIRECT(ADDRESS($B44+1,AH$38,1,1,"Confirmed Day Zero")))</f>
        <v>16770</v>
      </c>
      <c r="AI44" cm="1">
        <f t="array" aca="1" ref="AI44" ca="1">IF(INDIRECT(ADDRESS($B44+1,AI$38,1,1,"Confirmed Day Zero"))=0,#N/A,INDIRECT(ADDRESS($B44+1,AI$38,1,1,"Confirmed Day Zero")))</f>
        <v>18431</v>
      </c>
      <c r="AJ44" cm="1">
        <f t="array" aca="1" ref="AJ44" ca="1">IF(INDIRECT(ADDRESS($B44+1,AJ$38,1,1,"Confirmed Day Zero"))=0,#N/A,INDIRECT(ADDRESS($B44+1,AJ$38,1,1,"Confirmed Day Zero")))</f>
        <v>19691</v>
      </c>
      <c r="AK44" cm="1">
        <f t="array" aca="1" ref="AK44" ca="1">IF(INDIRECT(ADDRESS($B44+1,AK$38,1,1,"Confirmed Day Zero"))=0,#N/A,INDIRECT(ADDRESS($B44+1,AK$38,1,1,"Confirmed Day Zero")))</f>
        <v>20814</v>
      </c>
      <c r="AL44" cm="1">
        <f t="array" aca="1" ref="AL44" ca="1">IF(INDIRECT(ADDRESS($B44+1,AL$38,1,1,"Confirmed Day Zero"))=0,#N/A,INDIRECT(ADDRESS($B44+1,AL$38,1,1,"Confirmed Day Zero")))</f>
        <v>22194</v>
      </c>
      <c r="AM44" cm="1">
        <f t="array" aca="1" ref="AM44" ca="1">IF(INDIRECT(ADDRESS($B44+1,AM$38,1,1,"Confirmed Day Zero"))=0,#N/A,INDIRECT(ADDRESS($B44+1,AM$38,1,1,"Confirmed Day Zero")))</f>
        <v>23403</v>
      </c>
      <c r="AN44" cm="1">
        <f t="array" aca="1" ref="AN44" ca="1">IF(INDIRECT(ADDRESS($B44+1,AN$38,1,1,"Confirmed Day Zero"))=0,#N/A,INDIRECT(ADDRESS($B44+1,AN$38,1,1,"Confirmed Day Zero")))</f>
        <v>24983</v>
      </c>
      <c r="AO44" cm="1">
        <f t="array" aca="1" ref="AO44" ca="1">IF(INDIRECT(ADDRESS($B44+1,AO$38,1,1,"Confirmed Day Zero"))=0,#N/A,INDIRECT(ADDRESS($B44+1,AO$38,1,1,"Confirmed Day Zero")))</f>
        <v>26667</v>
      </c>
      <c r="AP44" cm="1">
        <f t="array" aca="1" ref="AP44" ca="1">IF(INDIRECT(ADDRESS($B44+1,AP$38,1,1,"Confirmed Day Zero"))=0,#N/A,INDIRECT(ADDRESS($B44+1,AP$38,1,1,"Confirmed Day Zero")))</f>
        <v>28018</v>
      </c>
      <c r="AQ44" cm="1">
        <f t="array" aca="1" ref="AQ44" ca="1">IF(INDIRECT(ADDRESS($B44+1,AQ$38,1,1,"Confirmed Day Zero"))=0,#N/A,INDIRECT(ADDRESS($B44+1,AQ$38,1,1,"Confirmed Day Zero")))</f>
        <v>29647</v>
      </c>
      <c r="AR44" cm="1">
        <f t="array" aca="1" ref="AR44" ca="1">IF(INDIRECT(ADDRESS($B44+1,AR$38,1,1,"Confirmed Day Zero"))=0,#N/A,INDIRECT(ADDRESS($B44+1,AR$38,1,1,"Confirmed Day Zero")))</f>
        <v>30589</v>
      </c>
      <c r="AS44" cm="1">
        <f t="array" aca="1" ref="AS44" ca="1">IF(INDIRECT(ADDRESS($B44+1,AS$38,1,1,"Confirmed Day Zero"))=0,#N/A,INDIRECT(ADDRESS($B44+1,AS$38,1,1,"Confirmed Day Zero")))</f>
        <v>31119</v>
      </c>
      <c r="AT44" cm="1">
        <f t="array" aca="1" ref="AT44" ca="1">IF(INDIRECT(ADDRESS($B44+1,AT$38,1,1,"Confirmed Day Zero"))=0,#N/A,INDIRECT(ADDRESS($B44+1,AT$38,1,1,"Confirmed Day Zero")))</f>
        <v>33573</v>
      </c>
      <c r="AU44" cm="1">
        <f t="array" aca="1" ref="AU44" ca="1">IF(INDIRECT(ADDRESS($B44+1,AU$38,1,1,"Confirmed Day Zero"))=0,#N/A,INDIRECT(ADDRESS($B44+1,AU$38,1,1,"Confirmed Day Zero")))</f>
        <v>34809</v>
      </c>
      <c r="AV44" cm="1">
        <f t="array" aca="1" ref="AV44" ca="1">IF(INDIRECT(ADDRESS($B44+1,AV$38,1,1,"Confirmed Day Zero"))=0,#N/A,INDIRECT(ADDRESS($B44+1,AV$38,1,1,"Confirmed Day Zero")))</f>
        <v>36138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1:96" x14ac:dyDescent="0.25">
      <c r="A45" t="e">
        <f t="shared" ref="A45:A69" ca="1" si="53">RIGHT(C45,LEN(C45)-LEN(C$43)-1)</f>
        <v>#VALUE!</v>
      </c>
      <c r="B45" s="12">
        <f t="shared" si="52"/>
        <v>3</v>
      </c>
      <c r="C45" t="str" cm="1">
        <f t="array" aca="1" ref="C45" ca="1">INDIRECT(ADDRESS($B45+1,1,1,1,"Confirmed Day Zero"))</f>
        <v>Canada</v>
      </c>
      <c r="D45" s="1" cm="1">
        <f t="array" aca="1" ref="D45" ca="1">IF(INDIRECT(ADDRESS($B45+1,D$38,1,1,"Confirmed Day Zero"))=0,#N/A,INDIRECT(ADDRESS($B45+1,D$38,1,1,"Confirmed Day Zero")))</f>
        <v>37742154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33</v>
      </c>
      <c r="G45" cm="1">
        <f t="array" aca="1" ref="G45" ca="1">IF(INDIRECT(ADDRESS($B45+1,G$38,1,1,"Confirmed Day Zero"))=0,#N/A,INDIRECT(ADDRESS($B45+1,G$38,1,1,"Confirmed Day Zero")))</f>
        <v>37</v>
      </c>
      <c r="H45" cm="1">
        <f t="array" aca="1" ref="H45" ca="1">IF(INDIRECT(ADDRESS($B45+1,H$38,1,1,"Confirmed Day Zero"))=0,#N/A,INDIRECT(ADDRESS($B45+1,H$38,1,1,"Confirmed Day Zero")))</f>
        <v>49</v>
      </c>
      <c r="I45" cm="1">
        <f t="array" aca="1" ref="I45" ca="1">IF(INDIRECT(ADDRESS($B45+1,I$38,1,1,"Confirmed Day Zero"))=0,#N/A,INDIRECT(ADDRESS($B45+1,I$38,1,1,"Confirmed Day Zero")))</f>
        <v>54</v>
      </c>
      <c r="J45" cm="1">
        <f t="array" aca="1" ref="J45" ca="1">IF(INDIRECT(ADDRESS($B45+1,J$38,1,1,"Confirmed Day Zero"))=0,#N/A,INDIRECT(ADDRESS($B45+1,J$38,1,1,"Confirmed Day Zero")))</f>
        <v>64</v>
      </c>
      <c r="K45" cm="1">
        <f t="array" aca="1" ref="K45" ca="1">IF(INDIRECT(ADDRESS($B45+1,K$38,1,1,"Confirmed Day Zero"))=0,#N/A,INDIRECT(ADDRESS($B45+1,K$38,1,1,"Confirmed Day Zero")))</f>
        <v>77</v>
      </c>
      <c r="L45" cm="1">
        <f t="array" aca="1" ref="L45" ca="1">IF(INDIRECT(ADDRESS($B45+1,L$38,1,1,"Confirmed Day Zero"))=0,#N/A,INDIRECT(ADDRESS($B45+1,L$38,1,1,"Confirmed Day Zero")))</f>
        <v>79</v>
      </c>
      <c r="M45" cm="1">
        <f t="array" aca="1" ref="M45" ca="1">IF(INDIRECT(ADDRESS($B45+1,M$38,1,1,"Confirmed Day Zero"))=0,#N/A,INDIRECT(ADDRESS($B45+1,M$38,1,1,"Confirmed Day Zero")))</f>
        <v>108</v>
      </c>
      <c r="N45" cm="1">
        <f t="array" aca="1" ref="N45" ca="1">IF(INDIRECT(ADDRESS($B45+1,N$38,1,1,"Confirmed Day Zero"))=0,#N/A,INDIRECT(ADDRESS($B45+1,N$38,1,1,"Confirmed Day Zero")))</f>
        <v>117</v>
      </c>
      <c r="O45" cm="1">
        <f t="array" aca="1" ref="O45" ca="1">IF(INDIRECT(ADDRESS($B45+1,O$38,1,1,"Confirmed Day Zero"))=0,#N/A,INDIRECT(ADDRESS($B45+1,O$38,1,1,"Confirmed Day Zero")))</f>
        <v>191</v>
      </c>
      <c r="P45" cm="1">
        <f t="array" aca="1" ref="P45" ca="1">IF(INDIRECT(ADDRESS($B45+1,P$38,1,1,"Confirmed Day Zero"))=0,#N/A,INDIRECT(ADDRESS($B45+1,P$38,1,1,"Confirmed Day Zero")))</f>
        <v>196</v>
      </c>
      <c r="Q45" cm="1">
        <f t="array" aca="1" ref="Q45" ca="1">IF(INDIRECT(ADDRESS($B45+1,Q$38,1,1,"Confirmed Day Zero"))=0,#N/A,INDIRECT(ADDRESS($B45+1,Q$38,1,1,"Confirmed Day Zero")))</f>
        <v>250</v>
      </c>
      <c r="R45" cm="1">
        <f t="array" aca="1" ref="R45" ca="1">IF(INDIRECT(ADDRESS($B45+1,R$38,1,1,"Confirmed Day Zero"))=0,#N/A,INDIRECT(ADDRESS($B45+1,R$38,1,1,"Confirmed Day Zero")))</f>
        <v>413</v>
      </c>
      <c r="S45" cm="1">
        <f t="array" aca="1" ref="S45" ca="1">IF(INDIRECT(ADDRESS($B45+1,S$38,1,1,"Confirmed Day Zero"))=0,#N/A,INDIRECT(ADDRESS($B45+1,S$38,1,1,"Confirmed Day Zero")))</f>
        <v>470</v>
      </c>
      <c r="T45" cm="1">
        <f t="array" aca="1" ref="T45" ca="1">IF(INDIRECT(ADDRESS($B45+1,T$38,1,1,"Confirmed Day Zero"))=0,#N/A,INDIRECT(ADDRESS($B45+1,T$38,1,1,"Confirmed Day Zero")))</f>
        <v>648</v>
      </c>
      <c r="U45" cm="1">
        <f t="array" aca="1" ref="U45" ca="1">IF(INDIRECT(ADDRESS($B45+1,U$38,1,1,"Confirmed Day Zero"))=0,#N/A,INDIRECT(ADDRESS($B45+1,U$38,1,1,"Confirmed Day Zero")))</f>
        <v>791</v>
      </c>
      <c r="V45" cm="1">
        <f t="array" aca="1" ref="V45" ca="1">IF(INDIRECT(ADDRESS($B45+1,V$38,1,1,"Confirmed Day Zero"))=0,#N/A,INDIRECT(ADDRESS($B45+1,V$38,1,1,"Confirmed Day Zero")))</f>
        <v>933</v>
      </c>
      <c r="W45" cm="1">
        <f t="array" aca="1" ref="W45" ca="1">IF(INDIRECT(ADDRESS($B45+1,W$38,1,1,"Confirmed Day Zero"))=0,#N/A,INDIRECT(ADDRESS($B45+1,W$38,1,1,"Confirmed Day Zero")))</f>
        <v>1267</v>
      </c>
      <c r="X45" cm="1">
        <f t="array" aca="1" ref="X45" ca="1">IF(INDIRECT(ADDRESS($B45+1,X$38,1,1,"Confirmed Day Zero"))=0,#N/A,INDIRECT(ADDRESS($B45+1,X$38,1,1,"Confirmed Day Zero")))</f>
        <v>1456</v>
      </c>
      <c r="Y45" cm="1">
        <f t="array" aca="1" ref="Y45" ca="1">IF(INDIRECT(ADDRESS($B45+1,Y$38,1,1,"Confirmed Day Zero"))=0,#N/A,INDIRECT(ADDRESS($B45+1,Y$38,1,1,"Confirmed Day Zero")))</f>
        <v>2075</v>
      </c>
      <c r="Z45" cm="1">
        <f t="array" aca="1" ref="Z45" ca="1">IF(INDIRECT(ADDRESS($B45+1,Z$38,1,1,"Confirmed Day Zero"))=0,#N/A,INDIRECT(ADDRESS($B45+1,Z$38,1,1,"Confirmed Day Zero")))</f>
        <v>2777</v>
      </c>
      <c r="AA45" cm="1">
        <f t="array" aca="1" ref="AA45" ca="1">IF(INDIRECT(ADDRESS($B45+1,AA$38,1,1,"Confirmed Day Zero"))=0,#N/A,INDIRECT(ADDRESS($B45+1,AA$38,1,1,"Confirmed Day Zero")))</f>
        <v>3238</v>
      </c>
      <c r="AB45" cm="1">
        <f t="array" aca="1" ref="AB45" ca="1">IF(INDIRECT(ADDRESS($B45+1,AB$38,1,1,"Confirmed Day Zero"))=0,#N/A,INDIRECT(ADDRESS($B45+1,AB$38,1,1,"Confirmed Day Zero")))</f>
        <v>4029</v>
      </c>
      <c r="AC45" cm="1">
        <f t="array" aca="1" ref="AC45" ca="1">IF(INDIRECT(ADDRESS($B45+1,AC$38,1,1,"Confirmed Day Zero"))=0,#N/A,INDIRECT(ADDRESS($B45+1,AC$38,1,1,"Confirmed Day Zero")))</f>
        <v>4669</v>
      </c>
      <c r="AD45" cm="1">
        <f t="array" aca="1" ref="AD45" ca="1">IF(INDIRECT(ADDRESS($B45+1,AD$38,1,1,"Confirmed Day Zero"))=0,#N/A,INDIRECT(ADDRESS($B45+1,AD$38,1,1,"Confirmed Day Zero")))</f>
        <v>5563</v>
      </c>
      <c r="AE45" cm="1">
        <f t="array" aca="1" ref="AE45" ca="1">IF(INDIRECT(ADDRESS($B45+1,AE$38,1,1,"Confirmed Day Zero"))=0,#N/A,INDIRECT(ADDRESS($B45+1,AE$38,1,1,"Confirmed Day Zero")))</f>
        <v>6267</v>
      </c>
      <c r="AF45" cm="1">
        <f t="array" aca="1" ref="AF45" ca="1">IF(INDIRECT(ADDRESS($B45+1,AF$38,1,1,"Confirmed Day Zero"))=0,#N/A,INDIRECT(ADDRESS($B45+1,AF$38,1,1,"Confirmed Day Zero")))</f>
        <v>7385</v>
      </c>
      <c r="AG45" cm="1">
        <f t="array" aca="1" ref="AG45" ca="1">IF(INDIRECT(ADDRESS($B45+1,AG$38,1,1,"Confirmed Day Zero"))=0,#N/A,INDIRECT(ADDRESS($B45+1,AG$38,1,1,"Confirmed Day Zero")))</f>
        <v>8514</v>
      </c>
      <c r="AH45" cm="1">
        <f t="array" aca="1" ref="AH45" ca="1">IF(INDIRECT(ADDRESS($B45+1,AH$38,1,1,"Confirmed Day Zero"))=0,#N/A,INDIRECT(ADDRESS($B45+1,AH$38,1,1,"Confirmed Day Zero")))</f>
        <v>9547</v>
      </c>
      <c r="AI45" cm="1">
        <f t="array" aca="1" ref="AI45" ca="1">IF(INDIRECT(ADDRESS($B45+1,AI$38,1,1,"Confirmed Day Zero"))=0,#N/A,INDIRECT(ADDRESS($B45+1,AI$38,1,1,"Confirmed Day Zero")))</f>
        <v>11271</v>
      </c>
      <c r="AJ45" cm="1">
        <f t="array" aca="1" ref="AJ45" ca="1">IF(INDIRECT(ADDRESS($B45+1,AJ$38,1,1,"Confirmed Day Zero"))=0,#N/A,INDIRECT(ADDRESS($B45+1,AJ$38,1,1,"Confirmed Day Zero")))</f>
        <v>12424</v>
      </c>
      <c r="AK45" cm="1">
        <f t="array" aca="1" ref="AK45" ca="1">IF(INDIRECT(ADDRESS($B45+1,AK$38,1,1,"Confirmed Day Zero"))=0,#N/A,INDIRECT(ADDRESS($B45+1,AK$38,1,1,"Confirmed Day Zero")))</f>
        <v>12965</v>
      </c>
      <c r="AL45" cm="1">
        <f t="array" aca="1" ref="AL45" ca="1">IF(INDIRECT(ADDRESS($B45+1,AL$38,1,1,"Confirmed Day Zero"))=0,#N/A,INDIRECT(ADDRESS($B45+1,AL$38,1,1,"Confirmed Day Zero")))</f>
        <v>15743</v>
      </c>
      <c r="AM45" cm="1">
        <f t="array" aca="1" ref="AM45" ca="1">IF(INDIRECT(ADDRESS($B45+1,AM$38,1,1,"Confirmed Day Zero"))=0,#N/A,INDIRECT(ADDRESS($B45+1,AM$38,1,1,"Confirmed Day Zero")))</f>
        <v>16550</v>
      </c>
      <c r="AN45" cm="1">
        <f t="array" aca="1" ref="AN45" ca="1">IF(INDIRECT(ADDRESS($B45+1,AN$38,1,1,"Confirmed Day Zero"))=0,#N/A,INDIRECT(ADDRESS($B45+1,AN$38,1,1,"Confirmed Day Zero")))</f>
        <v>17859</v>
      </c>
      <c r="AO45" cm="1">
        <f t="array" aca="1" ref="AO45" ca="1">IF(INDIRECT(ADDRESS($B45+1,AO$38,1,1,"Confirmed Day Zero"))=0,#N/A,INDIRECT(ADDRESS($B45+1,AO$38,1,1,"Confirmed Day Zero")))</f>
        <v>19128</v>
      </c>
      <c r="AP45" cm="1">
        <f t="array" aca="1" ref="AP45" ca="1">IF(INDIRECT(ADDRESS($B45+1,AP$38,1,1,"Confirmed Day Zero"))=0,#N/A,INDIRECT(ADDRESS($B45+1,AP$38,1,1,"Confirmed Day Zero")))</f>
        <v>20641</v>
      </c>
      <c r="AQ45" cm="1">
        <f t="array" aca="1" ref="AQ45" ca="1">IF(INDIRECT(ADDRESS($B45+1,AQ$38,1,1,"Confirmed Day Zero"))=0,#N/A,INDIRECT(ADDRESS($B45+1,AQ$38,1,1,"Confirmed Day Zero")))</f>
        <v>22046</v>
      </c>
      <c r="AR45" cm="1">
        <f t="array" aca="1" ref="AR45" ca="1">IF(INDIRECT(ADDRESS($B45+1,AR$38,1,1,"Confirmed Day Zero"))=0,#N/A,INDIRECT(ADDRESS($B45+1,AR$38,1,1,"Confirmed Day Zero")))</f>
        <v>23303</v>
      </c>
      <c r="AS45" cm="1">
        <f t="array" aca="1" ref="AS45" ca="1">IF(INDIRECT(ADDRESS($B45+1,AS$38,1,1,"Confirmed Day Zero"))=0,#N/A,INDIRECT(ADDRESS($B45+1,AS$38,1,1,"Confirmed Day Zero")))</f>
        <v>24286</v>
      </c>
      <c r="AT45" cm="1">
        <f t="array" aca="1" ref="AT45" ca="1">IF(INDIRECT(ADDRESS($B45+1,AT$38,1,1,"Confirmed Day Zero"))=0,#N/A,INDIRECT(ADDRESS($B45+1,AT$38,1,1,"Confirmed Day Zero")))</f>
        <v>25667</v>
      </c>
      <c r="AU45" cm="1">
        <f t="array" aca="1" ref="AU45" ca="1">IF(INDIRECT(ADDRESS($B45+1,AU$38,1,1,"Confirmed Day Zero"))=0,#N/A,INDIRECT(ADDRESS($B45+1,AU$38,1,1,"Confirmed Day Zero")))</f>
        <v>27022</v>
      </c>
      <c r="AV45" cm="1">
        <f t="array" aca="1" ref="AV45" ca="1">IF(INDIRECT(ADDRESS($B45+1,AV$38,1,1,"Confirmed Day Zero"))=0,#N/A,INDIRECT(ADDRESS($B45+1,AV$38,1,1,"Confirmed Day Zero")))</f>
        <v>28196</v>
      </c>
      <c r="AW45" cm="1">
        <f t="array" aca="1" ref="AW45" ca="1">IF(INDIRECT(ADDRESS($B45+1,AW$38,1,1,"Confirmed Day Zero"))=0,#N/A,INDIRECT(ADDRESS($B45+1,AW$38,1,1,"Confirmed Day Zero")))</f>
        <v>30796</v>
      </c>
      <c r="AX45" cm="1">
        <f t="array" aca="1" ref="AX45" ca="1">IF(INDIRECT(ADDRESS($B45+1,AX$38,1,1,"Confirmed Day Zero"))=0,#N/A,INDIRECT(ADDRESS($B45+1,AX$38,1,1,"Confirmed Day Zero")))</f>
        <v>32801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1:96" x14ac:dyDescent="0.25">
      <c r="A46" t="e">
        <f t="shared" ca="1" si="53"/>
        <v>#VALUE!</v>
      </c>
      <c r="B46" s="12">
        <f t="shared" si="52"/>
        <v>4</v>
      </c>
      <c r="C46" t="str" cm="1">
        <f t="array" aca="1" ref="C46" ca="1">INDIRECT(ADDRESS($B46+1,1,1,1,"Confirmed Day Zero"))</f>
        <v>China</v>
      </c>
      <c r="D46" s="1" cm="1">
        <f t="array" aca="1" ref="D46" ca="1">IF(INDIRECT(ADDRESS($B46+1,D$38,1,1,"Confirmed Day Zero"))=0,#N/A,INDIRECT(ADDRESS($B46+1,D$38,1,1,"Confirmed Day Zero")))</f>
        <v>1439323776</v>
      </c>
      <c r="E46" cm="1">
        <f t="array" aca="1" ref="E46" ca="1">IF(INDIRECT(ADDRESS($B46+1,E$38,1,1,"Confirmed Day Zero"))=0,#N/A,INDIRECT(ADDRESS($B46+1,E$38,1,1,"Confirmed Day Zero")))</f>
        <v>548</v>
      </c>
      <c r="F46" cm="1">
        <f t="array" aca="1" ref="F46" ca="1">IF(INDIRECT(ADDRESS($B46+1,F$38,1,1,"Confirmed Day Zero"))=0,#N/A,INDIRECT(ADDRESS($B46+1,F$38,1,1,"Confirmed Day Zero")))</f>
        <v>643</v>
      </c>
      <c r="G46" cm="1">
        <f t="array" aca="1" ref="G46" ca="1">IF(INDIRECT(ADDRESS($B46+1,G$38,1,1,"Confirmed Day Zero"))=0,#N/A,INDIRECT(ADDRESS($B46+1,G$38,1,1,"Confirmed Day Zero")))</f>
        <v>920</v>
      </c>
      <c r="H46" cm="1">
        <f t="array" aca="1" ref="H46" ca="1">IF(INDIRECT(ADDRESS($B46+1,H$38,1,1,"Confirmed Day Zero"))=0,#N/A,INDIRECT(ADDRESS($B46+1,H$38,1,1,"Confirmed Day Zero")))</f>
        <v>1406</v>
      </c>
      <c r="I46" cm="1">
        <f t="array" aca="1" ref="I46" ca="1">IF(INDIRECT(ADDRESS($B46+1,I$38,1,1,"Confirmed Day Zero"))=0,#N/A,INDIRECT(ADDRESS($B46+1,I$38,1,1,"Confirmed Day Zero")))</f>
        <v>2075</v>
      </c>
      <c r="J46" cm="1">
        <f t="array" aca="1" ref="J46" ca="1">IF(INDIRECT(ADDRESS($B46+1,J$38,1,1,"Confirmed Day Zero"))=0,#N/A,INDIRECT(ADDRESS($B46+1,J$38,1,1,"Confirmed Day Zero")))</f>
        <v>2877</v>
      </c>
      <c r="K46" cm="1">
        <f t="array" aca="1" ref="K46" ca="1">IF(INDIRECT(ADDRESS($B46+1,K$38,1,1,"Confirmed Day Zero"))=0,#N/A,INDIRECT(ADDRESS($B46+1,K$38,1,1,"Confirmed Day Zero")))</f>
        <v>5509</v>
      </c>
      <c r="L46" cm="1">
        <f t="array" aca="1" ref="L46" ca="1">IF(INDIRECT(ADDRESS($B46+1,L$38,1,1,"Confirmed Day Zero"))=0,#N/A,INDIRECT(ADDRESS($B46+1,L$38,1,1,"Confirmed Day Zero")))</f>
        <v>6087</v>
      </c>
      <c r="M46" cm="1">
        <f t="array" aca="1" ref="M46" ca="1">IF(INDIRECT(ADDRESS($B46+1,M$38,1,1,"Confirmed Day Zero"))=0,#N/A,INDIRECT(ADDRESS($B46+1,M$38,1,1,"Confirmed Day Zero")))</f>
        <v>8141</v>
      </c>
      <c r="N46" cm="1">
        <f t="array" aca="1" ref="N46" ca="1">IF(INDIRECT(ADDRESS($B46+1,N$38,1,1,"Confirmed Day Zero"))=0,#N/A,INDIRECT(ADDRESS($B46+1,N$38,1,1,"Confirmed Day Zero")))</f>
        <v>9802</v>
      </c>
      <c r="O46" cm="1">
        <f t="array" aca="1" ref="O46" ca="1">IF(INDIRECT(ADDRESS($B46+1,O$38,1,1,"Confirmed Day Zero"))=0,#N/A,INDIRECT(ADDRESS($B46+1,O$38,1,1,"Confirmed Day Zero")))</f>
        <v>11891</v>
      </c>
      <c r="P46" cm="1">
        <f t="array" aca="1" ref="P46" ca="1">IF(INDIRECT(ADDRESS($B46+1,P$38,1,1,"Confirmed Day Zero"))=0,#N/A,INDIRECT(ADDRESS($B46+1,P$38,1,1,"Confirmed Day Zero")))</f>
        <v>16630</v>
      </c>
      <c r="Q46" cm="1">
        <f t="array" aca="1" ref="Q46" ca="1">IF(INDIRECT(ADDRESS($B46+1,Q$38,1,1,"Confirmed Day Zero"))=0,#N/A,INDIRECT(ADDRESS($B46+1,Q$38,1,1,"Confirmed Day Zero")))</f>
        <v>19716</v>
      </c>
      <c r="R46" cm="1">
        <f t="array" aca="1" ref="R46" ca="1">IF(INDIRECT(ADDRESS($B46+1,R$38,1,1,"Confirmed Day Zero"))=0,#N/A,INDIRECT(ADDRESS($B46+1,R$38,1,1,"Confirmed Day Zero")))</f>
        <v>23707</v>
      </c>
      <c r="S46" cm="1">
        <f t="array" aca="1" ref="S46" ca="1">IF(INDIRECT(ADDRESS($B46+1,S$38,1,1,"Confirmed Day Zero"))=0,#N/A,INDIRECT(ADDRESS($B46+1,S$38,1,1,"Confirmed Day Zero")))</f>
        <v>27440</v>
      </c>
      <c r="T46" cm="1">
        <f t="array" aca="1" ref="T46" ca="1">IF(INDIRECT(ADDRESS($B46+1,T$38,1,1,"Confirmed Day Zero"))=0,#N/A,INDIRECT(ADDRESS($B46+1,T$38,1,1,"Confirmed Day Zero")))</f>
        <v>30587</v>
      </c>
      <c r="U46" cm="1">
        <f t="array" aca="1" ref="U46" ca="1">IF(INDIRECT(ADDRESS($B46+1,U$38,1,1,"Confirmed Day Zero"))=0,#N/A,INDIRECT(ADDRESS($B46+1,U$38,1,1,"Confirmed Day Zero")))</f>
        <v>34110</v>
      </c>
      <c r="V46" cm="1">
        <f t="array" aca="1" ref="V46" ca="1">IF(INDIRECT(ADDRESS($B46+1,V$38,1,1,"Confirmed Day Zero"))=0,#N/A,INDIRECT(ADDRESS($B46+1,V$38,1,1,"Confirmed Day Zero")))</f>
        <v>36814</v>
      </c>
      <c r="W46" cm="1">
        <f t="array" aca="1" ref="W46" ca="1">IF(INDIRECT(ADDRESS($B46+1,W$38,1,1,"Confirmed Day Zero"))=0,#N/A,INDIRECT(ADDRESS($B46+1,W$38,1,1,"Confirmed Day Zero")))</f>
        <v>39829</v>
      </c>
      <c r="X46" cm="1">
        <f t="array" aca="1" ref="X46" ca="1">IF(INDIRECT(ADDRESS($B46+1,X$38,1,1,"Confirmed Day Zero"))=0,#N/A,INDIRECT(ADDRESS($B46+1,X$38,1,1,"Confirmed Day Zero")))</f>
        <v>42354</v>
      </c>
      <c r="Y46" cm="1">
        <f t="array" aca="1" ref="Y46" ca="1">IF(INDIRECT(ADDRESS($B46+1,Y$38,1,1,"Confirmed Day Zero"))=0,#N/A,INDIRECT(ADDRESS($B46+1,Y$38,1,1,"Confirmed Day Zero")))</f>
        <v>44386</v>
      </c>
      <c r="Z46" cm="1">
        <f t="array" aca="1" ref="Z46" ca="1">IF(INDIRECT(ADDRESS($B46+1,Z$38,1,1,"Confirmed Day Zero"))=0,#N/A,INDIRECT(ADDRESS($B46+1,Z$38,1,1,"Confirmed Day Zero")))</f>
        <v>44759</v>
      </c>
      <c r="AA46" cm="1">
        <f t="array" aca="1" ref="AA46" ca="1">IF(INDIRECT(ADDRESS($B46+1,AA$38,1,1,"Confirmed Day Zero"))=0,#N/A,INDIRECT(ADDRESS($B46+1,AA$38,1,1,"Confirmed Day Zero")))</f>
        <v>59895</v>
      </c>
      <c r="AB46" cm="1">
        <f t="array" aca="1" ref="AB46" ca="1">IF(INDIRECT(ADDRESS($B46+1,AB$38,1,1,"Confirmed Day Zero"))=0,#N/A,INDIRECT(ADDRESS($B46+1,AB$38,1,1,"Confirmed Day Zero")))</f>
        <v>66358</v>
      </c>
      <c r="AC46" cm="1">
        <f t="array" aca="1" ref="AC46" ca="1">IF(INDIRECT(ADDRESS($B46+1,AC$38,1,1,"Confirmed Day Zero"))=0,#N/A,INDIRECT(ADDRESS($B46+1,AC$38,1,1,"Confirmed Day Zero")))</f>
        <v>68413</v>
      </c>
      <c r="AD46" cm="1">
        <f t="array" aca="1" ref="AD46" ca="1">IF(INDIRECT(ADDRESS($B46+1,AD$38,1,1,"Confirmed Day Zero"))=0,#N/A,INDIRECT(ADDRESS($B46+1,AD$38,1,1,"Confirmed Day Zero")))</f>
        <v>70513</v>
      </c>
      <c r="AE46" cm="1">
        <f t="array" aca="1" ref="AE46" ca="1">IF(INDIRECT(ADDRESS($B46+1,AE$38,1,1,"Confirmed Day Zero"))=0,#N/A,INDIRECT(ADDRESS($B46+1,AE$38,1,1,"Confirmed Day Zero")))</f>
        <v>72434</v>
      </c>
      <c r="AF46" cm="1">
        <f t="array" aca="1" ref="AF46" ca="1">IF(INDIRECT(ADDRESS($B46+1,AF$38,1,1,"Confirmed Day Zero"))=0,#N/A,INDIRECT(ADDRESS($B46+1,AF$38,1,1,"Confirmed Day Zero")))</f>
        <v>74211</v>
      </c>
      <c r="AG46" cm="1">
        <f t="array" aca="1" ref="AG46" ca="1">IF(INDIRECT(ADDRESS($B46+1,AG$38,1,1,"Confirmed Day Zero"))=0,#N/A,INDIRECT(ADDRESS($B46+1,AG$38,1,1,"Confirmed Day Zero")))</f>
        <v>74619</v>
      </c>
      <c r="AH46" cm="1">
        <f t="array" aca="1" ref="AH46" ca="1">IF(INDIRECT(ADDRESS($B46+1,AH$38,1,1,"Confirmed Day Zero"))=0,#N/A,INDIRECT(ADDRESS($B46+1,AH$38,1,1,"Confirmed Day Zero")))</f>
        <v>75077</v>
      </c>
      <c r="AI46" cm="1">
        <f t="array" aca="1" ref="AI46" ca="1">IF(INDIRECT(ADDRESS($B46+1,AI$38,1,1,"Confirmed Day Zero"))=0,#N/A,INDIRECT(ADDRESS($B46+1,AI$38,1,1,"Confirmed Day Zero")))</f>
        <v>75550</v>
      </c>
      <c r="AJ46" cm="1">
        <f t="array" aca="1" ref="AJ46" ca="1">IF(INDIRECT(ADDRESS($B46+1,AJ$38,1,1,"Confirmed Day Zero"))=0,#N/A,INDIRECT(ADDRESS($B46+1,AJ$38,1,1,"Confirmed Day Zero")))</f>
        <v>77001</v>
      </c>
      <c r="AK46" cm="1">
        <f t="array" aca="1" ref="AK46" ca="1">IF(INDIRECT(ADDRESS($B46+1,AK$38,1,1,"Confirmed Day Zero"))=0,#N/A,INDIRECT(ADDRESS($B46+1,AK$38,1,1,"Confirmed Day Zero")))</f>
        <v>77022</v>
      </c>
      <c r="AL46" cm="1">
        <f t="array" aca="1" ref="AL46" ca="1">IF(INDIRECT(ADDRESS($B46+1,AL$38,1,1,"Confirmed Day Zero"))=0,#N/A,INDIRECT(ADDRESS($B46+1,AL$38,1,1,"Confirmed Day Zero")))</f>
        <v>77241</v>
      </c>
      <c r="AM46" cm="1">
        <f t="array" aca="1" ref="AM46" ca="1">IF(INDIRECT(ADDRESS($B46+1,AM$38,1,1,"Confirmed Day Zero"))=0,#N/A,INDIRECT(ADDRESS($B46+1,AM$38,1,1,"Confirmed Day Zero")))</f>
        <v>77754</v>
      </c>
      <c r="AN46" cm="1">
        <f t="array" aca="1" ref="AN46" ca="1">IF(INDIRECT(ADDRESS($B46+1,AN$38,1,1,"Confirmed Day Zero"))=0,#N/A,INDIRECT(ADDRESS($B46+1,AN$38,1,1,"Confirmed Day Zero")))</f>
        <v>78166</v>
      </c>
      <c r="AO46" cm="1">
        <f t="array" aca="1" ref="AO46" ca="1">IF(INDIRECT(ADDRESS($B46+1,AO$38,1,1,"Confirmed Day Zero"))=0,#N/A,INDIRECT(ADDRESS($B46+1,AO$38,1,1,"Confirmed Day Zero")))</f>
        <v>78600</v>
      </c>
      <c r="AP46" cm="1">
        <f t="array" aca="1" ref="AP46" ca="1">IF(INDIRECT(ADDRESS($B46+1,AP$38,1,1,"Confirmed Day Zero"))=0,#N/A,INDIRECT(ADDRESS($B46+1,AP$38,1,1,"Confirmed Day Zero")))</f>
        <v>78928</v>
      </c>
      <c r="AQ46" cm="1">
        <f t="array" aca="1" ref="AQ46" ca="1">IF(INDIRECT(ADDRESS($B46+1,AQ$38,1,1,"Confirmed Day Zero"))=0,#N/A,INDIRECT(ADDRESS($B46+1,AQ$38,1,1,"Confirmed Day Zero")))</f>
        <v>79356</v>
      </c>
      <c r="AR46" cm="1">
        <f t="array" aca="1" ref="AR46" ca="1">IF(INDIRECT(ADDRESS($B46+1,AR$38,1,1,"Confirmed Day Zero"))=0,#N/A,INDIRECT(ADDRESS($B46+1,AR$38,1,1,"Confirmed Day Zero")))</f>
        <v>79932</v>
      </c>
      <c r="AS46" cm="1">
        <f t="array" aca="1" ref="AS46" ca="1">IF(INDIRECT(ADDRESS($B46+1,AS$38,1,1,"Confirmed Day Zero"))=0,#N/A,INDIRECT(ADDRESS($B46+1,AS$38,1,1,"Confirmed Day Zero")))</f>
        <v>80136</v>
      </c>
      <c r="AT46" cm="1">
        <f t="array" aca="1" ref="AT46" ca="1">IF(INDIRECT(ADDRESS($B46+1,AT$38,1,1,"Confirmed Day Zero"))=0,#N/A,INDIRECT(ADDRESS($B46+1,AT$38,1,1,"Confirmed Day Zero")))</f>
        <v>80261</v>
      </c>
      <c r="AU46" cm="1">
        <f t="array" aca="1" ref="AU46" ca="1">IF(INDIRECT(ADDRESS($B46+1,AU$38,1,1,"Confirmed Day Zero"))=0,#N/A,INDIRECT(ADDRESS($B46+1,AU$38,1,1,"Confirmed Day Zero")))</f>
        <v>80386</v>
      </c>
      <c r="AV46" cm="1">
        <f t="array" aca="1" ref="AV46" ca="1">IF(INDIRECT(ADDRESS($B46+1,AV$38,1,1,"Confirmed Day Zero"))=0,#N/A,INDIRECT(ADDRESS($B46+1,AV$38,1,1,"Confirmed Day Zero")))</f>
        <v>80537</v>
      </c>
      <c r="AW46" cm="1">
        <f t="array" aca="1" ref="AW46" ca="1">IF(INDIRECT(ADDRESS($B46+1,AW$38,1,1,"Confirmed Day Zero"))=0,#N/A,INDIRECT(ADDRESS($B46+1,AW$38,1,1,"Confirmed Day Zero")))</f>
        <v>80690</v>
      </c>
      <c r="AX46" cm="1">
        <f t="array" aca="1" ref="AX46" ca="1">IF(INDIRECT(ADDRESS($B46+1,AX$38,1,1,"Confirmed Day Zero"))=0,#N/A,INDIRECT(ADDRESS($B46+1,AX$38,1,1,"Confirmed Day Zero")))</f>
        <v>80770</v>
      </c>
      <c r="AY46" cm="1">
        <f t="array" aca="1" ref="AY46" ca="1">IF(INDIRECT(ADDRESS($B46+1,AY$38,1,1,"Confirmed Day Zero"))=0,#N/A,INDIRECT(ADDRESS($B46+1,AY$38,1,1,"Confirmed Day Zero")))</f>
        <v>80823</v>
      </c>
      <c r="AZ46" cm="1">
        <f t="array" aca="1" ref="AZ46" ca="1">IF(INDIRECT(ADDRESS($B46+1,AZ$38,1,1,"Confirmed Day Zero"))=0,#N/A,INDIRECT(ADDRESS($B46+1,AZ$38,1,1,"Confirmed Day Zero")))</f>
        <v>80860</v>
      </c>
      <c r="BA46" cm="1">
        <f t="array" aca="1" ref="BA46" ca="1">IF(INDIRECT(ADDRESS($B46+1,BA$38,1,1,"Confirmed Day Zero"))=0,#N/A,INDIRECT(ADDRESS($B46+1,BA$38,1,1,"Confirmed Day Zero")))</f>
        <v>80887</v>
      </c>
      <c r="BB46" cm="1">
        <f t="array" aca="1" ref="BB46" ca="1">IF(INDIRECT(ADDRESS($B46+1,BB$38,1,1,"Confirmed Day Zero"))=0,#N/A,INDIRECT(ADDRESS($B46+1,BB$38,1,1,"Confirmed Day Zero")))</f>
        <v>80921</v>
      </c>
      <c r="BC46" cm="1">
        <f t="array" aca="1" ref="BC46" ca="1">IF(INDIRECT(ADDRESS($B46+1,BC$38,1,1,"Confirmed Day Zero"))=0,#N/A,INDIRECT(ADDRESS($B46+1,BC$38,1,1,"Confirmed Day Zero")))</f>
        <v>80932</v>
      </c>
      <c r="BD46" cm="1">
        <f t="array" aca="1" ref="BD46" ca="1">IF(INDIRECT(ADDRESS($B46+1,BD$38,1,1,"Confirmed Day Zero"))=0,#N/A,INDIRECT(ADDRESS($B46+1,BD$38,1,1,"Confirmed Day Zero")))</f>
        <v>80945</v>
      </c>
      <c r="BE46" cm="1">
        <f t="array" aca="1" ref="BE46" ca="1">IF(INDIRECT(ADDRESS($B46+1,BE$38,1,1,"Confirmed Day Zero"))=0,#N/A,INDIRECT(ADDRESS($B46+1,BE$38,1,1,"Confirmed Day Zero")))</f>
        <v>80977</v>
      </c>
      <c r="BF46" cm="1">
        <f t="array" aca="1" ref="BF46" ca="1">IF(INDIRECT(ADDRESS($B46+1,BF$38,1,1,"Confirmed Day Zero"))=0,#N/A,INDIRECT(ADDRESS($B46+1,BF$38,1,1,"Confirmed Day Zero")))</f>
        <v>81003</v>
      </c>
      <c r="BG46" cm="1">
        <f t="array" aca="1" ref="BG46" ca="1">IF(INDIRECT(ADDRESS($B46+1,BG$38,1,1,"Confirmed Day Zero"))=0,#N/A,INDIRECT(ADDRESS($B46+1,BG$38,1,1,"Confirmed Day Zero")))</f>
        <v>81033</v>
      </c>
      <c r="BH46" cm="1">
        <f t="array" aca="1" ref="BH46" ca="1">IF(INDIRECT(ADDRESS($B46+1,BH$38,1,1,"Confirmed Day Zero"))=0,#N/A,INDIRECT(ADDRESS($B46+1,BH$38,1,1,"Confirmed Day Zero")))</f>
        <v>81058</v>
      </c>
      <c r="BI46" cm="1">
        <f t="array" aca="1" ref="BI46" ca="1">IF(INDIRECT(ADDRESS($B46+1,BI$38,1,1,"Confirmed Day Zero"))=0,#N/A,INDIRECT(ADDRESS($B46+1,BI$38,1,1,"Confirmed Day Zero")))</f>
        <v>81102</v>
      </c>
      <c r="BJ46" cm="1">
        <f t="array" aca="1" ref="BJ46" ca="1">IF(INDIRECT(ADDRESS($B46+1,BJ$38,1,1,"Confirmed Day Zero"))=0,#N/A,INDIRECT(ADDRESS($B46+1,BJ$38,1,1,"Confirmed Day Zero")))</f>
        <v>81156</v>
      </c>
      <c r="BK46" cm="1">
        <f t="array" aca="1" ref="BK46" ca="1">IF(INDIRECT(ADDRESS($B46+1,BK$38,1,1,"Confirmed Day Zero"))=0,#N/A,INDIRECT(ADDRESS($B46+1,BK$38,1,1,"Confirmed Day Zero")))</f>
        <v>81250</v>
      </c>
      <c r="BL46" cm="1">
        <f t="array" aca="1" ref="BL46" ca="1">IF(INDIRECT(ADDRESS($B46+1,BL$38,1,1,"Confirmed Day Zero"))=0,#N/A,INDIRECT(ADDRESS($B46+1,BL$38,1,1,"Confirmed Day Zero")))</f>
        <v>81305</v>
      </c>
      <c r="BM46" cm="1">
        <f t="array" aca="1" ref="BM46" ca="1">IF(INDIRECT(ADDRESS($B46+1,BM$38,1,1,"Confirmed Day Zero"))=0,#N/A,INDIRECT(ADDRESS($B46+1,BM$38,1,1,"Confirmed Day Zero")))</f>
        <v>81435</v>
      </c>
      <c r="BN46" cm="1">
        <f t="array" aca="1" ref="BN46" ca="1">IF(INDIRECT(ADDRESS($B46+1,BN$38,1,1,"Confirmed Day Zero"))=0,#N/A,INDIRECT(ADDRESS($B46+1,BN$38,1,1,"Confirmed Day Zero")))</f>
        <v>81498</v>
      </c>
      <c r="BO46" cm="1">
        <f t="array" aca="1" ref="BO46" ca="1">IF(INDIRECT(ADDRESS($B46+1,BO$38,1,1,"Confirmed Day Zero"))=0,#N/A,INDIRECT(ADDRESS($B46+1,BO$38,1,1,"Confirmed Day Zero")))</f>
        <v>81591</v>
      </c>
      <c r="BP46" cm="1">
        <f t="array" aca="1" ref="BP46" ca="1">IF(INDIRECT(ADDRESS($B46+1,BP$38,1,1,"Confirmed Day Zero"))=0,#N/A,INDIRECT(ADDRESS($B46+1,BP$38,1,1,"Confirmed Day Zero")))</f>
        <v>81661</v>
      </c>
      <c r="BQ46" cm="1">
        <f t="array" aca="1" ref="BQ46" ca="1">IF(INDIRECT(ADDRESS($B46+1,BQ$38,1,1,"Confirmed Day Zero"))=0,#N/A,INDIRECT(ADDRESS($B46+1,BQ$38,1,1,"Confirmed Day Zero")))</f>
        <v>81782</v>
      </c>
      <c r="BR46" cm="1">
        <f t="array" aca="1" ref="BR46" ca="1">IF(INDIRECT(ADDRESS($B46+1,BR$38,1,1,"Confirmed Day Zero"))=0,#N/A,INDIRECT(ADDRESS($B46+1,BR$38,1,1,"Confirmed Day Zero")))</f>
        <v>81897</v>
      </c>
      <c r="BS46" cm="1">
        <f t="array" aca="1" ref="BS46" ca="1">IF(INDIRECT(ADDRESS($B46+1,BS$38,1,1,"Confirmed Day Zero"))=0,#N/A,INDIRECT(ADDRESS($B46+1,BS$38,1,1,"Confirmed Day Zero")))</f>
        <v>81999</v>
      </c>
      <c r="BT46" cm="1">
        <f t="array" aca="1" ref="BT46" ca="1">IF(INDIRECT(ADDRESS($B46+1,BT$38,1,1,"Confirmed Day Zero"))=0,#N/A,INDIRECT(ADDRESS($B46+1,BT$38,1,1,"Confirmed Day Zero")))</f>
        <v>82122</v>
      </c>
      <c r="BU46" cm="1">
        <f t="array" aca="1" ref="BU46" ca="1">IF(INDIRECT(ADDRESS($B46+1,BU$38,1,1,"Confirmed Day Zero"))=0,#N/A,INDIRECT(ADDRESS($B46+1,BU$38,1,1,"Confirmed Day Zero")))</f>
        <v>82198</v>
      </c>
      <c r="BV46" cm="1">
        <f t="array" aca="1" ref="BV46" ca="1">IF(INDIRECT(ADDRESS($B46+1,BV$38,1,1,"Confirmed Day Zero"))=0,#N/A,INDIRECT(ADDRESS($B46+1,BV$38,1,1,"Confirmed Day Zero")))</f>
        <v>82279</v>
      </c>
      <c r="BW46" cm="1">
        <f t="array" aca="1" ref="BW46" ca="1">IF(INDIRECT(ADDRESS($B46+1,BW$38,1,1,"Confirmed Day Zero"))=0,#N/A,INDIRECT(ADDRESS($B46+1,BW$38,1,1,"Confirmed Day Zero")))</f>
        <v>82361</v>
      </c>
      <c r="BX46" cm="1">
        <f t="array" aca="1" ref="BX46" ca="1">IF(INDIRECT(ADDRESS($B46+1,BX$38,1,1,"Confirmed Day Zero"))=0,#N/A,INDIRECT(ADDRESS($B46+1,BX$38,1,1,"Confirmed Day Zero")))</f>
        <v>82432</v>
      </c>
      <c r="BY46" cm="1">
        <f t="array" aca="1" ref="BY46" ca="1">IF(INDIRECT(ADDRESS($B46+1,BY$38,1,1,"Confirmed Day Zero"))=0,#N/A,INDIRECT(ADDRESS($B46+1,BY$38,1,1,"Confirmed Day Zero")))</f>
        <v>82511</v>
      </c>
      <c r="BZ46" cm="1">
        <f t="array" aca="1" ref="BZ46" ca="1">IF(INDIRECT(ADDRESS($B46+1,BZ$38,1,1,"Confirmed Day Zero"))=0,#N/A,INDIRECT(ADDRESS($B46+1,BZ$38,1,1,"Confirmed Day Zero")))</f>
        <v>82543</v>
      </c>
      <c r="CA46" cm="1">
        <f t="array" aca="1" ref="CA46" ca="1">IF(INDIRECT(ADDRESS($B46+1,CA$38,1,1,"Confirmed Day Zero"))=0,#N/A,INDIRECT(ADDRESS($B46+1,CA$38,1,1,"Confirmed Day Zero")))</f>
        <v>82602</v>
      </c>
      <c r="CB46" cm="1">
        <f t="array" aca="1" ref="CB46" ca="1">IF(INDIRECT(ADDRESS($B46+1,CB$38,1,1,"Confirmed Day Zero"))=0,#N/A,INDIRECT(ADDRESS($B46+1,CB$38,1,1,"Confirmed Day Zero")))</f>
        <v>82665</v>
      </c>
      <c r="CC46" cm="1">
        <f t="array" aca="1" ref="CC46" ca="1">IF(INDIRECT(ADDRESS($B46+1,CC$38,1,1,"Confirmed Day Zero"))=0,#N/A,INDIRECT(ADDRESS($B46+1,CC$38,1,1,"Confirmed Day Zero")))</f>
        <v>82718</v>
      </c>
      <c r="CD46" cm="1">
        <f t="array" aca="1" ref="CD46" ca="1">IF(INDIRECT(ADDRESS($B46+1,CD$38,1,1,"Confirmed Day Zero"))=0,#N/A,INDIRECT(ADDRESS($B46+1,CD$38,1,1,"Confirmed Day Zero")))</f>
        <v>82809</v>
      </c>
      <c r="CE46" cm="1">
        <f t="array" aca="1" ref="CE46" ca="1">IF(INDIRECT(ADDRESS($B46+1,CE$38,1,1,"Confirmed Day Zero"))=0,#N/A,INDIRECT(ADDRESS($B46+1,CE$38,1,1,"Confirmed Day Zero")))</f>
        <v>82883</v>
      </c>
      <c r="CF46" cm="1">
        <f t="array" aca="1" ref="CF46" ca="1">IF(INDIRECT(ADDRESS($B46+1,CF$38,1,1,"Confirmed Day Zero"))=0,#N/A,INDIRECT(ADDRESS($B46+1,CF$38,1,1,"Confirmed Day Zero")))</f>
        <v>82941</v>
      </c>
      <c r="CG46" cm="1">
        <f t="array" aca="1" ref="CG46" ca="1">IF(INDIRECT(ADDRESS($B46+1,CG$38,1,1,"Confirmed Day Zero"))=0,#N/A,INDIRECT(ADDRESS($B46+1,CG$38,1,1,"Confirmed Day Zero")))</f>
        <v>83014</v>
      </c>
      <c r="CH46" cm="1">
        <f t="array" aca="1" ref="CH46" ca="1">IF(INDIRECT(ADDRESS($B46+1,CH$38,1,1,"Confirmed Day Zero"))=0,#N/A,INDIRECT(ADDRESS($B46+1,CH$38,1,1,"Confirmed Day Zero")))</f>
        <v>83134</v>
      </c>
      <c r="CI46" cm="1">
        <f t="array" aca="1" ref="CI46" ca="1">IF(INDIRECT(ADDRESS($B46+1,CI$38,1,1,"Confirmed Day Zero"))=0,#N/A,INDIRECT(ADDRESS($B46+1,CI$38,1,1,"Confirmed Day Zero")))</f>
        <v>83213</v>
      </c>
      <c r="CJ46" cm="1">
        <f t="array" aca="1" ref="CJ46" ca="1">IF(INDIRECT(ADDRESS($B46+1,CJ$38,1,1,"Confirmed Day Zero"))=0,#N/A,INDIRECT(ADDRESS($B46+1,CJ$38,1,1,"Confirmed Day Zero")))</f>
        <v>83306</v>
      </c>
      <c r="CK46" cm="1">
        <f t="array" aca="1" ref="CK46" ca="1">IF(INDIRECT(ADDRESS($B46+1,CK$38,1,1,"Confirmed Day Zero"))=0,#N/A,INDIRECT(ADDRESS($B46+1,CK$38,1,1,"Confirmed Day Zero")))</f>
        <v>83356</v>
      </c>
      <c r="CL46" cm="1">
        <f t="array" aca="1" ref="CL46" ca="1">IF(INDIRECT(ADDRESS($B46+1,CL$38,1,1,"Confirmed Day Zero"))=0,#N/A,INDIRECT(ADDRESS($B46+1,CL$38,1,1,"Confirmed Day Zero")))</f>
        <v>83403</v>
      </c>
      <c r="CM46" cm="1">
        <f t="array" aca="1" ref="CM46" ca="1">IF(INDIRECT(ADDRESS($B46+1,CM$38,1,1,"Confirmed Day Zero"))=0,#N/A,INDIRECT(ADDRESS($B46+1,CM$38,1,1,"Confirmed Day Zero")))</f>
        <v>83760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1:96" x14ac:dyDescent="0.25">
      <c r="A47" t="e">
        <f t="shared" ca="1" si="53"/>
        <v>#VALUE!</v>
      </c>
      <c r="B47" s="12">
        <f t="shared" si="52"/>
        <v>5</v>
      </c>
      <c r="C47" t="str" cm="1">
        <f t="array" aca="1" ref="C47" ca="1">INDIRECT(ADDRESS($B47+1,1,1,1,"Confirmed Day Zero"))</f>
        <v>Finland</v>
      </c>
      <c r="D47" s="1" cm="1">
        <f t="array" aca="1" ref="D47" ca="1">IF(INDIRECT(ADDRESS($B47+1,D$38,1,1,"Confirmed Day Zero"))=0,#N/A,INDIRECT(ADDRESS($B47+1,D$38,1,1,"Confirmed Day Zero")))</f>
        <v>5540720</v>
      </c>
      <c r="E47" cm="1">
        <f t="array" aca="1" ref="E47" ca="1">IF(INDIRECT(ADDRESS($B47+1,E$38,1,1,"Confirmed Day Zero"))=0,#N/A,INDIRECT(ADDRESS($B47+1,E$38,1,1,"Confirmed Day Zero")))</f>
        <v>30</v>
      </c>
      <c r="F47" cm="1">
        <f t="array" aca="1" ref="F47" ca="1">IF(INDIRECT(ADDRESS($B47+1,F$38,1,1,"Confirmed Day Zero"))=0,#N/A,INDIRECT(ADDRESS($B47+1,F$38,1,1,"Confirmed Day Zero")))</f>
        <v>40</v>
      </c>
      <c r="G47" cm="1">
        <f t="array" aca="1" ref="G47" ca="1">IF(INDIRECT(ADDRESS($B47+1,G$38,1,1,"Confirmed Day Zero"))=0,#N/A,INDIRECT(ADDRESS($B47+1,G$38,1,1,"Confirmed Day Zero")))</f>
        <v>59</v>
      </c>
      <c r="H47" cm="1">
        <f t="array" aca="1" ref="H47" ca="1">IF(INDIRECT(ADDRESS($B47+1,H$38,1,1,"Confirmed Day Zero"))=0,#N/A,INDIRECT(ADDRESS($B47+1,H$38,1,1,"Confirmed Day Zero")))</f>
        <v>107</v>
      </c>
      <c r="I47" cm="1">
        <f t="array" aca="1" ref="I47" ca="1">IF(INDIRECT(ADDRESS($B47+1,I$38,1,1,"Confirmed Day Zero"))=0,#N/A,INDIRECT(ADDRESS($B47+1,I$38,1,1,"Confirmed Day Zero")))</f>
        <v>155</v>
      </c>
      <c r="J47" cm="1">
        <f t="array" aca="1" ref="J47" ca="1">IF(INDIRECT(ADDRESS($B47+1,J$38,1,1,"Confirmed Day Zero"))=0,#N/A,INDIRECT(ADDRESS($B47+1,J$38,1,1,"Confirmed Day Zero")))</f>
        <v>225</v>
      </c>
      <c r="K47" cm="1">
        <f t="array" aca="1" ref="K47" ca="1">IF(INDIRECT(ADDRESS($B47+1,K$38,1,1,"Confirmed Day Zero"))=0,#N/A,INDIRECT(ADDRESS($B47+1,K$38,1,1,"Confirmed Day Zero")))</f>
        <v>244</v>
      </c>
      <c r="L47" cm="1">
        <f t="array" aca="1" ref="L47" ca="1">IF(INDIRECT(ADDRESS($B47+1,L$38,1,1,"Confirmed Day Zero"))=0,#N/A,INDIRECT(ADDRESS($B47+1,L$38,1,1,"Confirmed Day Zero")))</f>
        <v>277</v>
      </c>
      <c r="M47" cm="1">
        <f t="array" aca="1" ref="M47" ca="1">IF(INDIRECT(ADDRESS($B47+1,M$38,1,1,"Confirmed Day Zero"))=0,#N/A,INDIRECT(ADDRESS($B47+1,M$38,1,1,"Confirmed Day Zero")))</f>
        <v>321</v>
      </c>
      <c r="N47" cm="1">
        <f t="array" aca="1" ref="N47" ca="1">IF(INDIRECT(ADDRESS($B47+1,N$38,1,1,"Confirmed Day Zero"))=0,#N/A,INDIRECT(ADDRESS($B47+1,N$38,1,1,"Confirmed Day Zero")))</f>
        <v>336</v>
      </c>
      <c r="O47" cm="1">
        <f t="array" aca="1" ref="O47" ca="1">IF(INDIRECT(ADDRESS($B47+1,O$38,1,1,"Confirmed Day Zero"))=0,#N/A,INDIRECT(ADDRESS($B47+1,O$38,1,1,"Confirmed Day Zero")))</f>
        <v>400</v>
      </c>
      <c r="P47" cm="1">
        <f t="array" aca="1" ref="P47" ca="1">IF(INDIRECT(ADDRESS($B47+1,P$38,1,1,"Confirmed Day Zero"))=0,#N/A,INDIRECT(ADDRESS($B47+1,P$38,1,1,"Confirmed Day Zero")))</f>
        <v>450</v>
      </c>
      <c r="Q47" cm="1">
        <f t="array" aca="1" ref="Q47" ca="1">IF(INDIRECT(ADDRESS($B47+1,Q$38,1,1,"Confirmed Day Zero"))=0,#N/A,INDIRECT(ADDRESS($B47+1,Q$38,1,1,"Confirmed Day Zero")))</f>
        <v>523</v>
      </c>
      <c r="R47" cm="1">
        <f t="array" aca="1" ref="R47" ca="1">IF(INDIRECT(ADDRESS($B47+1,R$38,1,1,"Confirmed Day Zero"))=0,#N/A,INDIRECT(ADDRESS($B47+1,R$38,1,1,"Confirmed Day Zero")))</f>
        <v>626</v>
      </c>
      <c r="S47" cm="1">
        <f t="array" aca="1" ref="S47" ca="1">IF(INDIRECT(ADDRESS($B47+1,S$38,1,1,"Confirmed Day Zero"))=0,#N/A,INDIRECT(ADDRESS($B47+1,S$38,1,1,"Confirmed Day Zero")))</f>
        <v>700</v>
      </c>
      <c r="T47" cm="1">
        <f t="array" aca="1" ref="T47" ca="1">IF(INDIRECT(ADDRESS($B47+1,T$38,1,1,"Confirmed Day Zero"))=0,#N/A,INDIRECT(ADDRESS($B47+1,T$38,1,1,"Confirmed Day Zero")))</f>
        <v>792</v>
      </c>
      <c r="U47" cm="1">
        <f t="array" aca="1" ref="U47" ca="1">IF(INDIRECT(ADDRESS($B47+1,U$38,1,1,"Confirmed Day Zero"))=0,#N/A,INDIRECT(ADDRESS($B47+1,U$38,1,1,"Confirmed Day Zero")))</f>
        <v>880</v>
      </c>
      <c r="V47" cm="1">
        <f t="array" aca="1" ref="V47" ca="1">IF(INDIRECT(ADDRESS($B47+1,V$38,1,1,"Confirmed Day Zero"))=0,#N/A,INDIRECT(ADDRESS($B47+1,V$38,1,1,"Confirmed Day Zero")))</f>
        <v>958</v>
      </c>
      <c r="W47" cm="1">
        <f t="array" aca="1" ref="W47" ca="1">IF(INDIRECT(ADDRESS($B47+1,W$38,1,1,"Confirmed Day Zero"))=0,#N/A,INDIRECT(ADDRESS($B47+1,W$38,1,1,"Confirmed Day Zero")))</f>
        <v>1041</v>
      </c>
      <c r="X47" cm="1">
        <f t="array" aca="1" ref="X47" ca="1">IF(INDIRECT(ADDRESS($B47+1,X$38,1,1,"Confirmed Day Zero"))=0,#N/A,INDIRECT(ADDRESS($B47+1,X$38,1,1,"Confirmed Day Zero")))</f>
        <v>1167</v>
      </c>
      <c r="Y47" cm="1">
        <f t="array" aca="1" ref="Y47" ca="1">IF(INDIRECT(ADDRESS($B47+1,Y$38,1,1,"Confirmed Day Zero"))=0,#N/A,INDIRECT(ADDRESS($B47+1,Y$38,1,1,"Confirmed Day Zero")))</f>
        <v>1240</v>
      </c>
      <c r="Z47" cm="1">
        <f t="array" aca="1" ref="Z47" ca="1">IF(INDIRECT(ADDRESS($B47+1,Z$38,1,1,"Confirmed Day Zero"))=0,#N/A,INDIRECT(ADDRESS($B47+1,Z$38,1,1,"Confirmed Day Zero")))</f>
        <v>1352</v>
      </c>
      <c r="AA47" cm="1">
        <f t="array" aca="1" ref="AA47" ca="1">IF(INDIRECT(ADDRESS($B47+1,AA$38,1,1,"Confirmed Day Zero"))=0,#N/A,INDIRECT(ADDRESS($B47+1,AA$38,1,1,"Confirmed Day Zero")))</f>
        <v>1418</v>
      </c>
      <c r="AB47" cm="1">
        <f t="array" aca="1" ref="AB47" ca="1">IF(INDIRECT(ADDRESS($B47+1,AB$38,1,1,"Confirmed Day Zero"))=0,#N/A,INDIRECT(ADDRESS($B47+1,AB$38,1,1,"Confirmed Day Zero")))</f>
        <v>1446</v>
      </c>
      <c r="AC47" cm="1">
        <f t="array" aca="1" ref="AC47" ca="1">IF(INDIRECT(ADDRESS($B47+1,AC$38,1,1,"Confirmed Day Zero"))=0,#N/A,INDIRECT(ADDRESS($B47+1,AC$38,1,1,"Confirmed Day Zero")))</f>
        <v>1518</v>
      </c>
      <c r="AD47" cm="1">
        <f t="array" aca="1" ref="AD47" ca="1">IF(INDIRECT(ADDRESS($B47+1,AD$38,1,1,"Confirmed Day Zero"))=0,#N/A,INDIRECT(ADDRESS($B47+1,AD$38,1,1,"Confirmed Day Zero")))</f>
        <v>1615</v>
      </c>
      <c r="AE47" cm="1">
        <f t="array" aca="1" ref="AE47" ca="1">IF(INDIRECT(ADDRESS($B47+1,AE$38,1,1,"Confirmed Day Zero"))=0,#N/A,INDIRECT(ADDRESS($B47+1,AE$38,1,1,"Confirmed Day Zero")))</f>
        <v>1882</v>
      </c>
      <c r="AF47" cm="1">
        <f t="array" aca="1" ref="AF47" ca="1">IF(INDIRECT(ADDRESS($B47+1,AF$38,1,1,"Confirmed Day Zero"))=0,#N/A,INDIRECT(ADDRESS($B47+1,AF$38,1,1,"Confirmed Day Zero")))</f>
        <v>1927</v>
      </c>
      <c r="AG47" cm="1">
        <f t="array" aca="1" ref="AG47" ca="1">IF(INDIRECT(ADDRESS($B47+1,AG$38,1,1,"Confirmed Day Zero"))=0,#N/A,INDIRECT(ADDRESS($B47+1,AG$38,1,1,"Confirmed Day Zero")))</f>
        <v>2176</v>
      </c>
      <c r="AH47" cm="1">
        <f t="array" aca="1" ref="AH47" ca="1">IF(INDIRECT(ADDRESS($B47+1,AH$38,1,1,"Confirmed Day Zero"))=0,#N/A,INDIRECT(ADDRESS($B47+1,AH$38,1,1,"Confirmed Day Zero")))</f>
        <v>2308</v>
      </c>
      <c r="AI47" cm="1">
        <f t="array" aca="1" ref="AI47" ca="1">IF(INDIRECT(ADDRESS($B47+1,AI$38,1,1,"Confirmed Day Zero"))=0,#N/A,INDIRECT(ADDRESS($B47+1,AI$38,1,1,"Confirmed Day Zero")))</f>
        <v>2487</v>
      </c>
      <c r="AJ47" cm="1">
        <f t="array" aca="1" ref="AJ47" ca="1">IF(INDIRECT(ADDRESS($B47+1,AJ$38,1,1,"Confirmed Day Zero"))=0,#N/A,INDIRECT(ADDRESS($B47+1,AJ$38,1,1,"Confirmed Day Zero")))</f>
        <v>2605</v>
      </c>
      <c r="AK47" cm="1">
        <f t="array" aca="1" ref="AK47" ca="1">IF(INDIRECT(ADDRESS($B47+1,AK$38,1,1,"Confirmed Day Zero"))=0,#N/A,INDIRECT(ADDRESS($B47+1,AK$38,1,1,"Confirmed Day Zero")))</f>
        <v>2769</v>
      </c>
      <c r="AL47" cm="1">
        <f t="array" aca="1" ref="AL47" ca="1">IF(INDIRECT(ADDRESS($B47+1,AL$38,1,1,"Confirmed Day Zero"))=0,#N/A,INDIRECT(ADDRESS($B47+1,AL$38,1,1,"Confirmed Day Zero")))</f>
        <v>2905</v>
      </c>
      <c r="AM47" cm="1">
        <f t="array" aca="1" ref="AM47" ca="1">IF(INDIRECT(ADDRESS($B47+1,AM$38,1,1,"Confirmed Day Zero"))=0,#N/A,INDIRECT(ADDRESS($B47+1,AM$38,1,1,"Confirmed Day Zero")))</f>
        <v>2974</v>
      </c>
      <c r="AN47" cm="1">
        <f t="array" aca="1" ref="AN47" ca="1">IF(INDIRECT(ADDRESS($B47+1,AN$38,1,1,"Confirmed Day Zero"))=0,#N/A,INDIRECT(ADDRESS($B47+1,AN$38,1,1,"Confirmed Day Zero")))</f>
        <v>3064</v>
      </c>
      <c r="AO47" cm="1">
        <f t="array" aca="1" ref="AO47" ca="1">IF(INDIRECT(ADDRESS($B47+1,AO$38,1,1,"Confirmed Day Zero"))=0,#N/A,INDIRECT(ADDRESS($B47+1,AO$38,1,1,"Confirmed Day Zero")))</f>
        <v>3161</v>
      </c>
      <c r="AP47" cm="1">
        <f t="array" aca="1" ref="AP47" ca="1">IF(INDIRECT(ADDRESS($B47+1,AP$38,1,1,"Confirmed Day Zero"))=0,#N/A,INDIRECT(ADDRESS($B47+1,AP$38,1,1,"Confirmed Day Zero")))</f>
        <v>3237</v>
      </c>
      <c r="AQ47" cm="1">
        <f t="array" aca="1" ref="AQ47" ca="1">IF(INDIRECT(ADDRESS($B47+1,AQ$38,1,1,"Confirmed Day Zero"))=0,#N/A,INDIRECT(ADDRESS($B47+1,AQ$38,1,1,"Confirmed Day Zero")))</f>
        <v>3369</v>
      </c>
      <c r="AR47" cm="1">
        <f t="array" aca="1" ref="AR47" ca="1">IF(INDIRECT(ADDRESS($B47+1,AR$38,1,1,"Confirmed Day Zero"))=0,#N/A,INDIRECT(ADDRESS($B47+1,AR$38,1,1,"Confirmed Day Zero")))</f>
        <v>3489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1:96" x14ac:dyDescent="0.25">
      <c r="A48" t="e">
        <f t="shared" ca="1" si="53"/>
        <v>#VALUE!</v>
      </c>
      <c r="B48" s="12">
        <f t="shared" si="52"/>
        <v>6</v>
      </c>
      <c r="C48" t="str" cm="1">
        <f t="array" aca="1" ref="C48" ca="1">INDIRECT(ADDRESS($B48+1,1,1,1,"Confirmed Day Zero"))</f>
        <v>France</v>
      </c>
      <c r="D48" s="1" cm="1">
        <f t="array" aca="1" ref="D48" ca="1">IF(INDIRECT(ADDRESS($B48+1,D$38,1,1,"Confirmed Day Zero"))=0,#N/A,INDIRECT(ADDRESS($B48+1,D$38,1,1,"Confirmed Day Zero")))</f>
        <v>65273511</v>
      </c>
      <c r="E48" cm="1">
        <f t="array" aca="1" ref="E48" ca="1">IF(INDIRECT(ADDRESS($B48+1,E$38,1,1,"Confirmed Day Zero"))=0,#N/A,INDIRECT(ADDRESS($B48+1,E$38,1,1,"Confirmed Day Zero")))</f>
        <v>38</v>
      </c>
      <c r="F48" cm="1">
        <f t="array" aca="1" ref="F48" ca="1">IF(INDIRECT(ADDRESS($B48+1,F$38,1,1,"Confirmed Day Zero"))=0,#N/A,INDIRECT(ADDRESS($B48+1,F$38,1,1,"Confirmed Day Zero")))</f>
        <v>57</v>
      </c>
      <c r="G48" cm="1">
        <f t="array" aca="1" ref="G48" ca="1">IF(INDIRECT(ADDRESS($B48+1,G$38,1,1,"Confirmed Day Zero"))=0,#N/A,INDIRECT(ADDRESS($B48+1,G$38,1,1,"Confirmed Day Zero")))</f>
        <v>100</v>
      </c>
      <c r="H48" cm="1">
        <f t="array" aca="1" ref="H48" ca="1">IF(INDIRECT(ADDRESS($B48+1,H$38,1,1,"Confirmed Day Zero"))=0,#N/A,INDIRECT(ADDRESS($B48+1,H$38,1,1,"Confirmed Day Zero")))</f>
        <v>130</v>
      </c>
      <c r="I48" cm="1">
        <f t="array" aca="1" ref="I48" ca="1">IF(INDIRECT(ADDRESS($B48+1,I$38,1,1,"Confirmed Day Zero"))=0,#N/A,INDIRECT(ADDRESS($B48+1,I$38,1,1,"Confirmed Day Zero")))</f>
        <v>191</v>
      </c>
      <c r="J48" cm="1">
        <f t="array" aca="1" ref="J48" ca="1">IF(INDIRECT(ADDRESS($B48+1,J$38,1,1,"Confirmed Day Zero"))=0,#N/A,INDIRECT(ADDRESS($B48+1,J$38,1,1,"Confirmed Day Zero")))</f>
        <v>204</v>
      </c>
      <c r="K48" cm="1">
        <f t="array" aca="1" ref="K48" ca="1">IF(INDIRECT(ADDRESS($B48+1,K$38,1,1,"Confirmed Day Zero"))=0,#N/A,INDIRECT(ADDRESS($B48+1,K$38,1,1,"Confirmed Day Zero")))</f>
        <v>285</v>
      </c>
      <c r="L48" cm="1">
        <f t="array" aca="1" ref="L48" ca="1">IF(INDIRECT(ADDRESS($B48+1,L$38,1,1,"Confirmed Day Zero"))=0,#N/A,INDIRECT(ADDRESS($B48+1,L$38,1,1,"Confirmed Day Zero")))</f>
        <v>377</v>
      </c>
      <c r="M48" cm="1">
        <f t="array" aca="1" ref="M48" ca="1">IF(INDIRECT(ADDRESS($B48+1,M$38,1,1,"Confirmed Day Zero"))=0,#N/A,INDIRECT(ADDRESS($B48+1,M$38,1,1,"Confirmed Day Zero")))</f>
        <v>653</v>
      </c>
      <c r="N48" cm="1">
        <f t="array" aca="1" ref="N48" ca="1">IF(INDIRECT(ADDRESS($B48+1,N$38,1,1,"Confirmed Day Zero"))=0,#N/A,INDIRECT(ADDRESS($B48+1,N$38,1,1,"Confirmed Day Zero")))</f>
        <v>949</v>
      </c>
      <c r="O48" cm="1">
        <f t="array" aca="1" ref="O48" ca="1">IF(INDIRECT(ADDRESS($B48+1,O$38,1,1,"Confirmed Day Zero"))=0,#N/A,INDIRECT(ADDRESS($B48+1,O$38,1,1,"Confirmed Day Zero")))</f>
        <v>1126</v>
      </c>
      <c r="P48" cm="1">
        <f t="array" aca="1" ref="P48" ca="1">IF(INDIRECT(ADDRESS($B48+1,P$38,1,1,"Confirmed Day Zero"))=0,#N/A,INDIRECT(ADDRESS($B48+1,P$38,1,1,"Confirmed Day Zero")))</f>
        <v>1209</v>
      </c>
      <c r="Q48" cm="1">
        <f t="array" aca="1" ref="Q48" ca="1">IF(INDIRECT(ADDRESS($B48+1,Q$38,1,1,"Confirmed Day Zero"))=0,#N/A,INDIRECT(ADDRESS($B48+1,Q$38,1,1,"Confirmed Day Zero")))</f>
        <v>1784</v>
      </c>
      <c r="R48" cm="1">
        <f t="array" aca="1" ref="R48" ca="1">IF(INDIRECT(ADDRESS($B48+1,R$38,1,1,"Confirmed Day Zero"))=0,#N/A,INDIRECT(ADDRESS($B48+1,R$38,1,1,"Confirmed Day Zero")))</f>
        <v>2281</v>
      </c>
      <c r="S48" cm="1">
        <f t="array" aca="1" ref="S48" ca="1">IF(INDIRECT(ADDRESS($B48+1,S$38,1,1,"Confirmed Day Zero"))=0,#N/A,INDIRECT(ADDRESS($B48+1,S$38,1,1,"Confirmed Day Zero")))</f>
        <v>2971</v>
      </c>
      <c r="T48" cm="1">
        <f t="array" aca="1" ref="T48" ca="1">IF(INDIRECT(ADDRESS($B48+1,T$38,1,1,"Confirmed Day Zero"))=0,#N/A,INDIRECT(ADDRESS($B48+1,T$38,1,1,"Confirmed Day Zero")))</f>
        <v>3661</v>
      </c>
      <c r="U48" cm="1">
        <f t="array" aca="1" ref="U48" ca="1">IF(INDIRECT(ADDRESS($B48+1,U$38,1,1,"Confirmed Day Zero"))=0,#N/A,INDIRECT(ADDRESS($B48+1,U$38,1,1,"Confirmed Day Zero")))</f>
        <v>4469</v>
      </c>
      <c r="V48" cm="1">
        <f t="array" aca="1" ref="V48" ca="1">IF(INDIRECT(ADDRESS($B48+1,V$38,1,1,"Confirmed Day Zero"))=0,#N/A,INDIRECT(ADDRESS($B48+1,V$38,1,1,"Confirmed Day Zero")))</f>
        <v>4499</v>
      </c>
      <c r="W48" cm="1">
        <f t="array" aca="1" ref="W48" ca="1">IF(INDIRECT(ADDRESS($B48+1,W$38,1,1,"Confirmed Day Zero"))=0,#N/A,INDIRECT(ADDRESS($B48+1,W$38,1,1,"Confirmed Day Zero")))</f>
        <v>6633</v>
      </c>
      <c r="X48" cm="1">
        <f t="array" aca="1" ref="X48" ca="1">IF(INDIRECT(ADDRESS($B48+1,X$38,1,1,"Confirmed Day Zero"))=0,#N/A,INDIRECT(ADDRESS($B48+1,X$38,1,1,"Confirmed Day Zero")))</f>
        <v>7652</v>
      </c>
      <c r="Y48" cm="1">
        <f t="array" aca="1" ref="Y48" ca="1">IF(INDIRECT(ADDRESS($B48+1,Y$38,1,1,"Confirmed Day Zero"))=0,#N/A,INDIRECT(ADDRESS($B48+1,Y$38,1,1,"Confirmed Day Zero")))</f>
        <v>9043</v>
      </c>
      <c r="Z48" cm="1">
        <f t="array" aca="1" ref="Z48" ca="1">IF(INDIRECT(ADDRESS($B48+1,Z$38,1,1,"Confirmed Day Zero"))=0,#N/A,INDIRECT(ADDRESS($B48+1,Z$38,1,1,"Confirmed Day Zero")))</f>
        <v>10871</v>
      </c>
      <c r="AA48" cm="1">
        <f t="array" aca="1" ref="AA48" ca="1">IF(INDIRECT(ADDRESS($B48+1,AA$38,1,1,"Confirmed Day Zero"))=0,#N/A,INDIRECT(ADDRESS($B48+1,AA$38,1,1,"Confirmed Day Zero")))</f>
        <v>12612</v>
      </c>
      <c r="AB48" cm="1">
        <f t="array" aca="1" ref="AB48" ca="1">IF(INDIRECT(ADDRESS($B48+1,AB$38,1,1,"Confirmed Day Zero"))=0,#N/A,INDIRECT(ADDRESS($B48+1,AB$38,1,1,"Confirmed Day Zero")))</f>
        <v>14282</v>
      </c>
      <c r="AC48" cm="1">
        <f t="array" aca="1" ref="AC48" ca="1">IF(INDIRECT(ADDRESS($B48+1,AC$38,1,1,"Confirmed Day Zero"))=0,#N/A,INDIRECT(ADDRESS($B48+1,AC$38,1,1,"Confirmed Day Zero")))</f>
        <v>16018</v>
      </c>
      <c r="AD48" cm="1">
        <f t="array" aca="1" ref="AD48" ca="1">IF(INDIRECT(ADDRESS($B48+1,AD$38,1,1,"Confirmed Day Zero"))=0,#N/A,INDIRECT(ADDRESS($B48+1,AD$38,1,1,"Confirmed Day Zero")))</f>
        <v>19856</v>
      </c>
      <c r="AE48" cm="1">
        <f t="array" aca="1" ref="AE48" ca="1">IF(INDIRECT(ADDRESS($B48+1,AE$38,1,1,"Confirmed Day Zero"))=0,#N/A,INDIRECT(ADDRESS($B48+1,AE$38,1,1,"Confirmed Day Zero")))</f>
        <v>22304</v>
      </c>
      <c r="AF48" cm="1">
        <f t="array" aca="1" ref="AF48" ca="1">IF(INDIRECT(ADDRESS($B48+1,AF$38,1,1,"Confirmed Day Zero"))=0,#N/A,INDIRECT(ADDRESS($B48+1,AF$38,1,1,"Confirmed Day Zero")))</f>
        <v>25233</v>
      </c>
      <c r="AG48" cm="1">
        <f t="array" aca="1" ref="AG48" ca="1">IF(INDIRECT(ADDRESS($B48+1,AG$38,1,1,"Confirmed Day Zero"))=0,#N/A,INDIRECT(ADDRESS($B48+1,AG$38,1,1,"Confirmed Day Zero")))</f>
        <v>29155</v>
      </c>
      <c r="AH48" cm="1">
        <f t="array" aca="1" ref="AH48" ca="1">IF(INDIRECT(ADDRESS($B48+1,AH$38,1,1,"Confirmed Day Zero"))=0,#N/A,INDIRECT(ADDRESS($B48+1,AH$38,1,1,"Confirmed Day Zero")))</f>
        <v>32964</v>
      </c>
      <c r="AI48" cm="1">
        <f t="array" aca="1" ref="AI48" ca="1">IF(INDIRECT(ADDRESS($B48+1,AI$38,1,1,"Confirmed Day Zero"))=0,#N/A,INDIRECT(ADDRESS($B48+1,AI$38,1,1,"Confirmed Day Zero")))</f>
        <v>37575</v>
      </c>
      <c r="AJ48" cm="1">
        <f t="array" aca="1" ref="AJ48" ca="1">IF(INDIRECT(ADDRESS($B48+1,AJ$38,1,1,"Confirmed Day Zero"))=0,#N/A,INDIRECT(ADDRESS($B48+1,AJ$38,1,1,"Confirmed Day Zero")))</f>
        <v>40174</v>
      </c>
      <c r="AK48" cm="1">
        <f t="array" aca="1" ref="AK48" ca="1">IF(INDIRECT(ADDRESS($B48+1,AK$38,1,1,"Confirmed Day Zero"))=0,#N/A,INDIRECT(ADDRESS($B48+1,AK$38,1,1,"Confirmed Day Zero")))</f>
        <v>44550</v>
      </c>
      <c r="AL48" cm="1">
        <f t="array" aca="1" ref="AL48" ca="1">IF(INDIRECT(ADDRESS($B48+1,AL$38,1,1,"Confirmed Day Zero"))=0,#N/A,INDIRECT(ADDRESS($B48+1,AL$38,1,1,"Confirmed Day Zero")))</f>
        <v>52128</v>
      </c>
      <c r="AM48" cm="1">
        <f t="array" aca="1" ref="AM48" ca="1">IF(INDIRECT(ADDRESS($B48+1,AM$38,1,1,"Confirmed Day Zero"))=0,#N/A,INDIRECT(ADDRESS($B48+1,AM$38,1,1,"Confirmed Day Zero")))</f>
        <v>56989</v>
      </c>
      <c r="AN48" cm="1">
        <f t="array" aca="1" ref="AN48" ca="1">IF(INDIRECT(ADDRESS($B48+1,AN$38,1,1,"Confirmed Day Zero"))=0,#N/A,INDIRECT(ADDRESS($B48+1,AN$38,1,1,"Confirmed Day Zero")))</f>
        <v>59105</v>
      </c>
      <c r="AO48" cm="1">
        <f t="array" aca="1" ref="AO48" ca="1">IF(INDIRECT(ADDRESS($B48+1,AO$38,1,1,"Confirmed Day Zero"))=0,#N/A,INDIRECT(ADDRESS($B48+1,AO$38,1,1,"Confirmed Day Zero")))</f>
        <v>64338</v>
      </c>
      <c r="AP48" cm="1">
        <f t="array" aca="1" ref="AP48" ca="1">IF(INDIRECT(ADDRESS($B48+1,AP$38,1,1,"Confirmed Day Zero"))=0,#N/A,INDIRECT(ADDRESS($B48+1,AP$38,1,1,"Confirmed Day Zero")))</f>
        <v>68605</v>
      </c>
      <c r="AQ48" cm="1">
        <f t="array" aca="1" ref="AQ48" ca="1">IF(INDIRECT(ADDRESS($B48+1,AQ$38,1,1,"Confirmed Day Zero"))=0,#N/A,INDIRECT(ADDRESS($B48+1,AQ$38,1,1,"Confirmed Day Zero")))</f>
        <v>70478</v>
      </c>
      <c r="AR48" cm="1">
        <f t="array" aca="1" ref="AR48" ca="1">IF(INDIRECT(ADDRESS($B48+1,AR$38,1,1,"Confirmed Day Zero"))=0,#N/A,INDIRECT(ADDRESS($B48+1,AR$38,1,1,"Confirmed Day Zero")))</f>
        <v>74390</v>
      </c>
      <c r="AS48" cm="1">
        <f t="array" aca="1" ref="AS48" ca="1">IF(INDIRECT(ADDRESS($B48+1,AS$38,1,1,"Confirmed Day Zero"))=0,#N/A,INDIRECT(ADDRESS($B48+1,AS$38,1,1,"Confirmed Day Zero")))</f>
        <v>78167</v>
      </c>
      <c r="AT48" cm="1">
        <f t="array" aca="1" ref="AT48" ca="1">IF(INDIRECT(ADDRESS($B48+1,AT$38,1,1,"Confirmed Day Zero"))=0,#N/A,INDIRECT(ADDRESS($B48+1,AT$38,1,1,"Confirmed Day Zero")))</f>
        <v>82048</v>
      </c>
      <c r="AU48" cm="1">
        <f t="array" aca="1" ref="AU48" ca="1">IF(INDIRECT(ADDRESS($B48+1,AU$38,1,1,"Confirmed Day Zero"))=0,#N/A,INDIRECT(ADDRESS($B48+1,AU$38,1,1,"Confirmed Day Zero")))</f>
        <v>86334</v>
      </c>
      <c r="AV48" cm="1">
        <f t="array" aca="1" ref="AV48" ca="1">IF(INDIRECT(ADDRESS($B48+1,AV$38,1,1,"Confirmed Day Zero"))=0,#N/A,INDIRECT(ADDRESS($B48+1,AV$38,1,1,"Confirmed Day Zero")))</f>
        <v>90676</v>
      </c>
      <c r="AW48" cm="1">
        <f t="array" aca="1" ref="AW48" ca="1">IF(INDIRECT(ADDRESS($B48+1,AW$38,1,1,"Confirmed Day Zero"))=0,#N/A,INDIRECT(ADDRESS($B48+1,AW$38,1,1,"Confirmed Day Zero")))</f>
        <v>93790</v>
      </c>
      <c r="AX48" cm="1">
        <f t="array" aca="1" ref="AX48" ca="1">IF(INDIRECT(ADDRESS($B48+1,AX$38,1,1,"Confirmed Day Zero"))=0,#N/A,INDIRECT(ADDRESS($B48+1,AX$38,1,1,"Confirmed Day Zero")))</f>
        <v>120633</v>
      </c>
      <c r="AY48" cm="1">
        <f t="array" aca="1" ref="AY48" ca="1">IF(INDIRECT(ADDRESS($B48+1,AY$38,1,1,"Confirmed Day Zero"))=0,#N/A,INDIRECT(ADDRESS($B48+1,AY$38,1,1,"Confirmed Day Zero")))</f>
        <v>124298</v>
      </c>
      <c r="AZ48" cm="1">
        <f t="array" aca="1" ref="AZ48" ca="1">IF(INDIRECT(ADDRESS($B48+1,AZ$38,1,1,"Confirmed Day Zero"))=0,#N/A,INDIRECT(ADDRESS($B48+1,AZ$38,1,1,"Confirmed Day Zero")))</f>
        <v>130253</v>
      </c>
      <c r="BA48" cm="1">
        <f t="array" aca="1" ref="BA48" ca="1">IF(INDIRECT(ADDRESS($B48+1,BA$38,1,1,"Confirmed Day Zero"))=0,#N/A,INDIRECT(ADDRESS($B48+1,BA$38,1,1,"Confirmed Day Zero")))</f>
        <v>133470</v>
      </c>
      <c r="BB48" cm="1">
        <f t="array" aca="1" ref="BB48" ca="1">IF(INDIRECT(ADDRESS($B48+1,BB$38,1,1,"Confirmed Day Zero"))=0,#N/A,INDIRECT(ADDRESS($B48+1,BB$38,1,1,"Confirmed Day Zero")))</f>
        <v>145960</v>
      </c>
      <c r="BC48" cm="1">
        <f t="array" aca="1" ref="BC48" ca="1">IF(INDIRECT(ADDRESS($B48+1,BC$38,1,1,"Confirmed Day Zero"))=0,#N/A,INDIRECT(ADDRESS($B48+1,BC$38,1,1,"Confirmed Day Zero")))</f>
        <v>147969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1:96" x14ac:dyDescent="0.25">
      <c r="A49" t="e">
        <f t="shared" ca="1" si="53"/>
        <v>#VALUE!</v>
      </c>
      <c r="B49" s="12">
        <f t="shared" si="52"/>
        <v>7</v>
      </c>
      <c r="C49" t="str" cm="1">
        <f t="array" aca="1" ref="C49" ca="1">INDIRECT(ADDRESS($B49+1,1,1,1,"Confirmed Day Zero"))</f>
        <v>Germany</v>
      </c>
      <c r="D49" s="1" cm="1">
        <f t="array" aca="1" ref="D49" ca="1">IF(INDIRECT(ADDRESS($B49+1,D$38,1,1,"Confirmed Day Zero"))=0,#N/A,INDIRECT(ADDRESS($B49+1,D$38,1,1,"Confirmed Day Zero")))</f>
        <v>83783942</v>
      </c>
      <c r="E49" cm="1">
        <f t="array" aca="1" ref="E49" ca="1">IF(INDIRECT(ADDRESS($B49+1,E$38,1,1,"Confirmed Day Zero"))=0,#N/A,INDIRECT(ADDRESS($B49+1,E$38,1,1,"Confirmed Day Zero")))</f>
        <v>46</v>
      </c>
      <c r="F49" cm="1">
        <f t="array" aca="1" ref="F49" ca="1">IF(INDIRECT(ADDRESS($B49+1,F$38,1,1,"Confirmed Day Zero"))=0,#N/A,INDIRECT(ADDRESS($B49+1,F$38,1,1,"Confirmed Day Zero")))</f>
        <v>48</v>
      </c>
      <c r="G49" cm="1">
        <f t="array" aca="1" ref="G49" ca="1">IF(INDIRECT(ADDRESS($B49+1,G$38,1,1,"Confirmed Day Zero"))=0,#N/A,INDIRECT(ADDRESS($B49+1,G$38,1,1,"Confirmed Day Zero")))</f>
        <v>79</v>
      </c>
      <c r="H49" cm="1">
        <f t="array" aca="1" ref="H49" ca="1">IF(INDIRECT(ADDRESS($B49+1,H$38,1,1,"Confirmed Day Zero"))=0,#N/A,INDIRECT(ADDRESS($B49+1,H$38,1,1,"Confirmed Day Zero")))</f>
        <v>130</v>
      </c>
      <c r="I49" cm="1">
        <f t="array" aca="1" ref="I49" ca="1">IF(INDIRECT(ADDRESS($B49+1,I$38,1,1,"Confirmed Day Zero"))=0,#N/A,INDIRECT(ADDRESS($B49+1,I$38,1,1,"Confirmed Day Zero")))</f>
        <v>159</v>
      </c>
      <c r="J49" cm="1">
        <f t="array" aca="1" ref="J49" ca="1">IF(INDIRECT(ADDRESS($B49+1,J$38,1,1,"Confirmed Day Zero"))=0,#N/A,INDIRECT(ADDRESS($B49+1,J$38,1,1,"Confirmed Day Zero")))</f>
        <v>196</v>
      </c>
      <c r="K49" cm="1">
        <f t="array" aca="1" ref="K49" ca="1">IF(INDIRECT(ADDRESS($B49+1,K$38,1,1,"Confirmed Day Zero"))=0,#N/A,INDIRECT(ADDRESS($B49+1,K$38,1,1,"Confirmed Day Zero")))</f>
        <v>262</v>
      </c>
      <c r="L49" cm="1">
        <f t="array" aca="1" ref="L49" ca="1">IF(INDIRECT(ADDRESS($B49+1,L$38,1,1,"Confirmed Day Zero"))=0,#N/A,INDIRECT(ADDRESS($B49+1,L$38,1,1,"Confirmed Day Zero")))</f>
        <v>482</v>
      </c>
      <c r="M49" cm="1">
        <f t="array" aca="1" ref="M49" ca="1">IF(INDIRECT(ADDRESS($B49+1,M$38,1,1,"Confirmed Day Zero"))=0,#N/A,INDIRECT(ADDRESS($B49+1,M$38,1,1,"Confirmed Day Zero")))</f>
        <v>670</v>
      </c>
      <c r="N49" cm="1">
        <f t="array" aca="1" ref="N49" ca="1">IF(INDIRECT(ADDRESS($B49+1,N$38,1,1,"Confirmed Day Zero"))=0,#N/A,INDIRECT(ADDRESS($B49+1,N$38,1,1,"Confirmed Day Zero")))</f>
        <v>799</v>
      </c>
      <c r="O49" cm="1">
        <f t="array" aca="1" ref="O49" ca="1">IF(INDIRECT(ADDRESS($B49+1,O$38,1,1,"Confirmed Day Zero"))=0,#N/A,INDIRECT(ADDRESS($B49+1,O$38,1,1,"Confirmed Day Zero")))</f>
        <v>1040</v>
      </c>
      <c r="P49" cm="1">
        <f t="array" aca="1" ref="P49" ca="1">IF(INDIRECT(ADDRESS($B49+1,P$38,1,1,"Confirmed Day Zero"))=0,#N/A,INDIRECT(ADDRESS($B49+1,P$38,1,1,"Confirmed Day Zero")))</f>
        <v>1176</v>
      </c>
      <c r="Q49" cm="1">
        <f t="array" aca="1" ref="Q49" ca="1">IF(INDIRECT(ADDRESS($B49+1,Q$38,1,1,"Confirmed Day Zero"))=0,#N/A,INDIRECT(ADDRESS($B49+1,Q$38,1,1,"Confirmed Day Zero")))</f>
        <v>1457</v>
      </c>
      <c r="R49" cm="1">
        <f t="array" aca="1" ref="R49" ca="1">IF(INDIRECT(ADDRESS($B49+1,R$38,1,1,"Confirmed Day Zero"))=0,#N/A,INDIRECT(ADDRESS($B49+1,R$38,1,1,"Confirmed Day Zero")))</f>
        <v>1908</v>
      </c>
      <c r="S49" cm="1">
        <f t="array" aca="1" ref="S49" ca="1">IF(INDIRECT(ADDRESS($B49+1,S$38,1,1,"Confirmed Day Zero"))=0,#N/A,INDIRECT(ADDRESS($B49+1,S$38,1,1,"Confirmed Day Zero")))</f>
        <v>2078</v>
      </c>
      <c r="T49" cm="1">
        <f t="array" aca="1" ref="T49" ca="1">IF(INDIRECT(ADDRESS($B49+1,T$38,1,1,"Confirmed Day Zero"))=0,#N/A,INDIRECT(ADDRESS($B49+1,T$38,1,1,"Confirmed Day Zero")))</f>
        <v>3675</v>
      </c>
      <c r="U49" cm="1">
        <f t="array" aca="1" ref="U49" ca="1">IF(INDIRECT(ADDRESS($B49+1,U$38,1,1,"Confirmed Day Zero"))=0,#N/A,INDIRECT(ADDRESS($B49+1,U$38,1,1,"Confirmed Day Zero")))</f>
        <v>4585</v>
      </c>
      <c r="V49" cm="1">
        <f t="array" aca="1" ref="V49" ca="1">IF(INDIRECT(ADDRESS($B49+1,V$38,1,1,"Confirmed Day Zero"))=0,#N/A,INDIRECT(ADDRESS($B49+1,V$38,1,1,"Confirmed Day Zero")))</f>
        <v>5795</v>
      </c>
      <c r="W49" cm="1">
        <f t="array" aca="1" ref="W49" ca="1">IF(INDIRECT(ADDRESS($B49+1,W$38,1,1,"Confirmed Day Zero"))=0,#N/A,INDIRECT(ADDRESS($B49+1,W$38,1,1,"Confirmed Day Zero")))</f>
        <v>7272</v>
      </c>
      <c r="X49" cm="1">
        <f t="array" aca="1" ref="X49" ca="1">IF(INDIRECT(ADDRESS($B49+1,X$38,1,1,"Confirmed Day Zero"))=0,#N/A,INDIRECT(ADDRESS($B49+1,X$38,1,1,"Confirmed Day Zero")))</f>
        <v>9257</v>
      </c>
      <c r="Y49" cm="1">
        <f t="array" aca="1" ref="Y49" ca="1">IF(INDIRECT(ADDRESS($B49+1,Y$38,1,1,"Confirmed Day Zero"))=0,#N/A,INDIRECT(ADDRESS($B49+1,Y$38,1,1,"Confirmed Day Zero")))</f>
        <v>12327</v>
      </c>
      <c r="Z49" cm="1">
        <f t="array" aca="1" ref="Z49" ca="1">IF(INDIRECT(ADDRESS($B49+1,Z$38,1,1,"Confirmed Day Zero"))=0,#N/A,INDIRECT(ADDRESS($B49+1,Z$38,1,1,"Confirmed Day Zero")))</f>
        <v>15320</v>
      </c>
      <c r="AA49" cm="1">
        <f t="array" aca="1" ref="AA49" ca="1">IF(INDIRECT(ADDRESS($B49+1,AA$38,1,1,"Confirmed Day Zero"))=0,#N/A,INDIRECT(ADDRESS($B49+1,AA$38,1,1,"Confirmed Day Zero")))</f>
        <v>19848</v>
      </c>
      <c r="AB49" cm="1">
        <f t="array" aca="1" ref="AB49" ca="1">IF(INDIRECT(ADDRESS($B49+1,AB$38,1,1,"Confirmed Day Zero"))=0,#N/A,INDIRECT(ADDRESS($B49+1,AB$38,1,1,"Confirmed Day Zero")))</f>
        <v>22213</v>
      </c>
      <c r="AC49" cm="1">
        <f t="array" aca="1" ref="AC49" ca="1">IF(INDIRECT(ADDRESS($B49+1,AC$38,1,1,"Confirmed Day Zero"))=0,#N/A,INDIRECT(ADDRESS($B49+1,AC$38,1,1,"Confirmed Day Zero")))</f>
        <v>24873</v>
      </c>
      <c r="AD49" cm="1">
        <f t="array" aca="1" ref="AD49" ca="1">IF(INDIRECT(ADDRESS($B49+1,AD$38,1,1,"Confirmed Day Zero"))=0,#N/A,INDIRECT(ADDRESS($B49+1,AD$38,1,1,"Confirmed Day Zero")))</f>
        <v>29056</v>
      </c>
      <c r="AE49" cm="1">
        <f t="array" aca="1" ref="AE49" ca="1">IF(INDIRECT(ADDRESS($B49+1,AE$38,1,1,"Confirmed Day Zero"))=0,#N/A,INDIRECT(ADDRESS($B49+1,AE$38,1,1,"Confirmed Day Zero")))</f>
        <v>32986</v>
      </c>
      <c r="AF49" cm="1">
        <f t="array" aca="1" ref="AF49" ca="1">IF(INDIRECT(ADDRESS($B49+1,AF$38,1,1,"Confirmed Day Zero"))=0,#N/A,INDIRECT(ADDRESS($B49+1,AF$38,1,1,"Confirmed Day Zero")))</f>
        <v>37323</v>
      </c>
      <c r="AG49" cm="1">
        <f t="array" aca="1" ref="AG49" ca="1">IF(INDIRECT(ADDRESS($B49+1,AG$38,1,1,"Confirmed Day Zero"))=0,#N/A,INDIRECT(ADDRESS($B49+1,AG$38,1,1,"Confirmed Day Zero")))</f>
        <v>43938</v>
      </c>
      <c r="AH49" cm="1">
        <f t="array" aca="1" ref="AH49" ca="1">IF(INDIRECT(ADDRESS($B49+1,AH$38,1,1,"Confirmed Day Zero"))=0,#N/A,INDIRECT(ADDRESS($B49+1,AH$38,1,1,"Confirmed Day Zero")))</f>
        <v>50871</v>
      </c>
      <c r="AI49" cm="1">
        <f t="array" aca="1" ref="AI49" ca="1">IF(INDIRECT(ADDRESS($B49+1,AI$38,1,1,"Confirmed Day Zero"))=0,#N/A,INDIRECT(ADDRESS($B49+1,AI$38,1,1,"Confirmed Day Zero")))</f>
        <v>57695</v>
      </c>
      <c r="AJ49" cm="1">
        <f t="array" aca="1" ref="AJ49" ca="1">IF(INDIRECT(ADDRESS($B49+1,AJ$38,1,1,"Confirmed Day Zero"))=0,#N/A,INDIRECT(ADDRESS($B49+1,AJ$38,1,1,"Confirmed Day Zero")))</f>
        <v>62095</v>
      </c>
      <c r="AK49" cm="1">
        <f t="array" aca="1" ref="AK49" ca="1">IF(INDIRECT(ADDRESS($B49+1,AK$38,1,1,"Confirmed Day Zero"))=0,#N/A,INDIRECT(ADDRESS($B49+1,AK$38,1,1,"Confirmed Day Zero")))</f>
        <v>66885</v>
      </c>
      <c r="AL49" cm="1">
        <f t="array" aca="1" ref="AL49" ca="1">IF(INDIRECT(ADDRESS($B49+1,AL$38,1,1,"Confirmed Day Zero"))=0,#N/A,INDIRECT(ADDRESS($B49+1,AL$38,1,1,"Confirmed Day Zero")))</f>
        <v>71808</v>
      </c>
      <c r="AM49" cm="1">
        <f t="array" aca="1" ref="AM49" ca="1">IF(INDIRECT(ADDRESS($B49+1,AM$38,1,1,"Confirmed Day Zero"))=0,#N/A,INDIRECT(ADDRESS($B49+1,AM$38,1,1,"Confirmed Day Zero")))</f>
        <v>77872</v>
      </c>
      <c r="AN49" cm="1">
        <f t="array" aca="1" ref="AN49" ca="1">IF(INDIRECT(ADDRESS($B49+1,AN$38,1,1,"Confirmed Day Zero"))=0,#N/A,INDIRECT(ADDRESS($B49+1,AN$38,1,1,"Confirmed Day Zero")))</f>
        <v>84794</v>
      </c>
      <c r="AO49" cm="1">
        <f t="array" aca="1" ref="AO49" ca="1">IF(INDIRECT(ADDRESS($B49+1,AO$38,1,1,"Confirmed Day Zero"))=0,#N/A,INDIRECT(ADDRESS($B49+1,AO$38,1,1,"Confirmed Day Zero")))</f>
        <v>91159</v>
      </c>
      <c r="AP49" cm="1">
        <f t="array" aca="1" ref="AP49" ca="1">IF(INDIRECT(ADDRESS($B49+1,AP$38,1,1,"Confirmed Day Zero"))=0,#N/A,INDIRECT(ADDRESS($B49+1,AP$38,1,1,"Confirmed Day Zero")))</f>
        <v>96092</v>
      </c>
      <c r="AQ49" cm="1">
        <f t="array" aca="1" ref="AQ49" ca="1">IF(INDIRECT(ADDRESS($B49+1,AQ$38,1,1,"Confirmed Day Zero"))=0,#N/A,INDIRECT(ADDRESS($B49+1,AQ$38,1,1,"Confirmed Day Zero")))</f>
        <v>100123</v>
      </c>
      <c r="AR49" cm="1">
        <f t="array" aca="1" ref="AR49" ca="1">IF(INDIRECT(ADDRESS($B49+1,AR$38,1,1,"Confirmed Day Zero"))=0,#N/A,INDIRECT(ADDRESS($B49+1,AR$38,1,1,"Confirmed Day Zero")))</f>
        <v>103374</v>
      </c>
      <c r="AS49" cm="1">
        <f t="array" aca="1" ref="AS49" ca="1">IF(INDIRECT(ADDRESS($B49+1,AS$38,1,1,"Confirmed Day Zero"))=0,#N/A,INDIRECT(ADDRESS($B49+1,AS$38,1,1,"Confirmed Day Zero")))</f>
        <v>107663</v>
      </c>
      <c r="AT49" cm="1">
        <f t="array" aca="1" ref="AT49" ca="1">IF(INDIRECT(ADDRESS($B49+1,AT$38,1,1,"Confirmed Day Zero"))=0,#N/A,INDIRECT(ADDRESS($B49+1,AT$38,1,1,"Confirmed Day Zero")))</f>
        <v>113296</v>
      </c>
      <c r="AU49" cm="1">
        <f t="array" aca="1" ref="AU49" ca="1">IF(INDIRECT(ADDRESS($B49+1,AU$38,1,1,"Confirmed Day Zero"))=0,#N/A,INDIRECT(ADDRESS($B49+1,AU$38,1,1,"Confirmed Day Zero")))</f>
        <v>118181</v>
      </c>
      <c r="AV49" cm="1">
        <f t="array" aca="1" ref="AV49" ca="1">IF(INDIRECT(ADDRESS($B49+1,AV$38,1,1,"Confirmed Day Zero"))=0,#N/A,INDIRECT(ADDRESS($B49+1,AV$38,1,1,"Confirmed Day Zero")))</f>
        <v>122171</v>
      </c>
      <c r="AW49" cm="1">
        <f t="array" aca="1" ref="AW49" ca="1">IF(INDIRECT(ADDRESS($B49+1,AW$38,1,1,"Confirmed Day Zero"))=0,#N/A,INDIRECT(ADDRESS($B49+1,AW$38,1,1,"Confirmed Day Zero")))</f>
        <v>124908</v>
      </c>
      <c r="AX49" cm="1">
        <f t="array" aca="1" ref="AX49" ca="1">IF(INDIRECT(ADDRESS($B49+1,AX$38,1,1,"Confirmed Day Zero"))=0,#N/A,INDIRECT(ADDRESS($B49+1,AX$38,1,1,"Confirmed Day Zero")))</f>
        <v>127854</v>
      </c>
      <c r="AY49" cm="1">
        <f t="array" aca="1" ref="AY49" ca="1">IF(INDIRECT(ADDRESS($B49+1,AY$38,1,1,"Confirmed Day Zero"))=0,#N/A,INDIRECT(ADDRESS($B49+1,AY$38,1,1,"Confirmed Day Zero")))</f>
        <v>130072</v>
      </c>
      <c r="AZ49" cm="1">
        <f t="array" aca="1" ref="AZ49" ca="1">IF(INDIRECT(ADDRESS($B49+1,AZ$38,1,1,"Confirmed Day Zero"))=0,#N/A,INDIRECT(ADDRESS($B49+1,AZ$38,1,1,"Confirmed Day Zero")))</f>
        <v>131359</v>
      </c>
      <c r="BA49" cm="1">
        <f t="array" aca="1" ref="BA49" ca="1">IF(INDIRECT(ADDRESS($B49+1,BA$38,1,1,"Confirmed Day Zero"))=0,#N/A,INDIRECT(ADDRESS($B49+1,BA$38,1,1,"Confirmed Day Zero")))</f>
        <v>134753</v>
      </c>
      <c r="BB49" cm="1">
        <f t="array" aca="1" ref="BB49" ca="1">IF(INDIRECT(ADDRESS($B49+1,BB$38,1,1,"Confirmed Day Zero"))=0,#N/A,INDIRECT(ADDRESS($B49+1,BB$38,1,1,"Confirmed Day Zero")))</f>
        <v>137698</v>
      </c>
      <c r="BC49" cm="1">
        <f t="array" aca="1" ref="BC49" ca="1">IF(INDIRECT(ADDRESS($B49+1,BC$38,1,1,"Confirmed Day Zero"))=0,#N/A,INDIRECT(ADDRESS($B49+1,BC$38,1,1,"Confirmed Day Zero")))</f>
        <v>141397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1:96" x14ac:dyDescent="0.25">
      <c r="A50" t="e">
        <f t="shared" ca="1" si="53"/>
        <v>#VALUE!</v>
      </c>
      <c r="B50" s="12">
        <f t="shared" si="52"/>
        <v>8</v>
      </c>
      <c r="C50" t="str" cm="1">
        <f t="array" aca="1" ref="C50" ca="1">INDIRECT(ADDRESS($B50+1,1,1,1,"Confirmed Day Zero"))</f>
        <v>India</v>
      </c>
      <c r="D50" s="1" cm="1">
        <f t="array" aca="1" ref="D50" ca="1">IF(INDIRECT(ADDRESS($B50+1,D$38,1,1,"Confirmed Day Zero"))=0,#N/A,INDIRECT(ADDRESS($B50+1,D$38,1,1,"Confirmed Day Zero")))</f>
        <v>1380004385</v>
      </c>
      <c r="E50" cm="1">
        <f t="array" aca="1" ref="E50" ca="1">IF(INDIRECT(ADDRESS($B50+1,E$38,1,1,"Confirmed Day Zero"))=0,#N/A,INDIRECT(ADDRESS($B50+1,E$38,1,1,"Confirmed Day Zero")))</f>
        <v>30</v>
      </c>
      <c r="F50" cm="1">
        <f t="array" aca="1" ref="F50" ca="1">IF(INDIRECT(ADDRESS($B50+1,F$38,1,1,"Confirmed Day Zero"))=0,#N/A,INDIRECT(ADDRESS($B50+1,F$38,1,1,"Confirmed Day Zero")))</f>
        <v>31</v>
      </c>
      <c r="G50" cm="1">
        <f t="array" aca="1" ref="G50" ca="1">IF(INDIRECT(ADDRESS($B50+1,G$38,1,1,"Confirmed Day Zero"))=0,#N/A,INDIRECT(ADDRESS($B50+1,G$38,1,1,"Confirmed Day Zero")))</f>
        <v>34</v>
      </c>
      <c r="H50" cm="1">
        <f t="array" aca="1" ref="H50" ca="1">IF(INDIRECT(ADDRESS($B50+1,H$38,1,1,"Confirmed Day Zero"))=0,#N/A,INDIRECT(ADDRESS($B50+1,H$38,1,1,"Confirmed Day Zero")))</f>
        <v>39</v>
      </c>
      <c r="I50" cm="1">
        <f t="array" aca="1" ref="I50" ca="1">IF(INDIRECT(ADDRESS($B50+1,I$38,1,1,"Confirmed Day Zero"))=0,#N/A,INDIRECT(ADDRESS($B50+1,I$38,1,1,"Confirmed Day Zero")))</f>
        <v>43</v>
      </c>
      <c r="J50" cm="1">
        <f t="array" aca="1" ref="J50" ca="1">IF(INDIRECT(ADDRESS($B50+1,J$38,1,1,"Confirmed Day Zero"))=0,#N/A,INDIRECT(ADDRESS($B50+1,J$38,1,1,"Confirmed Day Zero")))</f>
        <v>56</v>
      </c>
      <c r="K50" cm="1">
        <f t="array" aca="1" ref="K50" ca="1">IF(INDIRECT(ADDRESS($B50+1,K$38,1,1,"Confirmed Day Zero"))=0,#N/A,INDIRECT(ADDRESS($B50+1,K$38,1,1,"Confirmed Day Zero")))</f>
        <v>62</v>
      </c>
      <c r="L50" cm="1">
        <f t="array" aca="1" ref="L50" ca="1">IF(INDIRECT(ADDRESS($B50+1,L$38,1,1,"Confirmed Day Zero"))=0,#N/A,INDIRECT(ADDRESS($B50+1,L$38,1,1,"Confirmed Day Zero")))</f>
        <v>73</v>
      </c>
      <c r="M50" cm="1">
        <f t="array" aca="1" ref="M50" ca="1">IF(INDIRECT(ADDRESS($B50+1,M$38,1,1,"Confirmed Day Zero"))=0,#N/A,INDIRECT(ADDRESS($B50+1,M$38,1,1,"Confirmed Day Zero")))</f>
        <v>82</v>
      </c>
      <c r="N50" cm="1">
        <f t="array" aca="1" ref="N50" ca="1">IF(INDIRECT(ADDRESS($B50+1,N$38,1,1,"Confirmed Day Zero"))=0,#N/A,INDIRECT(ADDRESS($B50+1,N$38,1,1,"Confirmed Day Zero")))</f>
        <v>102</v>
      </c>
      <c r="O50" cm="1">
        <f t="array" aca="1" ref="O50" ca="1">IF(INDIRECT(ADDRESS($B50+1,O$38,1,1,"Confirmed Day Zero"))=0,#N/A,INDIRECT(ADDRESS($B50+1,O$38,1,1,"Confirmed Day Zero")))</f>
        <v>113</v>
      </c>
      <c r="P50" cm="1">
        <f t="array" aca="1" ref="P50" ca="1">IF(INDIRECT(ADDRESS($B50+1,P$38,1,1,"Confirmed Day Zero"))=0,#N/A,INDIRECT(ADDRESS($B50+1,P$38,1,1,"Confirmed Day Zero")))</f>
        <v>119</v>
      </c>
      <c r="Q50" cm="1">
        <f t="array" aca="1" ref="Q50" ca="1">IF(INDIRECT(ADDRESS($B50+1,Q$38,1,1,"Confirmed Day Zero"))=0,#N/A,INDIRECT(ADDRESS($B50+1,Q$38,1,1,"Confirmed Day Zero")))</f>
        <v>142</v>
      </c>
      <c r="R50" cm="1">
        <f t="array" aca="1" ref="R50" ca="1">IF(INDIRECT(ADDRESS($B50+1,R$38,1,1,"Confirmed Day Zero"))=0,#N/A,INDIRECT(ADDRESS($B50+1,R$38,1,1,"Confirmed Day Zero")))</f>
        <v>156</v>
      </c>
      <c r="S50" cm="1">
        <f t="array" aca="1" ref="S50" ca="1">IF(INDIRECT(ADDRESS($B50+1,S$38,1,1,"Confirmed Day Zero"))=0,#N/A,INDIRECT(ADDRESS($B50+1,S$38,1,1,"Confirmed Day Zero")))</f>
        <v>194</v>
      </c>
      <c r="T50" cm="1">
        <f t="array" aca="1" ref="T50" ca="1">IF(INDIRECT(ADDRESS($B50+1,T$38,1,1,"Confirmed Day Zero"))=0,#N/A,INDIRECT(ADDRESS($B50+1,T$38,1,1,"Confirmed Day Zero")))</f>
        <v>244</v>
      </c>
      <c r="U50" cm="1">
        <f t="array" aca="1" ref="U50" ca="1">IF(INDIRECT(ADDRESS($B50+1,U$38,1,1,"Confirmed Day Zero"))=0,#N/A,INDIRECT(ADDRESS($B50+1,U$38,1,1,"Confirmed Day Zero")))</f>
        <v>330</v>
      </c>
      <c r="V50" cm="1">
        <f t="array" aca="1" ref="V50" ca="1">IF(INDIRECT(ADDRESS($B50+1,V$38,1,1,"Confirmed Day Zero"))=0,#N/A,INDIRECT(ADDRESS($B50+1,V$38,1,1,"Confirmed Day Zero")))</f>
        <v>396</v>
      </c>
      <c r="W50" cm="1">
        <f t="array" aca="1" ref="W50" ca="1">IF(INDIRECT(ADDRESS($B50+1,W$38,1,1,"Confirmed Day Zero"))=0,#N/A,INDIRECT(ADDRESS($B50+1,W$38,1,1,"Confirmed Day Zero")))</f>
        <v>499</v>
      </c>
      <c r="X50" cm="1">
        <f t="array" aca="1" ref="X50" ca="1">IF(INDIRECT(ADDRESS($B50+1,X$38,1,1,"Confirmed Day Zero"))=0,#N/A,INDIRECT(ADDRESS($B50+1,X$38,1,1,"Confirmed Day Zero")))</f>
        <v>536</v>
      </c>
      <c r="Y50" cm="1">
        <f t="array" aca="1" ref="Y50" ca="1">IF(INDIRECT(ADDRESS($B50+1,Y$38,1,1,"Confirmed Day Zero"))=0,#N/A,INDIRECT(ADDRESS($B50+1,Y$38,1,1,"Confirmed Day Zero")))</f>
        <v>657</v>
      </c>
      <c r="Z50" cm="1">
        <f t="array" aca="1" ref="Z50" ca="1">IF(INDIRECT(ADDRESS($B50+1,Z$38,1,1,"Confirmed Day Zero"))=0,#N/A,INDIRECT(ADDRESS($B50+1,Z$38,1,1,"Confirmed Day Zero")))</f>
        <v>727</v>
      </c>
      <c r="AA50" cm="1">
        <f t="array" aca="1" ref="AA50" ca="1">IF(INDIRECT(ADDRESS($B50+1,AA$38,1,1,"Confirmed Day Zero"))=0,#N/A,INDIRECT(ADDRESS($B50+1,AA$38,1,1,"Confirmed Day Zero")))</f>
        <v>887</v>
      </c>
      <c r="AB50" cm="1">
        <f t="array" aca="1" ref="AB50" ca="1">IF(INDIRECT(ADDRESS($B50+1,AB$38,1,1,"Confirmed Day Zero"))=0,#N/A,INDIRECT(ADDRESS($B50+1,AB$38,1,1,"Confirmed Day Zero")))</f>
        <v>987</v>
      </c>
      <c r="AC50" cm="1">
        <f t="array" aca="1" ref="AC50" ca="1">IF(INDIRECT(ADDRESS($B50+1,AC$38,1,1,"Confirmed Day Zero"))=0,#N/A,INDIRECT(ADDRESS($B50+1,AC$38,1,1,"Confirmed Day Zero")))</f>
        <v>1024</v>
      </c>
      <c r="AD50" cm="1">
        <f t="array" aca="1" ref="AD50" ca="1">IF(INDIRECT(ADDRESS($B50+1,AD$38,1,1,"Confirmed Day Zero"))=0,#N/A,INDIRECT(ADDRESS($B50+1,AD$38,1,1,"Confirmed Day Zero")))</f>
        <v>1251</v>
      </c>
      <c r="AE50" cm="1">
        <f t="array" aca="1" ref="AE50" ca="1">IF(INDIRECT(ADDRESS($B50+1,AE$38,1,1,"Confirmed Day Zero"))=0,#N/A,INDIRECT(ADDRESS($B50+1,AE$38,1,1,"Confirmed Day Zero")))</f>
        <v>1397</v>
      </c>
      <c r="AF50" cm="1">
        <f t="array" aca="1" ref="AF50" ca="1">IF(INDIRECT(ADDRESS($B50+1,AF$38,1,1,"Confirmed Day Zero"))=0,#N/A,INDIRECT(ADDRESS($B50+1,AF$38,1,1,"Confirmed Day Zero")))</f>
        <v>1998</v>
      </c>
      <c r="AG50" cm="1">
        <f t="array" aca="1" ref="AG50" ca="1">IF(INDIRECT(ADDRESS($B50+1,AG$38,1,1,"Confirmed Day Zero"))=0,#N/A,INDIRECT(ADDRESS($B50+1,AG$38,1,1,"Confirmed Day Zero")))</f>
        <v>2543</v>
      </c>
      <c r="AH50" cm="1">
        <f t="array" aca="1" ref="AH50" ca="1">IF(INDIRECT(ADDRESS($B50+1,AH$38,1,1,"Confirmed Day Zero"))=0,#N/A,INDIRECT(ADDRESS($B50+1,AH$38,1,1,"Confirmed Day Zero")))</f>
        <v>2567</v>
      </c>
      <c r="AI50" cm="1">
        <f t="array" aca="1" ref="AI50" ca="1">IF(INDIRECT(ADDRESS($B50+1,AI$38,1,1,"Confirmed Day Zero"))=0,#N/A,INDIRECT(ADDRESS($B50+1,AI$38,1,1,"Confirmed Day Zero")))</f>
        <v>3082</v>
      </c>
      <c r="AJ50" cm="1">
        <f t="array" aca="1" ref="AJ50" ca="1">IF(INDIRECT(ADDRESS($B50+1,AJ$38,1,1,"Confirmed Day Zero"))=0,#N/A,INDIRECT(ADDRESS($B50+1,AJ$38,1,1,"Confirmed Day Zero")))</f>
        <v>3588</v>
      </c>
      <c r="AK50" cm="1">
        <f t="array" aca="1" ref="AK50" ca="1">IF(INDIRECT(ADDRESS($B50+1,AK$38,1,1,"Confirmed Day Zero"))=0,#N/A,INDIRECT(ADDRESS($B50+1,AK$38,1,1,"Confirmed Day Zero")))</f>
        <v>4778</v>
      </c>
      <c r="AL50" cm="1">
        <f t="array" aca="1" ref="AL50" ca="1">IF(INDIRECT(ADDRESS($B50+1,AL$38,1,1,"Confirmed Day Zero"))=0,#N/A,INDIRECT(ADDRESS($B50+1,AL$38,1,1,"Confirmed Day Zero")))</f>
        <v>5311</v>
      </c>
      <c r="AM50" cm="1">
        <f t="array" aca="1" ref="AM50" ca="1">IF(INDIRECT(ADDRESS($B50+1,AM$38,1,1,"Confirmed Day Zero"))=0,#N/A,INDIRECT(ADDRESS($B50+1,AM$38,1,1,"Confirmed Day Zero")))</f>
        <v>5916</v>
      </c>
      <c r="AN50" cm="1">
        <f t="array" aca="1" ref="AN50" ca="1">IF(INDIRECT(ADDRESS($B50+1,AN$38,1,1,"Confirmed Day Zero"))=0,#N/A,INDIRECT(ADDRESS($B50+1,AN$38,1,1,"Confirmed Day Zero")))</f>
        <v>6725</v>
      </c>
      <c r="AO50" cm="1">
        <f t="array" aca="1" ref="AO50" ca="1">IF(INDIRECT(ADDRESS($B50+1,AO$38,1,1,"Confirmed Day Zero"))=0,#N/A,INDIRECT(ADDRESS($B50+1,AO$38,1,1,"Confirmed Day Zero")))</f>
        <v>7598</v>
      </c>
      <c r="AP50" cm="1">
        <f t="array" aca="1" ref="AP50" ca="1">IF(INDIRECT(ADDRESS($B50+1,AP$38,1,1,"Confirmed Day Zero"))=0,#N/A,INDIRECT(ADDRESS($B50+1,AP$38,1,1,"Confirmed Day Zero")))</f>
        <v>8446</v>
      </c>
      <c r="AQ50" cm="1">
        <f t="array" aca="1" ref="AQ50" ca="1">IF(INDIRECT(ADDRESS($B50+1,AQ$38,1,1,"Confirmed Day Zero"))=0,#N/A,INDIRECT(ADDRESS($B50+1,AQ$38,1,1,"Confirmed Day Zero")))</f>
        <v>9205</v>
      </c>
      <c r="AR50" cm="1">
        <f t="array" aca="1" ref="AR50" ca="1">IF(INDIRECT(ADDRESS($B50+1,AR$38,1,1,"Confirmed Day Zero"))=0,#N/A,INDIRECT(ADDRESS($B50+1,AR$38,1,1,"Confirmed Day Zero")))</f>
        <v>10453</v>
      </c>
      <c r="AS50" cm="1">
        <f t="array" aca="1" ref="AS50" ca="1">IF(INDIRECT(ADDRESS($B50+1,AS$38,1,1,"Confirmed Day Zero"))=0,#N/A,INDIRECT(ADDRESS($B50+1,AS$38,1,1,"Confirmed Day Zero")))</f>
        <v>11487</v>
      </c>
      <c r="AT50" cm="1">
        <f t="array" aca="1" ref="AT50" ca="1">IF(INDIRECT(ADDRESS($B50+1,AT$38,1,1,"Confirmed Day Zero"))=0,#N/A,INDIRECT(ADDRESS($B50+1,AT$38,1,1,"Confirmed Day Zero")))</f>
        <v>12322</v>
      </c>
      <c r="AU50" cm="1">
        <f t="array" aca="1" ref="AU50" ca="1">IF(INDIRECT(ADDRESS($B50+1,AU$38,1,1,"Confirmed Day Zero"))=0,#N/A,INDIRECT(ADDRESS($B50+1,AU$38,1,1,"Confirmed Day Zero")))</f>
        <v>13430</v>
      </c>
      <c r="AV50" cm="1">
        <f t="array" aca="1" ref="AV50" ca="1">IF(INDIRECT(ADDRESS($B50+1,AV$38,1,1,"Confirmed Day Zero"))=0,#N/A,INDIRECT(ADDRESS($B50+1,AV$38,1,1,"Confirmed Day Zero")))</f>
        <v>14352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1:96" x14ac:dyDescent="0.25">
      <c r="A51" t="e">
        <f t="shared" ca="1" si="53"/>
        <v>#VALUE!</v>
      </c>
      <c r="B51" s="12">
        <f t="shared" si="52"/>
        <v>9</v>
      </c>
      <c r="C51" t="str" cm="1">
        <f t="array" aca="1" ref="C51" ca="1">INDIRECT(ADDRESS($B51+1,1,1,1,"Confirmed Day Zero"))</f>
        <v>Iran</v>
      </c>
      <c r="D51" s="1" cm="1">
        <f t="array" aca="1" ref="D51" ca="1">IF(INDIRECT(ADDRESS($B51+1,D$38,1,1,"Confirmed Day Zero"))=0,#N/A,INDIRECT(ADDRESS($B51+1,D$38,1,1,"Confirmed Day Zero")))</f>
        <v>83992949</v>
      </c>
      <c r="E51" cm="1">
        <f t="array" aca="1" ref="E51" ca="1">IF(INDIRECT(ADDRESS($B51+1,E$38,1,1,"Confirmed Day Zero"))=0,#N/A,INDIRECT(ADDRESS($B51+1,E$38,1,1,"Confirmed Day Zero")))</f>
        <v>43</v>
      </c>
      <c r="F51" cm="1">
        <f t="array" aca="1" ref="F51" ca="1">IF(INDIRECT(ADDRESS($B51+1,F$38,1,1,"Confirmed Day Zero"))=0,#N/A,INDIRECT(ADDRESS($B51+1,F$38,1,1,"Confirmed Day Zero")))</f>
        <v>61</v>
      </c>
      <c r="G51" cm="1">
        <f t="array" aca="1" ref="G51" ca="1">IF(INDIRECT(ADDRESS($B51+1,G$38,1,1,"Confirmed Day Zero"))=0,#N/A,INDIRECT(ADDRESS($B51+1,G$38,1,1,"Confirmed Day Zero")))</f>
        <v>95</v>
      </c>
      <c r="H51" cm="1">
        <f t="array" aca="1" ref="H51" ca="1">IF(INDIRECT(ADDRESS($B51+1,H$38,1,1,"Confirmed Day Zero"))=0,#N/A,INDIRECT(ADDRESS($B51+1,H$38,1,1,"Confirmed Day Zero")))</f>
        <v>139</v>
      </c>
      <c r="I51" cm="1">
        <f t="array" aca="1" ref="I51" ca="1">IF(INDIRECT(ADDRESS($B51+1,I$38,1,1,"Confirmed Day Zero"))=0,#N/A,INDIRECT(ADDRESS($B51+1,I$38,1,1,"Confirmed Day Zero")))</f>
        <v>245</v>
      </c>
      <c r="J51" cm="1">
        <f t="array" aca="1" ref="J51" ca="1">IF(INDIRECT(ADDRESS($B51+1,J$38,1,1,"Confirmed Day Zero"))=0,#N/A,INDIRECT(ADDRESS($B51+1,J$38,1,1,"Confirmed Day Zero")))</f>
        <v>388</v>
      </c>
      <c r="K51" cm="1">
        <f t="array" aca="1" ref="K51" ca="1">IF(INDIRECT(ADDRESS($B51+1,K$38,1,1,"Confirmed Day Zero"))=0,#N/A,INDIRECT(ADDRESS($B51+1,K$38,1,1,"Confirmed Day Zero")))</f>
        <v>593</v>
      </c>
      <c r="L51" cm="1">
        <f t="array" aca="1" ref="L51" ca="1">IF(INDIRECT(ADDRESS($B51+1,L$38,1,1,"Confirmed Day Zero"))=0,#N/A,INDIRECT(ADDRESS($B51+1,L$38,1,1,"Confirmed Day Zero")))</f>
        <v>978</v>
      </c>
      <c r="M51" cm="1">
        <f t="array" aca="1" ref="M51" ca="1">IF(INDIRECT(ADDRESS($B51+1,M$38,1,1,"Confirmed Day Zero"))=0,#N/A,INDIRECT(ADDRESS($B51+1,M$38,1,1,"Confirmed Day Zero")))</f>
        <v>1501</v>
      </c>
      <c r="N51" cm="1">
        <f t="array" aca="1" ref="N51" ca="1">IF(INDIRECT(ADDRESS($B51+1,N$38,1,1,"Confirmed Day Zero"))=0,#N/A,INDIRECT(ADDRESS($B51+1,N$38,1,1,"Confirmed Day Zero")))</f>
        <v>2336</v>
      </c>
      <c r="O51" cm="1">
        <f t="array" aca="1" ref="O51" ca="1">IF(INDIRECT(ADDRESS($B51+1,O$38,1,1,"Confirmed Day Zero"))=0,#N/A,INDIRECT(ADDRESS($B51+1,O$38,1,1,"Confirmed Day Zero")))</f>
        <v>2922</v>
      </c>
      <c r="P51" cm="1">
        <f t="array" aca="1" ref="P51" ca="1">IF(INDIRECT(ADDRESS($B51+1,P$38,1,1,"Confirmed Day Zero"))=0,#N/A,INDIRECT(ADDRESS($B51+1,P$38,1,1,"Confirmed Day Zero")))</f>
        <v>3513</v>
      </c>
      <c r="Q51" cm="1">
        <f t="array" aca="1" ref="Q51" ca="1">IF(INDIRECT(ADDRESS($B51+1,Q$38,1,1,"Confirmed Day Zero"))=0,#N/A,INDIRECT(ADDRESS($B51+1,Q$38,1,1,"Confirmed Day Zero")))</f>
        <v>4747</v>
      </c>
      <c r="R51" cm="1">
        <f t="array" aca="1" ref="R51" ca="1">IF(INDIRECT(ADDRESS($B51+1,R$38,1,1,"Confirmed Day Zero"))=0,#N/A,INDIRECT(ADDRESS($B51+1,R$38,1,1,"Confirmed Day Zero")))</f>
        <v>5823</v>
      </c>
      <c r="S51" cm="1">
        <f t="array" aca="1" ref="S51" ca="1">IF(INDIRECT(ADDRESS($B51+1,S$38,1,1,"Confirmed Day Zero"))=0,#N/A,INDIRECT(ADDRESS($B51+1,S$38,1,1,"Confirmed Day Zero")))</f>
        <v>6566</v>
      </c>
      <c r="T51" cm="1">
        <f t="array" aca="1" ref="T51" ca="1">IF(INDIRECT(ADDRESS($B51+1,T$38,1,1,"Confirmed Day Zero"))=0,#N/A,INDIRECT(ADDRESS($B51+1,T$38,1,1,"Confirmed Day Zero")))</f>
        <v>7161</v>
      </c>
      <c r="U51" cm="1">
        <f t="array" aca="1" ref="U51" ca="1">IF(INDIRECT(ADDRESS($B51+1,U$38,1,1,"Confirmed Day Zero"))=0,#N/A,INDIRECT(ADDRESS($B51+1,U$38,1,1,"Confirmed Day Zero")))</f>
        <v>8042</v>
      </c>
      <c r="V51" cm="1">
        <f t="array" aca="1" ref="V51" ca="1">IF(INDIRECT(ADDRESS($B51+1,V$38,1,1,"Confirmed Day Zero"))=0,#N/A,INDIRECT(ADDRESS($B51+1,V$38,1,1,"Confirmed Day Zero")))</f>
        <v>9000</v>
      </c>
      <c r="W51" cm="1">
        <f t="array" aca="1" ref="W51" ca="1">IF(INDIRECT(ADDRESS($B51+1,W$38,1,1,"Confirmed Day Zero"))=0,#N/A,INDIRECT(ADDRESS($B51+1,W$38,1,1,"Confirmed Day Zero")))</f>
        <v>10075</v>
      </c>
      <c r="X51" cm="1">
        <f t="array" aca="1" ref="X51" ca="1">IF(INDIRECT(ADDRESS($B51+1,X$38,1,1,"Confirmed Day Zero"))=0,#N/A,INDIRECT(ADDRESS($B51+1,X$38,1,1,"Confirmed Day Zero")))</f>
        <v>11364</v>
      </c>
      <c r="Y51" cm="1">
        <f t="array" aca="1" ref="Y51" ca="1">IF(INDIRECT(ADDRESS($B51+1,Y$38,1,1,"Confirmed Day Zero"))=0,#N/A,INDIRECT(ADDRESS($B51+1,Y$38,1,1,"Confirmed Day Zero")))</f>
        <v>12729</v>
      </c>
      <c r="Z51" cm="1">
        <f t="array" aca="1" ref="Z51" ca="1">IF(INDIRECT(ADDRESS($B51+1,Z$38,1,1,"Confirmed Day Zero"))=0,#N/A,INDIRECT(ADDRESS($B51+1,Z$38,1,1,"Confirmed Day Zero")))</f>
        <v>13938</v>
      </c>
      <c r="AA51" cm="1">
        <f t="array" aca="1" ref="AA51" ca="1">IF(INDIRECT(ADDRESS($B51+1,AA$38,1,1,"Confirmed Day Zero"))=0,#N/A,INDIRECT(ADDRESS($B51+1,AA$38,1,1,"Confirmed Day Zero")))</f>
        <v>14991</v>
      </c>
      <c r="AB51" cm="1">
        <f t="array" aca="1" ref="AB51" ca="1">IF(INDIRECT(ADDRESS($B51+1,AB$38,1,1,"Confirmed Day Zero"))=0,#N/A,INDIRECT(ADDRESS($B51+1,AB$38,1,1,"Confirmed Day Zero")))</f>
        <v>16169</v>
      </c>
      <c r="AC51" cm="1">
        <f t="array" aca="1" ref="AC51" ca="1">IF(INDIRECT(ADDRESS($B51+1,AC$38,1,1,"Confirmed Day Zero"))=0,#N/A,INDIRECT(ADDRESS($B51+1,AC$38,1,1,"Confirmed Day Zero")))</f>
        <v>17361</v>
      </c>
      <c r="AD51" cm="1">
        <f t="array" aca="1" ref="AD51" ca="1">IF(INDIRECT(ADDRESS($B51+1,AD$38,1,1,"Confirmed Day Zero"))=0,#N/A,INDIRECT(ADDRESS($B51+1,AD$38,1,1,"Confirmed Day Zero")))</f>
        <v>18407</v>
      </c>
      <c r="AE51" cm="1">
        <f t="array" aca="1" ref="AE51" ca="1">IF(INDIRECT(ADDRESS($B51+1,AE$38,1,1,"Confirmed Day Zero"))=0,#N/A,INDIRECT(ADDRESS($B51+1,AE$38,1,1,"Confirmed Day Zero")))</f>
        <v>19644</v>
      </c>
      <c r="AF51" cm="1">
        <f t="array" aca="1" ref="AF51" ca="1">IF(INDIRECT(ADDRESS($B51+1,AF$38,1,1,"Confirmed Day Zero"))=0,#N/A,INDIRECT(ADDRESS($B51+1,AF$38,1,1,"Confirmed Day Zero")))</f>
        <v>20610</v>
      </c>
      <c r="AG51" cm="1">
        <f t="array" aca="1" ref="AG51" ca="1">IF(INDIRECT(ADDRESS($B51+1,AG$38,1,1,"Confirmed Day Zero"))=0,#N/A,INDIRECT(ADDRESS($B51+1,AG$38,1,1,"Confirmed Day Zero")))</f>
        <v>21638</v>
      </c>
      <c r="AH51" cm="1">
        <f t="array" aca="1" ref="AH51" ca="1">IF(INDIRECT(ADDRESS($B51+1,AH$38,1,1,"Confirmed Day Zero"))=0,#N/A,INDIRECT(ADDRESS($B51+1,AH$38,1,1,"Confirmed Day Zero")))</f>
        <v>23049</v>
      </c>
      <c r="AI51" cm="1">
        <f t="array" aca="1" ref="AI51" ca="1">IF(INDIRECT(ADDRESS($B51+1,AI$38,1,1,"Confirmed Day Zero"))=0,#N/A,INDIRECT(ADDRESS($B51+1,AI$38,1,1,"Confirmed Day Zero")))</f>
        <v>24811</v>
      </c>
      <c r="AJ51" cm="1">
        <f t="array" aca="1" ref="AJ51" ca="1">IF(INDIRECT(ADDRESS($B51+1,AJ$38,1,1,"Confirmed Day Zero"))=0,#N/A,INDIRECT(ADDRESS($B51+1,AJ$38,1,1,"Confirmed Day Zero")))</f>
        <v>27017</v>
      </c>
      <c r="AK51" cm="1">
        <f t="array" aca="1" ref="AK51" ca="1">IF(INDIRECT(ADDRESS($B51+1,AK$38,1,1,"Confirmed Day Zero"))=0,#N/A,INDIRECT(ADDRESS($B51+1,AK$38,1,1,"Confirmed Day Zero")))</f>
        <v>29406</v>
      </c>
      <c r="AL51" cm="1">
        <f t="array" aca="1" ref="AL51" ca="1">IF(INDIRECT(ADDRESS($B51+1,AL$38,1,1,"Confirmed Day Zero"))=0,#N/A,INDIRECT(ADDRESS($B51+1,AL$38,1,1,"Confirmed Day Zero")))</f>
        <v>32332</v>
      </c>
      <c r="AM51" cm="1">
        <f t="array" aca="1" ref="AM51" ca="1">IF(INDIRECT(ADDRESS($B51+1,AM$38,1,1,"Confirmed Day Zero"))=0,#N/A,INDIRECT(ADDRESS($B51+1,AM$38,1,1,"Confirmed Day Zero")))</f>
        <v>35408</v>
      </c>
      <c r="AN51" cm="1">
        <f t="array" aca="1" ref="AN51" ca="1">IF(INDIRECT(ADDRESS($B51+1,AN$38,1,1,"Confirmed Day Zero"))=0,#N/A,INDIRECT(ADDRESS($B51+1,AN$38,1,1,"Confirmed Day Zero")))</f>
        <v>38309</v>
      </c>
      <c r="AO51" cm="1">
        <f t="array" aca="1" ref="AO51" ca="1">IF(INDIRECT(ADDRESS($B51+1,AO$38,1,1,"Confirmed Day Zero"))=0,#N/A,INDIRECT(ADDRESS($B51+1,AO$38,1,1,"Confirmed Day Zero")))</f>
        <v>41495</v>
      </c>
      <c r="AP51" cm="1">
        <f t="array" aca="1" ref="AP51" ca="1">IF(INDIRECT(ADDRESS($B51+1,AP$38,1,1,"Confirmed Day Zero"))=0,#N/A,INDIRECT(ADDRESS($B51+1,AP$38,1,1,"Confirmed Day Zero")))</f>
        <v>44605</v>
      </c>
      <c r="AQ51" cm="1">
        <f t="array" aca="1" ref="AQ51" ca="1">IF(INDIRECT(ADDRESS($B51+1,AQ$38,1,1,"Confirmed Day Zero"))=0,#N/A,INDIRECT(ADDRESS($B51+1,AQ$38,1,1,"Confirmed Day Zero")))</f>
        <v>47593</v>
      </c>
      <c r="AR51" cm="1">
        <f t="array" aca="1" ref="AR51" ca="1">IF(INDIRECT(ADDRESS($B51+1,AR$38,1,1,"Confirmed Day Zero"))=0,#N/A,INDIRECT(ADDRESS($B51+1,AR$38,1,1,"Confirmed Day Zero")))</f>
        <v>50468</v>
      </c>
      <c r="AS51" cm="1">
        <f t="array" aca="1" ref="AS51" ca="1">IF(INDIRECT(ADDRESS($B51+1,AS$38,1,1,"Confirmed Day Zero"))=0,#N/A,INDIRECT(ADDRESS($B51+1,AS$38,1,1,"Confirmed Day Zero")))</f>
        <v>53183</v>
      </c>
      <c r="AT51" cm="1">
        <f t="array" aca="1" ref="AT51" ca="1">IF(INDIRECT(ADDRESS($B51+1,AT$38,1,1,"Confirmed Day Zero"))=0,#N/A,INDIRECT(ADDRESS($B51+1,AT$38,1,1,"Confirmed Day Zero")))</f>
        <v>55743</v>
      </c>
      <c r="AU51" cm="1">
        <f t="array" aca="1" ref="AU51" ca="1">IF(INDIRECT(ADDRESS($B51+1,AU$38,1,1,"Confirmed Day Zero"))=0,#N/A,INDIRECT(ADDRESS($B51+1,AU$38,1,1,"Confirmed Day Zero")))</f>
        <v>58226</v>
      </c>
      <c r="AV51" cm="1">
        <f t="array" aca="1" ref="AV51" ca="1">IF(INDIRECT(ADDRESS($B51+1,AV$38,1,1,"Confirmed Day Zero"))=0,#N/A,INDIRECT(ADDRESS($B51+1,AV$38,1,1,"Confirmed Day Zero")))</f>
        <v>60500</v>
      </c>
      <c r="AW51" cm="1">
        <f t="array" aca="1" ref="AW51" ca="1">IF(INDIRECT(ADDRESS($B51+1,AW$38,1,1,"Confirmed Day Zero"))=0,#N/A,INDIRECT(ADDRESS($B51+1,AW$38,1,1,"Confirmed Day Zero")))</f>
        <v>62589</v>
      </c>
      <c r="AX51" cm="1">
        <f t="array" aca="1" ref="AX51" ca="1">IF(INDIRECT(ADDRESS($B51+1,AX$38,1,1,"Confirmed Day Zero"))=0,#N/A,INDIRECT(ADDRESS($B51+1,AX$38,1,1,"Confirmed Day Zero")))</f>
        <v>64586</v>
      </c>
      <c r="AY51" cm="1">
        <f t="array" aca="1" ref="AY51" ca="1">IF(INDIRECT(ADDRESS($B51+1,AY$38,1,1,"Confirmed Day Zero"))=0,#N/A,INDIRECT(ADDRESS($B51+1,AY$38,1,1,"Confirmed Day Zero")))</f>
        <v>66220</v>
      </c>
      <c r="AZ51" cm="1">
        <f t="array" aca="1" ref="AZ51" ca="1">IF(INDIRECT(ADDRESS($B51+1,AZ$38,1,1,"Confirmed Day Zero"))=0,#N/A,INDIRECT(ADDRESS($B51+1,AZ$38,1,1,"Confirmed Day Zero")))</f>
        <v>68192</v>
      </c>
      <c r="BA51" cm="1">
        <f t="array" aca="1" ref="BA51" ca="1">IF(INDIRECT(ADDRESS($B51+1,BA$38,1,1,"Confirmed Day Zero"))=0,#N/A,INDIRECT(ADDRESS($B51+1,BA$38,1,1,"Confirmed Day Zero")))</f>
        <v>70029</v>
      </c>
      <c r="BB51" cm="1">
        <f t="array" aca="1" ref="BB51" ca="1">IF(INDIRECT(ADDRESS($B51+1,BB$38,1,1,"Confirmed Day Zero"))=0,#N/A,INDIRECT(ADDRESS($B51+1,BB$38,1,1,"Confirmed Day Zero")))</f>
        <v>71686</v>
      </c>
      <c r="BC51" cm="1">
        <f t="array" aca="1" ref="BC51" ca="1">IF(INDIRECT(ADDRESS($B51+1,BC$38,1,1,"Confirmed Day Zero"))=0,#N/A,INDIRECT(ADDRESS($B51+1,BC$38,1,1,"Confirmed Day Zero")))</f>
        <v>73303</v>
      </c>
      <c r="BD51" cm="1">
        <f t="array" aca="1" ref="BD51" ca="1">IF(INDIRECT(ADDRESS($B51+1,BD$38,1,1,"Confirmed Day Zero"))=0,#N/A,INDIRECT(ADDRESS($B51+1,BD$38,1,1,"Confirmed Day Zero")))</f>
        <v>74877</v>
      </c>
      <c r="BE51" cm="1">
        <f t="array" aca="1" ref="BE51" ca="1">IF(INDIRECT(ADDRESS($B51+1,BE$38,1,1,"Confirmed Day Zero"))=0,#N/A,INDIRECT(ADDRESS($B51+1,BE$38,1,1,"Confirmed Day Zero")))</f>
        <v>76389</v>
      </c>
      <c r="BF51" cm="1">
        <f t="array" aca="1" ref="BF51" ca="1">IF(INDIRECT(ADDRESS($B51+1,BF$38,1,1,"Confirmed Day Zero"))=0,#N/A,INDIRECT(ADDRESS($B51+1,BF$38,1,1,"Confirmed Day Zero")))</f>
        <v>77995</v>
      </c>
      <c r="BG51" cm="1">
        <f t="array" aca="1" ref="BG51" ca="1">IF(INDIRECT(ADDRESS($B51+1,BG$38,1,1,"Confirmed Day Zero"))=0,#N/A,INDIRECT(ADDRESS($B51+1,BG$38,1,1,"Confirmed Day Zero")))</f>
        <v>79494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1:96" x14ac:dyDescent="0.25">
      <c r="A52" t="e">
        <f t="shared" ca="1" si="53"/>
        <v>#VALUE!</v>
      </c>
      <c r="B52" s="12">
        <f t="shared" si="52"/>
        <v>10</v>
      </c>
      <c r="C52" t="str" cm="1">
        <f t="array" aca="1" ref="C52" ca="1">INDIRECT(ADDRESS($B52+1,1,1,1,"Confirmed Day Zero"))</f>
        <v>Italy</v>
      </c>
      <c r="D52" s="1" cm="1">
        <f t="array" aca="1" ref="D52" ca="1">IF(INDIRECT(ADDRESS($B52+1,D$38,1,1,"Confirmed Day Zero"))=0,#N/A,INDIRECT(ADDRESS($B52+1,D$38,1,1,"Confirmed Day Zero")))</f>
        <v>60461826</v>
      </c>
      <c r="E52" cm="1">
        <f t="array" aca="1" ref="E52" ca="1">IF(INDIRECT(ADDRESS($B52+1,E$38,1,1,"Confirmed Day Zero"))=0,#N/A,INDIRECT(ADDRESS($B52+1,E$38,1,1,"Confirmed Day Zero")))</f>
        <v>62</v>
      </c>
      <c r="F52" cm="1">
        <f t="array" aca="1" ref="F52" ca="1">IF(INDIRECT(ADDRESS($B52+1,F$38,1,1,"Confirmed Day Zero"))=0,#N/A,INDIRECT(ADDRESS($B52+1,F$38,1,1,"Confirmed Day Zero")))</f>
        <v>155</v>
      </c>
      <c r="G52" cm="1">
        <f t="array" aca="1" ref="G52" ca="1">IF(INDIRECT(ADDRESS($B52+1,G$38,1,1,"Confirmed Day Zero"))=0,#N/A,INDIRECT(ADDRESS($B52+1,G$38,1,1,"Confirmed Day Zero")))</f>
        <v>229</v>
      </c>
      <c r="H52" cm="1">
        <f t="array" aca="1" ref="H52" ca="1">IF(INDIRECT(ADDRESS($B52+1,H$38,1,1,"Confirmed Day Zero"))=0,#N/A,INDIRECT(ADDRESS($B52+1,H$38,1,1,"Confirmed Day Zero")))</f>
        <v>322</v>
      </c>
      <c r="I52" cm="1">
        <f t="array" aca="1" ref="I52" ca="1">IF(INDIRECT(ADDRESS($B52+1,I$38,1,1,"Confirmed Day Zero"))=0,#N/A,INDIRECT(ADDRESS($B52+1,I$38,1,1,"Confirmed Day Zero")))</f>
        <v>453</v>
      </c>
      <c r="J52" cm="1">
        <f t="array" aca="1" ref="J52" ca="1">IF(INDIRECT(ADDRESS($B52+1,J$38,1,1,"Confirmed Day Zero"))=0,#N/A,INDIRECT(ADDRESS($B52+1,J$38,1,1,"Confirmed Day Zero")))</f>
        <v>655</v>
      </c>
      <c r="K52" cm="1">
        <f t="array" aca="1" ref="K52" ca="1">IF(INDIRECT(ADDRESS($B52+1,K$38,1,1,"Confirmed Day Zero"))=0,#N/A,INDIRECT(ADDRESS($B52+1,K$38,1,1,"Confirmed Day Zero")))</f>
        <v>888</v>
      </c>
      <c r="L52" cm="1">
        <f t="array" aca="1" ref="L52" ca="1">IF(INDIRECT(ADDRESS($B52+1,L$38,1,1,"Confirmed Day Zero"))=0,#N/A,INDIRECT(ADDRESS($B52+1,L$38,1,1,"Confirmed Day Zero")))</f>
        <v>1128</v>
      </c>
      <c r="M52" cm="1">
        <f t="array" aca="1" ref="M52" ca="1">IF(INDIRECT(ADDRESS($B52+1,M$38,1,1,"Confirmed Day Zero"))=0,#N/A,INDIRECT(ADDRESS($B52+1,M$38,1,1,"Confirmed Day Zero")))</f>
        <v>1694</v>
      </c>
      <c r="N52" cm="1">
        <f t="array" aca="1" ref="N52" ca="1">IF(INDIRECT(ADDRESS($B52+1,N$38,1,1,"Confirmed Day Zero"))=0,#N/A,INDIRECT(ADDRESS($B52+1,N$38,1,1,"Confirmed Day Zero")))</f>
        <v>2036</v>
      </c>
      <c r="O52" cm="1">
        <f t="array" aca="1" ref="O52" ca="1">IF(INDIRECT(ADDRESS($B52+1,O$38,1,1,"Confirmed Day Zero"))=0,#N/A,INDIRECT(ADDRESS($B52+1,O$38,1,1,"Confirmed Day Zero")))</f>
        <v>2502</v>
      </c>
      <c r="P52" cm="1">
        <f t="array" aca="1" ref="P52" ca="1">IF(INDIRECT(ADDRESS($B52+1,P$38,1,1,"Confirmed Day Zero"))=0,#N/A,INDIRECT(ADDRESS($B52+1,P$38,1,1,"Confirmed Day Zero")))</f>
        <v>3089</v>
      </c>
      <c r="Q52" cm="1">
        <f t="array" aca="1" ref="Q52" ca="1">IF(INDIRECT(ADDRESS($B52+1,Q$38,1,1,"Confirmed Day Zero"))=0,#N/A,INDIRECT(ADDRESS($B52+1,Q$38,1,1,"Confirmed Day Zero")))</f>
        <v>3858</v>
      </c>
      <c r="R52" cm="1">
        <f t="array" aca="1" ref="R52" ca="1">IF(INDIRECT(ADDRESS($B52+1,R$38,1,1,"Confirmed Day Zero"))=0,#N/A,INDIRECT(ADDRESS($B52+1,R$38,1,1,"Confirmed Day Zero")))</f>
        <v>4636</v>
      </c>
      <c r="S52" cm="1">
        <f t="array" aca="1" ref="S52" ca="1">IF(INDIRECT(ADDRESS($B52+1,S$38,1,1,"Confirmed Day Zero"))=0,#N/A,INDIRECT(ADDRESS($B52+1,S$38,1,1,"Confirmed Day Zero")))</f>
        <v>5883</v>
      </c>
      <c r="T52" cm="1">
        <f t="array" aca="1" ref="T52" ca="1">IF(INDIRECT(ADDRESS($B52+1,T$38,1,1,"Confirmed Day Zero"))=0,#N/A,INDIRECT(ADDRESS($B52+1,T$38,1,1,"Confirmed Day Zero")))</f>
        <v>7375</v>
      </c>
      <c r="U52" cm="1">
        <f t="array" aca="1" ref="U52" ca="1">IF(INDIRECT(ADDRESS($B52+1,U$38,1,1,"Confirmed Day Zero"))=0,#N/A,INDIRECT(ADDRESS($B52+1,U$38,1,1,"Confirmed Day Zero")))</f>
        <v>9172</v>
      </c>
      <c r="V52" cm="1">
        <f t="array" aca="1" ref="V52" ca="1">IF(INDIRECT(ADDRESS($B52+1,V$38,1,1,"Confirmed Day Zero"))=0,#N/A,INDIRECT(ADDRESS($B52+1,V$38,1,1,"Confirmed Day Zero")))</f>
        <v>10149</v>
      </c>
      <c r="W52" cm="1">
        <f t="array" aca="1" ref="W52" ca="1">IF(INDIRECT(ADDRESS($B52+1,W$38,1,1,"Confirmed Day Zero"))=0,#N/A,INDIRECT(ADDRESS($B52+1,W$38,1,1,"Confirmed Day Zero")))</f>
        <v>12462</v>
      </c>
      <c r="X52" cm="1">
        <f t="array" aca="1" ref="X52" ca="1">IF(INDIRECT(ADDRESS($B52+1,X$38,1,1,"Confirmed Day Zero"))=0,#N/A,INDIRECT(ADDRESS($B52+1,X$38,1,1,"Confirmed Day Zero")))</f>
        <v>15061</v>
      </c>
      <c r="Y52" cm="1">
        <f t="array" aca="1" ref="Y52" ca="1">IF(INDIRECT(ADDRESS($B52+1,Y$38,1,1,"Confirmed Day Zero"))=0,#N/A,INDIRECT(ADDRESS($B52+1,Y$38,1,1,"Confirmed Day Zero")))</f>
        <v>17660</v>
      </c>
      <c r="Z52" cm="1">
        <f t="array" aca="1" ref="Z52" ca="1">IF(INDIRECT(ADDRESS($B52+1,Z$38,1,1,"Confirmed Day Zero"))=0,#N/A,INDIRECT(ADDRESS($B52+1,Z$38,1,1,"Confirmed Day Zero")))</f>
        <v>21157</v>
      </c>
      <c r="AA52" cm="1">
        <f t="array" aca="1" ref="AA52" ca="1">IF(INDIRECT(ADDRESS($B52+1,AA$38,1,1,"Confirmed Day Zero"))=0,#N/A,INDIRECT(ADDRESS($B52+1,AA$38,1,1,"Confirmed Day Zero")))</f>
        <v>24747</v>
      </c>
      <c r="AB52" cm="1">
        <f t="array" aca="1" ref="AB52" ca="1">IF(INDIRECT(ADDRESS($B52+1,AB$38,1,1,"Confirmed Day Zero"))=0,#N/A,INDIRECT(ADDRESS($B52+1,AB$38,1,1,"Confirmed Day Zero")))</f>
        <v>27980</v>
      </c>
      <c r="AC52" cm="1">
        <f t="array" aca="1" ref="AC52" ca="1">IF(INDIRECT(ADDRESS($B52+1,AC$38,1,1,"Confirmed Day Zero"))=0,#N/A,INDIRECT(ADDRESS($B52+1,AC$38,1,1,"Confirmed Day Zero")))</f>
        <v>31506</v>
      </c>
      <c r="AD52" cm="1">
        <f t="array" aca="1" ref="AD52" ca="1">IF(INDIRECT(ADDRESS($B52+1,AD$38,1,1,"Confirmed Day Zero"))=0,#N/A,INDIRECT(ADDRESS($B52+1,AD$38,1,1,"Confirmed Day Zero")))</f>
        <v>35713</v>
      </c>
      <c r="AE52" cm="1">
        <f t="array" aca="1" ref="AE52" ca="1">IF(INDIRECT(ADDRESS($B52+1,AE$38,1,1,"Confirmed Day Zero"))=0,#N/A,INDIRECT(ADDRESS($B52+1,AE$38,1,1,"Confirmed Day Zero")))</f>
        <v>41035</v>
      </c>
      <c r="AF52" cm="1">
        <f t="array" aca="1" ref="AF52" ca="1">IF(INDIRECT(ADDRESS($B52+1,AF$38,1,1,"Confirmed Day Zero"))=0,#N/A,INDIRECT(ADDRESS($B52+1,AF$38,1,1,"Confirmed Day Zero")))</f>
        <v>47021</v>
      </c>
      <c r="AG52" cm="1">
        <f t="array" aca="1" ref="AG52" ca="1">IF(INDIRECT(ADDRESS($B52+1,AG$38,1,1,"Confirmed Day Zero"))=0,#N/A,INDIRECT(ADDRESS($B52+1,AG$38,1,1,"Confirmed Day Zero")))</f>
        <v>53578</v>
      </c>
      <c r="AH52" cm="1">
        <f t="array" aca="1" ref="AH52" ca="1">IF(INDIRECT(ADDRESS($B52+1,AH$38,1,1,"Confirmed Day Zero"))=0,#N/A,INDIRECT(ADDRESS($B52+1,AH$38,1,1,"Confirmed Day Zero")))</f>
        <v>59138</v>
      </c>
      <c r="AI52" cm="1">
        <f t="array" aca="1" ref="AI52" ca="1">IF(INDIRECT(ADDRESS($B52+1,AI$38,1,1,"Confirmed Day Zero"))=0,#N/A,INDIRECT(ADDRESS($B52+1,AI$38,1,1,"Confirmed Day Zero")))</f>
        <v>63927</v>
      </c>
      <c r="AJ52" cm="1">
        <f t="array" aca="1" ref="AJ52" ca="1">IF(INDIRECT(ADDRESS($B52+1,AJ$38,1,1,"Confirmed Day Zero"))=0,#N/A,INDIRECT(ADDRESS($B52+1,AJ$38,1,1,"Confirmed Day Zero")))</f>
        <v>69176</v>
      </c>
      <c r="AK52" cm="1">
        <f t="array" aca="1" ref="AK52" ca="1">IF(INDIRECT(ADDRESS($B52+1,AK$38,1,1,"Confirmed Day Zero"))=0,#N/A,INDIRECT(ADDRESS($B52+1,AK$38,1,1,"Confirmed Day Zero")))</f>
        <v>74386</v>
      </c>
      <c r="AL52" cm="1">
        <f t="array" aca="1" ref="AL52" ca="1">IF(INDIRECT(ADDRESS($B52+1,AL$38,1,1,"Confirmed Day Zero"))=0,#N/A,INDIRECT(ADDRESS($B52+1,AL$38,1,1,"Confirmed Day Zero")))</f>
        <v>80589</v>
      </c>
      <c r="AM52" cm="1">
        <f t="array" aca="1" ref="AM52" ca="1">IF(INDIRECT(ADDRESS($B52+1,AM$38,1,1,"Confirmed Day Zero"))=0,#N/A,INDIRECT(ADDRESS($B52+1,AM$38,1,1,"Confirmed Day Zero")))</f>
        <v>86498</v>
      </c>
      <c r="AN52" cm="1">
        <f t="array" aca="1" ref="AN52" ca="1">IF(INDIRECT(ADDRESS($B52+1,AN$38,1,1,"Confirmed Day Zero"))=0,#N/A,INDIRECT(ADDRESS($B52+1,AN$38,1,1,"Confirmed Day Zero")))</f>
        <v>92472</v>
      </c>
      <c r="AO52" cm="1">
        <f t="array" aca="1" ref="AO52" ca="1">IF(INDIRECT(ADDRESS($B52+1,AO$38,1,1,"Confirmed Day Zero"))=0,#N/A,INDIRECT(ADDRESS($B52+1,AO$38,1,1,"Confirmed Day Zero")))</f>
        <v>97689</v>
      </c>
      <c r="AP52" cm="1">
        <f t="array" aca="1" ref="AP52" ca="1">IF(INDIRECT(ADDRESS($B52+1,AP$38,1,1,"Confirmed Day Zero"))=0,#N/A,INDIRECT(ADDRESS($B52+1,AP$38,1,1,"Confirmed Day Zero")))</f>
        <v>101739</v>
      </c>
      <c r="AQ52" cm="1">
        <f t="array" aca="1" ref="AQ52" ca="1">IF(INDIRECT(ADDRESS($B52+1,AQ$38,1,1,"Confirmed Day Zero"))=0,#N/A,INDIRECT(ADDRESS($B52+1,AQ$38,1,1,"Confirmed Day Zero")))</f>
        <v>105792</v>
      </c>
      <c r="AR52" cm="1">
        <f t="array" aca="1" ref="AR52" ca="1">IF(INDIRECT(ADDRESS($B52+1,AR$38,1,1,"Confirmed Day Zero"))=0,#N/A,INDIRECT(ADDRESS($B52+1,AR$38,1,1,"Confirmed Day Zero")))</f>
        <v>110574</v>
      </c>
      <c r="AS52" cm="1">
        <f t="array" aca="1" ref="AS52" ca="1">IF(INDIRECT(ADDRESS($B52+1,AS$38,1,1,"Confirmed Day Zero"))=0,#N/A,INDIRECT(ADDRESS($B52+1,AS$38,1,1,"Confirmed Day Zero")))</f>
        <v>115242</v>
      </c>
      <c r="AT52" cm="1">
        <f t="array" aca="1" ref="AT52" ca="1">IF(INDIRECT(ADDRESS($B52+1,AT$38,1,1,"Confirmed Day Zero"))=0,#N/A,INDIRECT(ADDRESS($B52+1,AT$38,1,1,"Confirmed Day Zero")))</f>
        <v>119827</v>
      </c>
      <c r="AU52" cm="1">
        <f t="array" aca="1" ref="AU52" ca="1">IF(INDIRECT(ADDRESS($B52+1,AU$38,1,1,"Confirmed Day Zero"))=0,#N/A,INDIRECT(ADDRESS($B52+1,AU$38,1,1,"Confirmed Day Zero")))</f>
        <v>124632</v>
      </c>
      <c r="AV52" cm="1">
        <f t="array" aca="1" ref="AV52" ca="1">IF(INDIRECT(ADDRESS($B52+1,AV$38,1,1,"Confirmed Day Zero"))=0,#N/A,INDIRECT(ADDRESS($B52+1,AV$38,1,1,"Confirmed Day Zero")))</f>
        <v>128948</v>
      </c>
      <c r="AW52" cm="1">
        <f t="array" aca="1" ref="AW52" ca="1">IF(INDIRECT(ADDRESS($B52+1,AW$38,1,1,"Confirmed Day Zero"))=0,#N/A,INDIRECT(ADDRESS($B52+1,AW$38,1,1,"Confirmed Day Zero")))</f>
        <v>132547</v>
      </c>
      <c r="AX52" cm="1">
        <f t="array" aca="1" ref="AX52" ca="1">IF(INDIRECT(ADDRESS($B52+1,AX$38,1,1,"Confirmed Day Zero"))=0,#N/A,INDIRECT(ADDRESS($B52+1,AX$38,1,1,"Confirmed Day Zero")))</f>
        <v>135586</v>
      </c>
      <c r="AY52" cm="1">
        <f t="array" aca="1" ref="AY52" ca="1">IF(INDIRECT(ADDRESS($B52+1,AY$38,1,1,"Confirmed Day Zero"))=0,#N/A,INDIRECT(ADDRESS($B52+1,AY$38,1,1,"Confirmed Day Zero")))</f>
        <v>139422</v>
      </c>
      <c r="AZ52" cm="1">
        <f t="array" aca="1" ref="AZ52" ca="1">IF(INDIRECT(ADDRESS($B52+1,AZ$38,1,1,"Confirmed Day Zero"))=0,#N/A,INDIRECT(ADDRESS($B52+1,AZ$38,1,1,"Confirmed Day Zero")))</f>
        <v>143626</v>
      </c>
      <c r="BA52" cm="1">
        <f t="array" aca="1" ref="BA52" ca="1">IF(INDIRECT(ADDRESS($B52+1,BA$38,1,1,"Confirmed Day Zero"))=0,#N/A,INDIRECT(ADDRESS($B52+1,BA$38,1,1,"Confirmed Day Zero")))</f>
        <v>147577</v>
      </c>
      <c r="BB52" cm="1">
        <f t="array" aca="1" ref="BB52" ca="1">IF(INDIRECT(ADDRESS($B52+1,BB$38,1,1,"Confirmed Day Zero"))=0,#N/A,INDIRECT(ADDRESS($B52+1,BB$38,1,1,"Confirmed Day Zero")))</f>
        <v>152271</v>
      </c>
      <c r="BC52" cm="1">
        <f t="array" aca="1" ref="BC52" ca="1">IF(INDIRECT(ADDRESS($B52+1,BC$38,1,1,"Confirmed Day Zero"))=0,#N/A,INDIRECT(ADDRESS($B52+1,BC$38,1,1,"Confirmed Day Zero")))</f>
        <v>156363</v>
      </c>
      <c r="BD52" cm="1">
        <f t="array" aca="1" ref="BD52" ca="1">IF(INDIRECT(ADDRESS($B52+1,BD$38,1,1,"Confirmed Day Zero"))=0,#N/A,INDIRECT(ADDRESS($B52+1,BD$38,1,1,"Confirmed Day Zero")))</f>
        <v>159516</v>
      </c>
      <c r="BE52" cm="1">
        <f t="array" aca="1" ref="BE52" ca="1">IF(INDIRECT(ADDRESS($B52+1,BE$38,1,1,"Confirmed Day Zero"))=0,#N/A,INDIRECT(ADDRESS($B52+1,BE$38,1,1,"Confirmed Day Zero")))</f>
        <v>162488</v>
      </c>
      <c r="BF52" cm="1">
        <f t="array" aca="1" ref="BF52" ca="1">IF(INDIRECT(ADDRESS($B52+1,BF$38,1,1,"Confirmed Day Zero"))=0,#N/A,INDIRECT(ADDRESS($B52+1,BF$38,1,1,"Confirmed Day Zero")))</f>
        <v>165155</v>
      </c>
      <c r="BG52" cm="1">
        <f t="array" aca="1" ref="BG52" ca="1">IF(INDIRECT(ADDRESS($B52+1,BG$38,1,1,"Confirmed Day Zero"))=0,#N/A,INDIRECT(ADDRESS($B52+1,BG$38,1,1,"Confirmed Day Zero")))</f>
        <v>168941</v>
      </c>
      <c r="BH52" cm="1">
        <f t="array" aca="1" ref="BH52" ca="1">IF(INDIRECT(ADDRESS($B52+1,BH$38,1,1,"Confirmed Day Zero"))=0,#N/A,INDIRECT(ADDRESS($B52+1,BH$38,1,1,"Confirmed Day Zero")))</f>
        <v>172434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1:96" x14ac:dyDescent="0.25">
      <c r="A53" t="e">
        <f t="shared" ca="1" si="53"/>
        <v>#VALUE!</v>
      </c>
      <c r="B53" s="12">
        <f t="shared" si="52"/>
        <v>11</v>
      </c>
      <c r="C53" t="str" cm="1">
        <f t="array" aca="1" ref="C53" ca="1">INDIRECT(ADDRESS($B53+1,1,1,1,"Confirmed Day Zero"))</f>
        <v>Japan</v>
      </c>
      <c r="D53" s="1" cm="1">
        <f t="array" aca="1" ref="D53" ca="1">IF(INDIRECT(ADDRESS($B53+1,D$38,1,1,"Confirmed Day Zero"))=0,#N/A,INDIRECT(ADDRESS($B53+1,D$38,1,1,"Confirmed Day Zero")))</f>
        <v>126476461</v>
      </c>
      <c r="E53" cm="1">
        <f t="array" aca="1" ref="E53" ca="1">IF(INDIRECT(ADDRESS($B53+1,E$38,1,1,"Confirmed Day Zero"))=0,#N/A,INDIRECT(ADDRESS($B53+1,E$38,1,1,"Confirmed Day Zero")))</f>
        <v>43</v>
      </c>
      <c r="F53" cm="1">
        <f t="array" aca="1" ref="F53" ca="1">IF(INDIRECT(ADDRESS($B53+1,F$38,1,1,"Confirmed Day Zero"))=0,#N/A,INDIRECT(ADDRESS($B53+1,F$38,1,1,"Confirmed Day Zero")))</f>
        <v>59</v>
      </c>
      <c r="G53" cm="1">
        <f t="array" aca="1" ref="G53" ca="1">IF(INDIRECT(ADDRESS($B53+1,G$38,1,1,"Confirmed Day Zero"))=0,#N/A,INDIRECT(ADDRESS($B53+1,G$38,1,1,"Confirmed Day Zero")))</f>
        <v>66</v>
      </c>
      <c r="H53" cm="1">
        <f t="array" aca="1" ref="H53" ca="1">IF(INDIRECT(ADDRESS($B53+1,H$38,1,1,"Confirmed Day Zero"))=0,#N/A,INDIRECT(ADDRESS($B53+1,H$38,1,1,"Confirmed Day Zero")))</f>
        <v>74</v>
      </c>
      <c r="I53" cm="1">
        <f t="array" aca="1" ref="I53" ca="1">IF(INDIRECT(ADDRESS($B53+1,I$38,1,1,"Confirmed Day Zero"))=0,#N/A,INDIRECT(ADDRESS($B53+1,I$38,1,1,"Confirmed Day Zero")))</f>
        <v>84</v>
      </c>
      <c r="J53" cm="1">
        <f t="array" aca="1" ref="J53" ca="1">IF(INDIRECT(ADDRESS($B53+1,J$38,1,1,"Confirmed Day Zero"))=0,#N/A,INDIRECT(ADDRESS($B53+1,J$38,1,1,"Confirmed Day Zero")))</f>
        <v>94</v>
      </c>
      <c r="K53" cm="1">
        <f t="array" aca="1" ref="K53" ca="1">IF(INDIRECT(ADDRESS($B53+1,K$38,1,1,"Confirmed Day Zero"))=0,#N/A,INDIRECT(ADDRESS($B53+1,K$38,1,1,"Confirmed Day Zero")))</f>
        <v>105</v>
      </c>
      <c r="L53" cm="1">
        <f t="array" aca="1" ref="L53" ca="1">IF(INDIRECT(ADDRESS($B53+1,L$38,1,1,"Confirmed Day Zero"))=0,#N/A,INDIRECT(ADDRESS($B53+1,L$38,1,1,"Confirmed Day Zero")))</f>
        <v>122</v>
      </c>
      <c r="M53" cm="1">
        <f t="array" aca="1" ref="M53" ca="1">IF(INDIRECT(ADDRESS($B53+1,M$38,1,1,"Confirmed Day Zero"))=0,#N/A,INDIRECT(ADDRESS($B53+1,M$38,1,1,"Confirmed Day Zero")))</f>
        <v>147</v>
      </c>
      <c r="N53" cm="1">
        <f t="array" aca="1" ref="N53" ca="1">IF(INDIRECT(ADDRESS($B53+1,N$38,1,1,"Confirmed Day Zero"))=0,#N/A,INDIRECT(ADDRESS($B53+1,N$38,1,1,"Confirmed Day Zero")))</f>
        <v>159</v>
      </c>
      <c r="O53" cm="1">
        <f t="array" aca="1" ref="O53" ca="1">IF(INDIRECT(ADDRESS($B53+1,O$38,1,1,"Confirmed Day Zero"))=0,#N/A,INDIRECT(ADDRESS($B53+1,O$38,1,1,"Confirmed Day Zero")))</f>
        <v>170</v>
      </c>
      <c r="P53" cm="1">
        <f t="array" aca="1" ref="P53" ca="1">IF(INDIRECT(ADDRESS($B53+1,P$38,1,1,"Confirmed Day Zero"))=0,#N/A,INDIRECT(ADDRESS($B53+1,P$38,1,1,"Confirmed Day Zero")))</f>
        <v>189</v>
      </c>
      <c r="Q53" cm="1">
        <f t="array" aca="1" ref="Q53" ca="1">IF(INDIRECT(ADDRESS($B53+1,Q$38,1,1,"Confirmed Day Zero"))=0,#N/A,INDIRECT(ADDRESS($B53+1,Q$38,1,1,"Confirmed Day Zero")))</f>
        <v>214</v>
      </c>
      <c r="R53" cm="1">
        <f t="array" aca="1" ref="R53" ca="1">IF(INDIRECT(ADDRESS($B53+1,R$38,1,1,"Confirmed Day Zero"))=0,#N/A,INDIRECT(ADDRESS($B53+1,R$38,1,1,"Confirmed Day Zero")))</f>
        <v>228</v>
      </c>
      <c r="S53" cm="1">
        <f t="array" aca="1" ref="S53" ca="1">IF(INDIRECT(ADDRESS($B53+1,S$38,1,1,"Confirmed Day Zero"))=0,#N/A,INDIRECT(ADDRESS($B53+1,S$38,1,1,"Confirmed Day Zero")))</f>
        <v>241</v>
      </c>
      <c r="T53" cm="1">
        <f t="array" aca="1" ref="T53" ca="1">IF(INDIRECT(ADDRESS($B53+1,T$38,1,1,"Confirmed Day Zero"))=0,#N/A,INDIRECT(ADDRESS($B53+1,T$38,1,1,"Confirmed Day Zero")))</f>
        <v>256</v>
      </c>
      <c r="U53" cm="1">
        <f t="array" aca="1" ref="U53" ca="1">IF(INDIRECT(ADDRESS($B53+1,U$38,1,1,"Confirmed Day Zero"))=0,#N/A,INDIRECT(ADDRESS($B53+1,U$38,1,1,"Confirmed Day Zero")))</f>
        <v>274</v>
      </c>
      <c r="V53" cm="1">
        <f t="array" aca="1" ref="V53" ca="1">IF(INDIRECT(ADDRESS($B53+1,V$38,1,1,"Confirmed Day Zero"))=0,#N/A,INDIRECT(ADDRESS($B53+1,V$38,1,1,"Confirmed Day Zero")))</f>
        <v>293</v>
      </c>
      <c r="W53" cm="1">
        <f t="array" aca="1" ref="W53" ca="1">IF(INDIRECT(ADDRESS($B53+1,W$38,1,1,"Confirmed Day Zero"))=0,#N/A,INDIRECT(ADDRESS($B53+1,W$38,1,1,"Confirmed Day Zero")))</f>
        <v>331</v>
      </c>
      <c r="X53" cm="1">
        <f t="array" aca="1" ref="X53" ca="1">IF(INDIRECT(ADDRESS($B53+1,X$38,1,1,"Confirmed Day Zero"))=0,#N/A,INDIRECT(ADDRESS($B53+1,X$38,1,1,"Confirmed Day Zero")))</f>
        <v>360</v>
      </c>
      <c r="Y53" cm="1">
        <f t="array" aca="1" ref="Y53" ca="1">IF(INDIRECT(ADDRESS($B53+1,Y$38,1,1,"Confirmed Day Zero"))=0,#N/A,INDIRECT(ADDRESS($B53+1,Y$38,1,1,"Confirmed Day Zero")))</f>
        <v>420</v>
      </c>
      <c r="Z53" cm="1">
        <f t="array" aca="1" ref="Z53" ca="1">IF(INDIRECT(ADDRESS($B53+1,Z$38,1,1,"Confirmed Day Zero"))=0,#N/A,INDIRECT(ADDRESS($B53+1,Z$38,1,1,"Confirmed Day Zero")))</f>
        <v>461</v>
      </c>
      <c r="AA53" cm="1">
        <f t="array" aca="1" ref="AA53" ca="1">IF(INDIRECT(ADDRESS($B53+1,AA$38,1,1,"Confirmed Day Zero"))=0,#N/A,INDIRECT(ADDRESS($B53+1,AA$38,1,1,"Confirmed Day Zero")))</f>
        <v>502</v>
      </c>
      <c r="AB53" cm="1">
        <f t="array" aca="1" ref="AB53" ca="1">IF(INDIRECT(ADDRESS($B53+1,AB$38,1,1,"Confirmed Day Zero"))=0,#N/A,INDIRECT(ADDRESS($B53+1,AB$38,1,1,"Confirmed Day Zero")))</f>
        <v>511</v>
      </c>
      <c r="AC53" cm="1">
        <f t="array" aca="1" ref="AC53" ca="1">IF(INDIRECT(ADDRESS($B53+1,AC$38,1,1,"Confirmed Day Zero"))=0,#N/A,INDIRECT(ADDRESS($B53+1,AC$38,1,1,"Confirmed Day Zero")))</f>
        <v>581</v>
      </c>
      <c r="AD53" cm="1">
        <f t="array" aca="1" ref="AD53" ca="1">IF(INDIRECT(ADDRESS($B53+1,AD$38,1,1,"Confirmed Day Zero"))=0,#N/A,INDIRECT(ADDRESS($B53+1,AD$38,1,1,"Confirmed Day Zero")))</f>
        <v>639</v>
      </c>
      <c r="AE53" cm="1">
        <f t="array" aca="1" ref="AE53" ca="1">IF(INDIRECT(ADDRESS($B53+1,AE$38,1,1,"Confirmed Day Zero"))=0,#N/A,INDIRECT(ADDRESS($B53+1,AE$38,1,1,"Confirmed Day Zero")))</f>
        <v>670</v>
      </c>
      <c r="AF53" cm="1">
        <f t="array" aca="1" ref="AF53" ca="1">IF(INDIRECT(ADDRESS($B53+1,AF$38,1,1,"Confirmed Day Zero"))=0,#N/A,INDIRECT(ADDRESS($B53+1,AF$38,1,1,"Confirmed Day Zero")))</f>
        <v>701</v>
      </c>
      <c r="AG53" cm="1">
        <f t="array" aca="1" ref="AG53" ca="1">IF(INDIRECT(ADDRESS($B53+1,AG$38,1,1,"Confirmed Day Zero"))=0,#N/A,INDIRECT(ADDRESS($B53+1,AG$38,1,1,"Confirmed Day Zero")))</f>
        <v>773</v>
      </c>
      <c r="AH53" cm="1">
        <f t="array" aca="1" ref="AH53" ca="1">IF(INDIRECT(ADDRESS($B53+1,AH$38,1,1,"Confirmed Day Zero"))=0,#N/A,INDIRECT(ADDRESS($B53+1,AH$38,1,1,"Confirmed Day Zero")))</f>
        <v>839</v>
      </c>
      <c r="AI53" cm="1">
        <f t="array" aca="1" ref="AI53" ca="1">IF(INDIRECT(ADDRESS($B53+1,AI$38,1,1,"Confirmed Day Zero"))=0,#N/A,INDIRECT(ADDRESS($B53+1,AI$38,1,1,"Confirmed Day Zero")))</f>
        <v>858.5</v>
      </c>
      <c r="AJ53" cm="1">
        <f t="array" aca="1" ref="AJ53" ca="1">IF(INDIRECT(ADDRESS($B53+1,AJ$38,1,1,"Confirmed Day Zero"))=0,#N/A,INDIRECT(ADDRESS($B53+1,AJ$38,1,1,"Confirmed Day Zero")))</f>
        <v>878</v>
      </c>
      <c r="AK53" cm="1">
        <f t="array" aca="1" ref="AK53" ca="1">IF(INDIRECT(ADDRESS($B53+1,AK$38,1,1,"Confirmed Day Zero"))=0,#N/A,INDIRECT(ADDRESS($B53+1,AK$38,1,1,"Confirmed Day Zero")))</f>
        <v>889</v>
      </c>
      <c r="AL53" cm="1">
        <f t="array" aca="1" ref="AL53" ca="1">IF(INDIRECT(ADDRESS($B53+1,AL$38,1,1,"Confirmed Day Zero"))=0,#N/A,INDIRECT(ADDRESS($B53+1,AL$38,1,1,"Confirmed Day Zero")))</f>
        <v>924</v>
      </c>
      <c r="AM53" cm="1">
        <f t="array" aca="1" ref="AM53" ca="1">IF(INDIRECT(ADDRESS($B53+1,AM$38,1,1,"Confirmed Day Zero"))=0,#N/A,INDIRECT(ADDRESS($B53+1,AM$38,1,1,"Confirmed Day Zero")))</f>
        <v>963</v>
      </c>
      <c r="AN53" cm="1">
        <f t="array" aca="1" ref="AN53" ca="1">IF(INDIRECT(ADDRESS($B53+1,AN$38,1,1,"Confirmed Day Zero"))=0,#N/A,INDIRECT(ADDRESS($B53+1,AN$38,1,1,"Confirmed Day Zero")))</f>
        <v>1007</v>
      </c>
      <c r="AO53" cm="1">
        <f t="array" aca="1" ref="AO53" ca="1">IF(INDIRECT(ADDRESS($B53+1,AO$38,1,1,"Confirmed Day Zero"))=0,#N/A,INDIRECT(ADDRESS($B53+1,AO$38,1,1,"Confirmed Day Zero")))</f>
        <v>1101</v>
      </c>
      <c r="AP53" cm="1">
        <f t="array" aca="1" ref="AP53" ca="1">IF(INDIRECT(ADDRESS($B53+1,AP$38,1,1,"Confirmed Day Zero"))=0,#N/A,INDIRECT(ADDRESS($B53+1,AP$38,1,1,"Confirmed Day Zero")))</f>
        <v>1128</v>
      </c>
      <c r="AQ53" cm="1">
        <f t="array" aca="1" ref="AQ53" ca="1">IF(INDIRECT(ADDRESS($B53+1,AQ$38,1,1,"Confirmed Day Zero"))=0,#N/A,INDIRECT(ADDRESS($B53+1,AQ$38,1,1,"Confirmed Day Zero")))</f>
        <v>1193</v>
      </c>
      <c r="AR53" cm="1">
        <f t="array" aca="1" ref="AR53" ca="1">IF(INDIRECT(ADDRESS($B53+1,AR$38,1,1,"Confirmed Day Zero"))=0,#N/A,INDIRECT(ADDRESS($B53+1,AR$38,1,1,"Confirmed Day Zero")))</f>
        <v>1307</v>
      </c>
      <c r="AS53" cm="1">
        <f t="array" aca="1" ref="AS53" ca="1">IF(INDIRECT(ADDRESS($B53+1,AS$38,1,1,"Confirmed Day Zero"))=0,#N/A,INDIRECT(ADDRESS($B53+1,AS$38,1,1,"Confirmed Day Zero")))</f>
        <v>1387</v>
      </c>
      <c r="AT53" cm="1">
        <f t="array" aca="1" ref="AT53" ca="1">IF(INDIRECT(ADDRESS($B53+1,AT$38,1,1,"Confirmed Day Zero"))=0,#N/A,INDIRECT(ADDRESS($B53+1,AT$38,1,1,"Confirmed Day Zero")))</f>
        <v>1468</v>
      </c>
      <c r="AU53" cm="1">
        <f t="array" aca="1" ref="AU53" ca="1">IF(INDIRECT(ADDRESS($B53+1,AU$38,1,1,"Confirmed Day Zero"))=0,#N/A,INDIRECT(ADDRESS($B53+1,AU$38,1,1,"Confirmed Day Zero")))</f>
        <v>1693</v>
      </c>
      <c r="AV53" cm="1">
        <f t="array" aca="1" ref="AV53" ca="1">IF(INDIRECT(ADDRESS($B53+1,AV$38,1,1,"Confirmed Day Zero"))=0,#N/A,INDIRECT(ADDRESS($B53+1,AV$38,1,1,"Confirmed Day Zero")))</f>
        <v>1866</v>
      </c>
      <c r="AW53" cm="1">
        <f t="array" aca="1" ref="AW53" ca="1">IF(INDIRECT(ADDRESS($B53+1,AW$38,1,1,"Confirmed Day Zero"))=0,#N/A,INDIRECT(ADDRESS($B53+1,AW$38,1,1,"Confirmed Day Zero")))</f>
        <v>1909.5</v>
      </c>
      <c r="AX53" cm="1">
        <f t="array" aca="1" ref="AX53" ca="1">IF(INDIRECT(ADDRESS($B53+1,AX$38,1,1,"Confirmed Day Zero"))=0,#N/A,INDIRECT(ADDRESS($B53+1,AX$38,1,1,"Confirmed Day Zero")))</f>
        <v>1953</v>
      </c>
      <c r="AY53" cm="1">
        <f t="array" aca="1" ref="AY53" ca="1">IF(INDIRECT(ADDRESS($B53+1,AY$38,1,1,"Confirmed Day Zero"))=0,#N/A,INDIRECT(ADDRESS($B53+1,AY$38,1,1,"Confirmed Day Zero")))</f>
        <v>2178</v>
      </c>
      <c r="AZ53" cm="1">
        <f t="array" aca="1" ref="AZ53" ca="1">IF(INDIRECT(ADDRESS($B53+1,AZ$38,1,1,"Confirmed Day Zero"))=0,#N/A,INDIRECT(ADDRESS($B53+1,AZ$38,1,1,"Confirmed Day Zero")))</f>
        <v>2495</v>
      </c>
      <c r="BA53" cm="1">
        <f t="array" aca="1" ref="BA53" ca="1">IF(INDIRECT(ADDRESS($B53+1,BA$38,1,1,"Confirmed Day Zero"))=0,#N/A,INDIRECT(ADDRESS($B53+1,BA$38,1,1,"Confirmed Day Zero")))</f>
        <v>2617</v>
      </c>
      <c r="BB53" cm="1">
        <f t="array" aca="1" ref="BB53" ca="1">IF(INDIRECT(ADDRESS($B53+1,BB$38,1,1,"Confirmed Day Zero"))=0,#N/A,INDIRECT(ADDRESS($B53+1,BB$38,1,1,"Confirmed Day Zero")))</f>
        <v>3139</v>
      </c>
      <c r="BC53" cm="1">
        <f t="array" aca="1" ref="BC53" ca="1">IF(INDIRECT(ADDRESS($B53+1,BC$38,1,1,"Confirmed Day Zero"))=0,#N/A,INDIRECT(ADDRESS($B53+1,BC$38,1,1,"Confirmed Day Zero")))</f>
        <v>3396.5</v>
      </c>
      <c r="BD53" cm="1">
        <f t="array" aca="1" ref="BD53" ca="1">IF(INDIRECT(ADDRESS($B53+1,BD$38,1,1,"Confirmed Day Zero"))=0,#N/A,INDIRECT(ADDRESS($B53+1,BD$38,1,1,"Confirmed Day Zero")))</f>
        <v>3654</v>
      </c>
      <c r="BE53" cm="1">
        <f t="array" aca="1" ref="BE53" ca="1">IF(INDIRECT(ADDRESS($B53+1,BE$38,1,1,"Confirmed Day Zero"))=0,#N/A,INDIRECT(ADDRESS($B53+1,BE$38,1,1,"Confirmed Day Zero")))</f>
        <v>3906</v>
      </c>
      <c r="BF53" cm="1">
        <f t="array" aca="1" ref="BF53" ca="1">IF(INDIRECT(ADDRESS($B53+1,BF$38,1,1,"Confirmed Day Zero"))=0,#N/A,INDIRECT(ADDRESS($B53+1,BF$38,1,1,"Confirmed Day Zero")))</f>
        <v>4257</v>
      </c>
      <c r="BG53" cm="1">
        <f t="array" aca="1" ref="BG53" ca="1">IF(INDIRECT(ADDRESS($B53+1,BG$38,1,1,"Confirmed Day Zero"))=0,#N/A,INDIRECT(ADDRESS($B53+1,BG$38,1,1,"Confirmed Day Zero")))</f>
        <v>4667</v>
      </c>
      <c r="BH53" cm="1">
        <f t="array" aca="1" ref="BH53" ca="1">IF(INDIRECT(ADDRESS($B53+1,BH$38,1,1,"Confirmed Day Zero"))=0,#N/A,INDIRECT(ADDRESS($B53+1,BH$38,1,1,"Confirmed Day Zero")))</f>
        <v>5530</v>
      </c>
      <c r="BI53" cm="1">
        <f t="array" aca="1" ref="BI53" ca="1">IF(INDIRECT(ADDRESS($B53+1,BI$38,1,1,"Confirmed Day Zero"))=0,#N/A,INDIRECT(ADDRESS($B53+1,BI$38,1,1,"Confirmed Day Zero")))</f>
        <v>6005</v>
      </c>
      <c r="BJ53" cm="1">
        <f t="array" aca="1" ref="BJ53" ca="1">IF(INDIRECT(ADDRESS($B53+1,BJ$38,1,1,"Confirmed Day Zero"))=0,#N/A,INDIRECT(ADDRESS($B53+1,BJ$38,1,1,"Confirmed Day Zero")))</f>
        <v>6748</v>
      </c>
      <c r="BK53" cm="1">
        <f t="array" aca="1" ref="BK53" ca="1">IF(INDIRECT(ADDRESS($B53+1,BK$38,1,1,"Confirmed Day Zero"))=0,#N/A,INDIRECT(ADDRESS($B53+1,BK$38,1,1,"Confirmed Day Zero")))</f>
        <v>7370</v>
      </c>
      <c r="BL53" cm="1">
        <f t="array" aca="1" ref="BL53" ca="1">IF(INDIRECT(ADDRESS($B53+1,BL$38,1,1,"Confirmed Day Zero"))=0,#N/A,INDIRECT(ADDRESS($B53+1,BL$38,1,1,"Confirmed Day Zero")))</f>
        <v>7645</v>
      </c>
      <c r="BM53" cm="1">
        <f t="array" aca="1" ref="BM53" ca="1">IF(INDIRECT(ADDRESS($B53+1,BM$38,1,1,"Confirmed Day Zero"))=0,#N/A,INDIRECT(ADDRESS($B53+1,BM$38,1,1,"Confirmed Day Zero")))</f>
        <v>8100</v>
      </c>
      <c r="BN53" cm="1">
        <f t="array" aca="1" ref="BN53" ca="1">IF(INDIRECT(ADDRESS($B53+1,BN$38,1,1,"Confirmed Day Zero"))=0,#N/A,INDIRECT(ADDRESS($B53+1,BN$38,1,1,"Confirmed Day Zero")))</f>
        <v>8626</v>
      </c>
      <c r="BO53" cm="1">
        <f t="array" aca="1" ref="BO53" ca="1">IF(INDIRECT(ADDRESS($B53+1,BO$38,1,1,"Confirmed Day Zero"))=0,#N/A,INDIRECT(ADDRESS($B53+1,BO$38,1,1,"Confirmed Day Zero")))</f>
        <v>9787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1:96" x14ac:dyDescent="0.25">
      <c r="A54" t="str">
        <f t="shared" ca="1" si="53"/>
        <v>outh</v>
      </c>
      <c r="B54" s="12">
        <f t="shared" si="52"/>
        <v>12</v>
      </c>
      <c r="C54" t="str" cm="1">
        <f t="array" aca="1" ref="C54" ca="1">INDIRECT(ADDRESS($B54+1,1,1,1,"Confirmed Day Zero"))</f>
        <v>Korea, South</v>
      </c>
      <c r="D54" s="1" cm="1">
        <f t="array" aca="1" ref="D54" ca="1">IF(INDIRECT(ADDRESS($B54+1,D$38,1,1,"Confirmed Day Zero"))=0,#N/A,INDIRECT(ADDRESS($B54+1,D$38,1,1,"Confirmed Day Zero")))</f>
        <v>51269185</v>
      </c>
      <c r="E54" cm="1">
        <f t="array" aca="1" ref="E54" ca="1">IF(INDIRECT(ADDRESS($B54+1,E$38,1,1,"Confirmed Day Zero"))=0,#N/A,INDIRECT(ADDRESS($B54+1,E$38,1,1,"Confirmed Day Zero")))</f>
        <v>30</v>
      </c>
      <c r="F54" cm="1">
        <f t="array" aca="1" ref="F54" ca="1">IF(INDIRECT(ADDRESS($B54+1,F$38,1,1,"Confirmed Day Zero"))=0,#N/A,INDIRECT(ADDRESS($B54+1,F$38,1,1,"Confirmed Day Zero")))</f>
        <v>31</v>
      </c>
      <c r="G54" cm="1">
        <f t="array" aca="1" ref="G54" ca="1">IF(INDIRECT(ADDRESS($B54+1,G$38,1,1,"Confirmed Day Zero"))=0,#N/A,INDIRECT(ADDRESS($B54+1,G$38,1,1,"Confirmed Day Zero")))</f>
        <v>67.5</v>
      </c>
      <c r="H54" cm="1">
        <f t="array" aca="1" ref="H54" ca="1">IF(INDIRECT(ADDRESS($B54+1,H$38,1,1,"Confirmed Day Zero"))=0,#N/A,INDIRECT(ADDRESS($B54+1,H$38,1,1,"Confirmed Day Zero")))</f>
        <v>104</v>
      </c>
      <c r="I54" cm="1">
        <f t="array" aca="1" ref="I54" ca="1">IF(INDIRECT(ADDRESS($B54+1,I$38,1,1,"Confirmed Day Zero"))=0,#N/A,INDIRECT(ADDRESS($B54+1,I$38,1,1,"Confirmed Day Zero")))</f>
        <v>204</v>
      </c>
      <c r="J54" cm="1">
        <f t="array" aca="1" ref="J54" ca="1">IF(INDIRECT(ADDRESS($B54+1,J$38,1,1,"Confirmed Day Zero"))=0,#N/A,INDIRECT(ADDRESS($B54+1,J$38,1,1,"Confirmed Day Zero")))</f>
        <v>433</v>
      </c>
      <c r="K54" cm="1">
        <f t="array" aca="1" ref="K54" ca="1">IF(INDIRECT(ADDRESS($B54+1,K$38,1,1,"Confirmed Day Zero"))=0,#N/A,INDIRECT(ADDRESS($B54+1,K$38,1,1,"Confirmed Day Zero")))</f>
        <v>602</v>
      </c>
      <c r="L54" cm="1">
        <f t="array" aca="1" ref="L54" ca="1">IF(INDIRECT(ADDRESS($B54+1,L$38,1,1,"Confirmed Day Zero"))=0,#N/A,INDIRECT(ADDRESS($B54+1,L$38,1,1,"Confirmed Day Zero")))</f>
        <v>833</v>
      </c>
      <c r="M54" cm="1">
        <f t="array" aca="1" ref="M54" ca="1">IF(INDIRECT(ADDRESS($B54+1,M$38,1,1,"Confirmed Day Zero"))=0,#N/A,INDIRECT(ADDRESS($B54+1,M$38,1,1,"Confirmed Day Zero")))</f>
        <v>977</v>
      </c>
      <c r="N54" cm="1">
        <f t="array" aca="1" ref="N54" ca="1">IF(INDIRECT(ADDRESS($B54+1,N$38,1,1,"Confirmed Day Zero"))=0,#N/A,INDIRECT(ADDRESS($B54+1,N$38,1,1,"Confirmed Day Zero")))</f>
        <v>1261</v>
      </c>
      <c r="O54" cm="1">
        <f t="array" aca="1" ref="O54" ca="1">IF(INDIRECT(ADDRESS($B54+1,O$38,1,1,"Confirmed Day Zero"))=0,#N/A,INDIRECT(ADDRESS($B54+1,O$38,1,1,"Confirmed Day Zero")))</f>
        <v>1766</v>
      </c>
      <c r="P54" cm="1">
        <f t="array" aca="1" ref="P54" ca="1">IF(INDIRECT(ADDRESS($B54+1,P$38,1,1,"Confirmed Day Zero"))=0,#N/A,INDIRECT(ADDRESS($B54+1,P$38,1,1,"Confirmed Day Zero")))</f>
        <v>2337</v>
      </c>
      <c r="Q54" cm="1">
        <f t="array" aca="1" ref="Q54" ca="1">IF(INDIRECT(ADDRESS($B54+1,Q$38,1,1,"Confirmed Day Zero"))=0,#N/A,INDIRECT(ADDRESS($B54+1,Q$38,1,1,"Confirmed Day Zero")))</f>
        <v>3150</v>
      </c>
      <c r="R54" cm="1">
        <f t="array" aca="1" ref="R54" ca="1">IF(INDIRECT(ADDRESS($B54+1,R$38,1,1,"Confirmed Day Zero"))=0,#N/A,INDIRECT(ADDRESS($B54+1,R$38,1,1,"Confirmed Day Zero")))</f>
        <v>3736</v>
      </c>
      <c r="S54" cm="1">
        <f t="array" aca="1" ref="S54" ca="1">IF(INDIRECT(ADDRESS($B54+1,S$38,1,1,"Confirmed Day Zero"))=0,#N/A,INDIRECT(ADDRESS($B54+1,S$38,1,1,"Confirmed Day Zero")))</f>
        <v>4335</v>
      </c>
      <c r="T54" cm="1">
        <f t="array" aca="1" ref="T54" ca="1">IF(INDIRECT(ADDRESS($B54+1,T$38,1,1,"Confirmed Day Zero"))=0,#N/A,INDIRECT(ADDRESS($B54+1,T$38,1,1,"Confirmed Day Zero")))</f>
        <v>5186</v>
      </c>
      <c r="U54" cm="1">
        <f t="array" aca="1" ref="U54" ca="1">IF(INDIRECT(ADDRESS($B54+1,U$38,1,1,"Confirmed Day Zero"))=0,#N/A,INDIRECT(ADDRESS($B54+1,U$38,1,1,"Confirmed Day Zero")))</f>
        <v>5621</v>
      </c>
      <c r="V54" cm="1">
        <f t="array" aca="1" ref="V54" ca="1">IF(INDIRECT(ADDRESS($B54+1,V$38,1,1,"Confirmed Day Zero"))=0,#N/A,INDIRECT(ADDRESS($B54+1,V$38,1,1,"Confirmed Day Zero")))</f>
        <v>6088</v>
      </c>
      <c r="W54" cm="1">
        <f t="array" aca="1" ref="W54" ca="1">IF(INDIRECT(ADDRESS($B54+1,W$38,1,1,"Confirmed Day Zero"))=0,#N/A,INDIRECT(ADDRESS($B54+1,W$38,1,1,"Confirmed Day Zero")))</f>
        <v>6593</v>
      </c>
      <c r="X54" cm="1">
        <f t="array" aca="1" ref="X54" ca="1">IF(INDIRECT(ADDRESS($B54+1,X$38,1,1,"Confirmed Day Zero"))=0,#N/A,INDIRECT(ADDRESS($B54+1,X$38,1,1,"Confirmed Day Zero")))</f>
        <v>7041</v>
      </c>
      <c r="Y54" cm="1">
        <f t="array" aca="1" ref="Y54" ca="1">IF(INDIRECT(ADDRESS($B54+1,Y$38,1,1,"Confirmed Day Zero"))=0,#N/A,INDIRECT(ADDRESS($B54+1,Y$38,1,1,"Confirmed Day Zero")))</f>
        <v>7314</v>
      </c>
      <c r="Z54" cm="1">
        <f t="array" aca="1" ref="Z54" ca="1">IF(INDIRECT(ADDRESS($B54+1,Z$38,1,1,"Confirmed Day Zero"))=0,#N/A,INDIRECT(ADDRESS($B54+1,Z$38,1,1,"Confirmed Day Zero")))</f>
        <v>7478</v>
      </c>
      <c r="AA54" cm="1">
        <f t="array" aca="1" ref="AA54" ca="1">IF(INDIRECT(ADDRESS($B54+1,AA$38,1,1,"Confirmed Day Zero"))=0,#N/A,INDIRECT(ADDRESS($B54+1,AA$38,1,1,"Confirmed Day Zero")))</f>
        <v>7513</v>
      </c>
      <c r="AB54" cm="1">
        <f t="array" aca="1" ref="AB54" ca="1">IF(INDIRECT(ADDRESS($B54+1,AB$38,1,1,"Confirmed Day Zero"))=0,#N/A,INDIRECT(ADDRESS($B54+1,AB$38,1,1,"Confirmed Day Zero")))</f>
        <v>7755</v>
      </c>
      <c r="AC54" cm="1">
        <f t="array" aca="1" ref="AC54" ca="1">IF(INDIRECT(ADDRESS($B54+1,AC$38,1,1,"Confirmed Day Zero"))=0,#N/A,INDIRECT(ADDRESS($B54+1,AC$38,1,1,"Confirmed Day Zero")))</f>
        <v>7869</v>
      </c>
      <c r="AD54" cm="1">
        <f t="array" aca="1" ref="AD54" ca="1">IF(INDIRECT(ADDRESS($B54+1,AD$38,1,1,"Confirmed Day Zero"))=0,#N/A,INDIRECT(ADDRESS($B54+1,AD$38,1,1,"Confirmed Day Zero")))</f>
        <v>7979</v>
      </c>
      <c r="AE54" cm="1">
        <f t="array" aca="1" ref="AE54" ca="1">IF(INDIRECT(ADDRESS($B54+1,AE$38,1,1,"Confirmed Day Zero"))=0,#N/A,INDIRECT(ADDRESS($B54+1,AE$38,1,1,"Confirmed Day Zero")))</f>
        <v>8086</v>
      </c>
      <c r="AF54" cm="1">
        <f t="array" aca="1" ref="AF54" ca="1">IF(INDIRECT(ADDRESS($B54+1,AF$38,1,1,"Confirmed Day Zero"))=0,#N/A,INDIRECT(ADDRESS($B54+1,AF$38,1,1,"Confirmed Day Zero")))</f>
        <v>8162</v>
      </c>
      <c r="AG54" cm="1">
        <f t="array" aca="1" ref="AG54" ca="1">IF(INDIRECT(ADDRESS($B54+1,AG$38,1,1,"Confirmed Day Zero"))=0,#N/A,INDIRECT(ADDRESS($B54+1,AG$38,1,1,"Confirmed Day Zero")))</f>
        <v>8236</v>
      </c>
      <c r="AH54" cm="1">
        <f t="array" aca="1" ref="AH54" ca="1">IF(INDIRECT(ADDRESS($B54+1,AH$38,1,1,"Confirmed Day Zero"))=0,#N/A,INDIRECT(ADDRESS($B54+1,AH$38,1,1,"Confirmed Day Zero")))</f>
        <v>8320</v>
      </c>
      <c r="AI54" cm="1">
        <f t="array" aca="1" ref="AI54" ca="1">IF(INDIRECT(ADDRESS($B54+1,AI$38,1,1,"Confirmed Day Zero"))=0,#N/A,INDIRECT(ADDRESS($B54+1,AI$38,1,1,"Confirmed Day Zero")))</f>
        <v>8413</v>
      </c>
      <c r="AJ54" cm="1">
        <f t="array" aca="1" ref="AJ54" ca="1">IF(INDIRECT(ADDRESS($B54+1,AJ$38,1,1,"Confirmed Day Zero"))=0,#N/A,INDIRECT(ADDRESS($B54+1,AJ$38,1,1,"Confirmed Day Zero")))</f>
        <v>8565</v>
      </c>
      <c r="AK54" cm="1">
        <f t="array" aca="1" ref="AK54" ca="1">IF(INDIRECT(ADDRESS($B54+1,AK$38,1,1,"Confirmed Day Zero"))=0,#N/A,INDIRECT(ADDRESS($B54+1,AK$38,1,1,"Confirmed Day Zero")))</f>
        <v>8652</v>
      </c>
      <c r="AL54" cm="1">
        <f t="array" aca="1" ref="AL54" ca="1">IF(INDIRECT(ADDRESS($B54+1,AL$38,1,1,"Confirmed Day Zero"))=0,#N/A,INDIRECT(ADDRESS($B54+1,AL$38,1,1,"Confirmed Day Zero")))</f>
        <v>8799</v>
      </c>
      <c r="AM54" cm="1">
        <f t="array" aca="1" ref="AM54" ca="1">IF(INDIRECT(ADDRESS($B54+1,AM$38,1,1,"Confirmed Day Zero"))=0,#N/A,INDIRECT(ADDRESS($B54+1,AM$38,1,1,"Confirmed Day Zero")))</f>
        <v>8961</v>
      </c>
      <c r="AN54" cm="1">
        <f t="array" aca="1" ref="AN54" ca="1">IF(INDIRECT(ADDRESS($B54+1,AN$38,1,1,"Confirmed Day Zero"))=0,#N/A,INDIRECT(ADDRESS($B54+1,AN$38,1,1,"Confirmed Day Zero")))</f>
        <v>8999</v>
      </c>
      <c r="AO54" cm="1">
        <f t="array" aca="1" ref="AO54" ca="1">IF(INDIRECT(ADDRESS($B54+1,AO$38,1,1,"Confirmed Day Zero"))=0,#N/A,INDIRECT(ADDRESS($B54+1,AO$38,1,1,"Confirmed Day Zero")))</f>
        <v>9037</v>
      </c>
      <c r="AP54" cm="1">
        <f t="array" aca="1" ref="AP54" ca="1">IF(INDIRECT(ADDRESS($B54+1,AP$38,1,1,"Confirmed Day Zero"))=0,#N/A,INDIRECT(ADDRESS($B54+1,AP$38,1,1,"Confirmed Day Zero")))</f>
        <v>9137</v>
      </c>
      <c r="AQ54" cm="1">
        <f t="array" aca="1" ref="AQ54" ca="1">IF(INDIRECT(ADDRESS($B54+1,AQ$38,1,1,"Confirmed Day Zero"))=0,#N/A,INDIRECT(ADDRESS($B54+1,AQ$38,1,1,"Confirmed Day Zero")))</f>
        <v>9241</v>
      </c>
      <c r="AR54" cm="1">
        <f t="array" aca="1" ref="AR54" ca="1">IF(INDIRECT(ADDRESS($B54+1,AR$38,1,1,"Confirmed Day Zero"))=0,#N/A,INDIRECT(ADDRESS($B54+1,AR$38,1,1,"Confirmed Day Zero")))</f>
        <v>9332</v>
      </c>
      <c r="AS54" cm="1">
        <f t="array" aca="1" ref="AS54" ca="1">IF(INDIRECT(ADDRESS($B54+1,AS$38,1,1,"Confirmed Day Zero"))=0,#N/A,INDIRECT(ADDRESS($B54+1,AS$38,1,1,"Confirmed Day Zero")))</f>
        <v>9478</v>
      </c>
      <c r="AT54" cm="1">
        <f t="array" aca="1" ref="AT54" ca="1">IF(INDIRECT(ADDRESS($B54+1,AT$38,1,1,"Confirmed Day Zero"))=0,#N/A,INDIRECT(ADDRESS($B54+1,AT$38,1,1,"Confirmed Day Zero")))</f>
        <v>9583</v>
      </c>
      <c r="AU54" cm="1">
        <f t="array" aca="1" ref="AU54" ca="1">IF(INDIRECT(ADDRESS($B54+1,AU$38,1,1,"Confirmed Day Zero"))=0,#N/A,INDIRECT(ADDRESS($B54+1,AU$38,1,1,"Confirmed Day Zero")))</f>
        <v>9661</v>
      </c>
      <c r="AV54" cm="1">
        <f t="array" aca="1" ref="AV54" ca="1">IF(INDIRECT(ADDRESS($B54+1,AV$38,1,1,"Confirmed Day Zero"))=0,#N/A,INDIRECT(ADDRESS($B54+1,AV$38,1,1,"Confirmed Day Zero")))</f>
        <v>9786</v>
      </c>
      <c r="AW54" cm="1">
        <f t="array" aca="1" ref="AW54" ca="1">IF(INDIRECT(ADDRESS($B54+1,AW$38,1,1,"Confirmed Day Zero"))=0,#N/A,INDIRECT(ADDRESS($B54+1,AW$38,1,1,"Confirmed Day Zero")))</f>
        <v>9887</v>
      </c>
      <c r="AX54" cm="1">
        <f t="array" aca="1" ref="AX54" ca="1">IF(INDIRECT(ADDRESS($B54+1,AX$38,1,1,"Confirmed Day Zero"))=0,#N/A,INDIRECT(ADDRESS($B54+1,AX$38,1,1,"Confirmed Day Zero")))</f>
        <v>9976</v>
      </c>
      <c r="AY54" cm="1">
        <f t="array" aca="1" ref="AY54" ca="1">IF(INDIRECT(ADDRESS($B54+1,AY$38,1,1,"Confirmed Day Zero"))=0,#N/A,INDIRECT(ADDRESS($B54+1,AY$38,1,1,"Confirmed Day Zero")))</f>
        <v>10062</v>
      </c>
      <c r="AZ54" cm="1">
        <f t="array" aca="1" ref="AZ54" ca="1">IF(INDIRECT(ADDRESS($B54+1,AZ$38,1,1,"Confirmed Day Zero"))=0,#N/A,INDIRECT(ADDRESS($B54+1,AZ$38,1,1,"Confirmed Day Zero")))</f>
        <v>10156</v>
      </c>
      <c r="BA54" cm="1">
        <f t="array" aca="1" ref="BA54" ca="1">IF(INDIRECT(ADDRESS($B54+1,BA$38,1,1,"Confirmed Day Zero"))=0,#N/A,INDIRECT(ADDRESS($B54+1,BA$38,1,1,"Confirmed Day Zero")))</f>
        <v>10237</v>
      </c>
      <c r="BB54" cm="1">
        <f t="array" aca="1" ref="BB54" ca="1">IF(INDIRECT(ADDRESS($B54+1,BB$38,1,1,"Confirmed Day Zero"))=0,#N/A,INDIRECT(ADDRESS($B54+1,BB$38,1,1,"Confirmed Day Zero")))</f>
        <v>10284</v>
      </c>
      <c r="BC54" cm="1">
        <f t="array" aca="1" ref="BC54" ca="1">IF(INDIRECT(ADDRESS($B54+1,BC$38,1,1,"Confirmed Day Zero"))=0,#N/A,INDIRECT(ADDRESS($B54+1,BC$38,1,1,"Confirmed Day Zero")))</f>
        <v>10331</v>
      </c>
      <c r="BD54" cm="1">
        <f t="array" aca="1" ref="BD54" ca="1">IF(INDIRECT(ADDRESS($B54+1,BD$38,1,1,"Confirmed Day Zero"))=0,#N/A,INDIRECT(ADDRESS($B54+1,BD$38,1,1,"Confirmed Day Zero")))</f>
        <v>10384</v>
      </c>
      <c r="BE54" cm="1">
        <f t="array" aca="1" ref="BE54" ca="1">IF(INDIRECT(ADDRESS($B54+1,BE$38,1,1,"Confirmed Day Zero"))=0,#N/A,INDIRECT(ADDRESS($B54+1,BE$38,1,1,"Confirmed Day Zero")))</f>
        <v>10423</v>
      </c>
      <c r="BF54" cm="1">
        <f t="array" aca="1" ref="BF54" ca="1">IF(INDIRECT(ADDRESS($B54+1,BF$38,1,1,"Confirmed Day Zero"))=0,#N/A,INDIRECT(ADDRESS($B54+1,BF$38,1,1,"Confirmed Day Zero")))</f>
        <v>10450</v>
      </c>
      <c r="BG54" cm="1">
        <f t="array" aca="1" ref="BG54" ca="1">IF(INDIRECT(ADDRESS($B54+1,BG$38,1,1,"Confirmed Day Zero"))=0,#N/A,INDIRECT(ADDRESS($B54+1,BG$38,1,1,"Confirmed Day Zero")))</f>
        <v>10480</v>
      </c>
      <c r="BH54" cm="1">
        <f t="array" aca="1" ref="BH54" ca="1">IF(INDIRECT(ADDRESS($B54+1,BH$38,1,1,"Confirmed Day Zero"))=0,#N/A,INDIRECT(ADDRESS($B54+1,BH$38,1,1,"Confirmed Day Zero")))</f>
        <v>10512</v>
      </c>
      <c r="BI54" cm="1">
        <f t="array" aca="1" ref="BI54" ca="1">IF(INDIRECT(ADDRESS($B54+1,BI$38,1,1,"Confirmed Day Zero"))=0,#N/A,INDIRECT(ADDRESS($B54+1,BI$38,1,1,"Confirmed Day Zero")))</f>
        <v>10537</v>
      </c>
      <c r="BJ54" cm="1">
        <f t="array" aca="1" ref="BJ54" ca="1">IF(INDIRECT(ADDRESS($B54+1,BJ$38,1,1,"Confirmed Day Zero"))=0,#N/A,INDIRECT(ADDRESS($B54+1,BJ$38,1,1,"Confirmed Day Zero")))</f>
        <v>10564</v>
      </c>
      <c r="BK54" cm="1">
        <f t="array" aca="1" ref="BK54" ca="1">IF(INDIRECT(ADDRESS($B54+1,BK$38,1,1,"Confirmed Day Zero"))=0,#N/A,INDIRECT(ADDRESS($B54+1,BK$38,1,1,"Confirmed Day Zero")))</f>
        <v>10591</v>
      </c>
      <c r="BL54" cm="1">
        <f t="array" aca="1" ref="BL54" ca="1">IF(INDIRECT(ADDRESS($B54+1,BL$38,1,1,"Confirmed Day Zero"))=0,#N/A,INDIRECT(ADDRESS($B54+1,BL$38,1,1,"Confirmed Day Zero")))</f>
        <v>10613</v>
      </c>
      <c r="BM54" cm="1">
        <f t="array" aca="1" ref="BM54" ca="1">IF(INDIRECT(ADDRESS($B54+1,BM$38,1,1,"Confirmed Day Zero"))=0,#N/A,INDIRECT(ADDRESS($B54+1,BM$38,1,1,"Confirmed Day Zero")))</f>
        <v>10635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1:96" x14ac:dyDescent="0.25">
      <c r="A55" t="str">
        <f t="shared" ca="1" si="53"/>
        <v/>
      </c>
      <c r="B55" s="12">
        <f t="shared" si="52"/>
        <v>13</v>
      </c>
      <c r="C55" t="str" cm="1">
        <f t="array" aca="1" ref="C55" ca="1">INDIRECT(ADDRESS($B55+1,1,1,1,"Confirmed Day Zero"))</f>
        <v>Portugal</v>
      </c>
      <c r="D55" s="1" cm="1">
        <f t="array" aca="1" ref="D55" ca="1">IF(INDIRECT(ADDRESS($B55+1,D$38,1,1,"Confirmed Day Zero"))=0,#N/A,INDIRECT(ADDRESS($B55+1,D$38,1,1,"Confirmed Day Zero")))</f>
        <v>10196709</v>
      </c>
      <c r="E55" cm="1">
        <f t="array" aca="1" ref="E55" ca="1">IF(INDIRECT(ADDRESS($B55+1,E$38,1,1,"Confirmed Day Zero"))=0,#N/A,INDIRECT(ADDRESS($B55+1,E$38,1,1,"Confirmed Day Zero")))</f>
        <v>30</v>
      </c>
      <c r="F55" cm="1">
        <f t="array" aca="1" ref="F55" ca="1">IF(INDIRECT(ADDRESS($B55+1,F$38,1,1,"Confirmed Day Zero"))=0,#N/A,INDIRECT(ADDRESS($B55+1,F$38,1,1,"Confirmed Day Zero")))</f>
        <v>35.5</v>
      </c>
      <c r="G55" cm="1">
        <f t="array" aca="1" ref="G55" ca="1">IF(INDIRECT(ADDRESS($B55+1,G$38,1,1,"Confirmed Day Zero"))=0,#N/A,INDIRECT(ADDRESS($B55+1,G$38,1,1,"Confirmed Day Zero")))</f>
        <v>41</v>
      </c>
      <c r="H55" cm="1">
        <f t="array" aca="1" ref="H55" ca="1">IF(INDIRECT(ADDRESS($B55+1,H$38,1,1,"Confirmed Day Zero"))=0,#N/A,INDIRECT(ADDRESS($B55+1,H$38,1,1,"Confirmed Day Zero")))</f>
        <v>59</v>
      </c>
      <c r="I55" cm="1">
        <f t="array" aca="1" ref="I55" ca="1">IF(INDIRECT(ADDRESS($B55+1,I$38,1,1,"Confirmed Day Zero"))=0,#N/A,INDIRECT(ADDRESS($B55+1,I$38,1,1,"Confirmed Day Zero")))</f>
        <v>85.5</v>
      </c>
      <c r="J55" cm="1">
        <f t="array" aca="1" ref="J55" ca="1">IF(INDIRECT(ADDRESS($B55+1,J$38,1,1,"Confirmed Day Zero"))=0,#N/A,INDIRECT(ADDRESS($B55+1,J$38,1,1,"Confirmed Day Zero")))</f>
        <v>112</v>
      </c>
      <c r="K55" cm="1">
        <f t="array" aca="1" ref="K55" ca="1">IF(INDIRECT(ADDRESS($B55+1,K$38,1,1,"Confirmed Day Zero"))=0,#N/A,INDIRECT(ADDRESS($B55+1,K$38,1,1,"Confirmed Day Zero")))</f>
        <v>169</v>
      </c>
      <c r="L55" cm="1">
        <f t="array" aca="1" ref="L55" ca="1">IF(INDIRECT(ADDRESS($B55+1,L$38,1,1,"Confirmed Day Zero"))=0,#N/A,INDIRECT(ADDRESS($B55+1,L$38,1,1,"Confirmed Day Zero")))</f>
        <v>245</v>
      </c>
      <c r="M55" cm="1">
        <f t="array" aca="1" ref="M55" ca="1">IF(INDIRECT(ADDRESS($B55+1,M$38,1,1,"Confirmed Day Zero"))=0,#N/A,INDIRECT(ADDRESS($B55+1,M$38,1,1,"Confirmed Day Zero")))</f>
        <v>331</v>
      </c>
      <c r="N55" cm="1">
        <f t="array" aca="1" ref="N55" ca="1">IF(INDIRECT(ADDRESS($B55+1,N$38,1,1,"Confirmed Day Zero"))=0,#N/A,INDIRECT(ADDRESS($B55+1,N$38,1,1,"Confirmed Day Zero")))</f>
        <v>448</v>
      </c>
      <c r="O55" cm="1">
        <f t="array" aca="1" ref="O55" ca="1">IF(INDIRECT(ADDRESS($B55+1,O$38,1,1,"Confirmed Day Zero"))=0,#N/A,INDIRECT(ADDRESS($B55+1,O$38,1,1,"Confirmed Day Zero")))</f>
        <v>616.5</v>
      </c>
      <c r="P55" cm="1">
        <f t="array" aca="1" ref="P55" ca="1">IF(INDIRECT(ADDRESS($B55+1,P$38,1,1,"Confirmed Day Zero"))=0,#N/A,INDIRECT(ADDRESS($B55+1,P$38,1,1,"Confirmed Day Zero")))</f>
        <v>785</v>
      </c>
      <c r="Q55" cm="1">
        <f t="array" aca="1" ref="Q55" ca="1">IF(INDIRECT(ADDRESS($B55+1,Q$38,1,1,"Confirmed Day Zero"))=0,#N/A,INDIRECT(ADDRESS($B55+1,Q$38,1,1,"Confirmed Day Zero")))</f>
        <v>1020</v>
      </c>
      <c r="R55" cm="1">
        <f t="array" aca="1" ref="R55" ca="1">IF(INDIRECT(ADDRESS($B55+1,R$38,1,1,"Confirmed Day Zero"))=0,#N/A,INDIRECT(ADDRESS($B55+1,R$38,1,1,"Confirmed Day Zero")))</f>
        <v>1280</v>
      </c>
      <c r="S55" cm="1">
        <f t="array" aca="1" ref="S55" ca="1">IF(INDIRECT(ADDRESS($B55+1,S$38,1,1,"Confirmed Day Zero"))=0,#N/A,INDIRECT(ADDRESS($B55+1,S$38,1,1,"Confirmed Day Zero")))</f>
        <v>1600</v>
      </c>
      <c r="T55" cm="1">
        <f t="array" aca="1" ref="T55" ca="1">IF(INDIRECT(ADDRESS($B55+1,T$38,1,1,"Confirmed Day Zero"))=0,#N/A,INDIRECT(ADDRESS($B55+1,T$38,1,1,"Confirmed Day Zero")))</f>
        <v>2060</v>
      </c>
      <c r="U55" cm="1">
        <f t="array" aca="1" ref="U55" ca="1">IF(INDIRECT(ADDRESS($B55+1,U$38,1,1,"Confirmed Day Zero"))=0,#N/A,INDIRECT(ADDRESS($B55+1,U$38,1,1,"Confirmed Day Zero")))</f>
        <v>2362</v>
      </c>
      <c r="V55" cm="1">
        <f t="array" aca="1" ref="V55" ca="1">IF(INDIRECT(ADDRESS($B55+1,V$38,1,1,"Confirmed Day Zero"))=0,#N/A,INDIRECT(ADDRESS($B55+1,V$38,1,1,"Confirmed Day Zero")))</f>
        <v>2995</v>
      </c>
      <c r="W55" cm="1">
        <f t="array" aca="1" ref="W55" ca="1">IF(INDIRECT(ADDRESS($B55+1,W$38,1,1,"Confirmed Day Zero"))=0,#N/A,INDIRECT(ADDRESS($B55+1,W$38,1,1,"Confirmed Day Zero")))</f>
        <v>3544</v>
      </c>
      <c r="X55" cm="1">
        <f t="array" aca="1" ref="X55" ca="1">IF(INDIRECT(ADDRESS($B55+1,X$38,1,1,"Confirmed Day Zero"))=0,#N/A,INDIRECT(ADDRESS($B55+1,X$38,1,1,"Confirmed Day Zero")))</f>
        <v>4268</v>
      </c>
      <c r="Y55" cm="1">
        <f t="array" aca="1" ref="Y55" ca="1">IF(INDIRECT(ADDRESS($B55+1,Y$38,1,1,"Confirmed Day Zero"))=0,#N/A,INDIRECT(ADDRESS($B55+1,Y$38,1,1,"Confirmed Day Zero")))</f>
        <v>5170</v>
      </c>
      <c r="Z55" cm="1">
        <f t="array" aca="1" ref="Z55" ca="1">IF(INDIRECT(ADDRESS($B55+1,Z$38,1,1,"Confirmed Day Zero"))=0,#N/A,INDIRECT(ADDRESS($B55+1,Z$38,1,1,"Confirmed Day Zero")))</f>
        <v>5962</v>
      </c>
      <c r="AA55" cm="1">
        <f t="array" aca="1" ref="AA55" ca="1">IF(INDIRECT(ADDRESS($B55+1,AA$38,1,1,"Confirmed Day Zero"))=0,#N/A,INDIRECT(ADDRESS($B55+1,AA$38,1,1,"Confirmed Day Zero")))</f>
        <v>6408</v>
      </c>
      <c r="AB55" cm="1">
        <f t="array" aca="1" ref="AB55" ca="1">IF(INDIRECT(ADDRESS($B55+1,AB$38,1,1,"Confirmed Day Zero"))=0,#N/A,INDIRECT(ADDRESS($B55+1,AB$38,1,1,"Confirmed Day Zero")))</f>
        <v>7443</v>
      </c>
      <c r="AC55" cm="1">
        <f t="array" aca="1" ref="AC55" ca="1">IF(INDIRECT(ADDRESS($B55+1,AC$38,1,1,"Confirmed Day Zero"))=0,#N/A,INDIRECT(ADDRESS($B55+1,AC$38,1,1,"Confirmed Day Zero")))</f>
        <v>8251</v>
      </c>
      <c r="AD55" cm="1">
        <f t="array" aca="1" ref="AD55" ca="1">IF(INDIRECT(ADDRESS($B55+1,AD$38,1,1,"Confirmed Day Zero"))=0,#N/A,INDIRECT(ADDRESS($B55+1,AD$38,1,1,"Confirmed Day Zero")))</f>
        <v>9034</v>
      </c>
      <c r="AE55" cm="1">
        <f t="array" aca="1" ref="AE55" ca="1">IF(INDIRECT(ADDRESS($B55+1,AE$38,1,1,"Confirmed Day Zero"))=0,#N/A,INDIRECT(ADDRESS($B55+1,AE$38,1,1,"Confirmed Day Zero")))</f>
        <v>9886</v>
      </c>
      <c r="AF55" cm="1">
        <f t="array" aca="1" ref="AF55" ca="1">IF(INDIRECT(ADDRESS($B55+1,AF$38,1,1,"Confirmed Day Zero"))=0,#N/A,INDIRECT(ADDRESS($B55+1,AF$38,1,1,"Confirmed Day Zero")))</f>
        <v>10524</v>
      </c>
      <c r="AG55" cm="1">
        <f t="array" aca="1" ref="AG55" ca="1">IF(INDIRECT(ADDRESS($B55+1,AG$38,1,1,"Confirmed Day Zero"))=0,#N/A,INDIRECT(ADDRESS($B55+1,AG$38,1,1,"Confirmed Day Zero")))</f>
        <v>11278</v>
      </c>
      <c r="AH55" cm="1">
        <f t="array" aca="1" ref="AH55" ca="1">IF(INDIRECT(ADDRESS($B55+1,AH$38,1,1,"Confirmed Day Zero"))=0,#N/A,INDIRECT(ADDRESS($B55+1,AH$38,1,1,"Confirmed Day Zero")))</f>
        <v>11730</v>
      </c>
      <c r="AI55" cm="1">
        <f t="array" aca="1" ref="AI55" ca="1">IF(INDIRECT(ADDRESS($B55+1,AI$38,1,1,"Confirmed Day Zero"))=0,#N/A,INDIRECT(ADDRESS($B55+1,AI$38,1,1,"Confirmed Day Zero")))</f>
        <v>12442</v>
      </c>
      <c r="AJ55" cm="1">
        <f t="array" aca="1" ref="AJ55" ca="1">IF(INDIRECT(ADDRESS($B55+1,AJ$38,1,1,"Confirmed Day Zero"))=0,#N/A,INDIRECT(ADDRESS($B55+1,AJ$38,1,1,"Confirmed Day Zero")))</f>
        <v>13141</v>
      </c>
      <c r="AK55" cm="1">
        <f t="array" aca="1" ref="AK55" ca="1">IF(INDIRECT(ADDRESS($B55+1,AK$38,1,1,"Confirmed Day Zero"))=0,#N/A,INDIRECT(ADDRESS($B55+1,AK$38,1,1,"Confirmed Day Zero")))</f>
        <v>13956</v>
      </c>
      <c r="AL55" cm="1">
        <f t="array" aca="1" ref="AL55" ca="1">IF(INDIRECT(ADDRESS($B55+1,AL$38,1,1,"Confirmed Day Zero"))=0,#N/A,INDIRECT(ADDRESS($B55+1,AL$38,1,1,"Confirmed Day Zero")))</f>
        <v>15472</v>
      </c>
      <c r="AM55" cm="1">
        <f t="array" aca="1" ref="AM55" ca="1">IF(INDIRECT(ADDRESS($B55+1,AM$38,1,1,"Confirmed Day Zero"))=0,#N/A,INDIRECT(ADDRESS($B55+1,AM$38,1,1,"Confirmed Day Zero")))</f>
        <v>15987</v>
      </c>
      <c r="AN55" cm="1">
        <f t="array" aca="1" ref="AN55" ca="1">IF(INDIRECT(ADDRESS($B55+1,AN$38,1,1,"Confirmed Day Zero"))=0,#N/A,INDIRECT(ADDRESS($B55+1,AN$38,1,1,"Confirmed Day Zero")))</f>
        <v>16585</v>
      </c>
      <c r="AO55" cm="1">
        <f t="array" aca="1" ref="AO55" ca="1">IF(INDIRECT(ADDRESS($B55+1,AO$38,1,1,"Confirmed Day Zero"))=0,#N/A,INDIRECT(ADDRESS($B55+1,AO$38,1,1,"Confirmed Day Zero")))</f>
        <v>16934</v>
      </c>
      <c r="AP55" cm="1">
        <f t="array" aca="1" ref="AP55" ca="1">IF(INDIRECT(ADDRESS($B55+1,AP$38,1,1,"Confirmed Day Zero"))=0,#N/A,INDIRECT(ADDRESS($B55+1,AP$38,1,1,"Confirmed Day Zero")))</f>
        <v>17448</v>
      </c>
      <c r="AQ55" cm="1">
        <f t="array" aca="1" ref="AQ55" ca="1">IF(INDIRECT(ADDRESS($B55+1,AQ$38,1,1,"Confirmed Day Zero"))=0,#N/A,INDIRECT(ADDRESS($B55+1,AQ$38,1,1,"Confirmed Day Zero")))</f>
        <v>18091</v>
      </c>
      <c r="AR55" cm="1">
        <f t="array" aca="1" ref="AR55" ca="1">IF(INDIRECT(ADDRESS($B55+1,AR$38,1,1,"Confirmed Day Zero"))=0,#N/A,INDIRECT(ADDRESS($B55+1,AR$38,1,1,"Confirmed Day Zero")))</f>
        <v>18841</v>
      </c>
      <c r="AS55" cm="1">
        <f t="array" aca="1" ref="AS55" ca="1">IF(INDIRECT(ADDRESS($B55+1,AS$38,1,1,"Confirmed Day Zero"))=0,#N/A,INDIRECT(ADDRESS($B55+1,AS$38,1,1,"Confirmed Day Zero")))</f>
        <v>19022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1:96" x14ac:dyDescent="0.25">
      <c r="A56" t="e">
        <f t="shared" ca="1" si="53"/>
        <v>#VALUE!</v>
      </c>
      <c r="B56" s="12">
        <f t="shared" si="52"/>
        <v>14</v>
      </c>
      <c r="C56" t="str" cm="1">
        <f t="array" aca="1" ref="C56" ca="1">INDIRECT(ADDRESS($B56+1,1,1,1,"Confirmed Day Zero"))</f>
        <v>Russia</v>
      </c>
      <c r="D56" s="1" cm="1">
        <f t="array" aca="1" ref="D56" ca="1">IF(INDIRECT(ADDRESS($B56+1,D$38,1,1,"Confirmed Day Zero"))=0,#N/A,INDIRECT(ADDRESS($B56+1,D$38,1,1,"Confirmed Day Zero")))</f>
        <v>145934462</v>
      </c>
      <c r="E56" cm="1">
        <f t="array" aca="1" ref="E56" ca="1">IF(INDIRECT(ADDRESS($B56+1,E$38,1,1,"Confirmed Day Zero"))=0,#N/A,INDIRECT(ADDRESS($B56+1,E$38,1,1,"Confirmed Day Zero")))</f>
        <v>45</v>
      </c>
      <c r="F56" cm="1">
        <f t="array" aca="1" ref="F56" ca="1">IF(INDIRECT(ADDRESS($B56+1,F$38,1,1,"Confirmed Day Zero"))=0,#N/A,INDIRECT(ADDRESS($B56+1,F$38,1,1,"Confirmed Day Zero")))</f>
        <v>59</v>
      </c>
      <c r="G56" cm="1">
        <f t="array" aca="1" ref="G56" ca="1">IF(INDIRECT(ADDRESS($B56+1,G$38,1,1,"Confirmed Day Zero"))=0,#N/A,INDIRECT(ADDRESS($B56+1,G$38,1,1,"Confirmed Day Zero")))</f>
        <v>63</v>
      </c>
      <c r="H56" cm="1">
        <f t="array" aca="1" ref="H56" ca="1">IF(INDIRECT(ADDRESS($B56+1,H$38,1,1,"Confirmed Day Zero"))=0,#N/A,INDIRECT(ADDRESS($B56+1,H$38,1,1,"Confirmed Day Zero")))</f>
        <v>90</v>
      </c>
      <c r="I56" cm="1">
        <f t="array" aca="1" ref="I56" ca="1">IF(INDIRECT(ADDRESS($B56+1,I$38,1,1,"Confirmed Day Zero"))=0,#N/A,INDIRECT(ADDRESS($B56+1,I$38,1,1,"Confirmed Day Zero")))</f>
        <v>114</v>
      </c>
      <c r="J56" cm="1">
        <f t="array" aca="1" ref="J56" ca="1">IF(INDIRECT(ADDRESS($B56+1,J$38,1,1,"Confirmed Day Zero"))=0,#N/A,INDIRECT(ADDRESS($B56+1,J$38,1,1,"Confirmed Day Zero")))</f>
        <v>147</v>
      </c>
      <c r="K56" cm="1">
        <f t="array" aca="1" ref="K56" ca="1">IF(INDIRECT(ADDRESS($B56+1,K$38,1,1,"Confirmed Day Zero"))=0,#N/A,INDIRECT(ADDRESS($B56+1,K$38,1,1,"Confirmed Day Zero")))</f>
        <v>199</v>
      </c>
      <c r="L56" cm="1">
        <f t="array" aca="1" ref="L56" ca="1">IF(INDIRECT(ADDRESS($B56+1,L$38,1,1,"Confirmed Day Zero"))=0,#N/A,INDIRECT(ADDRESS($B56+1,L$38,1,1,"Confirmed Day Zero")))</f>
        <v>253</v>
      </c>
      <c r="M56" cm="1">
        <f t="array" aca="1" ref="M56" ca="1">IF(INDIRECT(ADDRESS($B56+1,M$38,1,1,"Confirmed Day Zero"))=0,#N/A,INDIRECT(ADDRESS($B56+1,M$38,1,1,"Confirmed Day Zero")))</f>
        <v>306</v>
      </c>
      <c r="N56" cm="1">
        <f t="array" aca="1" ref="N56" ca="1">IF(INDIRECT(ADDRESS($B56+1,N$38,1,1,"Confirmed Day Zero"))=0,#N/A,INDIRECT(ADDRESS($B56+1,N$38,1,1,"Confirmed Day Zero")))</f>
        <v>367</v>
      </c>
      <c r="O56" cm="1">
        <f t="array" aca="1" ref="O56" ca="1">IF(INDIRECT(ADDRESS($B56+1,O$38,1,1,"Confirmed Day Zero"))=0,#N/A,INDIRECT(ADDRESS($B56+1,O$38,1,1,"Confirmed Day Zero")))</f>
        <v>438</v>
      </c>
      <c r="P56" cm="1">
        <f t="array" aca="1" ref="P56" ca="1">IF(INDIRECT(ADDRESS($B56+1,P$38,1,1,"Confirmed Day Zero"))=0,#N/A,INDIRECT(ADDRESS($B56+1,P$38,1,1,"Confirmed Day Zero")))</f>
        <v>495</v>
      </c>
      <c r="Q56" cm="1">
        <f t="array" aca="1" ref="Q56" ca="1">IF(INDIRECT(ADDRESS($B56+1,Q$38,1,1,"Confirmed Day Zero"))=0,#N/A,INDIRECT(ADDRESS($B56+1,Q$38,1,1,"Confirmed Day Zero")))</f>
        <v>658</v>
      </c>
      <c r="R56" cm="1">
        <f t="array" aca="1" ref="R56" ca="1">IF(INDIRECT(ADDRESS($B56+1,R$38,1,1,"Confirmed Day Zero"))=0,#N/A,INDIRECT(ADDRESS($B56+1,R$38,1,1,"Confirmed Day Zero")))</f>
        <v>840</v>
      </c>
      <c r="S56" cm="1">
        <f t="array" aca="1" ref="S56" ca="1">IF(INDIRECT(ADDRESS($B56+1,S$38,1,1,"Confirmed Day Zero"))=0,#N/A,INDIRECT(ADDRESS($B56+1,S$38,1,1,"Confirmed Day Zero")))</f>
        <v>1036</v>
      </c>
      <c r="T56" cm="1">
        <f t="array" aca="1" ref="T56" ca="1">IF(INDIRECT(ADDRESS($B56+1,T$38,1,1,"Confirmed Day Zero"))=0,#N/A,INDIRECT(ADDRESS($B56+1,T$38,1,1,"Confirmed Day Zero")))</f>
        <v>1264</v>
      </c>
      <c r="U56" cm="1">
        <f t="array" aca="1" ref="U56" ca="1">IF(INDIRECT(ADDRESS($B56+1,U$38,1,1,"Confirmed Day Zero"))=0,#N/A,INDIRECT(ADDRESS($B56+1,U$38,1,1,"Confirmed Day Zero")))</f>
        <v>1534</v>
      </c>
      <c r="V56" cm="1">
        <f t="array" aca="1" ref="V56" ca="1">IF(INDIRECT(ADDRESS($B56+1,V$38,1,1,"Confirmed Day Zero"))=0,#N/A,INDIRECT(ADDRESS($B56+1,V$38,1,1,"Confirmed Day Zero")))</f>
        <v>1836</v>
      </c>
      <c r="W56" cm="1">
        <f t="array" aca="1" ref="W56" ca="1">IF(INDIRECT(ADDRESS($B56+1,W$38,1,1,"Confirmed Day Zero"))=0,#N/A,INDIRECT(ADDRESS($B56+1,W$38,1,1,"Confirmed Day Zero")))</f>
        <v>2337</v>
      </c>
      <c r="X56" cm="1">
        <f t="array" aca="1" ref="X56" ca="1">IF(INDIRECT(ADDRESS($B56+1,X$38,1,1,"Confirmed Day Zero"))=0,#N/A,INDIRECT(ADDRESS($B56+1,X$38,1,1,"Confirmed Day Zero")))</f>
        <v>2777</v>
      </c>
      <c r="Y56" cm="1">
        <f t="array" aca="1" ref="Y56" ca="1">IF(INDIRECT(ADDRESS($B56+1,Y$38,1,1,"Confirmed Day Zero"))=0,#N/A,INDIRECT(ADDRESS($B56+1,Y$38,1,1,"Confirmed Day Zero")))</f>
        <v>3548</v>
      </c>
      <c r="Z56" cm="1">
        <f t="array" aca="1" ref="Z56" ca="1">IF(INDIRECT(ADDRESS($B56+1,Z$38,1,1,"Confirmed Day Zero"))=0,#N/A,INDIRECT(ADDRESS($B56+1,Z$38,1,1,"Confirmed Day Zero")))</f>
        <v>4149</v>
      </c>
      <c r="AA56" cm="1">
        <f t="array" aca="1" ref="AA56" ca="1">IF(INDIRECT(ADDRESS($B56+1,AA$38,1,1,"Confirmed Day Zero"))=0,#N/A,INDIRECT(ADDRESS($B56+1,AA$38,1,1,"Confirmed Day Zero")))</f>
        <v>4731</v>
      </c>
      <c r="AB56" cm="1">
        <f t="array" aca="1" ref="AB56" ca="1">IF(INDIRECT(ADDRESS($B56+1,AB$38,1,1,"Confirmed Day Zero"))=0,#N/A,INDIRECT(ADDRESS($B56+1,AB$38,1,1,"Confirmed Day Zero")))</f>
        <v>5389</v>
      </c>
      <c r="AC56" cm="1">
        <f t="array" aca="1" ref="AC56" ca="1">IF(INDIRECT(ADDRESS($B56+1,AC$38,1,1,"Confirmed Day Zero"))=0,#N/A,INDIRECT(ADDRESS($B56+1,AC$38,1,1,"Confirmed Day Zero")))</f>
        <v>6343</v>
      </c>
      <c r="AD56" cm="1">
        <f t="array" aca="1" ref="AD56" ca="1">IF(INDIRECT(ADDRESS($B56+1,AD$38,1,1,"Confirmed Day Zero"))=0,#N/A,INDIRECT(ADDRESS($B56+1,AD$38,1,1,"Confirmed Day Zero")))</f>
        <v>7497</v>
      </c>
      <c r="AE56" cm="1">
        <f t="array" aca="1" ref="AE56" ca="1">IF(INDIRECT(ADDRESS($B56+1,AE$38,1,1,"Confirmed Day Zero"))=0,#N/A,INDIRECT(ADDRESS($B56+1,AE$38,1,1,"Confirmed Day Zero")))</f>
        <v>8672</v>
      </c>
      <c r="AF56" cm="1">
        <f t="array" aca="1" ref="AF56" ca="1">IF(INDIRECT(ADDRESS($B56+1,AF$38,1,1,"Confirmed Day Zero"))=0,#N/A,INDIRECT(ADDRESS($B56+1,AF$38,1,1,"Confirmed Day Zero")))</f>
        <v>10131</v>
      </c>
      <c r="AG56" cm="1">
        <f t="array" aca="1" ref="AG56" ca="1">IF(INDIRECT(ADDRESS($B56+1,AG$38,1,1,"Confirmed Day Zero"))=0,#N/A,INDIRECT(ADDRESS($B56+1,AG$38,1,1,"Confirmed Day Zero")))</f>
        <v>11917</v>
      </c>
      <c r="AH56" cm="1">
        <f t="array" aca="1" ref="AH56" ca="1">IF(INDIRECT(ADDRESS($B56+1,AH$38,1,1,"Confirmed Day Zero"))=0,#N/A,INDIRECT(ADDRESS($B56+1,AH$38,1,1,"Confirmed Day Zero")))</f>
        <v>13584</v>
      </c>
      <c r="AI56" cm="1">
        <f t="array" aca="1" ref="AI56" ca="1">IF(INDIRECT(ADDRESS($B56+1,AI$38,1,1,"Confirmed Day Zero"))=0,#N/A,INDIRECT(ADDRESS($B56+1,AI$38,1,1,"Confirmed Day Zero")))</f>
        <v>15770</v>
      </c>
      <c r="AJ56" cm="1">
        <f t="array" aca="1" ref="AJ56" ca="1">IF(INDIRECT(ADDRESS($B56+1,AJ$38,1,1,"Confirmed Day Zero"))=0,#N/A,INDIRECT(ADDRESS($B56+1,AJ$38,1,1,"Confirmed Day Zero")))</f>
        <v>18328</v>
      </c>
      <c r="AK56" cm="1">
        <f t="array" aca="1" ref="AK56" ca="1">IF(INDIRECT(ADDRESS($B56+1,AK$38,1,1,"Confirmed Day Zero"))=0,#N/A,INDIRECT(ADDRESS($B56+1,AK$38,1,1,"Confirmed Day Zero")))</f>
        <v>21102</v>
      </c>
      <c r="AL56" cm="1">
        <f t="array" aca="1" ref="AL56" ca="1">IF(INDIRECT(ADDRESS($B56+1,AL$38,1,1,"Confirmed Day Zero"))=0,#N/A,INDIRECT(ADDRESS($B56+1,AL$38,1,1,"Confirmed Day Zero")))</f>
        <v>24490</v>
      </c>
      <c r="AM56" cm="1">
        <f t="array" aca="1" ref="AM56" ca="1">IF(INDIRECT(ADDRESS($B56+1,AM$38,1,1,"Confirmed Day Zero"))=0,#N/A,INDIRECT(ADDRESS($B56+1,AM$38,1,1,"Confirmed Day Zero")))</f>
        <v>27938</v>
      </c>
      <c r="AN56" cm="1">
        <f t="array" aca="1" ref="AN56" ca="1">IF(INDIRECT(ADDRESS($B56+1,AN$38,1,1,"Confirmed Day Zero"))=0,#N/A,INDIRECT(ADDRESS($B56+1,AN$38,1,1,"Confirmed Day Zero")))</f>
        <v>32008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1:96" x14ac:dyDescent="0.25">
      <c r="A57" t="str">
        <f t="shared" ca="1" si="53"/>
        <v>e</v>
      </c>
      <c r="B57" s="12">
        <f t="shared" si="52"/>
        <v>15</v>
      </c>
      <c r="C57" t="str" cm="1">
        <f t="array" aca="1" ref="C57" ca="1">INDIRECT(ADDRESS($B57+1,1,1,1,"Confirmed Day Zero"))</f>
        <v>Singapore</v>
      </c>
      <c r="D57" s="1" cm="1">
        <f t="array" aca="1" ref="D57" ca="1">IF(INDIRECT(ADDRESS($B57+1,D$38,1,1,"Confirmed Day Zero"))=0,#N/A,INDIRECT(ADDRESS($B57+1,D$38,1,1,"Confirmed Day Zero")))</f>
        <v>5850342</v>
      </c>
      <c r="E57" cm="1">
        <f t="array" aca="1" ref="E57" ca="1">IF(INDIRECT(ADDRESS($B57+1,E$38,1,1,"Confirmed Day Zero"))=0,#N/A,INDIRECT(ADDRESS($B57+1,E$38,1,1,"Confirmed Day Zero")))</f>
        <v>30</v>
      </c>
      <c r="F57" cm="1">
        <f t="array" aca="1" ref="F57" ca="1">IF(INDIRECT(ADDRESS($B57+1,F$38,1,1,"Confirmed Day Zero"))=0,#N/A,INDIRECT(ADDRESS($B57+1,F$38,1,1,"Confirmed Day Zero")))</f>
        <v>33</v>
      </c>
      <c r="G57" cm="1">
        <f t="array" aca="1" ref="G57" ca="1">IF(INDIRECT(ADDRESS($B57+1,G$38,1,1,"Confirmed Day Zero"))=0,#N/A,INDIRECT(ADDRESS($B57+1,G$38,1,1,"Confirmed Day Zero")))</f>
        <v>40</v>
      </c>
      <c r="H57" cm="1">
        <f t="array" aca="1" ref="H57" ca="1">IF(INDIRECT(ADDRESS($B57+1,H$38,1,1,"Confirmed Day Zero"))=0,#N/A,INDIRECT(ADDRESS($B57+1,H$38,1,1,"Confirmed Day Zero")))</f>
        <v>45</v>
      </c>
      <c r="I57" cm="1">
        <f t="array" aca="1" ref="I57" ca="1">IF(INDIRECT(ADDRESS($B57+1,I$38,1,1,"Confirmed Day Zero"))=0,#N/A,INDIRECT(ADDRESS($B57+1,I$38,1,1,"Confirmed Day Zero")))</f>
        <v>47</v>
      </c>
      <c r="J57" cm="1">
        <f t="array" aca="1" ref="J57" ca="1">IF(INDIRECT(ADDRESS($B57+1,J$38,1,1,"Confirmed Day Zero"))=0,#N/A,INDIRECT(ADDRESS($B57+1,J$38,1,1,"Confirmed Day Zero")))</f>
        <v>50</v>
      </c>
      <c r="K57" cm="1">
        <f t="array" aca="1" ref="K57" ca="1">IF(INDIRECT(ADDRESS($B57+1,K$38,1,1,"Confirmed Day Zero"))=0,#N/A,INDIRECT(ADDRESS($B57+1,K$38,1,1,"Confirmed Day Zero")))</f>
        <v>58</v>
      </c>
      <c r="L57" cm="1">
        <f t="array" aca="1" ref="L57" ca="1">IF(INDIRECT(ADDRESS($B57+1,L$38,1,1,"Confirmed Day Zero"))=0,#N/A,INDIRECT(ADDRESS($B57+1,L$38,1,1,"Confirmed Day Zero")))</f>
        <v>67</v>
      </c>
      <c r="M57" cm="1">
        <f t="array" aca="1" ref="M57" ca="1">IF(INDIRECT(ADDRESS($B57+1,M$38,1,1,"Confirmed Day Zero"))=0,#N/A,INDIRECT(ADDRESS($B57+1,M$38,1,1,"Confirmed Day Zero")))</f>
        <v>72</v>
      </c>
      <c r="N57" cm="1">
        <f t="array" aca="1" ref="N57" ca="1">IF(INDIRECT(ADDRESS($B57+1,N$38,1,1,"Confirmed Day Zero"))=0,#N/A,INDIRECT(ADDRESS($B57+1,N$38,1,1,"Confirmed Day Zero")))</f>
        <v>75</v>
      </c>
      <c r="O57" cm="1">
        <f t="array" aca="1" ref="O57" ca="1">IF(INDIRECT(ADDRESS($B57+1,O$38,1,1,"Confirmed Day Zero"))=0,#N/A,INDIRECT(ADDRESS($B57+1,O$38,1,1,"Confirmed Day Zero")))</f>
        <v>77</v>
      </c>
      <c r="P57" cm="1">
        <f t="array" aca="1" ref="P57" ca="1">IF(INDIRECT(ADDRESS($B57+1,P$38,1,1,"Confirmed Day Zero"))=0,#N/A,INDIRECT(ADDRESS($B57+1,P$38,1,1,"Confirmed Day Zero")))</f>
        <v>81</v>
      </c>
      <c r="Q57" cm="1">
        <f t="array" aca="1" ref="Q57" ca="1">IF(INDIRECT(ADDRESS($B57+1,Q$38,1,1,"Confirmed Day Zero"))=0,#N/A,INDIRECT(ADDRESS($B57+1,Q$38,1,1,"Confirmed Day Zero")))</f>
        <v>84</v>
      </c>
      <c r="R57" cm="1">
        <f t="array" aca="1" ref="R57" ca="1">IF(INDIRECT(ADDRESS($B57+1,R$38,1,1,"Confirmed Day Zero"))=0,#N/A,INDIRECT(ADDRESS($B57+1,R$38,1,1,"Confirmed Day Zero")))</f>
        <v>84.5</v>
      </c>
      <c r="S57" cm="1">
        <f t="array" aca="1" ref="S57" ca="1">IF(INDIRECT(ADDRESS($B57+1,S$38,1,1,"Confirmed Day Zero"))=0,#N/A,INDIRECT(ADDRESS($B57+1,S$38,1,1,"Confirmed Day Zero")))</f>
        <v>85</v>
      </c>
      <c r="T57" cm="1">
        <f t="array" aca="1" ref="T57" ca="1">IF(INDIRECT(ADDRESS($B57+1,T$38,1,1,"Confirmed Day Zero"))=0,#N/A,INDIRECT(ADDRESS($B57+1,T$38,1,1,"Confirmed Day Zero")))</f>
        <v>87</v>
      </c>
      <c r="U57" cm="1">
        <f t="array" aca="1" ref="U57" ca="1">IF(INDIRECT(ADDRESS($B57+1,U$38,1,1,"Confirmed Day Zero"))=0,#N/A,INDIRECT(ADDRESS($B57+1,U$38,1,1,"Confirmed Day Zero")))</f>
        <v>89</v>
      </c>
      <c r="V57" cm="1">
        <f t="array" aca="1" ref="V57" ca="1">IF(INDIRECT(ADDRESS($B57+1,V$38,1,1,"Confirmed Day Zero"))=0,#N/A,INDIRECT(ADDRESS($B57+1,V$38,1,1,"Confirmed Day Zero")))</f>
        <v>90</v>
      </c>
      <c r="W57" cm="1">
        <f t="array" aca="1" ref="W57" ca="1">IF(INDIRECT(ADDRESS($B57+1,W$38,1,1,"Confirmed Day Zero"))=0,#N/A,INDIRECT(ADDRESS($B57+1,W$38,1,1,"Confirmed Day Zero")))</f>
        <v>91</v>
      </c>
      <c r="X57" cm="1">
        <f t="array" aca="1" ref="X57" ca="1">IF(INDIRECT(ADDRESS($B57+1,X$38,1,1,"Confirmed Day Zero"))=0,#N/A,INDIRECT(ADDRESS($B57+1,X$38,1,1,"Confirmed Day Zero")))</f>
        <v>93</v>
      </c>
      <c r="Y57" cm="1">
        <f t="array" aca="1" ref="Y57" ca="1">IF(INDIRECT(ADDRESS($B57+1,Y$38,1,1,"Confirmed Day Zero"))=0,#N/A,INDIRECT(ADDRESS($B57+1,Y$38,1,1,"Confirmed Day Zero")))</f>
        <v>96</v>
      </c>
      <c r="Z57" cm="1">
        <f t="array" aca="1" ref="Z57" ca="1">IF(INDIRECT(ADDRESS($B57+1,Z$38,1,1,"Confirmed Day Zero"))=0,#N/A,INDIRECT(ADDRESS($B57+1,Z$38,1,1,"Confirmed Day Zero")))</f>
        <v>99</v>
      </c>
      <c r="AA57" cm="1">
        <f t="array" aca="1" ref="AA57" ca="1">IF(INDIRECT(ADDRESS($B57+1,AA$38,1,1,"Confirmed Day Zero"))=0,#N/A,INDIRECT(ADDRESS($B57+1,AA$38,1,1,"Confirmed Day Zero")))</f>
        <v>102</v>
      </c>
      <c r="AB57" cm="1">
        <f t="array" aca="1" ref="AB57" ca="1">IF(INDIRECT(ADDRESS($B57+1,AB$38,1,1,"Confirmed Day Zero"))=0,#N/A,INDIRECT(ADDRESS($B57+1,AB$38,1,1,"Confirmed Day Zero")))</f>
        <v>106</v>
      </c>
      <c r="AC57" cm="1">
        <f t="array" aca="1" ref="AC57" ca="1">IF(INDIRECT(ADDRESS($B57+1,AC$38,1,1,"Confirmed Day Zero"))=0,#N/A,INDIRECT(ADDRESS($B57+1,AC$38,1,1,"Confirmed Day Zero")))</f>
        <v>108</v>
      </c>
      <c r="AD57" cm="1">
        <f t="array" aca="1" ref="AD57" ca="1">IF(INDIRECT(ADDRESS($B57+1,AD$38,1,1,"Confirmed Day Zero"))=0,#N/A,INDIRECT(ADDRESS($B57+1,AD$38,1,1,"Confirmed Day Zero")))</f>
        <v>110</v>
      </c>
      <c r="AE57" cm="1">
        <f t="array" aca="1" ref="AE57" ca="1">IF(INDIRECT(ADDRESS($B57+1,AE$38,1,1,"Confirmed Day Zero"))=0,#N/A,INDIRECT(ADDRESS($B57+1,AE$38,1,1,"Confirmed Day Zero")))</f>
        <v>113.5</v>
      </c>
      <c r="AF57" cm="1">
        <f t="array" aca="1" ref="AF57" ca="1">IF(INDIRECT(ADDRESS($B57+1,AF$38,1,1,"Confirmed Day Zero"))=0,#N/A,INDIRECT(ADDRESS($B57+1,AF$38,1,1,"Confirmed Day Zero")))</f>
        <v>117</v>
      </c>
      <c r="AG57" cm="1">
        <f t="array" aca="1" ref="AG57" ca="1">IF(INDIRECT(ADDRESS($B57+1,AG$38,1,1,"Confirmed Day Zero"))=0,#N/A,INDIRECT(ADDRESS($B57+1,AG$38,1,1,"Confirmed Day Zero")))</f>
        <v>130</v>
      </c>
      <c r="AH57" cm="1">
        <f t="array" aca="1" ref="AH57" ca="1">IF(INDIRECT(ADDRESS($B57+1,AH$38,1,1,"Confirmed Day Zero"))=0,#N/A,INDIRECT(ADDRESS($B57+1,AH$38,1,1,"Confirmed Day Zero")))</f>
        <v>138</v>
      </c>
      <c r="AI57" cm="1">
        <f t="array" aca="1" ref="AI57" ca="1">IF(INDIRECT(ADDRESS($B57+1,AI$38,1,1,"Confirmed Day Zero"))=0,#N/A,INDIRECT(ADDRESS($B57+1,AI$38,1,1,"Confirmed Day Zero")))</f>
        <v>150</v>
      </c>
      <c r="AJ57" cm="1">
        <f t="array" aca="1" ref="AJ57" ca="1">IF(INDIRECT(ADDRESS($B57+1,AJ$38,1,1,"Confirmed Day Zero"))=0,#N/A,INDIRECT(ADDRESS($B57+1,AJ$38,1,1,"Confirmed Day Zero")))</f>
        <v>155</v>
      </c>
      <c r="AK57" cm="1">
        <f t="array" aca="1" ref="AK57" ca="1">IF(INDIRECT(ADDRESS($B57+1,AK$38,1,1,"Confirmed Day Zero"))=0,#N/A,INDIRECT(ADDRESS($B57+1,AK$38,1,1,"Confirmed Day Zero")))</f>
        <v>160</v>
      </c>
      <c r="AL57" cm="1">
        <f t="array" aca="1" ref="AL57" ca="1">IF(INDIRECT(ADDRESS($B57+1,AL$38,1,1,"Confirmed Day Zero"))=0,#N/A,INDIRECT(ADDRESS($B57+1,AL$38,1,1,"Confirmed Day Zero")))</f>
        <v>178</v>
      </c>
      <c r="AM57" cm="1">
        <f t="array" aca="1" ref="AM57" ca="1">IF(INDIRECT(ADDRESS($B57+1,AM$38,1,1,"Confirmed Day Zero"))=0,#N/A,INDIRECT(ADDRESS($B57+1,AM$38,1,1,"Confirmed Day Zero")))</f>
        <v>189</v>
      </c>
      <c r="AN57" cm="1">
        <f t="array" aca="1" ref="AN57" ca="1">IF(INDIRECT(ADDRESS($B57+1,AN$38,1,1,"Confirmed Day Zero"))=0,#N/A,INDIRECT(ADDRESS($B57+1,AN$38,1,1,"Confirmed Day Zero")))</f>
        <v>200</v>
      </c>
      <c r="AO57" cm="1">
        <f t="array" aca="1" ref="AO57" ca="1">IF(INDIRECT(ADDRESS($B57+1,AO$38,1,1,"Confirmed Day Zero"))=0,#N/A,INDIRECT(ADDRESS($B57+1,AO$38,1,1,"Confirmed Day Zero")))</f>
        <v>212</v>
      </c>
      <c r="AP57" cm="1">
        <f t="array" aca="1" ref="AP57" ca="1">IF(INDIRECT(ADDRESS($B57+1,AP$38,1,1,"Confirmed Day Zero"))=0,#N/A,INDIRECT(ADDRESS($B57+1,AP$38,1,1,"Confirmed Day Zero")))</f>
        <v>226</v>
      </c>
      <c r="AQ57" cm="1">
        <f t="array" aca="1" ref="AQ57" ca="1">IF(INDIRECT(ADDRESS($B57+1,AQ$38,1,1,"Confirmed Day Zero"))=0,#N/A,INDIRECT(ADDRESS($B57+1,AQ$38,1,1,"Confirmed Day Zero")))</f>
        <v>243</v>
      </c>
      <c r="AR57" cm="1">
        <f t="array" aca="1" ref="AR57" ca="1">IF(INDIRECT(ADDRESS($B57+1,AR$38,1,1,"Confirmed Day Zero"))=0,#N/A,INDIRECT(ADDRESS($B57+1,AR$38,1,1,"Confirmed Day Zero")))</f>
        <v>266</v>
      </c>
      <c r="AS57" cm="1">
        <f t="array" aca="1" ref="AS57" ca="1">IF(INDIRECT(ADDRESS($B57+1,AS$38,1,1,"Confirmed Day Zero"))=0,#N/A,INDIRECT(ADDRESS($B57+1,AS$38,1,1,"Confirmed Day Zero")))</f>
        <v>313</v>
      </c>
      <c r="AT57" cm="1">
        <f t="array" aca="1" ref="AT57" ca="1">IF(INDIRECT(ADDRESS($B57+1,AT$38,1,1,"Confirmed Day Zero"))=0,#N/A,INDIRECT(ADDRESS($B57+1,AT$38,1,1,"Confirmed Day Zero")))</f>
        <v>345</v>
      </c>
      <c r="AU57" cm="1">
        <f t="array" aca="1" ref="AU57" ca="1">IF(INDIRECT(ADDRESS($B57+1,AU$38,1,1,"Confirmed Day Zero"))=0,#N/A,INDIRECT(ADDRESS($B57+1,AU$38,1,1,"Confirmed Day Zero")))</f>
        <v>385</v>
      </c>
      <c r="AV57" cm="1">
        <f t="array" aca="1" ref="AV57" ca="1">IF(INDIRECT(ADDRESS($B57+1,AV$38,1,1,"Confirmed Day Zero"))=0,#N/A,INDIRECT(ADDRESS($B57+1,AV$38,1,1,"Confirmed Day Zero")))</f>
        <v>432</v>
      </c>
      <c r="AW57" cm="1">
        <f t="array" aca="1" ref="AW57" ca="1">IF(INDIRECT(ADDRESS($B57+1,AW$38,1,1,"Confirmed Day Zero"))=0,#N/A,INDIRECT(ADDRESS($B57+1,AW$38,1,1,"Confirmed Day Zero")))</f>
        <v>455</v>
      </c>
      <c r="AX57" cm="1">
        <f t="array" aca="1" ref="AX57" ca="1">IF(INDIRECT(ADDRESS($B57+1,AX$38,1,1,"Confirmed Day Zero"))=0,#N/A,INDIRECT(ADDRESS($B57+1,AX$38,1,1,"Confirmed Day Zero")))</f>
        <v>509</v>
      </c>
      <c r="AY57" cm="1">
        <f t="array" aca="1" ref="AY57" ca="1">IF(INDIRECT(ADDRESS($B57+1,AY$38,1,1,"Confirmed Day Zero"))=0,#N/A,INDIRECT(ADDRESS($B57+1,AY$38,1,1,"Confirmed Day Zero")))</f>
        <v>558</v>
      </c>
      <c r="AZ57" cm="1">
        <f t="array" aca="1" ref="AZ57" ca="1">IF(INDIRECT(ADDRESS($B57+1,AZ$38,1,1,"Confirmed Day Zero"))=0,#N/A,INDIRECT(ADDRESS($B57+1,AZ$38,1,1,"Confirmed Day Zero")))</f>
        <v>631</v>
      </c>
      <c r="BA57" cm="1">
        <f t="array" aca="1" ref="BA57" ca="1">IF(INDIRECT(ADDRESS($B57+1,BA$38,1,1,"Confirmed Day Zero"))=0,#N/A,INDIRECT(ADDRESS($B57+1,BA$38,1,1,"Confirmed Day Zero")))</f>
        <v>683</v>
      </c>
      <c r="BB57" cm="1">
        <f t="array" aca="1" ref="BB57" ca="1">IF(INDIRECT(ADDRESS($B57+1,BB$38,1,1,"Confirmed Day Zero"))=0,#N/A,INDIRECT(ADDRESS($B57+1,BB$38,1,1,"Confirmed Day Zero")))</f>
        <v>732</v>
      </c>
      <c r="BC57" cm="1">
        <f t="array" aca="1" ref="BC57" ca="1">IF(INDIRECT(ADDRESS($B57+1,BC$38,1,1,"Confirmed Day Zero"))=0,#N/A,INDIRECT(ADDRESS($B57+1,BC$38,1,1,"Confirmed Day Zero")))</f>
        <v>802</v>
      </c>
      <c r="BD57" cm="1">
        <f t="array" aca="1" ref="BD57" ca="1">IF(INDIRECT(ADDRESS($B57+1,BD$38,1,1,"Confirmed Day Zero"))=0,#N/A,INDIRECT(ADDRESS($B57+1,BD$38,1,1,"Confirmed Day Zero")))</f>
        <v>844</v>
      </c>
      <c r="BE57" cm="1">
        <f t="array" aca="1" ref="BE57" ca="1">IF(INDIRECT(ADDRESS($B57+1,BE$38,1,1,"Confirmed Day Zero"))=0,#N/A,INDIRECT(ADDRESS($B57+1,BE$38,1,1,"Confirmed Day Zero")))</f>
        <v>879</v>
      </c>
      <c r="BF57" cm="1">
        <f t="array" aca="1" ref="BF57" ca="1">IF(INDIRECT(ADDRESS($B57+1,BF$38,1,1,"Confirmed Day Zero"))=0,#N/A,INDIRECT(ADDRESS($B57+1,BF$38,1,1,"Confirmed Day Zero")))</f>
        <v>926</v>
      </c>
      <c r="BG57" cm="1">
        <f t="array" aca="1" ref="BG57" ca="1">IF(INDIRECT(ADDRESS($B57+1,BG$38,1,1,"Confirmed Day Zero"))=0,#N/A,INDIRECT(ADDRESS($B57+1,BG$38,1,1,"Confirmed Day Zero")))</f>
        <v>1000</v>
      </c>
      <c r="BH57" cm="1">
        <f t="array" aca="1" ref="BH57" ca="1">IF(INDIRECT(ADDRESS($B57+1,BH$38,1,1,"Confirmed Day Zero"))=0,#N/A,INDIRECT(ADDRESS($B57+1,BH$38,1,1,"Confirmed Day Zero")))</f>
        <v>1049</v>
      </c>
      <c r="BI57" cm="1">
        <f t="array" aca="1" ref="BI57" ca="1">IF(INDIRECT(ADDRESS($B57+1,BI$38,1,1,"Confirmed Day Zero"))=0,#N/A,INDIRECT(ADDRESS($B57+1,BI$38,1,1,"Confirmed Day Zero")))</f>
        <v>1114</v>
      </c>
      <c r="BJ57" cm="1">
        <f t="array" aca="1" ref="BJ57" ca="1">IF(INDIRECT(ADDRESS($B57+1,BJ$38,1,1,"Confirmed Day Zero"))=0,#N/A,INDIRECT(ADDRESS($B57+1,BJ$38,1,1,"Confirmed Day Zero")))</f>
        <v>1189</v>
      </c>
      <c r="BK57" cm="1">
        <f t="array" aca="1" ref="BK57" ca="1">IF(INDIRECT(ADDRESS($B57+1,BK$38,1,1,"Confirmed Day Zero"))=0,#N/A,INDIRECT(ADDRESS($B57+1,BK$38,1,1,"Confirmed Day Zero")))</f>
        <v>1309</v>
      </c>
      <c r="BL57" cm="1">
        <f t="array" aca="1" ref="BL57" ca="1">IF(INDIRECT(ADDRESS($B57+1,BL$38,1,1,"Confirmed Day Zero"))=0,#N/A,INDIRECT(ADDRESS($B57+1,BL$38,1,1,"Confirmed Day Zero")))</f>
        <v>1375</v>
      </c>
      <c r="BM57" cm="1">
        <f t="array" aca="1" ref="BM57" ca="1">IF(INDIRECT(ADDRESS($B57+1,BM$38,1,1,"Confirmed Day Zero"))=0,#N/A,INDIRECT(ADDRESS($B57+1,BM$38,1,1,"Confirmed Day Zero")))</f>
        <v>1481</v>
      </c>
      <c r="BN57" cm="1">
        <f t="array" aca="1" ref="BN57" ca="1">IF(INDIRECT(ADDRESS($B57+1,BN$38,1,1,"Confirmed Day Zero"))=0,#N/A,INDIRECT(ADDRESS($B57+1,BN$38,1,1,"Confirmed Day Zero")))</f>
        <v>1623</v>
      </c>
      <c r="BO57" cm="1">
        <f t="array" aca="1" ref="BO57" ca="1">IF(INDIRECT(ADDRESS($B57+1,BO$38,1,1,"Confirmed Day Zero"))=0,#N/A,INDIRECT(ADDRESS($B57+1,BO$38,1,1,"Confirmed Day Zero")))</f>
        <v>1910</v>
      </c>
      <c r="BP57" cm="1">
        <f t="array" aca="1" ref="BP57" ca="1">IF(INDIRECT(ADDRESS($B57+1,BP$38,1,1,"Confirmed Day Zero"))=0,#N/A,INDIRECT(ADDRESS($B57+1,BP$38,1,1,"Confirmed Day Zero")))</f>
        <v>2108</v>
      </c>
      <c r="BQ57" cm="1">
        <f t="array" aca="1" ref="BQ57" ca="1">IF(INDIRECT(ADDRESS($B57+1,BQ$38,1,1,"Confirmed Day Zero"))=0,#N/A,INDIRECT(ADDRESS($B57+1,BQ$38,1,1,"Confirmed Day Zero")))</f>
        <v>2299</v>
      </c>
      <c r="BR57" cm="1">
        <f t="array" aca="1" ref="BR57" ca="1">IF(INDIRECT(ADDRESS($B57+1,BR$38,1,1,"Confirmed Day Zero"))=0,#N/A,INDIRECT(ADDRESS($B57+1,BR$38,1,1,"Confirmed Day Zero")))</f>
        <v>2532</v>
      </c>
      <c r="BS57" cm="1">
        <f t="array" aca="1" ref="BS57" ca="1">IF(INDIRECT(ADDRESS($B57+1,BS$38,1,1,"Confirmed Day Zero"))=0,#N/A,INDIRECT(ADDRESS($B57+1,BS$38,1,1,"Confirmed Day Zero")))</f>
        <v>2918</v>
      </c>
      <c r="BT57" cm="1">
        <f t="array" aca="1" ref="BT57" ca="1">IF(INDIRECT(ADDRESS($B57+1,BT$38,1,1,"Confirmed Day Zero"))=0,#N/A,INDIRECT(ADDRESS($B57+1,BT$38,1,1,"Confirmed Day Zero")))</f>
        <v>3252</v>
      </c>
      <c r="BU57" cm="1">
        <f t="array" aca="1" ref="BU57" ca="1">IF(INDIRECT(ADDRESS($B57+1,BU$38,1,1,"Confirmed Day Zero"))=0,#N/A,INDIRECT(ADDRESS($B57+1,BU$38,1,1,"Confirmed Day Zero")))</f>
        <v>3699</v>
      </c>
      <c r="BV57" cm="1">
        <f t="array" aca="1" ref="BV57" ca="1">IF(INDIRECT(ADDRESS($B57+1,BV$38,1,1,"Confirmed Day Zero"))=0,#N/A,INDIRECT(ADDRESS($B57+1,BV$38,1,1,"Confirmed Day Zero")))</f>
        <v>4427</v>
      </c>
      <c r="BW57" cm="1">
        <f t="array" aca="1" ref="BW57" ca="1">IF(INDIRECT(ADDRESS($B57+1,BW$38,1,1,"Confirmed Day Zero"))=0,#N/A,INDIRECT(ADDRESS($B57+1,BW$38,1,1,"Confirmed Day Zero")))</f>
        <v>5050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1:96" x14ac:dyDescent="0.25">
      <c r="A58" t="e">
        <f t="shared" ca="1" si="53"/>
        <v>#VALUE!</v>
      </c>
      <c r="B58" s="12">
        <f t="shared" si="52"/>
        <v>16</v>
      </c>
      <c r="C58" t="str" cm="1">
        <f t="array" aca="1" ref="C58" ca="1">INDIRECT(ADDRESS($B58+1,1,1,1,"Confirmed Day Zero"))</f>
        <v>Spain</v>
      </c>
      <c r="D58" s="1" cm="1">
        <f t="array" aca="1" ref="D58" ca="1">IF(INDIRECT(ADDRESS($B58+1,D$38,1,1,"Confirmed Day Zero"))=0,#N/A,INDIRECT(ADDRESS($B58+1,D$38,1,1,"Confirmed Day Zero")))</f>
        <v>46754778</v>
      </c>
      <c r="E58" cm="1">
        <f t="array" aca="1" ref="E58" ca="1">IF(INDIRECT(ADDRESS($B58+1,E$38,1,1,"Confirmed Day Zero"))=0,#N/A,INDIRECT(ADDRESS($B58+1,E$38,1,1,"Confirmed Day Zero")))</f>
        <v>32</v>
      </c>
      <c r="F58" cm="1">
        <f t="array" aca="1" ref="F58" ca="1">IF(INDIRECT(ADDRESS($B58+1,F$38,1,1,"Confirmed Day Zero"))=0,#N/A,INDIRECT(ADDRESS($B58+1,F$38,1,1,"Confirmed Day Zero")))</f>
        <v>45</v>
      </c>
      <c r="G58" cm="1">
        <f t="array" aca="1" ref="G58" ca="1">IF(INDIRECT(ADDRESS($B58+1,G$38,1,1,"Confirmed Day Zero"))=0,#N/A,INDIRECT(ADDRESS($B58+1,G$38,1,1,"Confirmed Day Zero")))</f>
        <v>84</v>
      </c>
      <c r="H58" cm="1">
        <f t="array" aca="1" ref="H58" ca="1">IF(INDIRECT(ADDRESS($B58+1,H$38,1,1,"Confirmed Day Zero"))=0,#N/A,INDIRECT(ADDRESS($B58+1,H$38,1,1,"Confirmed Day Zero")))</f>
        <v>120</v>
      </c>
      <c r="I58" cm="1">
        <f t="array" aca="1" ref="I58" ca="1">IF(INDIRECT(ADDRESS($B58+1,I$38,1,1,"Confirmed Day Zero"))=0,#N/A,INDIRECT(ADDRESS($B58+1,I$38,1,1,"Confirmed Day Zero")))</f>
        <v>165</v>
      </c>
      <c r="J58" cm="1">
        <f t="array" aca="1" ref="J58" ca="1">IF(INDIRECT(ADDRESS($B58+1,J$38,1,1,"Confirmed Day Zero"))=0,#N/A,INDIRECT(ADDRESS($B58+1,J$38,1,1,"Confirmed Day Zero")))</f>
        <v>222</v>
      </c>
      <c r="K58" cm="1">
        <f t="array" aca="1" ref="K58" ca="1">IF(INDIRECT(ADDRESS($B58+1,K$38,1,1,"Confirmed Day Zero"))=0,#N/A,INDIRECT(ADDRESS($B58+1,K$38,1,1,"Confirmed Day Zero")))</f>
        <v>259</v>
      </c>
      <c r="L58" cm="1">
        <f t="array" aca="1" ref="L58" ca="1">IF(INDIRECT(ADDRESS($B58+1,L$38,1,1,"Confirmed Day Zero"))=0,#N/A,INDIRECT(ADDRESS($B58+1,L$38,1,1,"Confirmed Day Zero")))</f>
        <v>400</v>
      </c>
      <c r="M58" cm="1">
        <f t="array" aca="1" ref="M58" ca="1">IF(INDIRECT(ADDRESS($B58+1,M$38,1,1,"Confirmed Day Zero"))=0,#N/A,INDIRECT(ADDRESS($B58+1,M$38,1,1,"Confirmed Day Zero")))</f>
        <v>500</v>
      </c>
      <c r="N58" cm="1">
        <f t="array" aca="1" ref="N58" ca="1">IF(INDIRECT(ADDRESS($B58+1,N$38,1,1,"Confirmed Day Zero"))=0,#N/A,INDIRECT(ADDRESS($B58+1,N$38,1,1,"Confirmed Day Zero")))</f>
        <v>673</v>
      </c>
      <c r="O58" cm="1">
        <f t="array" aca="1" ref="O58" ca="1">IF(INDIRECT(ADDRESS($B58+1,O$38,1,1,"Confirmed Day Zero"))=0,#N/A,INDIRECT(ADDRESS($B58+1,O$38,1,1,"Confirmed Day Zero")))</f>
        <v>1073</v>
      </c>
      <c r="P58" cm="1">
        <f t="array" aca="1" ref="P58" ca="1">IF(INDIRECT(ADDRESS($B58+1,P$38,1,1,"Confirmed Day Zero"))=0,#N/A,INDIRECT(ADDRESS($B58+1,P$38,1,1,"Confirmed Day Zero")))</f>
        <v>1695</v>
      </c>
      <c r="Q58" cm="1">
        <f t="array" aca="1" ref="Q58" ca="1">IF(INDIRECT(ADDRESS($B58+1,Q$38,1,1,"Confirmed Day Zero"))=0,#N/A,INDIRECT(ADDRESS($B58+1,Q$38,1,1,"Confirmed Day Zero")))</f>
        <v>2277</v>
      </c>
      <c r="R58" cm="1">
        <f t="array" aca="1" ref="R58" ca="1">IF(INDIRECT(ADDRESS($B58+1,R$38,1,1,"Confirmed Day Zero"))=0,#N/A,INDIRECT(ADDRESS($B58+1,R$38,1,1,"Confirmed Day Zero")))</f>
        <v>3754.5</v>
      </c>
      <c r="S58" cm="1">
        <f t="array" aca="1" ref="S58" ca="1">IF(INDIRECT(ADDRESS($B58+1,S$38,1,1,"Confirmed Day Zero"))=0,#N/A,INDIRECT(ADDRESS($B58+1,S$38,1,1,"Confirmed Day Zero")))</f>
        <v>5232</v>
      </c>
      <c r="T58" cm="1">
        <f t="array" aca="1" ref="T58" ca="1">IF(INDIRECT(ADDRESS($B58+1,T$38,1,1,"Confirmed Day Zero"))=0,#N/A,INDIRECT(ADDRESS($B58+1,T$38,1,1,"Confirmed Day Zero")))</f>
        <v>6391</v>
      </c>
      <c r="U58" cm="1">
        <f t="array" aca="1" ref="U58" ca="1">IF(INDIRECT(ADDRESS($B58+1,U$38,1,1,"Confirmed Day Zero"))=0,#N/A,INDIRECT(ADDRESS($B58+1,U$38,1,1,"Confirmed Day Zero")))</f>
        <v>7798</v>
      </c>
      <c r="V58" cm="1">
        <f t="array" aca="1" ref="V58" ca="1">IF(INDIRECT(ADDRESS($B58+1,V$38,1,1,"Confirmed Day Zero"))=0,#N/A,INDIRECT(ADDRESS($B58+1,V$38,1,1,"Confirmed Day Zero")))</f>
        <v>9942</v>
      </c>
      <c r="W58" cm="1">
        <f t="array" aca="1" ref="W58" ca="1">IF(INDIRECT(ADDRESS($B58+1,W$38,1,1,"Confirmed Day Zero"))=0,#N/A,INDIRECT(ADDRESS($B58+1,W$38,1,1,"Confirmed Day Zero")))</f>
        <v>11748</v>
      </c>
      <c r="X58" cm="1">
        <f t="array" aca="1" ref="X58" ca="1">IF(INDIRECT(ADDRESS($B58+1,X$38,1,1,"Confirmed Day Zero"))=0,#N/A,INDIRECT(ADDRESS($B58+1,X$38,1,1,"Confirmed Day Zero")))</f>
        <v>13910</v>
      </c>
      <c r="Y58" cm="1">
        <f t="array" aca="1" ref="Y58" ca="1">IF(INDIRECT(ADDRESS($B58+1,Y$38,1,1,"Confirmed Day Zero"))=0,#N/A,INDIRECT(ADDRESS($B58+1,Y$38,1,1,"Confirmed Day Zero")))</f>
        <v>17963</v>
      </c>
      <c r="Z58" cm="1">
        <f t="array" aca="1" ref="Z58" ca="1">IF(INDIRECT(ADDRESS($B58+1,Z$38,1,1,"Confirmed Day Zero"))=0,#N/A,INDIRECT(ADDRESS($B58+1,Z$38,1,1,"Confirmed Day Zero")))</f>
        <v>20410</v>
      </c>
      <c r="AA58" cm="1">
        <f t="array" aca="1" ref="AA58" ca="1">IF(INDIRECT(ADDRESS($B58+1,AA$38,1,1,"Confirmed Day Zero"))=0,#N/A,INDIRECT(ADDRESS($B58+1,AA$38,1,1,"Confirmed Day Zero")))</f>
        <v>25374</v>
      </c>
      <c r="AB58" cm="1">
        <f t="array" aca="1" ref="AB58" ca="1">IF(INDIRECT(ADDRESS($B58+1,AB$38,1,1,"Confirmed Day Zero"))=0,#N/A,INDIRECT(ADDRESS($B58+1,AB$38,1,1,"Confirmed Day Zero")))</f>
        <v>28768</v>
      </c>
      <c r="AC58" cm="1">
        <f t="array" aca="1" ref="AC58" ca="1">IF(INDIRECT(ADDRESS($B58+1,AC$38,1,1,"Confirmed Day Zero"))=0,#N/A,INDIRECT(ADDRESS($B58+1,AC$38,1,1,"Confirmed Day Zero")))</f>
        <v>35136</v>
      </c>
      <c r="AD58" cm="1">
        <f t="array" aca="1" ref="AD58" ca="1">IF(INDIRECT(ADDRESS($B58+1,AD$38,1,1,"Confirmed Day Zero"))=0,#N/A,INDIRECT(ADDRESS($B58+1,AD$38,1,1,"Confirmed Day Zero")))</f>
        <v>39885</v>
      </c>
      <c r="AE58" cm="1">
        <f t="array" aca="1" ref="AE58" ca="1">IF(INDIRECT(ADDRESS($B58+1,AE$38,1,1,"Confirmed Day Zero"))=0,#N/A,INDIRECT(ADDRESS($B58+1,AE$38,1,1,"Confirmed Day Zero")))</f>
        <v>49515</v>
      </c>
      <c r="AF58" cm="1">
        <f t="array" aca="1" ref="AF58" ca="1">IF(INDIRECT(ADDRESS($B58+1,AF$38,1,1,"Confirmed Day Zero"))=0,#N/A,INDIRECT(ADDRESS($B58+1,AF$38,1,1,"Confirmed Day Zero")))</f>
        <v>57786</v>
      </c>
      <c r="AG58" cm="1">
        <f t="array" aca="1" ref="AG58" ca="1">IF(INDIRECT(ADDRESS($B58+1,AG$38,1,1,"Confirmed Day Zero"))=0,#N/A,INDIRECT(ADDRESS($B58+1,AG$38,1,1,"Confirmed Day Zero")))</f>
        <v>65719</v>
      </c>
      <c r="AH58" cm="1">
        <f t="array" aca="1" ref="AH58" ca="1">IF(INDIRECT(ADDRESS($B58+1,AH$38,1,1,"Confirmed Day Zero"))=0,#N/A,INDIRECT(ADDRESS($B58+1,AH$38,1,1,"Confirmed Day Zero")))</f>
        <v>73235</v>
      </c>
      <c r="AI58" cm="1">
        <f t="array" aca="1" ref="AI58" ca="1">IF(INDIRECT(ADDRESS($B58+1,AI$38,1,1,"Confirmed Day Zero"))=0,#N/A,INDIRECT(ADDRESS($B58+1,AI$38,1,1,"Confirmed Day Zero")))</f>
        <v>80110</v>
      </c>
      <c r="AJ58" cm="1">
        <f t="array" aca="1" ref="AJ58" ca="1">IF(INDIRECT(ADDRESS($B58+1,AJ$38,1,1,"Confirmed Day Zero"))=0,#N/A,INDIRECT(ADDRESS($B58+1,AJ$38,1,1,"Confirmed Day Zero")))</f>
        <v>87956</v>
      </c>
      <c r="AK58" cm="1">
        <f t="array" aca="1" ref="AK58" ca="1">IF(INDIRECT(ADDRESS($B58+1,AK$38,1,1,"Confirmed Day Zero"))=0,#N/A,INDIRECT(ADDRESS($B58+1,AK$38,1,1,"Confirmed Day Zero")))</f>
        <v>95923</v>
      </c>
      <c r="AL58" cm="1">
        <f t="array" aca="1" ref="AL58" ca="1">IF(INDIRECT(ADDRESS($B58+1,AL$38,1,1,"Confirmed Day Zero"))=0,#N/A,INDIRECT(ADDRESS($B58+1,AL$38,1,1,"Confirmed Day Zero")))</f>
        <v>104118</v>
      </c>
      <c r="AM58" cm="1">
        <f t="array" aca="1" ref="AM58" ca="1">IF(INDIRECT(ADDRESS($B58+1,AM$38,1,1,"Confirmed Day Zero"))=0,#N/A,INDIRECT(ADDRESS($B58+1,AM$38,1,1,"Confirmed Day Zero")))</f>
        <v>112065</v>
      </c>
      <c r="AN58" cm="1">
        <f t="array" aca="1" ref="AN58" ca="1">IF(INDIRECT(ADDRESS($B58+1,AN$38,1,1,"Confirmed Day Zero"))=0,#N/A,INDIRECT(ADDRESS($B58+1,AN$38,1,1,"Confirmed Day Zero")))</f>
        <v>119199</v>
      </c>
      <c r="AO58" cm="1">
        <f t="array" aca="1" ref="AO58" ca="1">IF(INDIRECT(ADDRESS($B58+1,AO$38,1,1,"Confirmed Day Zero"))=0,#N/A,INDIRECT(ADDRESS($B58+1,AO$38,1,1,"Confirmed Day Zero")))</f>
        <v>126168</v>
      </c>
      <c r="AP58" cm="1">
        <f t="array" aca="1" ref="AP58" ca="1">IF(INDIRECT(ADDRESS($B58+1,AP$38,1,1,"Confirmed Day Zero"))=0,#N/A,INDIRECT(ADDRESS($B58+1,AP$38,1,1,"Confirmed Day Zero")))</f>
        <v>131646</v>
      </c>
      <c r="AQ58" cm="1">
        <f t="array" aca="1" ref="AQ58" ca="1">IF(INDIRECT(ADDRESS($B58+1,AQ$38,1,1,"Confirmed Day Zero"))=0,#N/A,INDIRECT(ADDRESS($B58+1,AQ$38,1,1,"Confirmed Day Zero")))</f>
        <v>136675</v>
      </c>
      <c r="AR58" cm="1">
        <f t="array" aca="1" ref="AR58" ca="1">IF(INDIRECT(ADDRESS($B58+1,AR$38,1,1,"Confirmed Day Zero"))=0,#N/A,INDIRECT(ADDRESS($B58+1,AR$38,1,1,"Confirmed Day Zero")))</f>
        <v>141942</v>
      </c>
      <c r="AS58" cm="1">
        <f t="array" aca="1" ref="AS58" ca="1">IF(INDIRECT(ADDRESS($B58+1,AS$38,1,1,"Confirmed Day Zero"))=0,#N/A,INDIRECT(ADDRESS($B58+1,AS$38,1,1,"Confirmed Day Zero")))</f>
        <v>148220</v>
      </c>
      <c r="AT58" cm="1">
        <f t="array" aca="1" ref="AT58" ca="1">IF(INDIRECT(ADDRESS($B58+1,AT$38,1,1,"Confirmed Day Zero"))=0,#N/A,INDIRECT(ADDRESS($B58+1,AT$38,1,1,"Confirmed Day Zero")))</f>
        <v>153222</v>
      </c>
      <c r="AU58" cm="1">
        <f t="array" aca="1" ref="AU58" ca="1">IF(INDIRECT(ADDRESS($B58+1,AU$38,1,1,"Confirmed Day Zero"))=0,#N/A,INDIRECT(ADDRESS($B58+1,AU$38,1,1,"Confirmed Day Zero")))</f>
        <v>158273</v>
      </c>
      <c r="AV58" cm="1">
        <f t="array" aca="1" ref="AV58" ca="1">IF(INDIRECT(ADDRESS($B58+1,AV$38,1,1,"Confirmed Day Zero"))=0,#N/A,INDIRECT(ADDRESS($B58+1,AV$38,1,1,"Confirmed Day Zero")))</f>
        <v>163027</v>
      </c>
      <c r="AW58" cm="1">
        <f t="array" aca="1" ref="AW58" ca="1">IF(INDIRECT(ADDRESS($B58+1,AW$38,1,1,"Confirmed Day Zero"))=0,#N/A,INDIRECT(ADDRESS($B58+1,AW$38,1,1,"Confirmed Day Zero")))</f>
        <v>166831</v>
      </c>
      <c r="AX58" cm="1">
        <f t="array" aca="1" ref="AX58" ca="1">IF(INDIRECT(ADDRESS($B58+1,AX$38,1,1,"Confirmed Day Zero"))=0,#N/A,INDIRECT(ADDRESS($B58+1,AX$38,1,1,"Confirmed Day Zero")))</f>
        <v>170099</v>
      </c>
      <c r="AY58" cm="1">
        <f t="array" aca="1" ref="AY58" ca="1">IF(INDIRECT(ADDRESS($B58+1,AY$38,1,1,"Confirmed Day Zero"))=0,#N/A,INDIRECT(ADDRESS($B58+1,AY$38,1,1,"Confirmed Day Zero")))</f>
        <v>172541</v>
      </c>
      <c r="AZ58" cm="1">
        <f t="array" aca="1" ref="AZ58" ca="1">IF(INDIRECT(ADDRESS($B58+1,AZ$38,1,1,"Confirmed Day Zero"))=0,#N/A,INDIRECT(ADDRESS($B58+1,AZ$38,1,1,"Confirmed Day Zero")))</f>
        <v>177644</v>
      </c>
      <c r="BA58" cm="1">
        <f t="array" aca="1" ref="BA58" ca="1">IF(INDIRECT(ADDRESS($B58+1,BA$38,1,1,"Confirmed Day Zero"))=0,#N/A,INDIRECT(ADDRESS($B58+1,BA$38,1,1,"Confirmed Day Zero")))</f>
        <v>184948</v>
      </c>
      <c r="BB58" cm="1">
        <f t="array" aca="1" ref="BB58" ca="1">IF(INDIRECT(ADDRESS($B58+1,BB$38,1,1,"Confirmed Day Zero"))=0,#N/A,INDIRECT(ADDRESS($B58+1,BB$38,1,1,"Confirmed Day Zero")))</f>
        <v>190839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1:96" x14ac:dyDescent="0.25">
      <c r="A59" t="e">
        <f t="shared" ca="1" si="53"/>
        <v>#VALUE!</v>
      </c>
      <c r="B59" s="12">
        <f t="shared" si="52"/>
        <v>17</v>
      </c>
      <c r="C59" t="str" cm="1">
        <f t="array" aca="1" ref="C59" ca="1">INDIRECT(ADDRESS($B59+1,1,1,1,"Confirmed Day Zero"))</f>
        <v>Sweden</v>
      </c>
      <c r="D59" s="1" cm="1">
        <f t="array" aca="1" ref="D59" ca="1">IF(INDIRECT(ADDRESS($B59+1,D$38,1,1,"Confirmed Day Zero"))=0,#N/A,INDIRECT(ADDRESS($B59+1,D$38,1,1,"Confirmed Day Zero")))</f>
        <v>10099265</v>
      </c>
      <c r="E59" cm="1">
        <f t="array" aca="1" ref="E59" ca="1">IF(INDIRECT(ADDRESS($B59+1,E$38,1,1,"Confirmed Day Zero"))=0,#N/A,INDIRECT(ADDRESS($B59+1,E$38,1,1,"Confirmed Day Zero")))</f>
        <v>35</v>
      </c>
      <c r="F59" cm="1">
        <f t="array" aca="1" ref="F59" ca="1">IF(INDIRECT(ADDRESS($B59+1,F$38,1,1,"Confirmed Day Zero"))=0,#N/A,INDIRECT(ADDRESS($B59+1,F$38,1,1,"Confirmed Day Zero")))</f>
        <v>94</v>
      </c>
      <c r="G59" cm="1">
        <f t="array" aca="1" ref="G59" ca="1">IF(INDIRECT(ADDRESS($B59+1,G$38,1,1,"Confirmed Day Zero"))=0,#N/A,INDIRECT(ADDRESS($B59+1,G$38,1,1,"Confirmed Day Zero")))</f>
        <v>101</v>
      </c>
      <c r="H59" cm="1">
        <f t="array" aca="1" ref="H59" ca="1">IF(INDIRECT(ADDRESS($B59+1,H$38,1,1,"Confirmed Day Zero"))=0,#N/A,INDIRECT(ADDRESS($B59+1,H$38,1,1,"Confirmed Day Zero")))</f>
        <v>161</v>
      </c>
      <c r="I59" cm="1">
        <f t="array" aca="1" ref="I59" ca="1">IF(INDIRECT(ADDRESS($B59+1,I$38,1,1,"Confirmed Day Zero"))=0,#N/A,INDIRECT(ADDRESS($B59+1,I$38,1,1,"Confirmed Day Zero")))</f>
        <v>203</v>
      </c>
      <c r="J59" cm="1">
        <f t="array" aca="1" ref="J59" ca="1">IF(INDIRECT(ADDRESS($B59+1,J$38,1,1,"Confirmed Day Zero"))=0,#N/A,INDIRECT(ADDRESS($B59+1,J$38,1,1,"Confirmed Day Zero")))</f>
        <v>248</v>
      </c>
      <c r="K59" cm="1">
        <f t="array" aca="1" ref="K59" ca="1">IF(INDIRECT(ADDRESS($B59+1,K$38,1,1,"Confirmed Day Zero"))=0,#N/A,INDIRECT(ADDRESS($B59+1,K$38,1,1,"Confirmed Day Zero")))</f>
        <v>355</v>
      </c>
      <c r="L59" cm="1">
        <f t="array" aca="1" ref="L59" ca="1">IF(INDIRECT(ADDRESS($B59+1,L$38,1,1,"Confirmed Day Zero"))=0,#N/A,INDIRECT(ADDRESS($B59+1,L$38,1,1,"Confirmed Day Zero")))</f>
        <v>500</v>
      </c>
      <c r="M59" cm="1">
        <f t="array" aca="1" ref="M59" ca="1">IF(INDIRECT(ADDRESS($B59+1,M$38,1,1,"Confirmed Day Zero"))=0,#N/A,INDIRECT(ADDRESS($B59+1,M$38,1,1,"Confirmed Day Zero")))</f>
        <v>599</v>
      </c>
      <c r="N59" cm="1">
        <f t="array" aca="1" ref="N59" ca="1">IF(INDIRECT(ADDRESS($B59+1,N$38,1,1,"Confirmed Day Zero"))=0,#N/A,INDIRECT(ADDRESS($B59+1,N$38,1,1,"Confirmed Day Zero")))</f>
        <v>814</v>
      </c>
      <c r="O59" cm="1">
        <f t="array" aca="1" ref="O59" ca="1">IF(INDIRECT(ADDRESS($B59+1,O$38,1,1,"Confirmed Day Zero"))=0,#N/A,INDIRECT(ADDRESS($B59+1,O$38,1,1,"Confirmed Day Zero")))</f>
        <v>961</v>
      </c>
      <c r="P59" cm="1">
        <f t="array" aca="1" ref="P59" ca="1">IF(INDIRECT(ADDRESS($B59+1,P$38,1,1,"Confirmed Day Zero"))=0,#N/A,INDIRECT(ADDRESS($B59+1,P$38,1,1,"Confirmed Day Zero")))</f>
        <v>1022</v>
      </c>
      <c r="Q59" cm="1">
        <f t="array" aca="1" ref="Q59" ca="1">IF(INDIRECT(ADDRESS($B59+1,Q$38,1,1,"Confirmed Day Zero"))=0,#N/A,INDIRECT(ADDRESS($B59+1,Q$38,1,1,"Confirmed Day Zero")))</f>
        <v>1103</v>
      </c>
      <c r="R59" cm="1">
        <f t="array" aca="1" ref="R59" ca="1">IF(INDIRECT(ADDRESS($B59+1,R$38,1,1,"Confirmed Day Zero"))=0,#N/A,INDIRECT(ADDRESS($B59+1,R$38,1,1,"Confirmed Day Zero")))</f>
        <v>1190</v>
      </c>
      <c r="S59" cm="1">
        <f t="array" aca="1" ref="S59" ca="1">IF(INDIRECT(ADDRESS($B59+1,S$38,1,1,"Confirmed Day Zero"))=0,#N/A,INDIRECT(ADDRESS($B59+1,S$38,1,1,"Confirmed Day Zero")))</f>
        <v>1279</v>
      </c>
      <c r="T59" cm="1">
        <f t="array" aca="1" ref="T59" ca="1">IF(INDIRECT(ADDRESS($B59+1,T$38,1,1,"Confirmed Day Zero"))=0,#N/A,INDIRECT(ADDRESS($B59+1,T$38,1,1,"Confirmed Day Zero")))</f>
        <v>1439</v>
      </c>
      <c r="U59" cm="1">
        <f t="array" aca="1" ref="U59" ca="1">IF(INDIRECT(ADDRESS($B59+1,U$38,1,1,"Confirmed Day Zero"))=0,#N/A,INDIRECT(ADDRESS($B59+1,U$38,1,1,"Confirmed Day Zero")))</f>
        <v>1639</v>
      </c>
      <c r="V59" cm="1">
        <f t="array" aca="1" ref="V59" ca="1">IF(INDIRECT(ADDRESS($B59+1,V$38,1,1,"Confirmed Day Zero"))=0,#N/A,INDIRECT(ADDRESS($B59+1,V$38,1,1,"Confirmed Day Zero")))</f>
        <v>1763</v>
      </c>
      <c r="W59" cm="1">
        <f t="array" aca="1" ref="W59" ca="1">IF(INDIRECT(ADDRESS($B59+1,W$38,1,1,"Confirmed Day Zero"))=0,#N/A,INDIRECT(ADDRESS($B59+1,W$38,1,1,"Confirmed Day Zero")))</f>
        <v>1934</v>
      </c>
      <c r="X59" cm="1">
        <f t="array" aca="1" ref="X59" ca="1">IF(INDIRECT(ADDRESS($B59+1,X$38,1,1,"Confirmed Day Zero"))=0,#N/A,INDIRECT(ADDRESS($B59+1,X$38,1,1,"Confirmed Day Zero")))</f>
        <v>2046</v>
      </c>
      <c r="Y59" cm="1">
        <f t="array" aca="1" ref="Y59" ca="1">IF(INDIRECT(ADDRESS($B59+1,Y$38,1,1,"Confirmed Day Zero"))=0,#N/A,INDIRECT(ADDRESS($B59+1,Y$38,1,1,"Confirmed Day Zero")))</f>
        <v>2286</v>
      </c>
      <c r="Z59" cm="1">
        <f t="array" aca="1" ref="Z59" ca="1">IF(INDIRECT(ADDRESS($B59+1,Z$38,1,1,"Confirmed Day Zero"))=0,#N/A,INDIRECT(ADDRESS($B59+1,Z$38,1,1,"Confirmed Day Zero")))</f>
        <v>2526</v>
      </c>
      <c r="AA59" cm="1">
        <f t="array" aca="1" ref="AA59" ca="1">IF(INDIRECT(ADDRESS($B59+1,AA$38,1,1,"Confirmed Day Zero"))=0,#N/A,INDIRECT(ADDRESS($B59+1,AA$38,1,1,"Confirmed Day Zero")))</f>
        <v>2840</v>
      </c>
      <c r="AB59" cm="1">
        <f t="array" aca="1" ref="AB59" ca="1">IF(INDIRECT(ADDRESS($B59+1,AB$38,1,1,"Confirmed Day Zero"))=0,#N/A,INDIRECT(ADDRESS($B59+1,AB$38,1,1,"Confirmed Day Zero")))</f>
        <v>3069</v>
      </c>
      <c r="AC59" cm="1">
        <f t="array" aca="1" ref="AC59" ca="1">IF(INDIRECT(ADDRESS($B59+1,AC$38,1,1,"Confirmed Day Zero"))=0,#N/A,INDIRECT(ADDRESS($B59+1,AC$38,1,1,"Confirmed Day Zero")))</f>
        <v>3447</v>
      </c>
      <c r="AD59" cm="1">
        <f t="array" aca="1" ref="AD59" ca="1">IF(INDIRECT(ADDRESS($B59+1,AD$38,1,1,"Confirmed Day Zero"))=0,#N/A,INDIRECT(ADDRESS($B59+1,AD$38,1,1,"Confirmed Day Zero")))</f>
        <v>3700</v>
      </c>
      <c r="AE59" cm="1">
        <f t="array" aca="1" ref="AE59" ca="1">IF(INDIRECT(ADDRESS($B59+1,AE$38,1,1,"Confirmed Day Zero"))=0,#N/A,INDIRECT(ADDRESS($B59+1,AE$38,1,1,"Confirmed Day Zero")))</f>
        <v>4028</v>
      </c>
      <c r="AF59" cm="1">
        <f t="array" aca="1" ref="AF59" ca="1">IF(INDIRECT(ADDRESS($B59+1,AF$38,1,1,"Confirmed Day Zero"))=0,#N/A,INDIRECT(ADDRESS($B59+1,AF$38,1,1,"Confirmed Day Zero")))</f>
        <v>4435</v>
      </c>
      <c r="AG59" cm="1">
        <f t="array" aca="1" ref="AG59" ca="1">IF(INDIRECT(ADDRESS($B59+1,AG$38,1,1,"Confirmed Day Zero"))=0,#N/A,INDIRECT(ADDRESS($B59+1,AG$38,1,1,"Confirmed Day Zero")))</f>
        <v>4947</v>
      </c>
      <c r="AH59" cm="1">
        <f t="array" aca="1" ref="AH59" ca="1">IF(INDIRECT(ADDRESS($B59+1,AH$38,1,1,"Confirmed Day Zero"))=0,#N/A,INDIRECT(ADDRESS($B59+1,AH$38,1,1,"Confirmed Day Zero")))</f>
        <v>5568</v>
      </c>
      <c r="AI59" cm="1">
        <f t="array" aca="1" ref="AI59" ca="1">IF(INDIRECT(ADDRESS($B59+1,AI$38,1,1,"Confirmed Day Zero"))=0,#N/A,INDIRECT(ADDRESS($B59+1,AI$38,1,1,"Confirmed Day Zero")))</f>
        <v>6131</v>
      </c>
      <c r="AJ59" cm="1">
        <f t="array" aca="1" ref="AJ59" ca="1">IF(INDIRECT(ADDRESS($B59+1,AJ$38,1,1,"Confirmed Day Zero"))=0,#N/A,INDIRECT(ADDRESS($B59+1,AJ$38,1,1,"Confirmed Day Zero")))</f>
        <v>6443</v>
      </c>
      <c r="AK59" cm="1">
        <f t="array" aca="1" ref="AK59" ca="1">IF(INDIRECT(ADDRESS($B59+1,AK$38,1,1,"Confirmed Day Zero"))=0,#N/A,INDIRECT(ADDRESS($B59+1,AK$38,1,1,"Confirmed Day Zero")))</f>
        <v>6830</v>
      </c>
      <c r="AL59" cm="1">
        <f t="array" aca="1" ref="AL59" ca="1">IF(INDIRECT(ADDRESS($B59+1,AL$38,1,1,"Confirmed Day Zero"))=0,#N/A,INDIRECT(ADDRESS($B59+1,AL$38,1,1,"Confirmed Day Zero")))</f>
        <v>7206</v>
      </c>
      <c r="AM59" cm="1">
        <f t="array" aca="1" ref="AM59" ca="1">IF(INDIRECT(ADDRESS($B59+1,AM$38,1,1,"Confirmed Day Zero"))=0,#N/A,INDIRECT(ADDRESS($B59+1,AM$38,1,1,"Confirmed Day Zero")))</f>
        <v>7693</v>
      </c>
      <c r="AN59" cm="1">
        <f t="array" aca="1" ref="AN59" ca="1">IF(INDIRECT(ADDRESS($B59+1,AN$38,1,1,"Confirmed Day Zero"))=0,#N/A,INDIRECT(ADDRESS($B59+1,AN$38,1,1,"Confirmed Day Zero")))</f>
        <v>8419</v>
      </c>
      <c r="AO59" cm="1">
        <f t="array" aca="1" ref="AO59" ca="1">IF(INDIRECT(ADDRESS($B59+1,AO$38,1,1,"Confirmed Day Zero"))=0,#N/A,INDIRECT(ADDRESS($B59+1,AO$38,1,1,"Confirmed Day Zero")))</f>
        <v>9141</v>
      </c>
      <c r="AP59" cm="1">
        <f t="array" aca="1" ref="AP59" ca="1">IF(INDIRECT(ADDRESS($B59+1,AP$38,1,1,"Confirmed Day Zero"))=0,#N/A,INDIRECT(ADDRESS($B59+1,AP$38,1,1,"Confirmed Day Zero")))</f>
        <v>9685</v>
      </c>
      <c r="AQ59" cm="1">
        <f t="array" aca="1" ref="AQ59" ca="1">IF(INDIRECT(ADDRESS($B59+1,AQ$38,1,1,"Confirmed Day Zero"))=0,#N/A,INDIRECT(ADDRESS($B59+1,AQ$38,1,1,"Confirmed Day Zero")))</f>
        <v>10151</v>
      </c>
      <c r="AR59" cm="1">
        <f t="array" aca="1" ref="AR59" ca="1">IF(INDIRECT(ADDRESS($B59+1,AR$38,1,1,"Confirmed Day Zero"))=0,#N/A,INDIRECT(ADDRESS($B59+1,AR$38,1,1,"Confirmed Day Zero")))</f>
        <v>10483</v>
      </c>
      <c r="AS59" cm="1">
        <f t="array" aca="1" ref="AS59" ca="1">IF(INDIRECT(ADDRESS($B59+1,AS$38,1,1,"Confirmed Day Zero"))=0,#N/A,INDIRECT(ADDRESS($B59+1,AS$38,1,1,"Confirmed Day Zero")))</f>
        <v>10948</v>
      </c>
      <c r="AT59" cm="1">
        <f t="array" aca="1" ref="AT59" ca="1">IF(INDIRECT(ADDRESS($B59+1,AT$38,1,1,"Confirmed Day Zero"))=0,#N/A,INDIRECT(ADDRESS($B59+1,AT$38,1,1,"Confirmed Day Zero")))</f>
        <v>11445</v>
      </c>
      <c r="AU59" cm="1">
        <f t="array" aca="1" ref="AU59" ca="1">IF(INDIRECT(ADDRESS($B59+1,AU$38,1,1,"Confirmed Day Zero"))=0,#N/A,INDIRECT(ADDRESS($B59+1,AU$38,1,1,"Confirmed Day Zero")))</f>
        <v>11927</v>
      </c>
      <c r="AV59" cm="1">
        <f t="array" aca="1" ref="AV59" ca="1">IF(INDIRECT(ADDRESS($B59+1,AV$38,1,1,"Confirmed Day Zero"))=0,#N/A,INDIRECT(ADDRESS($B59+1,AV$38,1,1,"Confirmed Day Zero")))</f>
        <v>12540</v>
      </c>
      <c r="AW59" cm="1">
        <f t="array" aca="1" ref="AW59" ca="1">IF(INDIRECT(ADDRESS($B59+1,AW$38,1,1,"Confirmed Day Zero"))=0,#N/A,INDIRECT(ADDRESS($B59+1,AW$38,1,1,"Confirmed Day Zero")))</f>
        <v>13216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1:96" x14ac:dyDescent="0.25">
      <c r="A60" t="str">
        <f t="shared" ca="1" si="53"/>
        <v>and</v>
      </c>
      <c r="B60" s="12">
        <f t="shared" si="52"/>
        <v>18</v>
      </c>
      <c r="C60" t="str" cm="1">
        <f t="array" aca="1" ref="C60" ca="1">INDIRECT(ADDRESS($B60+1,1,1,1,"Confirmed Day Zero"))</f>
        <v>Switzerland</v>
      </c>
      <c r="D60" s="1" cm="1">
        <f t="array" aca="1" ref="D60" ca="1">IF(INDIRECT(ADDRESS($B60+1,D$38,1,1,"Confirmed Day Zero"))=0,#N/A,INDIRECT(ADDRESS($B60+1,D$38,1,1,"Confirmed Day Zero")))</f>
        <v>8654622</v>
      </c>
      <c r="E60" cm="1">
        <f t="array" aca="1" ref="E60" ca="1">IF(INDIRECT(ADDRESS($B60+1,E$38,1,1,"Confirmed Day Zero"))=0,#N/A,INDIRECT(ADDRESS($B60+1,E$38,1,1,"Confirmed Day Zero")))</f>
        <v>42</v>
      </c>
      <c r="F60" cm="1">
        <f t="array" aca="1" ref="F60" ca="1">IF(INDIRECT(ADDRESS($B60+1,F$38,1,1,"Confirmed Day Zero"))=0,#N/A,INDIRECT(ADDRESS($B60+1,F$38,1,1,"Confirmed Day Zero")))</f>
        <v>56</v>
      </c>
      <c r="G60" cm="1">
        <f t="array" aca="1" ref="G60" ca="1">IF(INDIRECT(ADDRESS($B60+1,G$38,1,1,"Confirmed Day Zero"))=0,#N/A,INDIRECT(ADDRESS($B60+1,G$38,1,1,"Confirmed Day Zero")))</f>
        <v>90</v>
      </c>
      <c r="H60" cm="1">
        <f t="array" aca="1" ref="H60" ca="1">IF(INDIRECT(ADDRESS($B60+1,H$38,1,1,"Confirmed Day Zero"))=0,#N/A,INDIRECT(ADDRESS($B60+1,H$38,1,1,"Confirmed Day Zero")))</f>
        <v>114</v>
      </c>
      <c r="I60" cm="1">
        <f t="array" aca="1" ref="I60" ca="1">IF(INDIRECT(ADDRESS($B60+1,I$38,1,1,"Confirmed Day Zero"))=0,#N/A,INDIRECT(ADDRESS($B60+1,I$38,1,1,"Confirmed Day Zero")))</f>
        <v>214</v>
      </c>
      <c r="J60" cm="1">
        <f t="array" aca="1" ref="J60" ca="1">IF(INDIRECT(ADDRESS($B60+1,J$38,1,1,"Confirmed Day Zero"))=0,#N/A,INDIRECT(ADDRESS($B60+1,J$38,1,1,"Confirmed Day Zero")))</f>
        <v>268</v>
      </c>
      <c r="K60" cm="1">
        <f t="array" aca="1" ref="K60" ca="1">IF(INDIRECT(ADDRESS($B60+1,K$38,1,1,"Confirmed Day Zero"))=0,#N/A,INDIRECT(ADDRESS($B60+1,K$38,1,1,"Confirmed Day Zero")))</f>
        <v>337</v>
      </c>
      <c r="L60" cm="1">
        <f t="array" aca="1" ref="L60" ca="1">IF(INDIRECT(ADDRESS($B60+1,L$38,1,1,"Confirmed Day Zero"))=0,#N/A,INDIRECT(ADDRESS($B60+1,L$38,1,1,"Confirmed Day Zero")))</f>
        <v>374</v>
      </c>
      <c r="M60" cm="1">
        <f t="array" aca="1" ref="M60" ca="1">IF(INDIRECT(ADDRESS($B60+1,M$38,1,1,"Confirmed Day Zero"))=0,#N/A,INDIRECT(ADDRESS($B60+1,M$38,1,1,"Confirmed Day Zero")))</f>
        <v>491</v>
      </c>
      <c r="N60" cm="1">
        <f t="array" aca="1" ref="N60" ca="1">IF(INDIRECT(ADDRESS($B60+1,N$38,1,1,"Confirmed Day Zero"))=0,#N/A,INDIRECT(ADDRESS($B60+1,N$38,1,1,"Confirmed Day Zero")))</f>
        <v>652</v>
      </c>
      <c r="O60" cm="1">
        <f t="array" aca="1" ref="O60" ca="1">IF(INDIRECT(ADDRESS($B60+1,O$38,1,1,"Confirmed Day Zero"))=0,#N/A,INDIRECT(ADDRESS($B60+1,O$38,1,1,"Confirmed Day Zero")))</f>
        <v>895.5</v>
      </c>
      <c r="P60" cm="1">
        <f t="array" aca="1" ref="P60" ca="1">IF(INDIRECT(ADDRESS($B60+1,P$38,1,1,"Confirmed Day Zero"))=0,#N/A,INDIRECT(ADDRESS($B60+1,P$38,1,1,"Confirmed Day Zero")))</f>
        <v>1139</v>
      </c>
      <c r="Q60" cm="1">
        <f t="array" aca="1" ref="Q60" ca="1">IF(INDIRECT(ADDRESS($B60+1,Q$38,1,1,"Confirmed Day Zero"))=0,#N/A,INDIRECT(ADDRESS($B60+1,Q$38,1,1,"Confirmed Day Zero")))</f>
        <v>1359</v>
      </c>
      <c r="R60" cm="1">
        <f t="array" aca="1" ref="R60" ca="1">IF(INDIRECT(ADDRESS($B60+1,R$38,1,1,"Confirmed Day Zero"))=0,#N/A,INDIRECT(ADDRESS($B60+1,R$38,1,1,"Confirmed Day Zero")))</f>
        <v>2200</v>
      </c>
      <c r="S60" cm="1">
        <f t="array" aca="1" ref="S60" ca="1">IF(INDIRECT(ADDRESS($B60+1,S$38,1,1,"Confirmed Day Zero"))=0,#N/A,INDIRECT(ADDRESS($B60+1,S$38,1,1,"Confirmed Day Zero")))</f>
        <v>2450</v>
      </c>
      <c r="T60" cm="1">
        <f t="array" aca="1" ref="T60" ca="1">IF(INDIRECT(ADDRESS($B60+1,T$38,1,1,"Confirmed Day Zero"))=0,#N/A,INDIRECT(ADDRESS($B60+1,T$38,1,1,"Confirmed Day Zero")))</f>
        <v>2700</v>
      </c>
      <c r="U60" cm="1">
        <f t="array" aca="1" ref="U60" ca="1">IF(INDIRECT(ADDRESS($B60+1,U$38,1,1,"Confirmed Day Zero"))=0,#N/A,INDIRECT(ADDRESS($B60+1,U$38,1,1,"Confirmed Day Zero")))</f>
        <v>3028</v>
      </c>
      <c r="V60" cm="1">
        <f t="array" aca="1" ref="V60" ca="1">IF(INDIRECT(ADDRESS($B60+1,V$38,1,1,"Confirmed Day Zero"))=0,#N/A,INDIRECT(ADDRESS($B60+1,V$38,1,1,"Confirmed Day Zero")))</f>
        <v>4075</v>
      </c>
      <c r="W60" cm="1">
        <f t="array" aca="1" ref="W60" ca="1">IF(INDIRECT(ADDRESS($B60+1,W$38,1,1,"Confirmed Day Zero"))=0,#N/A,INDIRECT(ADDRESS($B60+1,W$38,1,1,"Confirmed Day Zero")))</f>
        <v>5294</v>
      </c>
      <c r="X60" cm="1">
        <f t="array" aca="1" ref="X60" ca="1">IF(INDIRECT(ADDRESS($B60+1,X$38,1,1,"Confirmed Day Zero"))=0,#N/A,INDIRECT(ADDRESS($B60+1,X$38,1,1,"Confirmed Day Zero")))</f>
        <v>6575</v>
      </c>
      <c r="Y60" cm="1">
        <f t="array" aca="1" ref="Y60" ca="1">IF(INDIRECT(ADDRESS($B60+1,Y$38,1,1,"Confirmed Day Zero"))=0,#N/A,INDIRECT(ADDRESS($B60+1,Y$38,1,1,"Confirmed Day Zero")))</f>
        <v>7474</v>
      </c>
      <c r="Z60" cm="1">
        <f t="array" aca="1" ref="Z60" ca="1">IF(INDIRECT(ADDRESS($B60+1,Z$38,1,1,"Confirmed Day Zero"))=0,#N/A,INDIRECT(ADDRESS($B60+1,Z$38,1,1,"Confirmed Day Zero")))</f>
        <v>8795</v>
      </c>
      <c r="AA60" cm="1">
        <f t="array" aca="1" ref="AA60" ca="1">IF(INDIRECT(ADDRESS($B60+1,AA$38,1,1,"Confirmed Day Zero"))=0,#N/A,INDIRECT(ADDRESS($B60+1,AA$38,1,1,"Confirmed Day Zero")))</f>
        <v>9877</v>
      </c>
      <c r="AB60" cm="1">
        <f t="array" aca="1" ref="AB60" ca="1">IF(INDIRECT(ADDRESS($B60+1,AB$38,1,1,"Confirmed Day Zero"))=0,#N/A,INDIRECT(ADDRESS($B60+1,AB$38,1,1,"Confirmed Day Zero")))</f>
        <v>10897</v>
      </c>
      <c r="AC60" cm="1">
        <f t="array" aca="1" ref="AC60" ca="1">IF(INDIRECT(ADDRESS($B60+1,AC$38,1,1,"Confirmed Day Zero"))=0,#N/A,INDIRECT(ADDRESS($B60+1,AC$38,1,1,"Confirmed Day Zero")))</f>
        <v>11811</v>
      </c>
      <c r="AD60" cm="1">
        <f t="array" aca="1" ref="AD60" ca="1">IF(INDIRECT(ADDRESS($B60+1,AD$38,1,1,"Confirmed Day Zero"))=0,#N/A,INDIRECT(ADDRESS($B60+1,AD$38,1,1,"Confirmed Day Zero")))</f>
        <v>12928</v>
      </c>
      <c r="AE60" cm="1">
        <f t="array" aca="1" ref="AE60" ca="1">IF(INDIRECT(ADDRESS($B60+1,AE$38,1,1,"Confirmed Day Zero"))=0,#N/A,INDIRECT(ADDRESS($B60+1,AE$38,1,1,"Confirmed Day Zero")))</f>
        <v>14076</v>
      </c>
      <c r="AF60" cm="1">
        <f t="array" aca="1" ref="AF60" ca="1">IF(INDIRECT(ADDRESS($B60+1,AF$38,1,1,"Confirmed Day Zero"))=0,#N/A,INDIRECT(ADDRESS($B60+1,AF$38,1,1,"Confirmed Day Zero")))</f>
        <v>14829</v>
      </c>
      <c r="AG60" cm="1">
        <f t="array" aca="1" ref="AG60" ca="1">IF(INDIRECT(ADDRESS($B60+1,AG$38,1,1,"Confirmed Day Zero"))=0,#N/A,INDIRECT(ADDRESS($B60+1,AG$38,1,1,"Confirmed Day Zero")))</f>
        <v>15922</v>
      </c>
      <c r="AH60" cm="1">
        <f t="array" aca="1" ref="AH60" ca="1">IF(INDIRECT(ADDRESS($B60+1,AH$38,1,1,"Confirmed Day Zero"))=0,#N/A,INDIRECT(ADDRESS($B60+1,AH$38,1,1,"Confirmed Day Zero")))</f>
        <v>16605</v>
      </c>
      <c r="AI60" cm="1">
        <f t="array" aca="1" ref="AI60" ca="1">IF(INDIRECT(ADDRESS($B60+1,AI$38,1,1,"Confirmed Day Zero"))=0,#N/A,INDIRECT(ADDRESS($B60+1,AI$38,1,1,"Confirmed Day Zero")))</f>
        <v>17768</v>
      </c>
      <c r="AJ60" cm="1">
        <f t="array" aca="1" ref="AJ60" ca="1">IF(INDIRECT(ADDRESS($B60+1,AJ$38,1,1,"Confirmed Day Zero"))=0,#N/A,INDIRECT(ADDRESS($B60+1,AJ$38,1,1,"Confirmed Day Zero")))</f>
        <v>18827</v>
      </c>
      <c r="AK60" cm="1">
        <f t="array" aca="1" ref="AK60" ca="1">IF(INDIRECT(ADDRESS($B60+1,AK$38,1,1,"Confirmed Day Zero"))=0,#N/A,INDIRECT(ADDRESS($B60+1,AK$38,1,1,"Confirmed Day Zero")))</f>
        <v>19606</v>
      </c>
      <c r="AL60" cm="1">
        <f t="array" aca="1" ref="AL60" ca="1">IF(INDIRECT(ADDRESS($B60+1,AL$38,1,1,"Confirmed Day Zero"))=0,#N/A,INDIRECT(ADDRESS($B60+1,AL$38,1,1,"Confirmed Day Zero")))</f>
        <v>20505</v>
      </c>
      <c r="AM60" cm="1">
        <f t="array" aca="1" ref="AM60" ca="1">IF(INDIRECT(ADDRESS($B60+1,AM$38,1,1,"Confirmed Day Zero"))=0,#N/A,INDIRECT(ADDRESS($B60+1,AM$38,1,1,"Confirmed Day Zero")))</f>
        <v>21100</v>
      </c>
      <c r="AN60" cm="1">
        <f t="array" aca="1" ref="AN60" ca="1">IF(INDIRECT(ADDRESS($B60+1,AN$38,1,1,"Confirmed Day Zero"))=0,#N/A,INDIRECT(ADDRESS($B60+1,AN$38,1,1,"Confirmed Day Zero")))</f>
        <v>21657</v>
      </c>
      <c r="AO60" cm="1">
        <f t="array" aca="1" ref="AO60" ca="1">IF(INDIRECT(ADDRESS($B60+1,AO$38,1,1,"Confirmed Day Zero"))=0,#N/A,INDIRECT(ADDRESS($B60+1,AO$38,1,1,"Confirmed Day Zero")))</f>
        <v>22253</v>
      </c>
      <c r="AP60" cm="1">
        <f t="array" aca="1" ref="AP60" ca="1">IF(INDIRECT(ADDRESS($B60+1,AP$38,1,1,"Confirmed Day Zero"))=0,#N/A,INDIRECT(ADDRESS($B60+1,AP$38,1,1,"Confirmed Day Zero")))</f>
        <v>23280</v>
      </c>
      <c r="AQ60" cm="1">
        <f t="array" aca="1" ref="AQ60" ca="1">IF(INDIRECT(ADDRESS($B60+1,AQ$38,1,1,"Confirmed Day Zero"))=0,#N/A,INDIRECT(ADDRESS($B60+1,AQ$38,1,1,"Confirmed Day Zero")))</f>
        <v>24051</v>
      </c>
      <c r="AR60" cm="1">
        <f t="array" aca="1" ref="AR60" ca="1">IF(INDIRECT(ADDRESS($B60+1,AR$38,1,1,"Confirmed Day Zero"))=0,#N/A,INDIRECT(ADDRESS($B60+1,AR$38,1,1,"Confirmed Day Zero")))</f>
        <v>24551</v>
      </c>
      <c r="AS60" cm="1">
        <f t="array" aca="1" ref="AS60" ca="1">IF(INDIRECT(ADDRESS($B60+1,AS$38,1,1,"Confirmed Day Zero"))=0,#N/A,INDIRECT(ADDRESS($B60+1,AS$38,1,1,"Confirmed Day Zero")))</f>
        <v>25107</v>
      </c>
      <c r="AT60" cm="1">
        <f t="array" aca="1" ref="AT60" ca="1">IF(INDIRECT(ADDRESS($B60+1,AT$38,1,1,"Confirmed Day Zero"))=0,#N/A,INDIRECT(ADDRESS($B60+1,AT$38,1,1,"Confirmed Day Zero")))</f>
        <v>25415</v>
      </c>
      <c r="AU60" cm="1">
        <f t="array" aca="1" ref="AU60" ca="1">IF(INDIRECT(ADDRESS($B60+1,AU$38,1,1,"Confirmed Day Zero"))=0,#N/A,INDIRECT(ADDRESS($B60+1,AU$38,1,1,"Confirmed Day Zero")))</f>
        <v>25688</v>
      </c>
      <c r="AV60" cm="1">
        <f t="array" aca="1" ref="AV60" ca="1">IF(INDIRECT(ADDRESS($B60+1,AV$38,1,1,"Confirmed Day Zero"))=0,#N/A,INDIRECT(ADDRESS($B60+1,AV$38,1,1,"Confirmed Day Zero")))</f>
        <v>25936</v>
      </c>
      <c r="AW60" cm="1">
        <f t="array" aca="1" ref="AW60" ca="1">IF(INDIRECT(ADDRESS($B60+1,AW$38,1,1,"Confirmed Day Zero"))=0,#N/A,INDIRECT(ADDRESS($B60+1,AW$38,1,1,"Confirmed Day Zero")))</f>
        <v>26336</v>
      </c>
      <c r="AX60" cm="1">
        <f t="array" aca="1" ref="AX60" ca="1">IF(INDIRECT(ADDRESS($B60+1,AX$38,1,1,"Confirmed Day Zero"))=0,#N/A,INDIRECT(ADDRESS($B60+1,AX$38,1,1,"Confirmed Day Zero")))</f>
        <v>26732</v>
      </c>
      <c r="AY60" cm="1">
        <f t="array" aca="1" ref="AY60" ca="1">IF(INDIRECT(ADDRESS($B60+1,AY$38,1,1,"Confirmed Day Zero"))=0,#N/A,INDIRECT(ADDRESS($B60+1,AY$38,1,1,"Confirmed Day Zero")))</f>
        <v>27078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1:96" x14ac:dyDescent="0.25">
      <c r="A61" t="e">
        <f t="shared" ca="1" si="53"/>
        <v>#VALUE!</v>
      </c>
      <c r="B61" s="12">
        <f t="shared" si="52"/>
        <v>19</v>
      </c>
      <c r="C61" t="str" cm="1">
        <f t="array" aca="1" ref="C61" ca="1">INDIRECT(ADDRESS($B61+1,1,1,1,"Confirmed Day Zero"))</f>
        <v>US</v>
      </c>
      <c r="D61" s="1" cm="1">
        <f t="array" aca="1" ref="D61" ca="1">IF(INDIRECT(ADDRESS($B61+1,D$38,1,1,"Confirmed Day Zero"))=0,#N/A,INDIRECT(ADDRESS($B61+1,D$38,1,1,"Confirmed Day Zero")))</f>
        <v>331002651</v>
      </c>
      <c r="E61" cm="1">
        <f t="array" aca="1" ref="E61" ca="1">IF(INDIRECT(ADDRESS($B61+1,E$38,1,1,"Confirmed Day Zero"))=0,#N/A,INDIRECT(ADDRESS($B61+1,E$38,1,1,"Confirmed Day Zero")))</f>
        <v>39</v>
      </c>
      <c r="F61" cm="1">
        <f t="array" aca="1" ref="F61" ca="1">IF(INDIRECT(ADDRESS($B61+1,F$38,1,1,"Confirmed Day Zero"))=0,#N/A,INDIRECT(ADDRESS($B61+1,F$38,1,1,"Confirmed Day Zero")))</f>
        <v>51</v>
      </c>
      <c r="G61" cm="1">
        <f t="array" aca="1" ref="G61" ca="1">IF(INDIRECT(ADDRESS($B61+1,G$38,1,1,"Confirmed Day Zero"))=0,#N/A,INDIRECT(ADDRESS($B61+1,G$38,1,1,"Confirmed Day Zero")))</f>
        <v>54</v>
      </c>
      <c r="H61" cm="1">
        <f t="array" aca="1" ref="H61" ca="1">IF(INDIRECT(ADDRESS($B61+1,H$38,1,1,"Confirmed Day Zero"))=0,#N/A,INDIRECT(ADDRESS($B61+1,H$38,1,1,"Confirmed Day Zero")))</f>
        <v>57</v>
      </c>
      <c r="I61" cm="1">
        <f t="array" aca="1" ref="I61" ca="1">IF(INDIRECT(ADDRESS($B61+1,I$38,1,1,"Confirmed Day Zero"))=0,#N/A,INDIRECT(ADDRESS($B61+1,I$38,1,1,"Confirmed Day Zero")))</f>
        <v>58</v>
      </c>
      <c r="J61" cm="1">
        <f t="array" aca="1" ref="J61" ca="1">IF(INDIRECT(ADDRESS($B61+1,J$38,1,1,"Confirmed Day Zero"))=0,#N/A,INDIRECT(ADDRESS($B61+1,J$38,1,1,"Confirmed Day Zero")))</f>
        <v>60</v>
      </c>
      <c r="K61" cm="1">
        <f t="array" aca="1" ref="K61" ca="1">IF(INDIRECT(ADDRESS($B61+1,K$38,1,1,"Confirmed Day Zero"))=0,#N/A,INDIRECT(ADDRESS($B61+1,K$38,1,1,"Confirmed Day Zero")))</f>
        <v>68</v>
      </c>
      <c r="L61" cm="1">
        <f t="array" aca="1" ref="L61" ca="1">IF(INDIRECT(ADDRESS($B61+1,L$38,1,1,"Confirmed Day Zero"))=0,#N/A,INDIRECT(ADDRESS($B61+1,L$38,1,1,"Confirmed Day Zero")))</f>
        <v>74</v>
      </c>
      <c r="M61" cm="1">
        <f t="array" aca="1" ref="M61" ca="1">IF(INDIRECT(ADDRESS($B61+1,M$38,1,1,"Confirmed Day Zero"))=0,#N/A,INDIRECT(ADDRESS($B61+1,M$38,1,1,"Confirmed Day Zero")))</f>
        <v>98</v>
      </c>
      <c r="N61" cm="1">
        <f t="array" aca="1" ref="N61" ca="1">IF(INDIRECT(ADDRESS($B61+1,N$38,1,1,"Confirmed Day Zero"))=0,#N/A,INDIRECT(ADDRESS($B61+1,N$38,1,1,"Confirmed Day Zero")))</f>
        <v>118</v>
      </c>
      <c r="O61" cm="1">
        <f t="array" aca="1" ref="O61" ca="1">IF(INDIRECT(ADDRESS($B61+1,O$38,1,1,"Confirmed Day Zero"))=0,#N/A,INDIRECT(ADDRESS($B61+1,O$38,1,1,"Confirmed Day Zero")))</f>
        <v>149</v>
      </c>
      <c r="P61" cm="1">
        <f t="array" aca="1" ref="P61" ca="1">IF(INDIRECT(ADDRESS($B61+1,P$38,1,1,"Confirmed Day Zero"))=0,#N/A,INDIRECT(ADDRESS($B61+1,P$38,1,1,"Confirmed Day Zero")))</f>
        <v>217</v>
      </c>
      <c r="Q61" cm="1">
        <f t="array" aca="1" ref="Q61" ca="1">IF(INDIRECT(ADDRESS($B61+1,Q$38,1,1,"Confirmed Day Zero"))=0,#N/A,INDIRECT(ADDRESS($B61+1,Q$38,1,1,"Confirmed Day Zero")))</f>
        <v>262</v>
      </c>
      <c r="R61" cm="1">
        <f t="array" aca="1" ref="R61" ca="1">IF(INDIRECT(ADDRESS($B61+1,R$38,1,1,"Confirmed Day Zero"))=0,#N/A,INDIRECT(ADDRESS($B61+1,R$38,1,1,"Confirmed Day Zero")))</f>
        <v>402</v>
      </c>
      <c r="S61" cm="1">
        <f t="array" aca="1" ref="S61" ca="1">IF(INDIRECT(ADDRESS($B61+1,S$38,1,1,"Confirmed Day Zero"))=0,#N/A,INDIRECT(ADDRESS($B61+1,S$38,1,1,"Confirmed Day Zero")))</f>
        <v>518</v>
      </c>
      <c r="T61" cm="1">
        <f t="array" aca="1" ref="T61" ca="1">IF(INDIRECT(ADDRESS($B61+1,T$38,1,1,"Confirmed Day Zero"))=0,#N/A,INDIRECT(ADDRESS($B61+1,T$38,1,1,"Confirmed Day Zero")))</f>
        <v>583</v>
      </c>
      <c r="U61" cm="1">
        <f t="array" aca="1" ref="U61" ca="1">IF(INDIRECT(ADDRESS($B61+1,U$38,1,1,"Confirmed Day Zero"))=0,#N/A,INDIRECT(ADDRESS($B61+1,U$38,1,1,"Confirmed Day Zero")))</f>
        <v>959</v>
      </c>
      <c r="V61" cm="1">
        <f t="array" aca="1" ref="V61" ca="1">IF(INDIRECT(ADDRESS($B61+1,V$38,1,1,"Confirmed Day Zero"))=0,#N/A,INDIRECT(ADDRESS($B61+1,V$38,1,1,"Confirmed Day Zero")))</f>
        <v>1281</v>
      </c>
      <c r="W61" cm="1">
        <f t="array" aca="1" ref="W61" ca="1">IF(INDIRECT(ADDRESS($B61+1,W$38,1,1,"Confirmed Day Zero"))=0,#N/A,INDIRECT(ADDRESS($B61+1,W$38,1,1,"Confirmed Day Zero")))</f>
        <v>1663</v>
      </c>
      <c r="X61" cm="1">
        <f t="array" aca="1" ref="X61" ca="1">IF(INDIRECT(ADDRESS($B61+1,X$38,1,1,"Confirmed Day Zero"))=0,#N/A,INDIRECT(ADDRESS($B61+1,X$38,1,1,"Confirmed Day Zero")))</f>
        <v>2179</v>
      </c>
      <c r="Y61" cm="1">
        <f t="array" aca="1" ref="Y61" ca="1">IF(INDIRECT(ADDRESS($B61+1,Y$38,1,1,"Confirmed Day Zero"))=0,#N/A,INDIRECT(ADDRESS($B61+1,Y$38,1,1,"Confirmed Day Zero")))</f>
        <v>2727</v>
      </c>
      <c r="Z61" cm="1">
        <f t="array" aca="1" ref="Z61" ca="1">IF(INDIRECT(ADDRESS($B61+1,Z$38,1,1,"Confirmed Day Zero"))=0,#N/A,INDIRECT(ADDRESS($B61+1,Z$38,1,1,"Confirmed Day Zero")))</f>
        <v>3499</v>
      </c>
      <c r="AA61" cm="1">
        <f t="array" aca="1" ref="AA61" ca="1">IF(INDIRECT(ADDRESS($B61+1,AA$38,1,1,"Confirmed Day Zero"))=0,#N/A,INDIRECT(ADDRESS($B61+1,AA$38,1,1,"Confirmed Day Zero")))</f>
        <v>4632</v>
      </c>
      <c r="AB61" cm="1">
        <f t="array" aca="1" ref="AB61" ca="1">IF(INDIRECT(ADDRESS($B61+1,AB$38,1,1,"Confirmed Day Zero"))=0,#N/A,INDIRECT(ADDRESS($B61+1,AB$38,1,1,"Confirmed Day Zero")))</f>
        <v>6421</v>
      </c>
      <c r="AC61" cm="1">
        <f t="array" aca="1" ref="AC61" ca="1">IF(INDIRECT(ADDRESS($B61+1,AC$38,1,1,"Confirmed Day Zero"))=0,#N/A,INDIRECT(ADDRESS($B61+1,AC$38,1,1,"Confirmed Day Zero")))</f>
        <v>7783</v>
      </c>
      <c r="AD61" cm="1">
        <f t="array" aca="1" ref="AD61" ca="1">IF(INDIRECT(ADDRESS($B61+1,AD$38,1,1,"Confirmed Day Zero"))=0,#N/A,INDIRECT(ADDRESS($B61+1,AD$38,1,1,"Confirmed Day Zero")))</f>
        <v>13747</v>
      </c>
      <c r="AE61" cm="1">
        <f t="array" aca="1" ref="AE61" ca="1">IF(INDIRECT(ADDRESS($B61+1,AE$38,1,1,"Confirmed Day Zero"))=0,#N/A,INDIRECT(ADDRESS($B61+1,AE$38,1,1,"Confirmed Day Zero")))</f>
        <v>19273</v>
      </c>
      <c r="AF61" cm="1">
        <f t="array" aca="1" ref="AF61" ca="1">IF(INDIRECT(ADDRESS($B61+1,AF$38,1,1,"Confirmed Day Zero"))=0,#N/A,INDIRECT(ADDRESS($B61+1,AF$38,1,1,"Confirmed Day Zero")))</f>
        <v>25600</v>
      </c>
      <c r="AG61" cm="1">
        <f t="array" aca="1" ref="AG61" ca="1">IF(INDIRECT(ADDRESS($B61+1,AG$38,1,1,"Confirmed Day Zero"))=0,#N/A,INDIRECT(ADDRESS($B61+1,AG$38,1,1,"Confirmed Day Zero")))</f>
        <v>33276</v>
      </c>
      <c r="AH61" cm="1">
        <f t="array" aca="1" ref="AH61" ca="1">IF(INDIRECT(ADDRESS($B61+1,AH$38,1,1,"Confirmed Day Zero"))=0,#N/A,INDIRECT(ADDRESS($B61+1,AH$38,1,1,"Confirmed Day Zero")))</f>
        <v>43843</v>
      </c>
      <c r="AI61" cm="1">
        <f t="array" aca="1" ref="AI61" ca="1">IF(INDIRECT(ADDRESS($B61+1,AI$38,1,1,"Confirmed Day Zero"))=0,#N/A,INDIRECT(ADDRESS($B61+1,AI$38,1,1,"Confirmed Day Zero")))</f>
        <v>53736</v>
      </c>
      <c r="AJ61" cm="1">
        <f t="array" aca="1" ref="AJ61" ca="1">IF(INDIRECT(ADDRESS($B61+1,AJ$38,1,1,"Confirmed Day Zero"))=0,#N/A,INDIRECT(ADDRESS($B61+1,AJ$38,1,1,"Confirmed Day Zero")))</f>
        <v>65778</v>
      </c>
      <c r="AK61" cm="1">
        <f t="array" aca="1" ref="AK61" ca="1">IF(INDIRECT(ADDRESS($B61+1,AK$38,1,1,"Confirmed Day Zero"))=0,#N/A,INDIRECT(ADDRESS($B61+1,AK$38,1,1,"Confirmed Day Zero")))</f>
        <v>83836</v>
      </c>
      <c r="AL61" cm="1">
        <f t="array" aca="1" ref="AL61" ca="1">IF(INDIRECT(ADDRESS($B61+1,AL$38,1,1,"Confirmed Day Zero"))=0,#N/A,INDIRECT(ADDRESS($B61+1,AL$38,1,1,"Confirmed Day Zero")))</f>
        <v>101657</v>
      </c>
      <c r="AM61" cm="1">
        <f t="array" aca="1" ref="AM61" ca="1">IF(INDIRECT(ADDRESS($B61+1,AM$38,1,1,"Confirmed Day Zero"))=0,#N/A,INDIRECT(ADDRESS($B61+1,AM$38,1,1,"Confirmed Day Zero")))</f>
        <v>121465</v>
      </c>
      <c r="AN61" cm="1">
        <f t="array" aca="1" ref="AN61" ca="1">IF(INDIRECT(ADDRESS($B61+1,AN$38,1,1,"Confirmed Day Zero"))=0,#N/A,INDIRECT(ADDRESS($B61+1,AN$38,1,1,"Confirmed Day Zero")))</f>
        <v>140909</v>
      </c>
      <c r="AO61" cm="1">
        <f t="array" aca="1" ref="AO61" ca="1">IF(INDIRECT(ADDRESS($B61+1,AO$38,1,1,"Confirmed Day Zero"))=0,#N/A,INDIRECT(ADDRESS($B61+1,AO$38,1,1,"Confirmed Day Zero")))</f>
        <v>161831</v>
      </c>
      <c r="AP61" cm="1">
        <f t="array" aca="1" ref="AP61" ca="1">IF(INDIRECT(ADDRESS($B61+1,AP$38,1,1,"Confirmed Day Zero"))=0,#N/A,INDIRECT(ADDRESS($B61+1,AP$38,1,1,"Confirmed Day Zero")))</f>
        <v>188172</v>
      </c>
      <c r="AQ61" cm="1">
        <f t="array" aca="1" ref="AQ61" ca="1">IF(INDIRECT(ADDRESS($B61+1,AQ$38,1,1,"Confirmed Day Zero"))=0,#N/A,INDIRECT(ADDRESS($B61+1,AQ$38,1,1,"Confirmed Day Zero")))</f>
        <v>213372</v>
      </c>
      <c r="AR61" cm="1">
        <f t="array" aca="1" ref="AR61" ca="1">IF(INDIRECT(ADDRESS($B61+1,AR$38,1,1,"Confirmed Day Zero"))=0,#N/A,INDIRECT(ADDRESS($B61+1,AR$38,1,1,"Confirmed Day Zero")))</f>
        <v>243762</v>
      </c>
      <c r="AS61" cm="1">
        <f t="array" aca="1" ref="AS61" ca="1">IF(INDIRECT(ADDRESS($B61+1,AS$38,1,1,"Confirmed Day Zero"))=0,#N/A,INDIRECT(ADDRESS($B61+1,AS$38,1,1,"Confirmed Day Zero")))</f>
        <v>275586</v>
      </c>
      <c r="AT61" cm="1">
        <f t="array" aca="1" ref="AT61" ca="1">IF(INDIRECT(ADDRESS($B61+1,AT$38,1,1,"Confirmed Day Zero"))=0,#N/A,INDIRECT(ADDRESS($B61+1,AT$38,1,1,"Confirmed Day Zero")))</f>
        <v>308853</v>
      </c>
      <c r="AU61" cm="1">
        <f t="array" aca="1" ref="AU61" ca="1">IF(INDIRECT(ADDRESS($B61+1,AU$38,1,1,"Confirmed Day Zero"))=0,#N/A,INDIRECT(ADDRESS($B61+1,AU$38,1,1,"Confirmed Day Zero")))</f>
        <v>337072</v>
      </c>
      <c r="AV61" cm="1">
        <f t="array" aca="1" ref="AV61" ca="1">IF(INDIRECT(ADDRESS($B61+1,AV$38,1,1,"Confirmed Day Zero"))=0,#N/A,INDIRECT(ADDRESS($B61+1,AV$38,1,1,"Confirmed Day Zero")))</f>
        <v>366667</v>
      </c>
      <c r="AW61" cm="1">
        <f t="array" aca="1" ref="AW61" ca="1">IF(INDIRECT(ADDRESS($B61+1,AW$38,1,1,"Confirmed Day Zero"))=0,#N/A,INDIRECT(ADDRESS($B61+1,AW$38,1,1,"Confirmed Day Zero")))</f>
        <v>396223</v>
      </c>
      <c r="AX61" cm="1">
        <f t="array" aca="1" ref="AX61" ca="1">IF(INDIRECT(ADDRESS($B61+1,AX$38,1,1,"Confirmed Day Zero"))=0,#N/A,INDIRECT(ADDRESS($B61+1,AX$38,1,1,"Confirmed Day Zero")))</f>
        <v>429052</v>
      </c>
      <c r="AY61" cm="1">
        <f t="array" aca="1" ref="AY61" ca="1">IF(INDIRECT(ADDRESS($B61+1,AY$38,1,1,"Confirmed Day Zero"))=0,#N/A,INDIRECT(ADDRESS($B61+1,AY$38,1,1,"Confirmed Day Zero")))</f>
        <v>461437</v>
      </c>
      <c r="AZ61" cm="1">
        <f t="array" aca="1" ref="AZ61" ca="1">IF(INDIRECT(ADDRESS($B61+1,AZ$38,1,1,"Confirmed Day Zero"))=0,#N/A,INDIRECT(ADDRESS($B61+1,AZ$38,1,1,"Confirmed Day Zero")))</f>
        <v>496535</v>
      </c>
      <c r="BA61" cm="1">
        <f t="array" aca="1" ref="BA61" ca="1">IF(INDIRECT(ADDRESS($B61+1,BA$38,1,1,"Confirmed Day Zero"))=0,#N/A,INDIRECT(ADDRESS($B61+1,BA$38,1,1,"Confirmed Day Zero")))</f>
        <v>526396</v>
      </c>
      <c r="BB61" cm="1">
        <f t="array" aca="1" ref="BB61" ca="1">IF(INDIRECT(ADDRESS($B61+1,BB$38,1,1,"Confirmed Day Zero"))=0,#N/A,INDIRECT(ADDRESS($B61+1,BB$38,1,1,"Confirmed Day Zero")))</f>
        <v>555313</v>
      </c>
      <c r="BC61" cm="1">
        <f t="array" aca="1" ref="BC61" ca="1">IF(INDIRECT(ADDRESS($B61+1,BC$38,1,1,"Confirmed Day Zero"))=0,#N/A,INDIRECT(ADDRESS($B61+1,BC$38,1,1,"Confirmed Day Zero")))</f>
        <v>580619</v>
      </c>
      <c r="BD61" cm="1">
        <f t="array" aca="1" ref="BD61" ca="1">IF(INDIRECT(ADDRESS($B61+1,BD$38,1,1,"Confirmed Day Zero"))=0,#N/A,INDIRECT(ADDRESS($B61+1,BD$38,1,1,"Confirmed Day Zero")))</f>
        <v>607670</v>
      </c>
      <c r="BE61" cm="1">
        <f t="array" aca="1" ref="BE61" ca="1">IF(INDIRECT(ADDRESS($B61+1,BE$38,1,1,"Confirmed Day Zero"))=0,#N/A,INDIRECT(ADDRESS($B61+1,BE$38,1,1,"Confirmed Day Zero")))</f>
        <v>636350</v>
      </c>
      <c r="BF61" cm="1">
        <f t="array" aca="1" ref="BF61" ca="1">IF(INDIRECT(ADDRESS($B61+1,BF$38,1,1,"Confirmed Day Zero"))=0,#N/A,INDIRECT(ADDRESS($B61+1,BF$38,1,1,"Confirmed Day Zero")))</f>
        <v>667801</v>
      </c>
      <c r="BG61" cm="1">
        <f t="array" aca="1" ref="BG61" ca="1">IF(INDIRECT(ADDRESS($B61+1,BG$38,1,1,"Confirmed Day Zero"))=0,#N/A,INDIRECT(ADDRESS($B61+1,BG$38,1,1,"Confirmed Day Zero")))</f>
        <v>699706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1:96" x14ac:dyDescent="0.25">
      <c r="A62" t="str">
        <f t="shared" ca="1" si="53"/>
        <v>ingdom</v>
      </c>
      <c r="B62" s="12">
        <f t="shared" si="52"/>
        <v>20</v>
      </c>
      <c r="C62" t="str" cm="1">
        <f t="array" aca="1" ref="C62" ca="1">INDIRECT(ADDRESS($B62+1,1,1,1,"Confirmed Day Zero"))</f>
        <v>United Kingdom</v>
      </c>
      <c r="D62" s="1" cm="1">
        <f t="array" aca="1" ref="D62" ca="1">IF(INDIRECT(ADDRESS($B62+1,D$38,1,1,"Confirmed Day Zero"))=0,#N/A,INDIRECT(ADDRESS($B62+1,D$38,1,1,"Confirmed Day Zero")))</f>
        <v>67886011</v>
      </c>
      <c r="E62" cm="1">
        <f t="array" aca="1" ref="E62" ca="1">IF(INDIRECT(ADDRESS($B62+1,E$38,1,1,"Confirmed Day Zero"))=0,#N/A,INDIRECT(ADDRESS($B62+1,E$38,1,1,"Confirmed Day Zero")))</f>
        <v>36</v>
      </c>
      <c r="F62" cm="1">
        <f t="array" aca="1" ref="F62" ca="1">IF(INDIRECT(ADDRESS($B62+1,F$38,1,1,"Confirmed Day Zero"))=0,#N/A,INDIRECT(ADDRESS($B62+1,F$38,1,1,"Confirmed Day Zero")))</f>
        <v>40</v>
      </c>
      <c r="G62" cm="1">
        <f t="array" aca="1" ref="G62" ca="1">IF(INDIRECT(ADDRESS($B62+1,G$38,1,1,"Confirmed Day Zero"))=0,#N/A,INDIRECT(ADDRESS($B62+1,G$38,1,1,"Confirmed Day Zero")))</f>
        <v>51</v>
      </c>
      <c r="H62" cm="1">
        <f t="array" aca="1" ref="H62" ca="1">IF(INDIRECT(ADDRESS($B62+1,H$38,1,1,"Confirmed Day Zero"))=0,#N/A,INDIRECT(ADDRESS($B62+1,H$38,1,1,"Confirmed Day Zero")))</f>
        <v>85</v>
      </c>
      <c r="I62" cm="1">
        <f t="array" aca="1" ref="I62" ca="1">IF(INDIRECT(ADDRESS($B62+1,I$38,1,1,"Confirmed Day Zero"))=0,#N/A,INDIRECT(ADDRESS($B62+1,I$38,1,1,"Confirmed Day Zero")))</f>
        <v>115</v>
      </c>
      <c r="J62" cm="1">
        <f t="array" aca="1" ref="J62" ca="1">IF(INDIRECT(ADDRESS($B62+1,J$38,1,1,"Confirmed Day Zero"))=0,#N/A,INDIRECT(ADDRESS($B62+1,J$38,1,1,"Confirmed Day Zero")))</f>
        <v>163</v>
      </c>
      <c r="K62" cm="1">
        <f t="array" aca="1" ref="K62" ca="1">IF(INDIRECT(ADDRESS($B62+1,K$38,1,1,"Confirmed Day Zero"))=0,#N/A,INDIRECT(ADDRESS($B62+1,K$38,1,1,"Confirmed Day Zero")))</f>
        <v>206</v>
      </c>
      <c r="L62" cm="1">
        <f t="array" aca="1" ref="L62" ca="1">IF(INDIRECT(ADDRESS($B62+1,L$38,1,1,"Confirmed Day Zero"))=0,#N/A,INDIRECT(ADDRESS($B62+1,L$38,1,1,"Confirmed Day Zero")))</f>
        <v>273</v>
      </c>
      <c r="M62" cm="1">
        <f t="array" aca="1" ref="M62" ca="1">IF(INDIRECT(ADDRESS($B62+1,M$38,1,1,"Confirmed Day Zero"))=0,#N/A,INDIRECT(ADDRESS($B62+1,M$38,1,1,"Confirmed Day Zero")))</f>
        <v>321</v>
      </c>
      <c r="N62" cm="1">
        <f t="array" aca="1" ref="N62" ca="1">IF(INDIRECT(ADDRESS($B62+1,N$38,1,1,"Confirmed Day Zero"))=0,#N/A,INDIRECT(ADDRESS($B62+1,N$38,1,1,"Confirmed Day Zero")))</f>
        <v>382</v>
      </c>
      <c r="O62" cm="1">
        <f t="array" aca="1" ref="O62" ca="1">IF(INDIRECT(ADDRESS($B62+1,O$38,1,1,"Confirmed Day Zero"))=0,#N/A,INDIRECT(ADDRESS($B62+1,O$38,1,1,"Confirmed Day Zero")))</f>
        <v>456</v>
      </c>
      <c r="P62" cm="1">
        <f t="array" aca="1" ref="P62" ca="1">IF(INDIRECT(ADDRESS($B62+1,P$38,1,1,"Confirmed Day Zero"))=0,#N/A,INDIRECT(ADDRESS($B62+1,P$38,1,1,"Confirmed Day Zero")))</f>
        <v>627</v>
      </c>
      <c r="Q62" cm="1">
        <f t="array" aca="1" ref="Q62" ca="1">IF(INDIRECT(ADDRESS($B62+1,Q$38,1,1,"Confirmed Day Zero"))=0,#N/A,INDIRECT(ADDRESS($B62+1,Q$38,1,1,"Confirmed Day Zero")))</f>
        <v>798</v>
      </c>
      <c r="R62" cm="1">
        <f t="array" aca="1" ref="R62" ca="1">IF(INDIRECT(ADDRESS($B62+1,R$38,1,1,"Confirmed Day Zero"))=0,#N/A,INDIRECT(ADDRESS($B62+1,R$38,1,1,"Confirmed Day Zero")))</f>
        <v>1140</v>
      </c>
      <c r="S62" cm="1">
        <f t="array" aca="1" ref="S62" ca="1">IF(INDIRECT(ADDRESS($B62+1,S$38,1,1,"Confirmed Day Zero"))=0,#N/A,INDIRECT(ADDRESS($B62+1,S$38,1,1,"Confirmed Day Zero")))</f>
        <v>1341.5</v>
      </c>
      <c r="T62" cm="1">
        <f t="array" aca="1" ref="T62" ca="1">IF(INDIRECT(ADDRESS($B62+1,T$38,1,1,"Confirmed Day Zero"))=0,#N/A,INDIRECT(ADDRESS($B62+1,T$38,1,1,"Confirmed Day Zero")))</f>
        <v>1543</v>
      </c>
      <c r="U62" cm="1">
        <f t="array" aca="1" ref="U62" ca="1">IF(INDIRECT(ADDRESS($B62+1,U$38,1,1,"Confirmed Day Zero"))=0,#N/A,INDIRECT(ADDRESS($B62+1,U$38,1,1,"Confirmed Day Zero")))</f>
        <v>1950</v>
      </c>
      <c r="V62" cm="1">
        <f t="array" aca="1" ref="V62" ca="1">IF(INDIRECT(ADDRESS($B62+1,V$38,1,1,"Confirmed Day Zero"))=0,#N/A,INDIRECT(ADDRESS($B62+1,V$38,1,1,"Confirmed Day Zero")))</f>
        <v>2626</v>
      </c>
      <c r="W62" cm="1">
        <f t="array" aca="1" ref="W62" ca="1">IF(INDIRECT(ADDRESS($B62+1,W$38,1,1,"Confirmed Day Zero"))=0,#N/A,INDIRECT(ADDRESS($B62+1,W$38,1,1,"Confirmed Day Zero")))</f>
        <v>2689</v>
      </c>
      <c r="X62" cm="1">
        <f t="array" aca="1" ref="X62" ca="1">IF(INDIRECT(ADDRESS($B62+1,X$38,1,1,"Confirmed Day Zero"))=0,#N/A,INDIRECT(ADDRESS($B62+1,X$38,1,1,"Confirmed Day Zero")))</f>
        <v>3983</v>
      </c>
      <c r="Y62" cm="1">
        <f t="array" aca="1" ref="Y62" ca="1">IF(INDIRECT(ADDRESS($B62+1,Y$38,1,1,"Confirmed Day Zero"))=0,#N/A,INDIRECT(ADDRESS($B62+1,Y$38,1,1,"Confirmed Day Zero")))</f>
        <v>5018</v>
      </c>
      <c r="Z62" cm="1">
        <f t="array" aca="1" ref="Z62" ca="1">IF(INDIRECT(ADDRESS($B62+1,Z$38,1,1,"Confirmed Day Zero"))=0,#N/A,INDIRECT(ADDRESS($B62+1,Z$38,1,1,"Confirmed Day Zero")))</f>
        <v>5683</v>
      </c>
      <c r="AA62" cm="1">
        <f t="array" aca="1" ref="AA62" ca="1">IF(INDIRECT(ADDRESS($B62+1,AA$38,1,1,"Confirmed Day Zero"))=0,#N/A,INDIRECT(ADDRESS($B62+1,AA$38,1,1,"Confirmed Day Zero")))</f>
        <v>6650</v>
      </c>
      <c r="AB62" cm="1">
        <f t="array" aca="1" ref="AB62" ca="1">IF(INDIRECT(ADDRESS($B62+1,AB$38,1,1,"Confirmed Day Zero"))=0,#N/A,INDIRECT(ADDRESS($B62+1,AB$38,1,1,"Confirmed Day Zero")))</f>
        <v>8077</v>
      </c>
      <c r="AC62" cm="1">
        <f t="array" aca="1" ref="AC62" ca="1">IF(INDIRECT(ADDRESS($B62+1,AC$38,1,1,"Confirmed Day Zero"))=0,#N/A,INDIRECT(ADDRESS($B62+1,AC$38,1,1,"Confirmed Day Zero")))</f>
        <v>9529</v>
      </c>
      <c r="AD62" cm="1">
        <f t="array" aca="1" ref="AD62" ca="1">IF(INDIRECT(ADDRESS($B62+1,AD$38,1,1,"Confirmed Day Zero"))=0,#N/A,INDIRECT(ADDRESS($B62+1,AD$38,1,1,"Confirmed Day Zero")))</f>
        <v>11658</v>
      </c>
      <c r="AE62" cm="1">
        <f t="array" aca="1" ref="AE62" ca="1">IF(INDIRECT(ADDRESS($B62+1,AE$38,1,1,"Confirmed Day Zero"))=0,#N/A,INDIRECT(ADDRESS($B62+1,AE$38,1,1,"Confirmed Day Zero")))</f>
        <v>14543</v>
      </c>
      <c r="AF62" cm="1">
        <f t="array" aca="1" ref="AF62" ca="1">IF(INDIRECT(ADDRESS($B62+1,AF$38,1,1,"Confirmed Day Zero"))=0,#N/A,INDIRECT(ADDRESS($B62+1,AF$38,1,1,"Confirmed Day Zero")))</f>
        <v>17089</v>
      </c>
      <c r="AG62" cm="1">
        <f t="array" aca="1" ref="AG62" ca="1">IF(INDIRECT(ADDRESS($B62+1,AG$38,1,1,"Confirmed Day Zero"))=0,#N/A,INDIRECT(ADDRESS($B62+1,AG$38,1,1,"Confirmed Day Zero")))</f>
        <v>19522</v>
      </c>
      <c r="AH62" cm="1">
        <f t="array" aca="1" ref="AH62" ca="1">IF(INDIRECT(ADDRESS($B62+1,AH$38,1,1,"Confirmed Day Zero"))=0,#N/A,INDIRECT(ADDRESS($B62+1,AH$38,1,1,"Confirmed Day Zero")))</f>
        <v>22141</v>
      </c>
      <c r="AI62" cm="1">
        <f t="array" aca="1" ref="AI62" ca="1">IF(INDIRECT(ADDRESS($B62+1,AI$38,1,1,"Confirmed Day Zero"))=0,#N/A,INDIRECT(ADDRESS($B62+1,AI$38,1,1,"Confirmed Day Zero")))</f>
        <v>25150</v>
      </c>
      <c r="AJ62" cm="1">
        <f t="array" aca="1" ref="AJ62" ca="1">IF(INDIRECT(ADDRESS($B62+1,AJ$38,1,1,"Confirmed Day Zero"))=0,#N/A,INDIRECT(ADDRESS($B62+1,AJ$38,1,1,"Confirmed Day Zero")))</f>
        <v>29474</v>
      </c>
      <c r="AK62" cm="1">
        <f t="array" aca="1" ref="AK62" ca="1">IF(INDIRECT(ADDRESS($B62+1,AK$38,1,1,"Confirmed Day Zero"))=0,#N/A,INDIRECT(ADDRESS($B62+1,AK$38,1,1,"Confirmed Day Zero")))</f>
        <v>33718</v>
      </c>
      <c r="AL62" cm="1">
        <f t="array" aca="1" ref="AL62" ca="1">IF(INDIRECT(ADDRESS($B62+1,AL$38,1,1,"Confirmed Day Zero"))=0,#N/A,INDIRECT(ADDRESS($B62+1,AL$38,1,1,"Confirmed Day Zero")))</f>
        <v>38168</v>
      </c>
      <c r="AM62" cm="1">
        <f t="array" aca="1" ref="AM62" ca="1">IF(INDIRECT(ADDRESS($B62+1,AM$38,1,1,"Confirmed Day Zero"))=0,#N/A,INDIRECT(ADDRESS($B62+1,AM$38,1,1,"Confirmed Day Zero")))</f>
        <v>41903</v>
      </c>
      <c r="AN62" cm="1">
        <f t="array" aca="1" ref="AN62" ca="1">IF(INDIRECT(ADDRESS($B62+1,AN$38,1,1,"Confirmed Day Zero"))=0,#N/A,INDIRECT(ADDRESS($B62+1,AN$38,1,1,"Confirmed Day Zero")))</f>
        <v>47806</v>
      </c>
      <c r="AO62" cm="1">
        <f t="array" aca="1" ref="AO62" ca="1">IF(INDIRECT(ADDRESS($B62+1,AO$38,1,1,"Confirmed Day Zero"))=0,#N/A,INDIRECT(ADDRESS($B62+1,AO$38,1,1,"Confirmed Day Zero")))</f>
        <v>51608</v>
      </c>
      <c r="AP62" cm="1">
        <f t="array" aca="1" ref="AP62" ca="1">IF(INDIRECT(ADDRESS($B62+1,AP$38,1,1,"Confirmed Day Zero"))=0,#N/A,INDIRECT(ADDRESS($B62+1,AP$38,1,1,"Confirmed Day Zero")))</f>
        <v>55242</v>
      </c>
      <c r="AQ62" cm="1">
        <f t="array" aca="1" ref="AQ62" ca="1">IF(INDIRECT(ADDRESS($B62+1,AQ$38,1,1,"Confirmed Day Zero"))=0,#N/A,INDIRECT(ADDRESS($B62+1,AQ$38,1,1,"Confirmed Day Zero")))</f>
        <v>60733</v>
      </c>
      <c r="AR62" cm="1">
        <f t="array" aca="1" ref="AR62" ca="1">IF(INDIRECT(ADDRESS($B62+1,AR$38,1,1,"Confirmed Day Zero"))=0,#N/A,INDIRECT(ADDRESS($B62+1,AR$38,1,1,"Confirmed Day Zero")))</f>
        <v>65077</v>
      </c>
      <c r="AS62" cm="1">
        <f t="array" aca="1" ref="AS62" ca="1">IF(INDIRECT(ADDRESS($B62+1,AS$38,1,1,"Confirmed Day Zero"))=0,#N/A,INDIRECT(ADDRESS($B62+1,AS$38,1,1,"Confirmed Day Zero")))</f>
        <v>73758</v>
      </c>
      <c r="AT62" cm="1">
        <f t="array" aca="1" ref="AT62" ca="1">IF(INDIRECT(ADDRESS($B62+1,AT$38,1,1,"Confirmed Day Zero"))=0,#N/A,INDIRECT(ADDRESS($B62+1,AT$38,1,1,"Confirmed Day Zero")))</f>
        <v>78991</v>
      </c>
      <c r="AU62" cm="1">
        <f t="array" aca="1" ref="AU62" ca="1">IF(INDIRECT(ADDRESS($B62+1,AU$38,1,1,"Confirmed Day Zero"))=0,#N/A,INDIRECT(ADDRESS($B62+1,AU$38,1,1,"Confirmed Day Zero")))</f>
        <v>84279</v>
      </c>
      <c r="AV62" cm="1">
        <f t="array" aca="1" ref="AV62" ca="1">IF(INDIRECT(ADDRESS($B62+1,AV$38,1,1,"Confirmed Day Zero"))=0,#N/A,INDIRECT(ADDRESS($B62+1,AV$38,1,1,"Confirmed Day Zero")))</f>
        <v>88621</v>
      </c>
      <c r="AW62" cm="1">
        <f t="array" aca="1" ref="AW62" ca="1">IF(INDIRECT(ADDRESS($B62+1,AW$38,1,1,"Confirmed Day Zero"))=0,#N/A,INDIRECT(ADDRESS($B62+1,AW$38,1,1,"Confirmed Day Zero")))</f>
        <v>93873</v>
      </c>
      <c r="AX62" cm="1">
        <f t="array" aca="1" ref="AX62" ca="1">IF(INDIRECT(ADDRESS($B62+1,AX$38,1,1,"Confirmed Day Zero"))=0,#N/A,INDIRECT(ADDRESS($B62+1,AX$38,1,1,"Confirmed Day Zero")))</f>
        <v>98476</v>
      </c>
      <c r="AY62" cm="1">
        <f t="array" aca="1" ref="AY62" ca="1">IF(INDIRECT(ADDRESS($B62+1,AY$38,1,1,"Confirmed Day Zero"))=0,#N/A,INDIRECT(ADDRESS($B62+1,AY$38,1,1,"Confirmed Day Zero")))</f>
        <v>103093</v>
      </c>
      <c r="AZ62" cm="1">
        <f t="array" aca="1" ref="AZ62" ca="1">IF(INDIRECT(ADDRESS($B62+1,AZ$38,1,1,"Confirmed Day Zero"))=0,#N/A,INDIRECT(ADDRESS($B62+1,AZ$38,1,1,"Confirmed Day Zero")))</f>
        <v>108692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1:96" x14ac:dyDescent="0.25">
      <c r="A63" t="e">
        <f t="shared" ca="1" si="53"/>
        <v>#VALUE!</v>
      </c>
      <c r="B63" s="12">
        <f t="shared" si="52"/>
        <v>21</v>
      </c>
      <c r="C63" cm="1">
        <f t="array" aca="1" ref="C63" ca="1">INDIRECT(ADDRESS($B63+1,1,1,1,"Confirmed Day Zero"))</f>
        <v>0</v>
      </c>
      <c r="D63" s="1" t="e" cm="1">
        <f t="array" aca="1" ref="D63" ca="1">IF(INDIRECT(ADDRESS($B63+1,D$38,1,1,"Confirmed Day Zero"))=0,#N/A,INDIRECT(ADDRESS($B63+1,D$38,1,1,"Confirmed Day Zero")))</f>
        <v>#N/A</v>
      </c>
      <c r="E63" t="e" cm="1">
        <f t="array" aca="1" ref="E63" ca="1">IF(INDIRECT(ADDRESS($B63+1,E$38,1,1,"Confirmed Day Zero"))=0,#N/A,INDIRECT(ADDRESS($B63+1,E$38,1,1,"Confirmed Day Zero")))</f>
        <v>#N/A</v>
      </c>
      <c r="F63" t="e" cm="1">
        <f t="array" aca="1" ref="F63" ca="1">IF(INDIRECT(ADDRESS($B63+1,F$38,1,1,"Confirmed Day Zero"))=0,#N/A,INDIRECT(ADDRESS($B63+1,F$38,1,1,"Confirmed Day Zero")))</f>
        <v>#N/A</v>
      </c>
      <c r="G63" t="e" cm="1">
        <f t="array" aca="1" ref="G63" ca="1">IF(INDIRECT(ADDRESS($B63+1,G$38,1,1,"Confirmed Day Zero"))=0,#N/A,INDIRECT(ADDRESS($B63+1,G$38,1,1,"Confirmed Day Zero")))</f>
        <v>#N/A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1:96" x14ac:dyDescent="0.25">
      <c r="A64" t="e">
        <f t="shared" ca="1" si="53"/>
        <v>#VALUE!</v>
      </c>
      <c r="B64" s="12">
        <f t="shared" si="52"/>
        <v>22</v>
      </c>
      <c r="C64" cm="1">
        <f t="array" aca="1" ref="C64" ca="1">INDIRECT(ADDRESS($B64+1,1,1,1,"Confirmed Day Zero"))</f>
        <v>0</v>
      </c>
      <c r="D64" s="1" t="e" cm="1">
        <f t="array" aca="1" ref="D64" ca="1">IF(INDIRECT(ADDRESS($B64+1,D$38,1,1,"Confirmed Day Zero"))=0,#N/A,INDIRECT(ADDRESS($B64+1,D$38,1,1,"Confirmed Day Zero")))</f>
        <v>#N/A</v>
      </c>
      <c r="E64" t="e" cm="1">
        <f t="array" aca="1" ref="E64" ca="1">IF(INDIRECT(ADDRESS($B64+1,E$38,1,1,"Confirmed Day Zero"))=0,#N/A,INDIRECT(ADDRESS($B64+1,E$38,1,1,"Confirmed Day Zero")))</f>
        <v>#N/A</v>
      </c>
      <c r="F64" t="e" cm="1">
        <f t="array" aca="1" ref="F64" ca="1">IF(INDIRECT(ADDRESS($B64+1,F$38,1,1,"Confirmed Day Zero"))=0,#N/A,INDIRECT(ADDRESS($B64+1,F$38,1,1,"Confirmed Day Zero")))</f>
        <v>#N/A</v>
      </c>
      <c r="G64" t="e" cm="1">
        <f t="array" aca="1" ref="G64" ca="1">IF(INDIRECT(ADDRESS($B64+1,G$38,1,1,"Confirmed Day Zero"))=0,#N/A,INDIRECT(ADDRESS($B64+1,G$38,1,1,"Confirmed Day Zero")))</f>
        <v>#N/A</v>
      </c>
      <c r="H64" t="e" cm="1">
        <f t="array" aca="1" ref="H64" ca="1">IF(INDIRECT(ADDRESS($B64+1,H$38,1,1,"Confirmed Day Zero"))=0,#N/A,INDIRECT(ADDRESS($B64+1,H$38,1,1,"Confirmed Day Zero")))</f>
        <v>#N/A</v>
      </c>
      <c r="I64" t="e" cm="1">
        <f t="array" aca="1" ref="I64" ca="1">IF(INDIRECT(ADDRESS($B64+1,I$38,1,1,"Confirmed Day Zero"))=0,#N/A,INDIRECT(ADDRESS($B64+1,I$38,1,1,"Confirmed Day Zero")))</f>
        <v>#N/A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1:96" x14ac:dyDescent="0.25">
      <c r="A65" t="e">
        <f t="shared" ca="1" si="53"/>
        <v>#VALUE!</v>
      </c>
      <c r="B65" s="12">
        <f t="shared" si="52"/>
        <v>23</v>
      </c>
      <c r="C65" cm="1">
        <f t="array" aca="1" ref="C65" ca="1">INDIRECT(ADDRESS($B65+1,1,1,1,"Confirmed Day Zero"))</f>
        <v>0</v>
      </c>
      <c r="D65" s="1" t="e" cm="1">
        <f t="array" aca="1" ref="D65" ca="1">IF(INDIRECT(ADDRESS($B65+1,D$38,1,1,"Confirmed Day Zero"))=0,#N/A,INDIRECT(ADDRESS($B65+1,D$38,1,1,"Confirmed Day Zero")))</f>
        <v>#N/A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1:96" x14ac:dyDescent="0.25">
      <c r="A66" t="e">
        <f t="shared" ca="1" si="53"/>
        <v>#VALUE!</v>
      </c>
      <c r="B66" s="12">
        <f t="shared" si="52"/>
        <v>24</v>
      </c>
      <c r="C66" cm="1">
        <f t="array" aca="1" ref="C66" ca="1">INDIRECT(ADDRESS($B66+1,1,1,1,"Confirmed Day Zero"))</f>
        <v>0</v>
      </c>
      <c r="D66" s="1" t="e" cm="1">
        <f t="array" aca="1" ref="D66" ca="1">IF(INDIRECT(ADDRESS($B66+1,D$38,1,1,"Confirmed Day Zero"))=0,#N/A,INDIRECT(ADDRESS($B66+1,D$38,1,1,"Confirmed Day Zero")))</f>
        <v>#N/A</v>
      </c>
      <c r="E66" t="e" cm="1">
        <f t="array" aca="1" ref="E66" ca="1">IF(INDIRECT(ADDRESS($B66+1,E$38,1,1,"Confirmed Day Zero"))=0,#N/A,INDIRECT(ADDRESS($B66+1,E$38,1,1,"Confirmed Day Zero")))</f>
        <v>#N/A</v>
      </c>
      <c r="F66" t="e" cm="1">
        <f t="array" aca="1" ref="F66" ca="1">IF(INDIRECT(ADDRESS($B66+1,F$38,1,1,"Confirmed Day Zero"))=0,#N/A,INDIRECT(ADDRESS($B66+1,F$38,1,1,"Confirmed Day Zero")))</f>
        <v>#N/A</v>
      </c>
      <c r="G66" t="e" cm="1">
        <f t="array" aca="1" ref="G66" ca="1">IF(INDIRECT(ADDRESS($B66+1,G$38,1,1,"Confirmed Day Zero"))=0,#N/A,INDIRECT(ADDRESS($B66+1,G$38,1,1,"Confirmed Day Zero")))</f>
        <v>#N/A</v>
      </c>
      <c r="H66" t="e" cm="1">
        <f t="array" aca="1" ref="H66" ca="1">IF(INDIRECT(ADDRESS($B66+1,H$38,1,1,"Confirmed Day Zero"))=0,#N/A,INDIRECT(ADDRESS($B66+1,H$38,1,1,"Confirmed Day Zero")))</f>
        <v>#N/A</v>
      </c>
      <c r="I66" t="e" cm="1">
        <f t="array" aca="1" ref="I66" ca="1">IF(INDIRECT(ADDRESS($B66+1,I$38,1,1,"Confirmed Day Zero"))=0,#N/A,INDIRECT(ADDRESS($B66+1,I$38,1,1,"Confirmed Day Zero")))</f>
        <v>#N/A</v>
      </c>
      <c r="J66" t="e" cm="1">
        <f t="array" aca="1" ref="J66" ca="1">IF(INDIRECT(ADDRESS($B66+1,J$38,1,1,"Confirmed Day Zero"))=0,#N/A,INDIRECT(ADDRESS($B66+1,J$38,1,1,"Confirmed Day Zero")))</f>
        <v>#N/A</v>
      </c>
      <c r="K66" t="e" cm="1">
        <f t="array" aca="1" ref="K66" ca="1">IF(INDIRECT(ADDRESS($B66+1,K$38,1,1,"Confirmed Day Zero"))=0,#N/A,INDIRECT(ADDRESS($B66+1,K$38,1,1,"Confirmed Day Zero")))</f>
        <v>#N/A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1:96" x14ac:dyDescent="0.25">
      <c r="A67" t="e">
        <f t="shared" ca="1" si="53"/>
        <v>#VALUE!</v>
      </c>
      <c r="B67" s="12">
        <f t="shared" si="52"/>
        <v>25</v>
      </c>
      <c r="C67" cm="1">
        <f t="array" aca="1" ref="C67" ca="1">INDIRECT(ADDRESS($B67+1,1,1,1,"Confirmed Day Zero"))</f>
        <v>0</v>
      </c>
      <c r="D67" s="1" t="e" cm="1">
        <f t="array" aca="1" ref="D67" ca="1">IF(INDIRECT(ADDRESS($B67+1,D$38,1,1,"Confirmed Day Zero"))=0,#N/A,INDIRECT(ADDRESS($B67+1,D$38,1,1,"Confirmed Day Zero")))</f>
        <v>#N/A</v>
      </c>
      <c r="E67" t="e" cm="1">
        <f t="array" aca="1" ref="E67" ca="1">IF(INDIRECT(ADDRESS($B67+1,E$38,1,1,"Confirmed Day Zero"))=0,#N/A,INDIRECT(ADDRESS($B67+1,E$38,1,1,"Confirmed Day Zero")))</f>
        <v>#N/A</v>
      </c>
      <c r="F67" t="e" cm="1">
        <f t="array" aca="1" ref="F67" ca="1">IF(INDIRECT(ADDRESS($B67+1,F$38,1,1,"Confirmed Day Zero"))=0,#N/A,INDIRECT(ADDRESS($B67+1,F$38,1,1,"Confirmed Day Zero")))</f>
        <v>#N/A</v>
      </c>
      <c r="G67" t="e" cm="1">
        <f t="array" aca="1" ref="G67" ca="1">IF(INDIRECT(ADDRESS($B67+1,G$38,1,1,"Confirmed Day Zero"))=0,#N/A,INDIRECT(ADDRESS($B67+1,G$38,1,1,"Confirmed Day Zero")))</f>
        <v>#N/A</v>
      </c>
      <c r="H67" t="e" cm="1">
        <f t="array" aca="1" ref="H67" ca="1">IF(INDIRECT(ADDRESS($B67+1,H$38,1,1,"Confirmed Day Zero"))=0,#N/A,INDIRECT(ADDRESS($B67+1,H$38,1,1,"Confirmed Day Zero")))</f>
        <v>#N/A</v>
      </c>
      <c r="I67" t="e" cm="1">
        <f t="array" aca="1" ref="I67" ca="1">IF(INDIRECT(ADDRESS($B67+1,I$38,1,1,"Confirmed Day Zero"))=0,#N/A,INDIRECT(ADDRESS($B67+1,I$38,1,1,"Confirmed Day Zero")))</f>
        <v>#N/A</v>
      </c>
      <c r="J67" t="e" cm="1">
        <f t="array" aca="1" ref="J67" ca="1">IF(INDIRECT(ADDRESS($B67+1,J$38,1,1,"Confirmed Day Zero"))=0,#N/A,INDIRECT(ADDRESS($B67+1,J$38,1,1,"Confirmed Day Zero")))</f>
        <v>#N/A</v>
      </c>
      <c r="K67" t="e" cm="1">
        <f t="array" aca="1" ref="K67" ca="1">IF(INDIRECT(ADDRESS($B67+1,K$38,1,1,"Confirmed Day Zero"))=0,#N/A,INDIRECT(ADDRESS($B67+1,K$38,1,1,"Confirmed Day Zero")))</f>
        <v>#N/A</v>
      </c>
      <c r="L67" t="e" cm="1">
        <f t="array" aca="1" ref="L67" ca="1">IF(INDIRECT(ADDRESS($B67+1,L$38,1,1,"Confirmed Day Zero"))=0,#N/A,INDIRECT(ADDRESS($B67+1,L$38,1,1,"Confirmed Day Zero")))</f>
        <v>#N/A</v>
      </c>
      <c r="M67" t="e" cm="1">
        <f t="array" aca="1" ref="M67" ca="1">IF(INDIRECT(ADDRESS($B67+1,M$38,1,1,"Confirmed Day Zero"))=0,#N/A,INDIRECT(ADDRESS($B67+1,M$38,1,1,"Confirmed Day Zero")))</f>
        <v>#N/A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1:96" x14ac:dyDescent="0.25">
      <c r="A68" t="e">
        <f t="shared" ca="1" si="53"/>
        <v>#VALUE!</v>
      </c>
      <c r="B68" s="12">
        <f t="shared" si="52"/>
        <v>26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IF(INDIRECT(ADDRESS($B68+1,D$38,1,1,"Confirmed Day Zero"))=0,#N/A,INDIRECT(ADDRESS($B68+1,D$38,1,1,"Confirmed Day Zero")))</f>
        <v>#N/A</v>
      </c>
      <c r="E68" t="e" cm="1">
        <f t="array" aca="1" ref="E68" ca="1">IF(INDIRECT(ADDRESS($B68+1,E$38,1,1,"Confirmed Day Zero"))=0,#N/A,INDIRECT(ADDRESS($B68+1,E$38,1,1,"Confirmed Day Zero")))</f>
        <v>#N/A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1:96" x14ac:dyDescent="0.25">
      <c r="A69" t="e">
        <f t="shared" ca="1" si="53"/>
        <v>#VALUE!</v>
      </c>
      <c r="B69" s="12">
        <f t="shared" si="52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1:96" x14ac:dyDescent="0.25">
      <c r="B70" s="12">
        <f t="shared" si="52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1:96" x14ac:dyDescent="0.25">
      <c r="B71" s="12">
        <f t="shared" si="52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1:96" x14ac:dyDescent="0.25">
      <c r="B72" s="12">
        <f t="shared" si="52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1:96" x14ac:dyDescent="0.25">
      <c r="B73" s="12">
        <f t="shared" si="52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1:96" x14ac:dyDescent="0.25">
      <c r="B74" s="12">
        <f t="shared" si="52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1:96" x14ac:dyDescent="0.25">
      <c r="B75" s="12">
        <f t="shared" si="52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1:96" x14ac:dyDescent="0.25">
      <c r="B76" s="12">
        <f t="shared" si="52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1:96" x14ac:dyDescent="0.25">
      <c r="B77" s="12">
        <f t="shared" si="52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1:96" x14ac:dyDescent="0.25">
      <c r="B78" s="12">
        <f t="shared" si="52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1:96" x14ac:dyDescent="0.25">
      <c r="B79" s="12">
        <f t="shared" si="52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1:96" x14ac:dyDescent="0.25">
      <c r="B80" s="12">
        <f t="shared" si="52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2:96" x14ac:dyDescent="0.25">
      <c r="B81" s="12">
        <f t="shared" si="52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2:96" x14ac:dyDescent="0.25">
      <c r="B82" s="12">
        <f t="shared" si="52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2:96" x14ac:dyDescent="0.25">
      <c r="B83" s="12">
        <f t="shared" si="52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2:96" x14ac:dyDescent="0.25">
      <c r="B84" s="12">
        <f t="shared" si="52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2:96" x14ac:dyDescent="0.25">
      <c r="B85" s="12">
        <f t="shared" si="52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2:96" x14ac:dyDescent="0.25">
      <c r="B86" s="12">
        <f t="shared" si="52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2:96" x14ac:dyDescent="0.25">
      <c r="B87" s="12">
        <f t="shared" si="52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2:96" x14ac:dyDescent="0.25">
      <c r="B88" s="12">
        <f t="shared" si="52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2:96" x14ac:dyDescent="0.25">
      <c r="B89" s="12">
        <f t="shared" si="52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2:96" x14ac:dyDescent="0.25">
      <c r="B90" s="12">
        <f t="shared" si="52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2:96" x14ac:dyDescent="0.25">
      <c r="B91" s="12">
        <f t="shared" si="52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2:96" x14ac:dyDescent="0.25">
      <c r="B92" s="12">
        <f t="shared" si="52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2:96" x14ac:dyDescent="0.25">
      <c r="B93" s="12">
        <f t="shared" si="52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2:96" x14ac:dyDescent="0.25">
      <c r="B94" s="12">
        <f t="shared" si="52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2:96" x14ac:dyDescent="0.25">
      <c r="B95" s="12">
        <f t="shared" si="52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2:96" x14ac:dyDescent="0.25">
      <c r="B96" s="12">
        <f t="shared" si="52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1:96" x14ac:dyDescent="0.25">
      <c r="B97" s="12">
        <f t="shared" si="52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1:96" x14ac:dyDescent="0.25">
      <c r="B98" s="12">
        <f t="shared" si="52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1:96" x14ac:dyDescent="0.25">
      <c r="B99" s="12">
        <f t="shared" si="52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1:96" x14ac:dyDescent="0.25">
      <c r="B100" s="12">
        <f t="shared" si="52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1:96" x14ac:dyDescent="0.25">
      <c r="B101" s="12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1:96" x14ac:dyDescent="0.25">
      <c r="B102" s="12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1:96" x14ac:dyDescent="0.25">
      <c r="C105" s="1" t="str">
        <f>C39</f>
        <v>Confirmed Day Zero</v>
      </c>
      <c r="D105" s="1" t="str">
        <f t="shared" ref="D105:BO105" ca="1" si="54">D39</f>
        <v>Population</v>
      </c>
      <c r="E105" s="1" t="str">
        <f t="shared" ca="1" si="54"/>
        <v>Day 1</v>
      </c>
      <c r="F105" s="1" t="str">
        <f t="shared" ca="1" si="54"/>
        <v>Day 2</v>
      </c>
      <c r="G105" s="1" t="str">
        <f t="shared" ca="1" si="54"/>
        <v>Day 3</v>
      </c>
      <c r="H105" s="1" t="str">
        <f t="shared" ca="1" si="54"/>
        <v>Day 4</v>
      </c>
      <c r="I105" s="1" t="str">
        <f t="shared" ca="1" si="54"/>
        <v>Day 5</v>
      </c>
      <c r="J105" s="1" t="str">
        <f t="shared" ca="1" si="54"/>
        <v>Day 6</v>
      </c>
      <c r="K105" s="1" t="str">
        <f t="shared" ca="1" si="54"/>
        <v>Day 7</v>
      </c>
      <c r="L105" s="1" t="str">
        <f t="shared" ca="1" si="54"/>
        <v>Day 8</v>
      </c>
      <c r="M105" s="1" t="str">
        <f t="shared" ca="1" si="54"/>
        <v>Day 9</v>
      </c>
      <c r="N105" s="1" t="str">
        <f t="shared" ca="1" si="54"/>
        <v>Day 10</v>
      </c>
      <c r="O105" s="1" t="str">
        <f t="shared" ca="1" si="54"/>
        <v>Day 11</v>
      </c>
      <c r="P105" s="1" t="str">
        <f t="shared" ca="1" si="54"/>
        <v>Day 12</v>
      </c>
      <c r="Q105" s="1" t="str">
        <f t="shared" ca="1" si="54"/>
        <v>Day 13</v>
      </c>
      <c r="R105" s="1" t="str">
        <f t="shared" ca="1" si="54"/>
        <v>Day 14</v>
      </c>
      <c r="S105" s="1" t="str">
        <f t="shared" ca="1" si="54"/>
        <v>Day 15</v>
      </c>
      <c r="T105" s="1" t="str">
        <f t="shared" ca="1" si="54"/>
        <v>Day 16</v>
      </c>
      <c r="U105" s="1" t="str">
        <f t="shared" ca="1" si="54"/>
        <v>Day 17</v>
      </c>
      <c r="V105" s="1" t="str">
        <f t="shared" ca="1" si="54"/>
        <v>Day 18</v>
      </c>
      <c r="W105" s="1" t="str">
        <f t="shared" ca="1" si="54"/>
        <v>Day 19</v>
      </c>
      <c r="X105" s="1" t="str">
        <f t="shared" ca="1" si="54"/>
        <v>Day 20</v>
      </c>
      <c r="Y105" s="1" t="str">
        <f t="shared" ca="1" si="54"/>
        <v>Day 21</v>
      </c>
      <c r="Z105" s="1" t="str">
        <f t="shared" ca="1" si="54"/>
        <v>Day 22</v>
      </c>
      <c r="AA105" s="1" t="str">
        <f t="shared" ca="1" si="54"/>
        <v>Day 23</v>
      </c>
      <c r="AB105" s="1" t="str">
        <f t="shared" ca="1" si="54"/>
        <v>Day 24</v>
      </c>
      <c r="AC105" s="1" t="str">
        <f t="shared" ca="1" si="54"/>
        <v>Day 25</v>
      </c>
      <c r="AD105" s="1" t="str">
        <f t="shared" ca="1" si="54"/>
        <v>Day 26</v>
      </c>
      <c r="AE105" s="1" t="str">
        <f t="shared" ca="1" si="54"/>
        <v>Day 27</v>
      </c>
      <c r="AF105" s="1" t="str">
        <f t="shared" ca="1" si="54"/>
        <v>Day 28</v>
      </c>
      <c r="AG105" s="1" t="str">
        <f t="shared" ca="1" si="54"/>
        <v>Day 29</v>
      </c>
      <c r="AH105" s="1" t="str">
        <f t="shared" ca="1" si="54"/>
        <v>Day 30</v>
      </c>
      <c r="AI105" s="1" t="str">
        <f t="shared" ca="1" si="54"/>
        <v>Day 31</v>
      </c>
      <c r="AJ105" s="1" t="str">
        <f t="shared" ca="1" si="54"/>
        <v>Day 32</v>
      </c>
      <c r="AK105" s="1" t="str">
        <f t="shared" ca="1" si="54"/>
        <v>Day 33</v>
      </c>
      <c r="AL105" s="1" t="str">
        <f t="shared" ca="1" si="54"/>
        <v>Day 34</v>
      </c>
      <c r="AM105" s="1" t="str">
        <f t="shared" ca="1" si="54"/>
        <v>Day 35</v>
      </c>
      <c r="AN105" s="1" t="str">
        <f t="shared" ca="1" si="54"/>
        <v>Day 36</v>
      </c>
      <c r="AO105" s="1" t="str">
        <f t="shared" ca="1" si="54"/>
        <v>Day 37</v>
      </c>
      <c r="AP105" s="1" t="str">
        <f t="shared" ca="1" si="54"/>
        <v>Day 38</v>
      </c>
      <c r="AQ105" s="1" t="str">
        <f t="shared" ca="1" si="54"/>
        <v>Day 39</v>
      </c>
      <c r="AR105" s="1" t="str">
        <f t="shared" ca="1" si="54"/>
        <v>Day 40</v>
      </c>
      <c r="AS105" s="1" t="str">
        <f t="shared" ca="1" si="54"/>
        <v>Day 41</v>
      </c>
      <c r="AT105" s="1" t="str">
        <f t="shared" ca="1" si="54"/>
        <v>Day 42</v>
      </c>
      <c r="AU105" s="1" t="str">
        <f t="shared" ca="1" si="54"/>
        <v>Day 43</v>
      </c>
      <c r="AV105" s="1" t="str">
        <f t="shared" ca="1" si="54"/>
        <v>Day 44</v>
      </c>
      <c r="AW105" s="1" t="str">
        <f t="shared" ca="1" si="54"/>
        <v>Day 45</v>
      </c>
      <c r="AX105" s="1" t="str">
        <f t="shared" ca="1" si="54"/>
        <v>Day 46</v>
      </c>
      <c r="AY105" s="1" t="str">
        <f t="shared" ca="1" si="54"/>
        <v>Day 47</v>
      </c>
      <c r="AZ105" s="1" t="str">
        <f t="shared" ca="1" si="54"/>
        <v>Day 48</v>
      </c>
      <c r="BA105" s="1" t="str">
        <f t="shared" ca="1" si="54"/>
        <v>Day 49</v>
      </c>
      <c r="BB105" s="1" t="str">
        <f t="shared" ca="1" si="54"/>
        <v>Day 50</v>
      </c>
      <c r="BC105" s="1" t="str">
        <f t="shared" ca="1" si="54"/>
        <v>Day 51</v>
      </c>
      <c r="BD105" s="1" t="str">
        <f t="shared" ca="1" si="54"/>
        <v>Day 52</v>
      </c>
      <c r="BE105" s="1" t="str">
        <f t="shared" ca="1" si="54"/>
        <v>Day 53</v>
      </c>
      <c r="BF105" s="1" t="str">
        <f t="shared" ca="1" si="54"/>
        <v>Day 54</v>
      </c>
      <c r="BG105" s="1" t="str">
        <f t="shared" ca="1" si="54"/>
        <v>Day 55</v>
      </c>
      <c r="BH105" s="1" t="str">
        <f t="shared" ca="1" si="54"/>
        <v>Day 56</v>
      </c>
      <c r="BI105" s="1" t="str">
        <f t="shared" ca="1" si="54"/>
        <v>Day 57</v>
      </c>
      <c r="BJ105" s="1" t="str">
        <f t="shared" ca="1" si="54"/>
        <v>Day 58</v>
      </c>
      <c r="BK105" s="1" t="str">
        <f t="shared" ca="1" si="54"/>
        <v>Day 59</v>
      </c>
      <c r="BL105" s="1" t="str">
        <f t="shared" ca="1" si="54"/>
        <v>Day 60</v>
      </c>
      <c r="BM105" s="1" t="str">
        <f t="shared" ca="1" si="54"/>
        <v>Day 61</v>
      </c>
      <c r="BN105" s="1" t="str">
        <f t="shared" ca="1" si="54"/>
        <v>Day 62</v>
      </c>
      <c r="BO105" s="1" t="str">
        <f t="shared" ca="1" si="54"/>
        <v>Day 63</v>
      </c>
      <c r="BP105" s="1" t="str">
        <f t="shared" ref="BP105:BV105" ca="1" si="55">BP39</f>
        <v>Day 64</v>
      </c>
      <c r="BQ105" s="1" t="str">
        <f t="shared" ca="1" si="55"/>
        <v>Day 65</v>
      </c>
      <c r="BR105" s="1" t="str">
        <f t="shared" ca="1" si="55"/>
        <v>Day 66</v>
      </c>
      <c r="BS105" s="1" t="str">
        <f t="shared" ca="1" si="55"/>
        <v>Day 67</v>
      </c>
      <c r="BT105" s="1" t="str">
        <f t="shared" ca="1" si="55"/>
        <v>Day 68</v>
      </c>
      <c r="BU105" s="1" t="str">
        <f t="shared" ca="1" si="55"/>
        <v>Day 69</v>
      </c>
      <c r="BV105" s="1" t="str">
        <f t="shared" ca="1" si="55"/>
        <v>Day 70</v>
      </c>
      <c r="BW105" s="1" t="str">
        <f t="shared" ref="BW105:CR105" ca="1" si="56">BW39</f>
        <v>Day 71</v>
      </c>
      <c r="BX105" s="1" t="str">
        <f t="shared" ca="1" si="56"/>
        <v>Day 72</v>
      </c>
      <c r="BY105" s="1" t="str">
        <f t="shared" ca="1" si="56"/>
        <v>Day 73</v>
      </c>
      <c r="BZ105" s="1" t="str">
        <f t="shared" ca="1" si="56"/>
        <v>Day 74</v>
      </c>
      <c r="CA105" s="1" t="str">
        <f t="shared" ca="1" si="56"/>
        <v>Day 75</v>
      </c>
      <c r="CB105" s="1" t="str">
        <f t="shared" ca="1" si="56"/>
        <v>Day 76</v>
      </c>
      <c r="CC105" s="1" t="str">
        <f t="shared" ca="1" si="56"/>
        <v>Day 77</v>
      </c>
      <c r="CD105" s="1" t="str">
        <f t="shared" ca="1" si="56"/>
        <v>Day 78</v>
      </c>
      <c r="CE105" s="1" t="str">
        <f t="shared" ca="1" si="56"/>
        <v>Day 79</v>
      </c>
      <c r="CF105" s="1" t="str">
        <f t="shared" ca="1" si="56"/>
        <v>Day 80</v>
      </c>
      <c r="CG105" s="1" t="str">
        <f t="shared" ca="1" si="56"/>
        <v>Day 81</v>
      </c>
      <c r="CH105" s="1" t="str">
        <f t="shared" ca="1" si="56"/>
        <v>Day 82</v>
      </c>
      <c r="CI105" s="1" t="str">
        <f t="shared" ca="1" si="56"/>
        <v>Day 83</v>
      </c>
      <c r="CJ105" s="1" t="str">
        <f t="shared" ca="1" si="56"/>
        <v>Day 84</v>
      </c>
      <c r="CK105" s="1" t="str">
        <f t="shared" ca="1" si="56"/>
        <v>Day 85</v>
      </c>
      <c r="CL105" s="1" t="str">
        <f t="shared" ca="1" si="56"/>
        <v>Day 86</v>
      </c>
      <c r="CM105" s="1" t="str">
        <f t="shared" ca="1" si="56"/>
        <v>Day 87</v>
      </c>
      <c r="CN105" s="1">
        <f t="shared" ca="1" si="56"/>
        <v>0</v>
      </c>
      <c r="CO105" s="1">
        <f t="shared" ca="1" si="56"/>
        <v>0</v>
      </c>
      <c r="CP105" s="1">
        <f t="shared" ca="1" si="56"/>
        <v>0</v>
      </c>
      <c r="CQ105" s="1">
        <f t="shared" ca="1" si="56"/>
        <v>0</v>
      </c>
      <c r="CR105" s="1">
        <f t="shared" ca="1" si="56"/>
        <v>0</v>
      </c>
    </row>
    <row r="106" spans="1:96" x14ac:dyDescent="0.25">
      <c r="B106">
        <v>1</v>
      </c>
      <c r="C106" t="str">
        <f t="shared" ref="C106:D125" ca="1" si="57">C43</f>
        <v>Austria</v>
      </c>
      <c r="D106" s="1">
        <f t="shared" ca="1" si="57"/>
        <v>9006398</v>
      </c>
      <c r="E106" s="13">
        <f ca="1">E43/$D106*100000</f>
        <v>0.45523193623022218</v>
      </c>
      <c r="F106" s="13">
        <f t="shared" ref="F106:BQ106" ca="1" si="58">F43/$D106*100000</f>
        <v>0.61067698762590772</v>
      </c>
      <c r="G106" s="13">
        <f t="shared" ca="1" si="58"/>
        <v>0.87715421858994025</v>
      </c>
      <c r="H106" s="13">
        <f t="shared" ca="1" si="58"/>
        <v>1.1547346675108072</v>
      </c>
      <c r="I106" s="13">
        <f t="shared" ca="1" si="58"/>
        <v>1.4545215523453439</v>
      </c>
      <c r="J106" s="13">
        <f t="shared" ca="1" si="58"/>
        <v>2.0207856681439127</v>
      </c>
      <c r="K106" s="13">
        <f t="shared" ca="1" si="58"/>
        <v>2.7313916173813326</v>
      </c>
      <c r="L106" s="13">
        <f t="shared" ca="1" si="58"/>
        <v>3.3531718229640748</v>
      </c>
      <c r="M106" s="13">
        <f t="shared" ca="1" si="58"/>
        <v>5.5960218502446812</v>
      </c>
      <c r="N106" s="13">
        <f t="shared" ca="1" si="58"/>
        <v>7.2726077617267197</v>
      </c>
      <c r="O106" s="13">
        <f t="shared" ca="1" si="58"/>
        <v>9.5487674428778302</v>
      </c>
      <c r="P106" s="13">
        <f t="shared" ca="1" si="58"/>
        <v>11.30307588005771</v>
      </c>
      <c r="Q106" s="13">
        <f t="shared" ca="1" si="58"/>
        <v>14.789486318503801</v>
      </c>
      <c r="R106" s="13">
        <f t="shared" ca="1" si="58"/>
        <v>18.275896756949894</v>
      </c>
      <c r="S106" s="13">
        <f t="shared" ca="1" si="58"/>
        <v>22.350777747108221</v>
      </c>
      <c r="T106" s="13">
        <f t="shared" ca="1" si="58"/>
        <v>26.514484480921233</v>
      </c>
      <c r="U106" s="13">
        <f t="shared" ca="1" si="58"/>
        <v>31.244455330532805</v>
      </c>
      <c r="V106" s="13">
        <f t="shared" ca="1" si="58"/>
        <v>39.771726721381846</v>
      </c>
      <c r="W106" s="13">
        <f t="shared" ca="1" si="58"/>
        <v>49.675797138878387</v>
      </c>
      <c r="X106" s="13">
        <f t="shared" ca="1" si="58"/>
        <v>58.658300465957645</v>
      </c>
      <c r="Y106" s="13">
        <f t="shared" ca="1" si="58"/>
        <v>62.04478194279222</v>
      </c>
      <c r="Z106" s="13">
        <f t="shared" ca="1" si="58"/>
        <v>76.712132863770847</v>
      </c>
      <c r="AA106" s="13">
        <f t="shared" ca="1" si="58"/>
        <v>85.01733989548319</v>
      </c>
      <c r="AB106" s="13">
        <f t="shared" ca="1" si="58"/>
        <v>91.834715720979688</v>
      </c>
      <c r="AC106" s="13">
        <f t="shared" ca="1" si="58"/>
        <v>97.575079404663228</v>
      </c>
      <c r="AD106" s="13">
        <f t="shared" ca="1" si="58"/>
        <v>106.79075030883601</v>
      </c>
      <c r="AE106" s="13">
        <f t="shared" ca="1" si="58"/>
        <v>113.03075880057709</v>
      </c>
      <c r="AF106" s="13">
        <f t="shared" ca="1" si="58"/>
        <v>118.9265675356563</v>
      </c>
      <c r="AG106" s="13">
        <f t="shared" ca="1" si="58"/>
        <v>123.56771264161323</v>
      </c>
      <c r="AH106" s="13">
        <f t="shared" ca="1" si="58"/>
        <v>127.95348373456292</v>
      </c>
      <c r="AI106" s="13">
        <f t="shared" ca="1" si="58"/>
        <v>130.80701074946944</v>
      </c>
      <c r="AJ106" s="13">
        <f t="shared" ca="1" si="58"/>
        <v>133.80487959781482</v>
      </c>
      <c r="AK106" s="13">
        <f t="shared" ca="1" si="58"/>
        <v>136.53627121519614</v>
      </c>
      <c r="AL106" s="13">
        <f t="shared" ca="1" si="58"/>
        <v>140.3335717564336</v>
      </c>
      <c r="AM106" s="13">
        <f t="shared" ca="1" si="58"/>
        <v>143.69784679735452</v>
      </c>
      <c r="AN106" s="13">
        <f t="shared" ca="1" si="58"/>
        <v>147.05101862031859</v>
      </c>
      <c r="AO106" s="13">
        <f t="shared" ca="1" si="58"/>
        <v>150.50411940489417</v>
      </c>
      <c r="AP106" s="13">
        <f t="shared" ca="1" si="58"/>
        <v>153.29102711205965</v>
      </c>
      <c r="AQ106" s="13">
        <f t="shared" ca="1" si="58"/>
        <v>154.83437440805969</v>
      </c>
      <c r="AR106" s="13">
        <f t="shared" ca="1" si="58"/>
        <v>155.9002833319158</v>
      </c>
      <c r="AS106" s="13">
        <f t="shared" ca="1" si="58"/>
        <v>157.95437865393023</v>
      </c>
      <c r="AT106" s="13">
        <f t="shared" ca="1" si="58"/>
        <v>159.17573262918205</v>
      </c>
      <c r="AU106" s="13">
        <f t="shared" ca="1" si="58"/>
        <v>160.7301831431389</v>
      </c>
      <c r="AV106" s="13">
        <f t="shared" ca="1" si="58"/>
        <v>162.05146608000223</v>
      </c>
      <c r="AW106" s="13" t="e">
        <f t="shared" ca="1" si="58"/>
        <v>#N/A</v>
      </c>
      <c r="AX106" s="13" t="e">
        <f t="shared" ca="1" si="58"/>
        <v>#N/A</v>
      </c>
      <c r="AY106" s="13" t="e">
        <f t="shared" ca="1" si="58"/>
        <v>#N/A</v>
      </c>
      <c r="AZ106" s="13" t="e">
        <f t="shared" ca="1" si="58"/>
        <v>#N/A</v>
      </c>
      <c r="BA106" s="13" t="e">
        <f t="shared" ca="1" si="58"/>
        <v>#N/A</v>
      </c>
      <c r="BB106" s="13" t="e">
        <f t="shared" ca="1" si="58"/>
        <v>#N/A</v>
      </c>
      <c r="BC106" s="13" t="e">
        <f t="shared" ca="1" si="58"/>
        <v>#N/A</v>
      </c>
      <c r="BD106" s="13" t="e">
        <f t="shared" ca="1" si="58"/>
        <v>#N/A</v>
      </c>
      <c r="BE106" s="13" t="e">
        <f t="shared" ca="1" si="58"/>
        <v>#N/A</v>
      </c>
      <c r="BF106" s="13" t="e">
        <f t="shared" ca="1" si="58"/>
        <v>#N/A</v>
      </c>
      <c r="BG106" s="13" t="e">
        <f t="shared" ca="1" si="58"/>
        <v>#N/A</v>
      </c>
      <c r="BH106" s="13" t="e">
        <f t="shared" ca="1" si="58"/>
        <v>#N/A</v>
      </c>
      <c r="BI106" s="13" t="e">
        <f t="shared" ca="1" si="58"/>
        <v>#N/A</v>
      </c>
      <c r="BJ106" s="13" t="e">
        <f t="shared" ca="1" si="58"/>
        <v>#N/A</v>
      </c>
      <c r="BK106" s="13" t="e">
        <f t="shared" ca="1" si="58"/>
        <v>#N/A</v>
      </c>
      <c r="BL106" s="13" t="e">
        <f t="shared" ca="1" si="58"/>
        <v>#N/A</v>
      </c>
      <c r="BM106" s="13" t="e">
        <f t="shared" ca="1" si="58"/>
        <v>#N/A</v>
      </c>
      <c r="BN106" s="13" t="e">
        <f t="shared" ca="1" si="58"/>
        <v>#N/A</v>
      </c>
      <c r="BO106" s="13" t="e">
        <f t="shared" ca="1" si="58"/>
        <v>#N/A</v>
      </c>
      <c r="BP106" s="13" t="e">
        <f t="shared" ca="1" si="58"/>
        <v>#N/A</v>
      </c>
      <c r="BQ106" s="13" t="e">
        <f t="shared" ca="1" si="58"/>
        <v>#N/A</v>
      </c>
      <c r="BR106" s="13" t="e">
        <f t="shared" ref="BR106:BV106" ca="1" si="59">BR43/$D106*100000</f>
        <v>#N/A</v>
      </c>
      <c r="BS106" s="13" t="e">
        <f t="shared" ca="1" si="59"/>
        <v>#N/A</v>
      </c>
      <c r="BT106" s="13" t="e">
        <f t="shared" ca="1" si="59"/>
        <v>#N/A</v>
      </c>
      <c r="BU106" s="13" t="e">
        <f t="shared" ca="1" si="59"/>
        <v>#N/A</v>
      </c>
      <c r="BV106" s="13" t="e">
        <f t="shared" ca="1" si="59"/>
        <v>#N/A</v>
      </c>
      <c r="BW106" s="13" t="e">
        <f t="shared" ref="BW106:CR106" ca="1" si="60">BW43/$D106*100000</f>
        <v>#N/A</v>
      </c>
      <c r="BX106" s="13" t="e">
        <f t="shared" ca="1" si="60"/>
        <v>#N/A</v>
      </c>
      <c r="BY106" s="13" t="e">
        <f t="shared" ca="1" si="60"/>
        <v>#N/A</v>
      </c>
      <c r="BZ106" s="13" t="e">
        <f t="shared" ca="1" si="60"/>
        <v>#N/A</v>
      </c>
      <c r="CA106" s="13" t="e">
        <f t="shared" ca="1" si="60"/>
        <v>#N/A</v>
      </c>
      <c r="CB106" s="13" t="e">
        <f t="shared" ca="1" si="60"/>
        <v>#N/A</v>
      </c>
      <c r="CC106" s="13" t="e">
        <f t="shared" ca="1" si="60"/>
        <v>#N/A</v>
      </c>
      <c r="CD106" s="13" t="e">
        <f t="shared" ca="1" si="60"/>
        <v>#N/A</v>
      </c>
      <c r="CE106" s="13" t="e">
        <f t="shared" ca="1" si="60"/>
        <v>#N/A</v>
      </c>
      <c r="CF106" s="13" t="e">
        <f t="shared" ca="1" si="60"/>
        <v>#N/A</v>
      </c>
      <c r="CG106" s="13" t="e">
        <f t="shared" ca="1" si="60"/>
        <v>#N/A</v>
      </c>
      <c r="CH106" s="13" t="e">
        <f t="shared" ca="1" si="60"/>
        <v>#N/A</v>
      </c>
      <c r="CI106" s="13" t="e">
        <f t="shared" ca="1" si="60"/>
        <v>#N/A</v>
      </c>
      <c r="CJ106" s="13" t="e">
        <f t="shared" ca="1" si="60"/>
        <v>#N/A</v>
      </c>
      <c r="CK106" s="13" t="e">
        <f t="shared" ca="1" si="60"/>
        <v>#N/A</v>
      </c>
      <c r="CL106" s="13" t="e">
        <f t="shared" ca="1" si="60"/>
        <v>#N/A</v>
      </c>
      <c r="CM106" s="13" t="e">
        <f t="shared" ca="1" si="60"/>
        <v>#N/A</v>
      </c>
      <c r="CN106" s="13" t="e">
        <f t="shared" ca="1" si="60"/>
        <v>#N/A</v>
      </c>
      <c r="CO106" s="13" t="e">
        <f t="shared" ca="1" si="60"/>
        <v>#N/A</v>
      </c>
      <c r="CP106" s="13" t="e">
        <f t="shared" ca="1" si="60"/>
        <v>#N/A</v>
      </c>
      <c r="CQ106" s="13" t="e">
        <f t="shared" ca="1" si="60"/>
        <v>#N/A</v>
      </c>
      <c r="CR106" s="13" t="e">
        <f t="shared" ca="1" si="60"/>
        <v>#N/A</v>
      </c>
    </row>
    <row r="107" spans="1:96" x14ac:dyDescent="0.25">
      <c r="A107" t="e">
        <f ca="1">RIGHT(C107,LEN(C107)-LEN(C$43)-1)</f>
        <v>#VALUE!</v>
      </c>
      <c r="B107">
        <f>B106+1</f>
        <v>2</v>
      </c>
      <c r="C107" t="str">
        <f t="shared" ca="1" si="57"/>
        <v>Belgium</v>
      </c>
      <c r="D107" s="1">
        <f t="shared" ca="1" si="57"/>
        <v>11589623</v>
      </c>
      <c r="E107" s="13">
        <f t="shared" ref="E107:BP107" ca="1" si="61">E44/$D107*100000</f>
        <v>0.43142041807572173</v>
      </c>
      <c r="F107" s="13">
        <f t="shared" ca="1" si="61"/>
        <v>0.94049651140507329</v>
      </c>
      <c r="G107" s="13">
        <f t="shared" ca="1" si="61"/>
        <v>1.4582010130959393</v>
      </c>
      <c r="H107" s="13">
        <f t="shared" ca="1" si="61"/>
        <v>1.7256816723028869</v>
      </c>
      <c r="I107" s="13">
        <f t="shared" ca="1" si="61"/>
        <v>2.0621895984019494</v>
      </c>
      <c r="J107" s="13">
        <f t="shared" ca="1" si="61"/>
        <v>2.3037850325243538</v>
      </c>
      <c r="K107" s="13">
        <f t="shared" ca="1" si="61"/>
        <v>2.709320225515532</v>
      </c>
      <c r="L107" s="13">
        <f t="shared" ca="1" si="61"/>
        <v>3.7663002498010507</v>
      </c>
      <c r="M107" s="13">
        <f t="shared" ca="1" si="61"/>
        <v>4.8232802740865681</v>
      </c>
      <c r="N107" s="13">
        <f t="shared" ca="1" si="61"/>
        <v>5.944973361083445</v>
      </c>
      <c r="O107" s="13">
        <f t="shared" ca="1" si="61"/>
        <v>7.6447698083017883</v>
      </c>
      <c r="P107" s="13">
        <f t="shared" ca="1" si="61"/>
        <v>9.1288560464822712</v>
      </c>
      <c r="Q107" s="13">
        <f t="shared" ca="1" si="61"/>
        <v>10.725111593362442</v>
      </c>
      <c r="R107" s="13">
        <f t="shared" ca="1" si="61"/>
        <v>12.821814825210447</v>
      </c>
      <c r="S107" s="13">
        <f t="shared" ca="1" si="61"/>
        <v>15.48799300891841</v>
      </c>
      <c r="T107" s="13">
        <f t="shared" ca="1" si="61"/>
        <v>19.474317671938078</v>
      </c>
      <c r="U107" s="13">
        <f t="shared" ca="1" si="61"/>
        <v>24.288969537663132</v>
      </c>
      <c r="V107" s="13">
        <f t="shared" ca="1" si="61"/>
        <v>29.345216837510588</v>
      </c>
      <c r="W107" s="13">
        <f t="shared" ca="1" si="61"/>
        <v>32.296132497148527</v>
      </c>
      <c r="X107" s="13">
        <f t="shared" ca="1" si="61"/>
        <v>36.834675295305118</v>
      </c>
      <c r="Y107" s="13">
        <f t="shared" ca="1" si="61"/>
        <v>42.598452080796761</v>
      </c>
      <c r="Z107" s="13">
        <f t="shared" ca="1" si="61"/>
        <v>53.798126134042498</v>
      </c>
      <c r="AA107" s="13">
        <f t="shared" ca="1" si="61"/>
        <v>62.849326505271137</v>
      </c>
      <c r="AB107" s="13">
        <f t="shared" ca="1" si="61"/>
        <v>78.811881974072847</v>
      </c>
      <c r="AC107" s="13">
        <f t="shared" ca="1" si="61"/>
        <v>93.497433005370411</v>
      </c>
      <c r="AD107" s="13">
        <f t="shared" ca="1" si="61"/>
        <v>102.66943109366025</v>
      </c>
      <c r="AE107" s="13">
        <f t="shared" ca="1" si="61"/>
        <v>110.2279168183469</v>
      </c>
      <c r="AF107" s="13">
        <f t="shared" ca="1" si="61"/>
        <v>120.48709436018756</v>
      </c>
      <c r="AG107" s="13">
        <f t="shared" ca="1" si="61"/>
        <v>132.42881153252353</v>
      </c>
      <c r="AH107" s="13">
        <f t="shared" ca="1" si="61"/>
        <v>144.69840822259704</v>
      </c>
      <c r="AI107" s="13">
        <f t="shared" ca="1" si="61"/>
        <v>159.03019451107252</v>
      </c>
      <c r="AJ107" s="13">
        <f t="shared" ca="1" si="61"/>
        <v>169.90198904658072</v>
      </c>
      <c r="AK107" s="13">
        <f t="shared" ca="1" si="61"/>
        <v>179.59169163656142</v>
      </c>
      <c r="AL107" s="13">
        <f t="shared" ca="1" si="61"/>
        <v>191.49889517545137</v>
      </c>
      <c r="AM107" s="13">
        <f t="shared" ca="1" si="61"/>
        <v>201.93064088452232</v>
      </c>
      <c r="AN107" s="13">
        <f t="shared" ca="1" si="61"/>
        <v>215.56352609571513</v>
      </c>
      <c r="AO107" s="13">
        <f t="shared" ca="1" si="61"/>
        <v>230.09376577650542</v>
      </c>
      <c r="AP107" s="13">
        <f t="shared" ca="1" si="61"/>
        <v>241.75074547291143</v>
      </c>
      <c r="AQ107" s="13">
        <f t="shared" ca="1" si="61"/>
        <v>255.80642269381843</v>
      </c>
      <c r="AR107" s="13">
        <f t="shared" ca="1" si="61"/>
        <v>263.93438337036503</v>
      </c>
      <c r="AS107" s="13">
        <f t="shared" ca="1" si="61"/>
        <v>268.50743980196768</v>
      </c>
      <c r="AT107" s="13">
        <f t="shared" ca="1" si="61"/>
        <v>289.68155392112408</v>
      </c>
      <c r="AU107" s="13">
        <f t="shared" ca="1" si="61"/>
        <v>300.34626665595596</v>
      </c>
      <c r="AV107" s="13">
        <f t="shared" ca="1" si="61"/>
        <v>311.81342136840863</v>
      </c>
      <c r="AW107" s="13" t="e">
        <f t="shared" ca="1" si="61"/>
        <v>#N/A</v>
      </c>
      <c r="AX107" s="13" t="e">
        <f t="shared" ca="1" si="61"/>
        <v>#N/A</v>
      </c>
      <c r="AY107" s="13" t="e">
        <f t="shared" ca="1" si="61"/>
        <v>#N/A</v>
      </c>
      <c r="AZ107" s="13" t="e">
        <f t="shared" ca="1" si="61"/>
        <v>#N/A</v>
      </c>
      <c r="BA107" s="13" t="e">
        <f t="shared" ca="1" si="61"/>
        <v>#N/A</v>
      </c>
      <c r="BB107" s="13" t="e">
        <f t="shared" ca="1" si="61"/>
        <v>#N/A</v>
      </c>
      <c r="BC107" s="13" t="e">
        <f t="shared" ca="1" si="61"/>
        <v>#N/A</v>
      </c>
      <c r="BD107" s="13" t="e">
        <f t="shared" ca="1" si="61"/>
        <v>#N/A</v>
      </c>
      <c r="BE107" s="13" t="e">
        <f t="shared" ca="1" si="61"/>
        <v>#N/A</v>
      </c>
      <c r="BF107" s="13" t="e">
        <f t="shared" ca="1" si="61"/>
        <v>#N/A</v>
      </c>
      <c r="BG107" s="13" t="e">
        <f t="shared" ca="1" si="61"/>
        <v>#N/A</v>
      </c>
      <c r="BH107" s="13" t="e">
        <f t="shared" ca="1" si="61"/>
        <v>#N/A</v>
      </c>
      <c r="BI107" s="13" t="e">
        <f t="shared" ca="1" si="61"/>
        <v>#N/A</v>
      </c>
      <c r="BJ107" s="13" t="e">
        <f t="shared" ca="1" si="61"/>
        <v>#N/A</v>
      </c>
      <c r="BK107" s="13" t="e">
        <f t="shared" ca="1" si="61"/>
        <v>#N/A</v>
      </c>
      <c r="BL107" s="13" t="e">
        <f t="shared" ca="1" si="61"/>
        <v>#N/A</v>
      </c>
      <c r="BM107" s="13" t="e">
        <f t="shared" ca="1" si="61"/>
        <v>#N/A</v>
      </c>
      <c r="BN107" s="13" t="e">
        <f t="shared" ca="1" si="61"/>
        <v>#N/A</v>
      </c>
      <c r="BO107" s="13" t="e">
        <f t="shared" ca="1" si="61"/>
        <v>#N/A</v>
      </c>
      <c r="BP107" s="13" t="e">
        <f t="shared" ca="1" si="61"/>
        <v>#N/A</v>
      </c>
      <c r="BQ107" s="13" t="e">
        <f t="shared" ref="BQ107:BV107" ca="1" si="62">BQ44/$D107*100000</f>
        <v>#N/A</v>
      </c>
      <c r="BR107" s="13" t="e">
        <f t="shared" ca="1" si="62"/>
        <v>#N/A</v>
      </c>
      <c r="BS107" s="13" t="e">
        <f t="shared" ca="1" si="62"/>
        <v>#N/A</v>
      </c>
      <c r="BT107" s="13" t="e">
        <f t="shared" ca="1" si="62"/>
        <v>#N/A</v>
      </c>
      <c r="BU107" s="13" t="e">
        <f t="shared" ca="1" si="62"/>
        <v>#N/A</v>
      </c>
      <c r="BV107" s="13" t="e">
        <f t="shared" ca="1" si="62"/>
        <v>#N/A</v>
      </c>
      <c r="BW107" s="13" t="e">
        <f t="shared" ref="BW107:CR107" ca="1" si="63">BW44/$D107*100000</f>
        <v>#N/A</v>
      </c>
      <c r="BX107" s="13" t="e">
        <f t="shared" ca="1" si="63"/>
        <v>#N/A</v>
      </c>
      <c r="BY107" s="13" t="e">
        <f t="shared" ca="1" si="63"/>
        <v>#N/A</v>
      </c>
      <c r="BZ107" s="13" t="e">
        <f t="shared" ca="1" si="63"/>
        <v>#N/A</v>
      </c>
      <c r="CA107" s="13" t="e">
        <f t="shared" ca="1" si="63"/>
        <v>#N/A</v>
      </c>
      <c r="CB107" s="13" t="e">
        <f t="shared" ca="1" si="63"/>
        <v>#N/A</v>
      </c>
      <c r="CC107" s="13" t="e">
        <f t="shared" ca="1" si="63"/>
        <v>#N/A</v>
      </c>
      <c r="CD107" s="13" t="e">
        <f t="shared" ca="1" si="63"/>
        <v>#N/A</v>
      </c>
      <c r="CE107" s="13" t="e">
        <f t="shared" ca="1" si="63"/>
        <v>#N/A</v>
      </c>
      <c r="CF107" s="13" t="e">
        <f t="shared" ca="1" si="63"/>
        <v>#N/A</v>
      </c>
      <c r="CG107" s="13" t="e">
        <f t="shared" ca="1" si="63"/>
        <v>#N/A</v>
      </c>
      <c r="CH107" s="13" t="e">
        <f t="shared" ca="1" si="63"/>
        <v>#N/A</v>
      </c>
      <c r="CI107" s="13" t="e">
        <f t="shared" ca="1" si="63"/>
        <v>#N/A</v>
      </c>
      <c r="CJ107" s="13" t="e">
        <f t="shared" ca="1" si="63"/>
        <v>#N/A</v>
      </c>
      <c r="CK107" s="13" t="e">
        <f t="shared" ca="1" si="63"/>
        <v>#N/A</v>
      </c>
      <c r="CL107" s="13" t="e">
        <f t="shared" ca="1" si="63"/>
        <v>#N/A</v>
      </c>
      <c r="CM107" s="13" t="e">
        <f t="shared" ca="1" si="63"/>
        <v>#N/A</v>
      </c>
      <c r="CN107" s="13" t="e">
        <f t="shared" ca="1" si="63"/>
        <v>#N/A</v>
      </c>
      <c r="CO107" s="13" t="e">
        <f t="shared" ca="1" si="63"/>
        <v>#N/A</v>
      </c>
      <c r="CP107" s="13" t="e">
        <f t="shared" ca="1" si="63"/>
        <v>#N/A</v>
      </c>
      <c r="CQ107" s="13" t="e">
        <f t="shared" ca="1" si="63"/>
        <v>#N/A</v>
      </c>
      <c r="CR107" s="13" t="e">
        <f t="shared" ca="1" si="63"/>
        <v>#N/A</v>
      </c>
    </row>
    <row r="108" spans="1:96" x14ac:dyDescent="0.25">
      <c r="A108" t="e">
        <f t="shared" ref="A108:A132" ca="1" si="64">RIGHT(C108,LEN(C108)-LEN(C$43)-1)</f>
        <v>#VALUE!</v>
      </c>
      <c r="B108">
        <f t="shared" ref="B108:B162" si="65">B107+1</f>
        <v>3</v>
      </c>
      <c r="C108" t="str">
        <f t="shared" ca="1" si="57"/>
        <v>Canada</v>
      </c>
      <c r="D108" s="1">
        <f t="shared" ca="1" si="57"/>
        <v>37742154</v>
      </c>
      <c r="E108" s="13">
        <f t="shared" ref="E108:BP108" ca="1" si="66">E45/$D108*100000</f>
        <v>7.9486719279456081E-2</v>
      </c>
      <c r="F108" s="13">
        <f t="shared" ca="1" si="66"/>
        <v>8.743539120740168E-2</v>
      </c>
      <c r="G108" s="13">
        <f t="shared" ca="1" si="66"/>
        <v>9.8033620444662475E-2</v>
      </c>
      <c r="H108" s="13">
        <f t="shared" ca="1" si="66"/>
        <v>0.12982830815644492</v>
      </c>
      <c r="I108" s="13">
        <f t="shared" ca="1" si="66"/>
        <v>0.14307609470302093</v>
      </c>
      <c r="J108" s="13">
        <f t="shared" ca="1" si="66"/>
        <v>0.16957166779617294</v>
      </c>
      <c r="K108" s="13">
        <f t="shared" ca="1" si="66"/>
        <v>0.20401591281727058</v>
      </c>
      <c r="L108" s="13">
        <f t="shared" ca="1" si="66"/>
        <v>0.20931502743590097</v>
      </c>
      <c r="M108" s="13">
        <f t="shared" ca="1" si="66"/>
        <v>0.28615218940604187</v>
      </c>
      <c r="N108" s="13">
        <f t="shared" ca="1" si="66"/>
        <v>0.30999820518987869</v>
      </c>
      <c r="O108" s="13">
        <f t="shared" ca="1" si="66"/>
        <v>0.50606544607920356</v>
      </c>
      <c r="P108" s="13">
        <f t="shared" ca="1" si="66"/>
        <v>0.51931323262577966</v>
      </c>
      <c r="Q108" s="13">
        <f t="shared" ca="1" si="66"/>
        <v>0.66238932732880051</v>
      </c>
      <c r="R108" s="13">
        <f t="shared" ca="1" si="66"/>
        <v>1.0942671687471786</v>
      </c>
      <c r="S108" s="13">
        <f t="shared" ca="1" si="66"/>
        <v>1.2452919353781451</v>
      </c>
      <c r="T108" s="13">
        <f t="shared" ca="1" si="66"/>
        <v>1.7169131364362511</v>
      </c>
      <c r="U108" s="13">
        <f t="shared" ca="1" si="66"/>
        <v>2.0957998316683248</v>
      </c>
      <c r="V108" s="13">
        <f t="shared" ca="1" si="66"/>
        <v>2.472036969591084</v>
      </c>
      <c r="W108" s="13">
        <f t="shared" ca="1" si="66"/>
        <v>3.3569891109023611</v>
      </c>
      <c r="X108" s="13">
        <f t="shared" ca="1" si="66"/>
        <v>3.8577554423629348</v>
      </c>
      <c r="Y108" s="13">
        <f t="shared" ca="1" si="66"/>
        <v>5.4978314168290447</v>
      </c>
      <c r="Z108" s="13">
        <f t="shared" ca="1" si="66"/>
        <v>7.3578206479683166</v>
      </c>
      <c r="AA108" s="13">
        <f t="shared" ca="1" si="66"/>
        <v>8.579266567562625</v>
      </c>
      <c r="AB108" s="13">
        <f t="shared" ca="1" si="66"/>
        <v>10.67506639923095</v>
      </c>
      <c r="AC108" s="13">
        <f t="shared" ca="1" si="66"/>
        <v>12.370783077192678</v>
      </c>
      <c r="AD108" s="13">
        <f t="shared" ca="1" si="66"/>
        <v>14.739487311720469</v>
      </c>
      <c r="AE108" s="13">
        <f t="shared" ca="1" si="66"/>
        <v>16.604775657478374</v>
      </c>
      <c r="AF108" s="13">
        <f t="shared" ca="1" si="66"/>
        <v>19.566980729292769</v>
      </c>
      <c r="AG108" s="13">
        <f t="shared" ca="1" si="66"/>
        <v>22.558330931509634</v>
      </c>
      <c r="AH108" s="13">
        <f t="shared" ca="1" si="66"/>
        <v>25.295323632032236</v>
      </c>
      <c r="AI108" s="13">
        <f t="shared" ca="1" si="66"/>
        <v>29.863160433291643</v>
      </c>
      <c r="AJ108" s="13">
        <f t="shared" ca="1" si="66"/>
        <v>32.918100010932079</v>
      </c>
      <c r="AK108" s="13">
        <f t="shared" ca="1" si="66"/>
        <v>34.351510515271599</v>
      </c>
      <c r="AL108" s="13">
        <f t="shared" ca="1" si="66"/>
        <v>41.711980720549228</v>
      </c>
      <c r="AM108" s="13">
        <f t="shared" ca="1" si="66"/>
        <v>43.850173469166599</v>
      </c>
      <c r="AN108" s="13">
        <f t="shared" ca="1" si="66"/>
        <v>47.318443987060199</v>
      </c>
      <c r="AO108" s="13">
        <f t="shared" ca="1" si="66"/>
        <v>50.680732212581191</v>
      </c>
      <c r="AP108" s="13">
        <f t="shared" ca="1" si="66"/>
        <v>54.689512421575088</v>
      </c>
      <c r="AQ108" s="13">
        <f t="shared" ca="1" si="66"/>
        <v>58.412140441162947</v>
      </c>
      <c r="AR108" s="13">
        <f t="shared" ca="1" si="66"/>
        <v>61.742633978972158</v>
      </c>
      <c r="AS108" s="13">
        <f t="shared" ca="1" si="66"/>
        <v>64.347148814029012</v>
      </c>
      <c r="AT108" s="13">
        <f t="shared" ca="1" si="66"/>
        <v>68.006187458193295</v>
      </c>
      <c r="AU108" s="13">
        <f t="shared" ca="1" si="66"/>
        <v>71.596337612315395</v>
      </c>
      <c r="AV108" s="13">
        <f t="shared" ca="1" si="66"/>
        <v>74.706917893451433</v>
      </c>
      <c r="AW108" s="13">
        <f t="shared" ca="1" si="66"/>
        <v>81.59576689767097</v>
      </c>
      <c r="AX108" s="13">
        <f t="shared" ca="1" si="66"/>
        <v>86.908129302847954</v>
      </c>
      <c r="AY108" s="13" t="e">
        <f t="shared" ca="1" si="66"/>
        <v>#N/A</v>
      </c>
      <c r="AZ108" s="13" t="e">
        <f t="shared" ca="1" si="66"/>
        <v>#N/A</v>
      </c>
      <c r="BA108" s="13" t="e">
        <f t="shared" ca="1" si="66"/>
        <v>#N/A</v>
      </c>
      <c r="BB108" s="13" t="e">
        <f t="shared" ca="1" si="66"/>
        <v>#N/A</v>
      </c>
      <c r="BC108" s="13" t="e">
        <f t="shared" ca="1" si="66"/>
        <v>#N/A</v>
      </c>
      <c r="BD108" s="13" t="e">
        <f t="shared" ca="1" si="66"/>
        <v>#N/A</v>
      </c>
      <c r="BE108" s="13" t="e">
        <f t="shared" ca="1" si="66"/>
        <v>#N/A</v>
      </c>
      <c r="BF108" s="13" t="e">
        <f t="shared" ca="1" si="66"/>
        <v>#N/A</v>
      </c>
      <c r="BG108" s="13" t="e">
        <f t="shared" ca="1" si="66"/>
        <v>#N/A</v>
      </c>
      <c r="BH108" s="13" t="e">
        <f t="shared" ca="1" si="66"/>
        <v>#N/A</v>
      </c>
      <c r="BI108" s="13" t="e">
        <f t="shared" ca="1" si="66"/>
        <v>#N/A</v>
      </c>
      <c r="BJ108" s="13" t="e">
        <f t="shared" ca="1" si="66"/>
        <v>#N/A</v>
      </c>
      <c r="BK108" s="13" t="e">
        <f t="shared" ca="1" si="66"/>
        <v>#N/A</v>
      </c>
      <c r="BL108" s="13" t="e">
        <f t="shared" ca="1" si="66"/>
        <v>#N/A</v>
      </c>
      <c r="BM108" s="13" t="e">
        <f t="shared" ca="1" si="66"/>
        <v>#N/A</v>
      </c>
      <c r="BN108" s="13" t="e">
        <f t="shared" ca="1" si="66"/>
        <v>#N/A</v>
      </c>
      <c r="BO108" s="13" t="e">
        <f t="shared" ca="1" si="66"/>
        <v>#N/A</v>
      </c>
      <c r="BP108" s="13" t="e">
        <f t="shared" ca="1" si="66"/>
        <v>#N/A</v>
      </c>
      <c r="BQ108" s="13" t="e">
        <f t="shared" ref="BQ108:BV108" ca="1" si="67">BQ45/$D108*100000</f>
        <v>#N/A</v>
      </c>
      <c r="BR108" s="13" t="e">
        <f t="shared" ca="1" si="67"/>
        <v>#N/A</v>
      </c>
      <c r="BS108" s="13" t="e">
        <f t="shared" ca="1" si="67"/>
        <v>#N/A</v>
      </c>
      <c r="BT108" s="13" t="e">
        <f t="shared" ca="1" si="67"/>
        <v>#N/A</v>
      </c>
      <c r="BU108" s="13" t="e">
        <f t="shared" ca="1" si="67"/>
        <v>#N/A</v>
      </c>
      <c r="BV108" s="13" t="e">
        <f t="shared" ca="1" si="67"/>
        <v>#N/A</v>
      </c>
      <c r="BW108" s="13" t="e">
        <f t="shared" ref="BW108:CR108" ca="1" si="68">BW45/$D108*100000</f>
        <v>#N/A</v>
      </c>
      <c r="BX108" s="13" t="e">
        <f t="shared" ca="1" si="68"/>
        <v>#N/A</v>
      </c>
      <c r="BY108" s="13" t="e">
        <f t="shared" ca="1" si="68"/>
        <v>#N/A</v>
      </c>
      <c r="BZ108" s="13" t="e">
        <f t="shared" ca="1" si="68"/>
        <v>#N/A</v>
      </c>
      <c r="CA108" s="13" t="e">
        <f t="shared" ca="1" si="68"/>
        <v>#N/A</v>
      </c>
      <c r="CB108" s="13" t="e">
        <f t="shared" ca="1" si="68"/>
        <v>#N/A</v>
      </c>
      <c r="CC108" s="13" t="e">
        <f t="shared" ca="1" si="68"/>
        <v>#N/A</v>
      </c>
      <c r="CD108" s="13" t="e">
        <f t="shared" ca="1" si="68"/>
        <v>#N/A</v>
      </c>
      <c r="CE108" s="13" t="e">
        <f t="shared" ca="1" si="68"/>
        <v>#N/A</v>
      </c>
      <c r="CF108" s="13" t="e">
        <f t="shared" ca="1" si="68"/>
        <v>#N/A</v>
      </c>
      <c r="CG108" s="13" t="e">
        <f t="shared" ca="1" si="68"/>
        <v>#N/A</v>
      </c>
      <c r="CH108" s="13" t="e">
        <f t="shared" ca="1" si="68"/>
        <v>#N/A</v>
      </c>
      <c r="CI108" s="13" t="e">
        <f t="shared" ca="1" si="68"/>
        <v>#N/A</v>
      </c>
      <c r="CJ108" s="13" t="e">
        <f t="shared" ca="1" si="68"/>
        <v>#N/A</v>
      </c>
      <c r="CK108" s="13" t="e">
        <f t="shared" ca="1" si="68"/>
        <v>#N/A</v>
      </c>
      <c r="CL108" s="13" t="e">
        <f t="shared" ca="1" si="68"/>
        <v>#N/A</v>
      </c>
      <c r="CM108" s="13" t="e">
        <f t="shared" ca="1" si="68"/>
        <v>#N/A</v>
      </c>
      <c r="CN108" s="13" t="e">
        <f t="shared" ca="1" si="68"/>
        <v>#N/A</v>
      </c>
      <c r="CO108" s="13" t="e">
        <f t="shared" ca="1" si="68"/>
        <v>#N/A</v>
      </c>
      <c r="CP108" s="13" t="e">
        <f t="shared" ca="1" si="68"/>
        <v>#N/A</v>
      </c>
      <c r="CQ108" s="13" t="e">
        <f t="shared" ca="1" si="68"/>
        <v>#N/A</v>
      </c>
      <c r="CR108" s="13" t="e">
        <f t="shared" ca="1" si="68"/>
        <v>#N/A</v>
      </c>
    </row>
    <row r="109" spans="1:96" x14ac:dyDescent="0.25">
      <c r="A109" t="e">
        <f t="shared" ca="1" si="64"/>
        <v>#VALUE!</v>
      </c>
      <c r="B109">
        <f t="shared" si="65"/>
        <v>4</v>
      </c>
      <c r="C109" t="str">
        <f t="shared" ca="1" si="57"/>
        <v>China</v>
      </c>
      <c r="D109" s="1">
        <f t="shared" ca="1" si="57"/>
        <v>1439323776</v>
      </c>
      <c r="E109" s="13">
        <f t="shared" ref="E109:BP109" ca="1" si="69">E46/$D109*100000</f>
        <v>3.8073434840556683E-2</v>
      </c>
      <c r="F109" s="13">
        <f t="shared" ca="1" si="69"/>
        <v>4.4673756573864867E-2</v>
      </c>
      <c r="G109" s="13">
        <f t="shared" ca="1" si="69"/>
        <v>6.3918905206773999E-2</v>
      </c>
      <c r="H109" s="13">
        <f t="shared" ca="1" si="69"/>
        <v>9.7684761652961125E-2</v>
      </c>
      <c r="I109" s="13">
        <f t="shared" ca="1" si="69"/>
        <v>0.14416492206962611</v>
      </c>
      <c r="J109" s="13">
        <f t="shared" ca="1" si="69"/>
        <v>0.19988553291292255</v>
      </c>
      <c r="K109" s="13">
        <f t="shared" ca="1" si="69"/>
        <v>0.38274918346099773</v>
      </c>
      <c r="L109" s="13">
        <f t="shared" ca="1" si="69"/>
        <v>0.42290693042786226</v>
      </c>
      <c r="M109" s="13">
        <f t="shared" ca="1" si="69"/>
        <v>0.56561283400907292</v>
      </c>
      <c r="N109" s="13">
        <f t="shared" ca="1" si="69"/>
        <v>0.68101424873565064</v>
      </c>
      <c r="O109" s="13">
        <f t="shared" ca="1" si="69"/>
        <v>0.82615184979755385</v>
      </c>
      <c r="P109" s="13">
        <f t="shared" ca="1" si="69"/>
        <v>1.1554036886833168</v>
      </c>
      <c r="Q109" s="13">
        <f t="shared" ca="1" si="69"/>
        <v>1.3698099294095174</v>
      </c>
      <c r="R109" s="13">
        <f t="shared" ca="1" si="69"/>
        <v>1.647092919279338</v>
      </c>
      <c r="S109" s="13">
        <f t="shared" ca="1" si="69"/>
        <v>1.9064508248629113</v>
      </c>
      <c r="T109" s="13">
        <f t="shared" ca="1" si="69"/>
        <v>2.1250951669126041</v>
      </c>
      <c r="U109" s="13">
        <f t="shared" ca="1" si="69"/>
        <v>2.3698628876120225</v>
      </c>
      <c r="V109" s="13">
        <f t="shared" ca="1" si="69"/>
        <v>2.5577288872632367</v>
      </c>
      <c r="W109" s="13">
        <f t="shared" ca="1" si="69"/>
        <v>2.7672022559571752</v>
      </c>
      <c r="X109" s="13">
        <f t="shared" ca="1" si="69"/>
        <v>2.9426318599214194</v>
      </c>
      <c r="Y109" s="13">
        <f t="shared" ca="1" si="69"/>
        <v>3.0838092679433373</v>
      </c>
      <c r="Z109" s="13">
        <f t="shared" ca="1" si="69"/>
        <v>3.1097242153804316</v>
      </c>
      <c r="AA109" s="13">
        <f t="shared" ca="1" si="69"/>
        <v>4.1613291601736178</v>
      </c>
      <c r="AB109" s="13">
        <f t="shared" ca="1" si="69"/>
        <v>4.6103594692512049</v>
      </c>
      <c r="AC109" s="13">
        <f t="shared" ca="1" si="69"/>
        <v>4.7531348499032928</v>
      </c>
      <c r="AD109" s="13">
        <f t="shared" ca="1" si="69"/>
        <v>4.8990366987448413</v>
      </c>
      <c r="AE109" s="13">
        <f t="shared" ca="1" si="69"/>
        <v>5.0325021518994211</v>
      </c>
      <c r="AF109" s="13">
        <f t="shared" ca="1" si="69"/>
        <v>5.1559629068477228</v>
      </c>
      <c r="AG109" s="13">
        <f t="shared" ca="1" si="69"/>
        <v>5.1843095517655087</v>
      </c>
      <c r="AH109" s="13">
        <f t="shared" ca="1" si="69"/>
        <v>5.2161300502271422</v>
      </c>
      <c r="AI109" s="13">
        <f t="shared" ca="1" si="69"/>
        <v>5.2489927047519291</v>
      </c>
      <c r="AJ109" s="13">
        <f t="shared" ca="1" si="69"/>
        <v>5.3498039345943527</v>
      </c>
      <c r="AK109" s="13">
        <f t="shared" ca="1" si="69"/>
        <v>5.3512629530827676</v>
      </c>
      <c r="AL109" s="13">
        <f t="shared" ca="1" si="69"/>
        <v>5.3664784316048149</v>
      </c>
      <c r="AM109" s="13">
        <f t="shared" ca="1" si="69"/>
        <v>5.4021201689646796</v>
      </c>
      <c r="AN109" s="13">
        <f t="shared" ca="1" si="69"/>
        <v>5.4307447221659739</v>
      </c>
      <c r="AO109" s="13">
        <f t="shared" ca="1" si="69"/>
        <v>5.46089777092656</v>
      </c>
      <c r="AP109" s="13">
        <f t="shared" ca="1" si="69"/>
        <v>5.483686250174193</v>
      </c>
      <c r="AQ109" s="13">
        <f t="shared" ca="1" si="69"/>
        <v>5.5134224365095186</v>
      </c>
      <c r="AR109" s="13">
        <f t="shared" ca="1" si="69"/>
        <v>5.5534412293346289</v>
      </c>
      <c r="AS109" s="13">
        <f t="shared" ca="1" si="69"/>
        <v>5.5676145517935218</v>
      </c>
      <c r="AT109" s="13">
        <f t="shared" ca="1" si="69"/>
        <v>5.5762991856531379</v>
      </c>
      <c r="AU109" s="13">
        <f t="shared" ca="1" si="69"/>
        <v>5.5849838195127548</v>
      </c>
      <c r="AV109" s="13">
        <f t="shared" ca="1" si="69"/>
        <v>5.5954748572151711</v>
      </c>
      <c r="AW109" s="13">
        <f t="shared" ca="1" si="69"/>
        <v>5.6061048490593404</v>
      </c>
      <c r="AX109" s="13">
        <f t="shared" ca="1" si="69"/>
        <v>5.611663014729495</v>
      </c>
      <c r="AY109" s="13">
        <f t="shared" ca="1" si="69"/>
        <v>5.6153452994859716</v>
      </c>
      <c r="AZ109" s="13">
        <f t="shared" ca="1" si="69"/>
        <v>5.6179159511084187</v>
      </c>
      <c r="BA109" s="13">
        <f t="shared" ca="1" si="69"/>
        <v>5.6197918320220959</v>
      </c>
      <c r="BB109" s="13">
        <f t="shared" ca="1" si="69"/>
        <v>5.6221540524319105</v>
      </c>
      <c r="BC109" s="13">
        <f t="shared" ca="1" si="69"/>
        <v>5.6229183002115573</v>
      </c>
      <c r="BD109" s="13">
        <f t="shared" ca="1" si="69"/>
        <v>5.623821502132957</v>
      </c>
      <c r="BE109" s="13">
        <f t="shared" ca="1" si="69"/>
        <v>5.6260447684010186</v>
      </c>
      <c r="BF109" s="13">
        <f t="shared" ca="1" si="69"/>
        <v>5.6278511722438189</v>
      </c>
      <c r="BG109" s="13">
        <f t="shared" ca="1" si="69"/>
        <v>5.6299354843701268</v>
      </c>
      <c r="BH109" s="13">
        <f t="shared" ca="1" si="69"/>
        <v>5.6316724111420502</v>
      </c>
      <c r="BI109" s="13">
        <f t="shared" ca="1" si="69"/>
        <v>5.6347294022606356</v>
      </c>
      <c r="BJ109" s="13">
        <f t="shared" ca="1" si="69"/>
        <v>5.6384811640879891</v>
      </c>
      <c r="BK109" s="13">
        <f t="shared" ca="1" si="69"/>
        <v>5.6450120087504203</v>
      </c>
      <c r="BL109" s="13">
        <f t="shared" ca="1" si="69"/>
        <v>5.6488332476486516</v>
      </c>
      <c r="BM109" s="13">
        <f t="shared" ca="1" si="69"/>
        <v>5.6578652668626521</v>
      </c>
      <c r="BN109" s="13">
        <f t="shared" ca="1" si="69"/>
        <v>5.6622423223278986</v>
      </c>
      <c r="BO109" s="13">
        <f t="shared" ca="1" si="69"/>
        <v>5.6687036899194529</v>
      </c>
      <c r="BP109" s="13">
        <f t="shared" ca="1" si="69"/>
        <v>5.6735670848808377</v>
      </c>
      <c r="BQ109" s="13">
        <f t="shared" ref="BQ109:BV109" ca="1" si="70">BQ46/$D109*100000</f>
        <v>5.6819738104569462</v>
      </c>
      <c r="BR109" s="13">
        <f t="shared" ca="1" si="70"/>
        <v>5.6899636736077932</v>
      </c>
      <c r="BS109" s="13">
        <f t="shared" ca="1" si="70"/>
        <v>5.6970503348372397</v>
      </c>
      <c r="BT109" s="13">
        <f t="shared" ca="1" si="70"/>
        <v>5.7055960145551019</v>
      </c>
      <c r="BU109" s="13">
        <f t="shared" ca="1" si="70"/>
        <v>5.7108762719417481</v>
      </c>
      <c r="BV109" s="13">
        <f t="shared" ca="1" si="70"/>
        <v>5.7165039146827796</v>
      </c>
      <c r="BW109" s="13">
        <f t="shared" ref="BW109:CR109" ca="1" si="71">BW46/$D109*100000</f>
        <v>5.7222010344946881</v>
      </c>
      <c r="BX109" s="13">
        <f t="shared" ca="1" si="71"/>
        <v>5.7271339065269498</v>
      </c>
      <c r="BY109" s="13">
        <f t="shared" ca="1" si="71"/>
        <v>5.7326225951262275</v>
      </c>
      <c r="BZ109" s="13">
        <f t="shared" ca="1" si="71"/>
        <v>5.7348458613942883</v>
      </c>
      <c r="CA109" s="13">
        <f t="shared" ca="1" si="71"/>
        <v>5.7389450085760272</v>
      </c>
      <c r="CB109" s="13">
        <f t="shared" ca="1" si="71"/>
        <v>5.7433220640412737</v>
      </c>
      <c r="CC109" s="13">
        <f t="shared" ca="1" si="71"/>
        <v>5.7470043487977511</v>
      </c>
      <c r="CD109" s="13">
        <f t="shared" ca="1" si="71"/>
        <v>5.7533267622475517</v>
      </c>
      <c r="CE109" s="13">
        <f t="shared" ca="1" si="71"/>
        <v>5.7584680654924441</v>
      </c>
      <c r="CF109" s="13">
        <f t="shared" ca="1" si="71"/>
        <v>5.762497735603306</v>
      </c>
      <c r="CG109" s="13">
        <f t="shared" ca="1" si="71"/>
        <v>5.7675695617773215</v>
      </c>
      <c r="CH109" s="13">
        <f t="shared" ca="1" si="71"/>
        <v>5.775906810282553</v>
      </c>
      <c r="CI109" s="13">
        <f t="shared" ca="1" si="71"/>
        <v>5.7813954988818308</v>
      </c>
      <c r="CJ109" s="13">
        <f t="shared" ca="1" si="71"/>
        <v>5.7878568664733852</v>
      </c>
      <c r="CK109" s="13">
        <f t="shared" ca="1" si="71"/>
        <v>5.791330720017231</v>
      </c>
      <c r="CL109" s="13">
        <f t="shared" ca="1" si="71"/>
        <v>5.7945961423484462</v>
      </c>
      <c r="CM109" s="13">
        <f t="shared" ca="1" si="71"/>
        <v>5.8193994566515101</v>
      </c>
      <c r="CN109" s="13" t="e">
        <f t="shared" ca="1" si="71"/>
        <v>#N/A</v>
      </c>
      <c r="CO109" s="13" t="e">
        <f t="shared" ca="1" si="71"/>
        <v>#N/A</v>
      </c>
      <c r="CP109" s="13" t="e">
        <f t="shared" ca="1" si="71"/>
        <v>#N/A</v>
      </c>
      <c r="CQ109" s="13" t="e">
        <f t="shared" ca="1" si="71"/>
        <v>#N/A</v>
      </c>
      <c r="CR109" s="13" t="e">
        <f t="shared" ca="1" si="71"/>
        <v>#N/A</v>
      </c>
    </row>
    <row r="110" spans="1:96" x14ac:dyDescent="0.25">
      <c r="A110" t="e">
        <f t="shared" ca="1" si="64"/>
        <v>#VALUE!</v>
      </c>
      <c r="B110">
        <f t="shared" si="65"/>
        <v>5</v>
      </c>
      <c r="C110" t="str">
        <f t="shared" ca="1" si="57"/>
        <v>Finland</v>
      </c>
      <c r="D110" s="1">
        <f t="shared" ca="1" si="57"/>
        <v>5540720</v>
      </c>
      <c r="E110" s="13">
        <f t="shared" ref="E110:BP110" ca="1" si="72">E47/$D110*100000</f>
        <v>0.54144587707012803</v>
      </c>
      <c r="F110" s="13">
        <f t="shared" ca="1" si="72"/>
        <v>0.72192783609350408</v>
      </c>
      <c r="G110" s="13">
        <f t="shared" ca="1" si="72"/>
        <v>1.0648435582379185</v>
      </c>
      <c r="H110" s="13">
        <f t="shared" ca="1" si="72"/>
        <v>1.9311569615501234</v>
      </c>
      <c r="I110" s="13">
        <f t="shared" ca="1" si="72"/>
        <v>2.797470364862328</v>
      </c>
      <c r="J110" s="13">
        <f t="shared" ca="1" si="72"/>
        <v>4.0608440780259603</v>
      </c>
      <c r="K110" s="13">
        <f t="shared" ca="1" si="72"/>
        <v>4.4037598001703753</v>
      </c>
      <c r="L110" s="13">
        <f t="shared" ca="1" si="72"/>
        <v>4.9993502649475161</v>
      </c>
      <c r="M110" s="13">
        <f t="shared" ca="1" si="72"/>
        <v>5.79347088465037</v>
      </c>
      <c r="N110" s="13">
        <f t="shared" ca="1" si="72"/>
        <v>6.064193823185434</v>
      </c>
      <c r="O110" s="13">
        <f t="shared" ca="1" si="72"/>
        <v>7.2192783609350411</v>
      </c>
      <c r="P110" s="13">
        <f t="shared" ca="1" si="72"/>
        <v>8.1216881560519205</v>
      </c>
      <c r="Q110" s="13">
        <f t="shared" ca="1" si="72"/>
        <v>9.439206456922566</v>
      </c>
      <c r="R110" s="13">
        <f t="shared" ca="1" si="72"/>
        <v>11.29817063486334</v>
      </c>
      <c r="S110" s="13">
        <f t="shared" ca="1" si="72"/>
        <v>12.633737131636323</v>
      </c>
      <c r="T110" s="13">
        <f t="shared" ca="1" si="72"/>
        <v>14.294171154651382</v>
      </c>
      <c r="U110" s="13">
        <f t="shared" ca="1" si="72"/>
        <v>15.88241239405709</v>
      </c>
      <c r="V110" s="13">
        <f t="shared" ca="1" si="72"/>
        <v>17.290171674439424</v>
      </c>
      <c r="W110" s="13">
        <f t="shared" ca="1" si="72"/>
        <v>18.788171934333445</v>
      </c>
      <c r="X110" s="13">
        <f t="shared" ca="1" si="72"/>
        <v>21.062244618027982</v>
      </c>
      <c r="Y110" s="13">
        <f t="shared" ca="1" si="72"/>
        <v>22.379762918898624</v>
      </c>
      <c r="Z110" s="13">
        <f t="shared" ca="1" si="72"/>
        <v>24.401160859960438</v>
      </c>
      <c r="AA110" s="13">
        <f t="shared" ca="1" si="72"/>
        <v>25.592341789514723</v>
      </c>
      <c r="AB110" s="13">
        <f t="shared" ca="1" si="72"/>
        <v>26.097691274780171</v>
      </c>
      <c r="AC110" s="13">
        <f t="shared" ca="1" si="72"/>
        <v>27.397161379748482</v>
      </c>
      <c r="AD110" s="13">
        <f t="shared" ca="1" si="72"/>
        <v>29.147836382275226</v>
      </c>
      <c r="AE110" s="13">
        <f t="shared" ca="1" si="72"/>
        <v>33.966704688199364</v>
      </c>
      <c r="AF110" s="13">
        <f t="shared" ca="1" si="72"/>
        <v>34.778873503804562</v>
      </c>
      <c r="AG110" s="13">
        <f t="shared" ca="1" si="72"/>
        <v>39.272874283486622</v>
      </c>
      <c r="AH110" s="13">
        <f t="shared" ca="1" si="72"/>
        <v>41.655236142595186</v>
      </c>
      <c r="AI110" s="13">
        <f t="shared" ca="1" si="72"/>
        <v>44.885863209113616</v>
      </c>
      <c r="AJ110" s="13">
        <f t="shared" ca="1" si="72"/>
        <v>47.015550325589452</v>
      </c>
      <c r="AK110" s="13">
        <f t="shared" ca="1" si="72"/>
        <v>49.975454453572816</v>
      </c>
      <c r="AL110" s="13">
        <f t="shared" ca="1" si="72"/>
        <v>52.430009096290732</v>
      </c>
      <c r="AM110" s="13">
        <f t="shared" ca="1" si="72"/>
        <v>53.675334613552025</v>
      </c>
      <c r="AN110" s="13">
        <f t="shared" ca="1" si="72"/>
        <v>55.299672244762412</v>
      </c>
      <c r="AO110" s="13">
        <f t="shared" ca="1" si="72"/>
        <v>57.05034724728916</v>
      </c>
      <c r="AP110" s="13">
        <f t="shared" ca="1" si="72"/>
        <v>58.42201013586682</v>
      </c>
      <c r="AQ110" s="13">
        <f t="shared" ca="1" si="72"/>
        <v>60.804371994975384</v>
      </c>
      <c r="AR110" s="13">
        <f t="shared" ca="1" si="72"/>
        <v>62.970155503255896</v>
      </c>
      <c r="AS110" s="13" t="e">
        <f t="shared" ca="1" si="72"/>
        <v>#N/A</v>
      </c>
      <c r="AT110" s="13" t="e">
        <f t="shared" ca="1" si="72"/>
        <v>#N/A</v>
      </c>
      <c r="AU110" s="13" t="e">
        <f t="shared" ca="1" si="72"/>
        <v>#N/A</v>
      </c>
      <c r="AV110" s="13" t="e">
        <f t="shared" ca="1" si="72"/>
        <v>#N/A</v>
      </c>
      <c r="AW110" s="13" t="e">
        <f t="shared" ca="1" si="72"/>
        <v>#N/A</v>
      </c>
      <c r="AX110" s="13" t="e">
        <f t="shared" ca="1" si="72"/>
        <v>#N/A</v>
      </c>
      <c r="AY110" s="13" t="e">
        <f t="shared" ca="1" si="72"/>
        <v>#N/A</v>
      </c>
      <c r="AZ110" s="13" t="e">
        <f t="shared" ca="1" si="72"/>
        <v>#N/A</v>
      </c>
      <c r="BA110" s="13" t="e">
        <f t="shared" ca="1" si="72"/>
        <v>#N/A</v>
      </c>
      <c r="BB110" s="13" t="e">
        <f t="shared" ca="1" si="72"/>
        <v>#N/A</v>
      </c>
      <c r="BC110" s="13" t="e">
        <f t="shared" ca="1" si="72"/>
        <v>#N/A</v>
      </c>
      <c r="BD110" s="13" t="e">
        <f t="shared" ca="1" si="72"/>
        <v>#N/A</v>
      </c>
      <c r="BE110" s="13" t="e">
        <f t="shared" ca="1" si="72"/>
        <v>#N/A</v>
      </c>
      <c r="BF110" s="13" t="e">
        <f t="shared" ca="1" si="72"/>
        <v>#N/A</v>
      </c>
      <c r="BG110" s="13" t="e">
        <f t="shared" ca="1" si="72"/>
        <v>#N/A</v>
      </c>
      <c r="BH110" s="13" t="e">
        <f t="shared" ca="1" si="72"/>
        <v>#N/A</v>
      </c>
      <c r="BI110" s="13" t="e">
        <f t="shared" ca="1" si="72"/>
        <v>#N/A</v>
      </c>
      <c r="BJ110" s="13" t="e">
        <f t="shared" ca="1" si="72"/>
        <v>#N/A</v>
      </c>
      <c r="BK110" s="13" t="e">
        <f t="shared" ca="1" si="72"/>
        <v>#N/A</v>
      </c>
      <c r="BL110" s="13" t="e">
        <f t="shared" ca="1" si="72"/>
        <v>#N/A</v>
      </c>
      <c r="BM110" s="13" t="e">
        <f t="shared" ca="1" si="72"/>
        <v>#N/A</v>
      </c>
      <c r="BN110" s="13" t="e">
        <f t="shared" ca="1" si="72"/>
        <v>#N/A</v>
      </c>
      <c r="BO110" s="13" t="e">
        <f t="shared" ca="1" si="72"/>
        <v>#N/A</v>
      </c>
      <c r="BP110" s="13" t="e">
        <f t="shared" ca="1" si="72"/>
        <v>#N/A</v>
      </c>
      <c r="BQ110" s="13" t="e">
        <f t="shared" ref="BQ110:BV110" ca="1" si="73">BQ47/$D110*100000</f>
        <v>#N/A</v>
      </c>
      <c r="BR110" s="13" t="e">
        <f t="shared" ca="1" si="73"/>
        <v>#N/A</v>
      </c>
      <c r="BS110" s="13" t="e">
        <f t="shared" ca="1" si="73"/>
        <v>#N/A</v>
      </c>
      <c r="BT110" s="13" t="e">
        <f t="shared" ca="1" si="73"/>
        <v>#N/A</v>
      </c>
      <c r="BU110" s="13" t="e">
        <f t="shared" ca="1" si="73"/>
        <v>#N/A</v>
      </c>
      <c r="BV110" s="13" t="e">
        <f t="shared" ca="1" si="73"/>
        <v>#N/A</v>
      </c>
      <c r="BW110" s="13" t="e">
        <f t="shared" ref="BW110:CR110" ca="1" si="74">BW47/$D110*100000</f>
        <v>#N/A</v>
      </c>
      <c r="BX110" s="13" t="e">
        <f t="shared" ca="1" si="74"/>
        <v>#N/A</v>
      </c>
      <c r="BY110" s="13" t="e">
        <f t="shared" ca="1" si="74"/>
        <v>#N/A</v>
      </c>
      <c r="BZ110" s="13" t="e">
        <f t="shared" ca="1" si="74"/>
        <v>#N/A</v>
      </c>
      <c r="CA110" s="13" t="e">
        <f t="shared" ca="1" si="74"/>
        <v>#N/A</v>
      </c>
      <c r="CB110" s="13" t="e">
        <f t="shared" ca="1" si="74"/>
        <v>#N/A</v>
      </c>
      <c r="CC110" s="13" t="e">
        <f t="shared" ca="1" si="74"/>
        <v>#N/A</v>
      </c>
      <c r="CD110" s="13" t="e">
        <f t="shared" ca="1" si="74"/>
        <v>#N/A</v>
      </c>
      <c r="CE110" s="13" t="e">
        <f t="shared" ca="1" si="74"/>
        <v>#N/A</v>
      </c>
      <c r="CF110" s="13" t="e">
        <f t="shared" ca="1" si="74"/>
        <v>#N/A</v>
      </c>
      <c r="CG110" s="13" t="e">
        <f t="shared" ca="1" si="74"/>
        <v>#N/A</v>
      </c>
      <c r="CH110" s="13" t="e">
        <f t="shared" ca="1" si="74"/>
        <v>#N/A</v>
      </c>
      <c r="CI110" s="13" t="e">
        <f t="shared" ca="1" si="74"/>
        <v>#N/A</v>
      </c>
      <c r="CJ110" s="13" t="e">
        <f t="shared" ca="1" si="74"/>
        <v>#N/A</v>
      </c>
      <c r="CK110" s="13" t="e">
        <f t="shared" ca="1" si="74"/>
        <v>#N/A</v>
      </c>
      <c r="CL110" s="13" t="e">
        <f t="shared" ca="1" si="74"/>
        <v>#N/A</v>
      </c>
      <c r="CM110" s="13" t="e">
        <f t="shared" ca="1" si="74"/>
        <v>#N/A</v>
      </c>
      <c r="CN110" s="13" t="e">
        <f t="shared" ca="1" si="74"/>
        <v>#N/A</v>
      </c>
      <c r="CO110" s="13" t="e">
        <f t="shared" ca="1" si="74"/>
        <v>#N/A</v>
      </c>
      <c r="CP110" s="13" t="e">
        <f t="shared" ca="1" si="74"/>
        <v>#N/A</v>
      </c>
      <c r="CQ110" s="13" t="e">
        <f t="shared" ca="1" si="74"/>
        <v>#N/A</v>
      </c>
      <c r="CR110" s="13" t="e">
        <f t="shared" ca="1" si="74"/>
        <v>#N/A</v>
      </c>
    </row>
    <row r="111" spans="1:96" x14ac:dyDescent="0.25">
      <c r="A111" t="e">
        <f t="shared" ca="1" si="64"/>
        <v>#VALUE!</v>
      </c>
      <c r="B111">
        <f t="shared" si="65"/>
        <v>6</v>
      </c>
      <c r="C111" t="str">
        <f t="shared" ca="1" si="57"/>
        <v>France</v>
      </c>
      <c r="D111" s="1">
        <f t="shared" ca="1" si="57"/>
        <v>65273511</v>
      </c>
      <c r="E111" s="13">
        <f t="shared" ref="E111:BP111" ca="1" si="75">E48/$D111*100000</f>
        <v>5.8216571190723904E-2</v>
      </c>
      <c r="F111" s="13">
        <f t="shared" ca="1" si="75"/>
        <v>8.7324856786085855E-2</v>
      </c>
      <c r="G111" s="13">
        <f t="shared" ca="1" si="75"/>
        <v>0.15320150313348396</v>
      </c>
      <c r="H111" s="13">
        <f t="shared" ca="1" si="75"/>
        <v>0.19916195407352913</v>
      </c>
      <c r="I111" s="13">
        <f t="shared" ca="1" si="75"/>
        <v>0.29261487098495437</v>
      </c>
      <c r="J111" s="13">
        <f t="shared" ca="1" si="75"/>
        <v>0.31253106639230732</v>
      </c>
      <c r="K111" s="13">
        <f t="shared" ca="1" si="75"/>
        <v>0.43662428393042929</v>
      </c>
      <c r="L111" s="13">
        <f t="shared" ca="1" si="75"/>
        <v>0.57756966681323452</v>
      </c>
      <c r="M111" s="13">
        <f t="shared" ca="1" si="75"/>
        <v>1.0004058154616502</v>
      </c>
      <c r="N111" s="13">
        <f t="shared" ca="1" si="75"/>
        <v>1.4538822647367629</v>
      </c>
      <c r="O111" s="13">
        <f t="shared" ca="1" si="75"/>
        <v>1.7250489252830294</v>
      </c>
      <c r="P111" s="13">
        <f t="shared" ca="1" si="75"/>
        <v>1.8522061728838211</v>
      </c>
      <c r="Q111" s="13">
        <f t="shared" ca="1" si="75"/>
        <v>2.7331148159013541</v>
      </c>
      <c r="R111" s="13">
        <f t="shared" ca="1" si="75"/>
        <v>3.4945262864747693</v>
      </c>
      <c r="S111" s="13">
        <f t="shared" ca="1" si="75"/>
        <v>4.5516166580958082</v>
      </c>
      <c r="T111" s="13">
        <f t="shared" ca="1" si="75"/>
        <v>5.6087070297168475</v>
      </c>
      <c r="U111" s="13">
        <f t="shared" ca="1" si="75"/>
        <v>6.8465751750353983</v>
      </c>
      <c r="V111" s="13">
        <f t="shared" ca="1" si="75"/>
        <v>6.8925356259754436</v>
      </c>
      <c r="W111" s="13">
        <f t="shared" ca="1" si="75"/>
        <v>10.16185570284399</v>
      </c>
      <c r="X111" s="13">
        <f t="shared" ca="1" si="75"/>
        <v>11.722979019774193</v>
      </c>
      <c r="Y111" s="13">
        <f t="shared" ca="1" si="75"/>
        <v>13.854011928360956</v>
      </c>
      <c r="Z111" s="13">
        <f t="shared" ca="1" si="75"/>
        <v>16.654535405641042</v>
      </c>
      <c r="AA111" s="13">
        <f t="shared" ca="1" si="75"/>
        <v>19.321773575194999</v>
      </c>
      <c r="AB111" s="13">
        <f t="shared" ca="1" si="75"/>
        <v>21.880238677524179</v>
      </c>
      <c r="AC111" s="13">
        <f t="shared" ca="1" si="75"/>
        <v>24.539816771921462</v>
      </c>
      <c r="AD111" s="13">
        <f t="shared" ca="1" si="75"/>
        <v>30.419690462184576</v>
      </c>
      <c r="AE111" s="13">
        <f t="shared" ca="1" si="75"/>
        <v>34.170063258892263</v>
      </c>
      <c r="AF111" s="13">
        <f t="shared" ca="1" si="75"/>
        <v>38.657335285672012</v>
      </c>
      <c r="AG111" s="13">
        <f t="shared" ca="1" si="75"/>
        <v>44.665898238567252</v>
      </c>
      <c r="AH111" s="13">
        <f t="shared" ca="1" si="75"/>
        <v>50.501343492921656</v>
      </c>
      <c r="AI111" s="13">
        <f t="shared" ca="1" si="75"/>
        <v>57.565464802406602</v>
      </c>
      <c r="AJ111" s="13">
        <f t="shared" ca="1" si="75"/>
        <v>61.547171868845851</v>
      </c>
      <c r="AK111" s="13">
        <f t="shared" ca="1" si="75"/>
        <v>68.251269645967113</v>
      </c>
      <c r="AL111" s="13">
        <f t="shared" ca="1" si="75"/>
        <v>79.860879553422521</v>
      </c>
      <c r="AM111" s="13">
        <f t="shared" ca="1" si="75"/>
        <v>87.308004620741173</v>
      </c>
      <c r="AN111" s="13">
        <f t="shared" ca="1" si="75"/>
        <v>90.549748427045699</v>
      </c>
      <c r="AO111" s="13">
        <f t="shared" ca="1" si="75"/>
        <v>98.566783086020919</v>
      </c>
      <c r="AP111" s="13">
        <f t="shared" ca="1" si="75"/>
        <v>105.10389122472667</v>
      </c>
      <c r="AQ111" s="13">
        <f t="shared" ca="1" si="75"/>
        <v>107.97335537841683</v>
      </c>
      <c r="AR111" s="13">
        <f t="shared" ca="1" si="75"/>
        <v>113.96659818099873</v>
      </c>
      <c r="AS111" s="13">
        <f t="shared" ca="1" si="75"/>
        <v>119.75301895435042</v>
      </c>
      <c r="AT111" s="13">
        <f t="shared" ca="1" si="75"/>
        <v>125.69876929096093</v>
      </c>
      <c r="AU111" s="13">
        <f t="shared" ca="1" si="75"/>
        <v>132.26498571526204</v>
      </c>
      <c r="AV111" s="13">
        <f t="shared" ca="1" si="75"/>
        <v>138.91699498131794</v>
      </c>
      <c r="AW111" s="13">
        <f t="shared" ca="1" si="75"/>
        <v>143.6876897888946</v>
      </c>
      <c r="AX111" s="13">
        <f t="shared" ca="1" si="75"/>
        <v>184.81156927501573</v>
      </c>
      <c r="AY111" s="13">
        <f t="shared" ca="1" si="75"/>
        <v>190.42640436485792</v>
      </c>
      <c r="AZ111" s="13">
        <f t="shared" ca="1" si="75"/>
        <v>199.54955387645688</v>
      </c>
      <c r="BA111" s="13">
        <f t="shared" ca="1" si="75"/>
        <v>204.47804623226102</v>
      </c>
      <c r="BB111" s="13">
        <f t="shared" ca="1" si="75"/>
        <v>223.61291397363317</v>
      </c>
      <c r="BC111" s="13">
        <f t="shared" ca="1" si="75"/>
        <v>226.69073217158487</v>
      </c>
      <c r="BD111" s="13" t="e">
        <f t="shared" ca="1" si="75"/>
        <v>#N/A</v>
      </c>
      <c r="BE111" s="13" t="e">
        <f t="shared" ca="1" si="75"/>
        <v>#N/A</v>
      </c>
      <c r="BF111" s="13" t="e">
        <f t="shared" ca="1" si="75"/>
        <v>#N/A</v>
      </c>
      <c r="BG111" s="13" t="e">
        <f t="shared" ca="1" si="75"/>
        <v>#N/A</v>
      </c>
      <c r="BH111" s="13" t="e">
        <f t="shared" ca="1" si="75"/>
        <v>#N/A</v>
      </c>
      <c r="BI111" s="13" t="e">
        <f t="shared" ca="1" si="75"/>
        <v>#N/A</v>
      </c>
      <c r="BJ111" s="13" t="e">
        <f t="shared" ca="1" si="75"/>
        <v>#N/A</v>
      </c>
      <c r="BK111" s="13" t="e">
        <f t="shared" ca="1" si="75"/>
        <v>#N/A</v>
      </c>
      <c r="BL111" s="13" t="e">
        <f t="shared" ca="1" si="75"/>
        <v>#N/A</v>
      </c>
      <c r="BM111" s="13" t="e">
        <f t="shared" ca="1" si="75"/>
        <v>#N/A</v>
      </c>
      <c r="BN111" s="13" t="e">
        <f t="shared" ca="1" si="75"/>
        <v>#N/A</v>
      </c>
      <c r="BO111" s="13" t="e">
        <f t="shared" ca="1" si="75"/>
        <v>#N/A</v>
      </c>
      <c r="BP111" s="13" t="e">
        <f t="shared" ca="1" si="75"/>
        <v>#N/A</v>
      </c>
      <c r="BQ111" s="13" t="e">
        <f t="shared" ref="BQ111:BV111" ca="1" si="76">BQ48/$D111*100000</f>
        <v>#N/A</v>
      </c>
      <c r="BR111" s="13" t="e">
        <f t="shared" ca="1" si="76"/>
        <v>#N/A</v>
      </c>
      <c r="BS111" s="13" t="e">
        <f t="shared" ca="1" si="76"/>
        <v>#N/A</v>
      </c>
      <c r="BT111" s="13" t="e">
        <f t="shared" ca="1" si="76"/>
        <v>#N/A</v>
      </c>
      <c r="BU111" s="13" t="e">
        <f t="shared" ca="1" si="76"/>
        <v>#N/A</v>
      </c>
      <c r="BV111" s="13" t="e">
        <f t="shared" ca="1" si="76"/>
        <v>#N/A</v>
      </c>
      <c r="BW111" s="13" t="e">
        <f t="shared" ref="BW111:CR111" ca="1" si="77">BW48/$D111*100000</f>
        <v>#N/A</v>
      </c>
      <c r="BX111" s="13" t="e">
        <f t="shared" ca="1" si="77"/>
        <v>#N/A</v>
      </c>
      <c r="BY111" s="13" t="e">
        <f t="shared" ca="1" si="77"/>
        <v>#N/A</v>
      </c>
      <c r="BZ111" s="13" t="e">
        <f t="shared" ca="1" si="77"/>
        <v>#N/A</v>
      </c>
      <c r="CA111" s="13" t="e">
        <f t="shared" ca="1" si="77"/>
        <v>#N/A</v>
      </c>
      <c r="CB111" s="13" t="e">
        <f t="shared" ca="1" si="77"/>
        <v>#N/A</v>
      </c>
      <c r="CC111" s="13" t="e">
        <f t="shared" ca="1" si="77"/>
        <v>#N/A</v>
      </c>
      <c r="CD111" s="13" t="e">
        <f t="shared" ca="1" si="77"/>
        <v>#N/A</v>
      </c>
      <c r="CE111" s="13" t="e">
        <f t="shared" ca="1" si="77"/>
        <v>#N/A</v>
      </c>
      <c r="CF111" s="13" t="e">
        <f t="shared" ca="1" si="77"/>
        <v>#N/A</v>
      </c>
      <c r="CG111" s="13" t="e">
        <f t="shared" ca="1" si="77"/>
        <v>#N/A</v>
      </c>
      <c r="CH111" s="13" t="e">
        <f t="shared" ca="1" si="77"/>
        <v>#N/A</v>
      </c>
      <c r="CI111" s="13" t="e">
        <f t="shared" ca="1" si="77"/>
        <v>#N/A</v>
      </c>
      <c r="CJ111" s="13" t="e">
        <f t="shared" ca="1" si="77"/>
        <v>#N/A</v>
      </c>
      <c r="CK111" s="13" t="e">
        <f t="shared" ca="1" si="77"/>
        <v>#N/A</v>
      </c>
      <c r="CL111" s="13" t="e">
        <f t="shared" ca="1" si="77"/>
        <v>#N/A</v>
      </c>
      <c r="CM111" s="13" t="e">
        <f t="shared" ca="1" si="77"/>
        <v>#N/A</v>
      </c>
      <c r="CN111" s="13" t="e">
        <f t="shared" ca="1" si="77"/>
        <v>#N/A</v>
      </c>
      <c r="CO111" s="13" t="e">
        <f t="shared" ca="1" si="77"/>
        <v>#N/A</v>
      </c>
      <c r="CP111" s="13" t="e">
        <f t="shared" ca="1" si="77"/>
        <v>#N/A</v>
      </c>
      <c r="CQ111" s="13" t="e">
        <f t="shared" ca="1" si="77"/>
        <v>#N/A</v>
      </c>
      <c r="CR111" s="13" t="e">
        <f t="shared" ca="1" si="77"/>
        <v>#N/A</v>
      </c>
    </row>
    <row r="112" spans="1:96" x14ac:dyDescent="0.25">
      <c r="A112" t="e">
        <f t="shared" ca="1" si="64"/>
        <v>#VALUE!</v>
      </c>
      <c r="B112">
        <f t="shared" si="65"/>
        <v>7</v>
      </c>
      <c r="C112" t="str">
        <f t="shared" ca="1" si="57"/>
        <v>Germany</v>
      </c>
      <c r="D112" s="1">
        <f t="shared" ca="1" si="57"/>
        <v>83783942</v>
      </c>
      <c r="E112" s="13">
        <f t="shared" ref="E112:BP112" ca="1" si="78">E49/$D112*100000</f>
        <v>5.4903122128104213E-2</v>
      </c>
      <c r="F112" s="13">
        <f t="shared" ca="1" si="78"/>
        <v>5.7290214394543529E-2</v>
      </c>
      <c r="G112" s="13">
        <f t="shared" ca="1" si="78"/>
        <v>9.4290144524352887E-2</v>
      </c>
      <c r="H112" s="13">
        <f t="shared" ca="1" si="78"/>
        <v>0.1551609973185554</v>
      </c>
      <c r="I112" s="13">
        <f t="shared" ca="1" si="78"/>
        <v>0.18977383518192542</v>
      </c>
      <c r="J112" s="13">
        <f t="shared" ca="1" si="78"/>
        <v>0.23393504211105273</v>
      </c>
      <c r="K112" s="13">
        <f t="shared" ca="1" si="78"/>
        <v>0.31270908690355009</v>
      </c>
      <c r="L112" s="13">
        <f t="shared" ca="1" si="78"/>
        <v>0.57528923621187456</v>
      </c>
      <c r="M112" s="13">
        <f t="shared" ca="1" si="78"/>
        <v>0.79967590925717014</v>
      </c>
      <c r="N112" s="13">
        <f t="shared" ca="1" si="78"/>
        <v>0.95364336044250586</v>
      </c>
      <c r="O112" s="13">
        <f t="shared" ca="1" si="78"/>
        <v>1.2412879785484432</v>
      </c>
      <c r="P112" s="13">
        <f t="shared" ca="1" si="78"/>
        <v>1.4036102526663163</v>
      </c>
      <c r="Q112" s="13">
        <f t="shared" ca="1" si="78"/>
        <v>1.73899671610104</v>
      </c>
      <c r="R112" s="13">
        <f t="shared" ca="1" si="78"/>
        <v>2.2772860221831053</v>
      </c>
      <c r="S112" s="13">
        <f t="shared" ca="1" si="78"/>
        <v>2.4801888648304469</v>
      </c>
      <c r="T112" s="13">
        <f t="shared" ca="1" si="78"/>
        <v>4.3862820395822393</v>
      </c>
      <c r="U112" s="13">
        <f t="shared" ca="1" si="78"/>
        <v>5.472409020812127</v>
      </c>
      <c r="V112" s="13">
        <f t="shared" ca="1" si="78"/>
        <v>6.9165998420079111</v>
      </c>
      <c r="W112" s="13">
        <f t="shared" ca="1" si="78"/>
        <v>8.6794674807733436</v>
      </c>
      <c r="X112" s="13">
        <f t="shared" ca="1" si="78"/>
        <v>11.048656555214363</v>
      </c>
      <c r="Y112" s="13">
        <f t="shared" ca="1" si="78"/>
        <v>14.712843184198709</v>
      </c>
      <c r="Z112" s="13">
        <f t="shared" ca="1" si="78"/>
        <v>18.285126760925142</v>
      </c>
      <c r="AA112" s="13">
        <f t="shared" ca="1" si="78"/>
        <v>23.689503652143749</v>
      </c>
      <c r="AB112" s="13">
        <f t="shared" ca="1" si="78"/>
        <v>26.512240257208234</v>
      </c>
      <c r="AC112" s="13">
        <f t="shared" ca="1" si="78"/>
        <v>29.687072971572526</v>
      </c>
      <c r="AD112" s="13">
        <f t="shared" ca="1" si="78"/>
        <v>34.679676446830349</v>
      </c>
      <c r="AE112" s="13">
        <f t="shared" ca="1" si="78"/>
        <v>39.370312750383604</v>
      </c>
      <c r="AF112" s="13">
        <f t="shared" ca="1" si="78"/>
        <v>44.546722330157252</v>
      </c>
      <c r="AG112" s="13">
        <f t="shared" ca="1" si="78"/>
        <v>52.442030001405286</v>
      </c>
      <c r="AH112" s="13">
        <f t="shared" ca="1" si="78"/>
        <v>60.716885343017161</v>
      </c>
      <c r="AI112" s="13">
        <f t="shared" ca="1" si="78"/>
        <v>68.861644156108099</v>
      </c>
      <c r="AJ112" s="13">
        <f t="shared" ca="1" si="78"/>
        <v>74.113247142274588</v>
      </c>
      <c r="AK112" s="13">
        <f t="shared" ca="1" si="78"/>
        <v>79.830333120396745</v>
      </c>
      <c r="AL112" s="13">
        <f t="shared" ca="1" si="78"/>
        <v>85.706160734237116</v>
      </c>
      <c r="AM112" s="13">
        <f t="shared" ca="1" si="78"/>
        <v>92.943824486081112</v>
      </c>
      <c r="AN112" s="13">
        <f t="shared" ca="1" si="78"/>
        <v>101.20555082022759</v>
      </c>
      <c r="AO112" s="13">
        <f t="shared" ca="1" si="78"/>
        <v>108.80247195817068</v>
      </c>
      <c r="AP112" s="13">
        <f t="shared" ca="1" si="78"/>
        <v>114.69023503334326</v>
      </c>
      <c r="AQ112" s="13">
        <f t="shared" ca="1" si="78"/>
        <v>119.5014194963517</v>
      </c>
      <c r="AR112" s="13">
        <f t="shared" ca="1" si="78"/>
        <v>123.38163797544881</v>
      </c>
      <c r="AS112" s="13">
        <f t="shared" ca="1" si="78"/>
        <v>128.5007573408279</v>
      </c>
      <c r="AT112" s="13">
        <f t="shared" ca="1" si="78"/>
        <v>135.22400270925425</v>
      </c>
      <c r="AU112" s="13">
        <f t="shared" ca="1" si="78"/>
        <v>141.05447557003225</v>
      </c>
      <c r="AV112" s="13">
        <f t="shared" ca="1" si="78"/>
        <v>145.81672464157867</v>
      </c>
      <c r="AW112" s="13">
        <f t="shared" ca="1" si="78"/>
        <v>149.08346040820089</v>
      </c>
      <c r="AX112" s="13">
        <f t="shared" ca="1" si="78"/>
        <v>152.59964731666602</v>
      </c>
      <c r="AY112" s="13">
        <f t="shared" ca="1" si="78"/>
        <v>155.24693264014721</v>
      </c>
      <c r="AZ112" s="13">
        <f t="shared" ca="1" si="78"/>
        <v>156.7830265136009</v>
      </c>
      <c r="BA112" s="13">
        <f t="shared" ca="1" si="78"/>
        <v>160.83392208974843</v>
      </c>
      <c r="BB112" s="13">
        <f t="shared" ca="1" si="78"/>
        <v>164.34891545208029</v>
      </c>
      <c r="BC112" s="13">
        <f t="shared" ca="1" si="78"/>
        <v>168.76384259885981</v>
      </c>
      <c r="BD112" s="13" t="e">
        <f t="shared" ca="1" si="78"/>
        <v>#N/A</v>
      </c>
      <c r="BE112" s="13" t="e">
        <f t="shared" ca="1" si="78"/>
        <v>#N/A</v>
      </c>
      <c r="BF112" s="13" t="e">
        <f t="shared" ca="1" si="78"/>
        <v>#N/A</v>
      </c>
      <c r="BG112" s="13" t="e">
        <f t="shared" ca="1" si="78"/>
        <v>#N/A</v>
      </c>
      <c r="BH112" s="13" t="e">
        <f t="shared" ca="1" si="78"/>
        <v>#N/A</v>
      </c>
      <c r="BI112" s="13" t="e">
        <f t="shared" ca="1" si="78"/>
        <v>#N/A</v>
      </c>
      <c r="BJ112" s="13" t="e">
        <f t="shared" ca="1" si="78"/>
        <v>#N/A</v>
      </c>
      <c r="BK112" s="13" t="e">
        <f t="shared" ca="1" si="78"/>
        <v>#N/A</v>
      </c>
      <c r="BL112" s="13" t="e">
        <f t="shared" ca="1" si="78"/>
        <v>#N/A</v>
      </c>
      <c r="BM112" s="13" t="e">
        <f t="shared" ca="1" si="78"/>
        <v>#N/A</v>
      </c>
      <c r="BN112" s="13" t="e">
        <f t="shared" ca="1" si="78"/>
        <v>#N/A</v>
      </c>
      <c r="BO112" s="13" t="e">
        <f t="shared" ca="1" si="78"/>
        <v>#N/A</v>
      </c>
      <c r="BP112" s="13" t="e">
        <f t="shared" ca="1" si="78"/>
        <v>#N/A</v>
      </c>
      <c r="BQ112" s="13" t="e">
        <f t="shared" ref="BQ112:BV112" ca="1" si="79">BQ49/$D112*100000</f>
        <v>#N/A</v>
      </c>
      <c r="BR112" s="13" t="e">
        <f t="shared" ca="1" si="79"/>
        <v>#N/A</v>
      </c>
      <c r="BS112" s="13" t="e">
        <f t="shared" ca="1" si="79"/>
        <v>#N/A</v>
      </c>
      <c r="BT112" s="13" t="e">
        <f t="shared" ca="1" si="79"/>
        <v>#N/A</v>
      </c>
      <c r="BU112" s="13" t="e">
        <f t="shared" ca="1" si="79"/>
        <v>#N/A</v>
      </c>
      <c r="BV112" s="13" t="e">
        <f t="shared" ca="1" si="79"/>
        <v>#N/A</v>
      </c>
      <c r="BW112" s="13" t="e">
        <f t="shared" ref="BW112:CR112" ca="1" si="80">BW49/$D112*100000</f>
        <v>#N/A</v>
      </c>
      <c r="BX112" s="13" t="e">
        <f t="shared" ca="1" si="80"/>
        <v>#N/A</v>
      </c>
      <c r="BY112" s="13" t="e">
        <f t="shared" ca="1" si="80"/>
        <v>#N/A</v>
      </c>
      <c r="BZ112" s="13" t="e">
        <f t="shared" ca="1" si="80"/>
        <v>#N/A</v>
      </c>
      <c r="CA112" s="13" t="e">
        <f t="shared" ca="1" si="80"/>
        <v>#N/A</v>
      </c>
      <c r="CB112" s="13" t="e">
        <f t="shared" ca="1" si="80"/>
        <v>#N/A</v>
      </c>
      <c r="CC112" s="13" t="e">
        <f t="shared" ca="1" si="80"/>
        <v>#N/A</v>
      </c>
      <c r="CD112" s="13" t="e">
        <f t="shared" ca="1" si="80"/>
        <v>#N/A</v>
      </c>
      <c r="CE112" s="13" t="e">
        <f t="shared" ca="1" si="80"/>
        <v>#N/A</v>
      </c>
      <c r="CF112" s="13" t="e">
        <f t="shared" ca="1" si="80"/>
        <v>#N/A</v>
      </c>
      <c r="CG112" s="13" t="e">
        <f t="shared" ca="1" si="80"/>
        <v>#N/A</v>
      </c>
      <c r="CH112" s="13" t="e">
        <f t="shared" ca="1" si="80"/>
        <v>#N/A</v>
      </c>
      <c r="CI112" s="13" t="e">
        <f t="shared" ca="1" si="80"/>
        <v>#N/A</v>
      </c>
      <c r="CJ112" s="13" t="e">
        <f t="shared" ca="1" si="80"/>
        <v>#N/A</v>
      </c>
      <c r="CK112" s="13" t="e">
        <f t="shared" ca="1" si="80"/>
        <v>#N/A</v>
      </c>
      <c r="CL112" s="13" t="e">
        <f t="shared" ca="1" si="80"/>
        <v>#N/A</v>
      </c>
      <c r="CM112" s="13" t="e">
        <f t="shared" ca="1" si="80"/>
        <v>#N/A</v>
      </c>
      <c r="CN112" s="13" t="e">
        <f t="shared" ca="1" si="80"/>
        <v>#N/A</v>
      </c>
      <c r="CO112" s="13" t="e">
        <f t="shared" ca="1" si="80"/>
        <v>#N/A</v>
      </c>
      <c r="CP112" s="13" t="e">
        <f t="shared" ca="1" si="80"/>
        <v>#N/A</v>
      </c>
      <c r="CQ112" s="13" t="e">
        <f t="shared" ca="1" si="80"/>
        <v>#N/A</v>
      </c>
      <c r="CR112" s="13" t="e">
        <f t="shared" ca="1" si="80"/>
        <v>#N/A</v>
      </c>
    </row>
    <row r="113" spans="1:96" x14ac:dyDescent="0.25">
      <c r="A113" t="e">
        <f t="shared" ca="1" si="64"/>
        <v>#VALUE!</v>
      </c>
      <c r="B113">
        <f t="shared" si="65"/>
        <v>8</v>
      </c>
      <c r="C113" t="str">
        <f t="shared" ca="1" si="57"/>
        <v>India</v>
      </c>
      <c r="D113" s="1">
        <f t="shared" ca="1" si="57"/>
        <v>1380004385</v>
      </c>
      <c r="E113" s="13">
        <f t="shared" ref="E113:BP113" ca="1" si="81">E50/$D113*100000</f>
        <v>2.1739061358127497E-3</v>
      </c>
      <c r="F113" s="13">
        <f t="shared" ca="1" si="81"/>
        <v>2.2463696736731743E-3</v>
      </c>
      <c r="G113" s="13">
        <f t="shared" ca="1" si="81"/>
        <v>2.4637602872544496E-3</v>
      </c>
      <c r="H113" s="13">
        <f t="shared" ca="1" si="81"/>
        <v>2.8260779765565745E-3</v>
      </c>
      <c r="I113" s="13">
        <f t="shared" ca="1" si="81"/>
        <v>3.1159321279982744E-3</v>
      </c>
      <c r="J113" s="13">
        <f t="shared" ca="1" si="81"/>
        <v>4.0579581201837991E-3</v>
      </c>
      <c r="K113" s="13">
        <f t="shared" ca="1" si="81"/>
        <v>4.4927393473463487E-3</v>
      </c>
      <c r="L113" s="13">
        <f t="shared" ca="1" si="81"/>
        <v>5.2898382638110241E-3</v>
      </c>
      <c r="M113" s="13">
        <f t="shared" ca="1" si="81"/>
        <v>5.9420101045548493E-3</v>
      </c>
      <c r="N113" s="13">
        <f t="shared" ca="1" si="81"/>
        <v>7.3912808617633491E-3</v>
      </c>
      <c r="O113" s="13">
        <f t="shared" ca="1" si="81"/>
        <v>8.1883797782280245E-3</v>
      </c>
      <c r="P113" s="13">
        <f t="shared" ca="1" si="81"/>
        <v>8.6231610053905741E-3</v>
      </c>
      <c r="Q113" s="13">
        <f t="shared" ca="1" si="81"/>
        <v>1.028982237618035E-2</v>
      </c>
      <c r="R113" s="13">
        <f t="shared" ca="1" si="81"/>
        <v>1.1304311906226298E-2</v>
      </c>
      <c r="S113" s="13">
        <f t="shared" ca="1" si="81"/>
        <v>1.4057926344922448E-2</v>
      </c>
      <c r="T113" s="13">
        <f t="shared" ca="1" si="81"/>
        <v>1.7681103237943696E-2</v>
      </c>
      <c r="U113" s="13">
        <f t="shared" ca="1" si="81"/>
        <v>2.3912967493940247E-2</v>
      </c>
      <c r="V113" s="13">
        <f t="shared" ca="1" si="81"/>
        <v>2.8695560992728294E-2</v>
      </c>
      <c r="W113" s="13">
        <f t="shared" ca="1" si="81"/>
        <v>3.6159305392352063E-2</v>
      </c>
      <c r="X113" s="13">
        <f t="shared" ca="1" si="81"/>
        <v>3.8840456293187796E-2</v>
      </c>
      <c r="Y113" s="13">
        <f t="shared" ca="1" si="81"/>
        <v>4.7608544374299219E-2</v>
      </c>
      <c r="Z113" s="13">
        <f t="shared" ca="1" si="81"/>
        <v>5.2680992024528972E-2</v>
      </c>
      <c r="AA113" s="13">
        <f t="shared" ca="1" si="81"/>
        <v>6.4275158082196956E-2</v>
      </c>
      <c r="AB113" s="13">
        <f t="shared" ca="1" si="81"/>
        <v>7.1521511868239462E-2</v>
      </c>
      <c r="AC113" s="13">
        <f t="shared" ca="1" si="81"/>
        <v>7.4202662769075181E-2</v>
      </c>
      <c r="AD113" s="13">
        <f t="shared" ca="1" si="81"/>
        <v>9.0651885863391665E-2</v>
      </c>
      <c r="AE113" s="13">
        <f t="shared" ca="1" si="81"/>
        <v>0.10123156239101372</v>
      </c>
      <c r="AF113" s="13">
        <f t="shared" ca="1" si="81"/>
        <v>0.14478214864512912</v>
      </c>
      <c r="AG113" s="13">
        <f t="shared" ca="1" si="81"/>
        <v>0.18427477677906073</v>
      </c>
      <c r="AH113" s="13">
        <f t="shared" ca="1" si="81"/>
        <v>0.18601390168771095</v>
      </c>
      <c r="AI113" s="13">
        <f t="shared" ca="1" si="81"/>
        <v>0.22333262368582982</v>
      </c>
      <c r="AJ113" s="13">
        <f t="shared" ca="1" si="81"/>
        <v>0.25999917384320487</v>
      </c>
      <c r="AK113" s="13">
        <f t="shared" ca="1" si="81"/>
        <v>0.34623078389711059</v>
      </c>
      <c r="AL113" s="13">
        <f t="shared" ca="1" si="81"/>
        <v>0.38485384957671714</v>
      </c>
      <c r="AM113" s="13">
        <f t="shared" ca="1" si="81"/>
        <v>0.42869428998227421</v>
      </c>
      <c r="AN113" s="13">
        <f t="shared" ca="1" si="81"/>
        <v>0.48731729211135799</v>
      </c>
      <c r="AO113" s="13">
        <f t="shared" ca="1" si="81"/>
        <v>0.55057796066350906</v>
      </c>
      <c r="AP113" s="13">
        <f t="shared" ca="1" si="81"/>
        <v>0.61202704076914949</v>
      </c>
      <c r="AQ113" s="13">
        <f t="shared" ca="1" si="81"/>
        <v>0.66702686600521199</v>
      </c>
      <c r="AR113" s="13">
        <f t="shared" ca="1" si="81"/>
        <v>0.75746136125502239</v>
      </c>
      <c r="AS113" s="13">
        <f t="shared" ca="1" si="81"/>
        <v>0.83238865940270179</v>
      </c>
      <c r="AT113" s="13">
        <f t="shared" ca="1" si="81"/>
        <v>0.89289571351615671</v>
      </c>
      <c r="AU113" s="13">
        <f t="shared" ca="1" si="81"/>
        <v>0.97318531346550763</v>
      </c>
      <c r="AV113" s="13">
        <f t="shared" ca="1" si="81"/>
        <v>1.0399966953728195</v>
      </c>
      <c r="AW113" s="13" t="e">
        <f t="shared" ca="1" si="81"/>
        <v>#N/A</v>
      </c>
      <c r="AX113" s="13" t="e">
        <f t="shared" ca="1" si="81"/>
        <v>#N/A</v>
      </c>
      <c r="AY113" s="13" t="e">
        <f t="shared" ca="1" si="81"/>
        <v>#N/A</v>
      </c>
      <c r="AZ113" s="13" t="e">
        <f t="shared" ca="1" si="81"/>
        <v>#N/A</v>
      </c>
      <c r="BA113" s="13" t="e">
        <f t="shared" ca="1" si="81"/>
        <v>#N/A</v>
      </c>
      <c r="BB113" s="13" t="e">
        <f t="shared" ca="1" si="81"/>
        <v>#N/A</v>
      </c>
      <c r="BC113" s="13" t="e">
        <f t="shared" ca="1" si="81"/>
        <v>#N/A</v>
      </c>
      <c r="BD113" s="13" t="e">
        <f t="shared" ca="1" si="81"/>
        <v>#N/A</v>
      </c>
      <c r="BE113" s="13" t="e">
        <f t="shared" ca="1" si="81"/>
        <v>#N/A</v>
      </c>
      <c r="BF113" s="13" t="e">
        <f t="shared" ca="1" si="81"/>
        <v>#N/A</v>
      </c>
      <c r="BG113" s="13" t="e">
        <f t="shared" ca="1" si="81"/>
        <v>#N/A</v>
      </c>
      <c r="BH113" s="13" t="e">
        <f t="shared" ca="1" si="81"/>
        <v>#N/A</v>
      </c>
      <c r="BI113" s="13" t="e">
        <f t="shared" ca="1" si="81"/>
        <v>#N/A</v>
      </c>
      <c r="BJ113" s="13" t="e">
        <f t="shared" ca="1" si="81"/>
        <v>#N/A</v>
      </c>
      <c r="BK113" s="13" t="e">
        <f t="shared" ca="1" si="81"/>
        <v>#N/A</v>
      </c>
      <c r="BL113" s="13" t="e">
        <f t="shared" ca="1" si="81"/>
        <v>#N/A</v>
      </c>
      <c r="BM113" s="13" t="e">
        <f t="shared" ca="1" si="81"/>
        <v>#N/A</v>
      </c>
      <c r="BN113" s="13" t="e">
        <f t="shared" ca="1" si="81"/>
        <v>#N/A</v>
      </c>
      <c r="BO113" s="13" t="e">
        <f t="shared" ca="1" si="81"/>
        <v>#N/A</v>
      </c>
      <c r="BP113" s="13" t="e">
        <f t="shared" ca="1" si="81"/>
        <v>#N/A</v>
      </c>
      <c r="BQ113" s="13" t="e">
        <f t="shared" ref="BQ113:BV113" ca="1" si="82">BQ50/$D113*100000</f>
        <v>#N/A</v>
      </c>
      <c r="BR113" s="13" t="e">
        <f t="shared" ca="1" si="82"/>
        <v>#N/A</v>
      </c>
      <c r="BS113" s="13" t="e">
        <f t="shared" ca="1" si="82"/>
        <v>#N/A</v>
      </c>
      <c r="BT113" s="13" t="e">
        <f t="shared" ca="1" si="82"/>
        <v>#N/A</v>
      </c>
      <c r="BU113" s="13" t="e">
        <f t="shared" ca="1" si="82"/>
        <v>#N/A</v>
      </c>
      <c r="BV113" s="13" t="e">
        <f t="shared" ca="1" si="82"/>
        <v>#N/A</v>
      </c>
      <c r="BW113" s="13" t="e">
        <f t="shared" ref="BW113:CR113" ca="1" si="83">BW50/$D113*100000</f>
        <v>#N/A</v>
      </c>
      <c r="BX113" s="13" t="e">
        <f t="shared" ca="1" si="83"/>
        <v>#N/A</v>
      </c>
      <c r="BY113" s="13" t="e">
        <f t="shared" ca="1" si="83"/>
        <v>#N/A</v>
      </c>
      <c r="BZ113" s="13" t="e">
        <f t="shared" ca="1" si="83"/>
        <v>#N/A</v>
      </c>
      <c r="CA113" s="13" t="e">
        <f t="shared" ca="1" si="83"/>
        <v>#N/A</v>
      </c>
      <c r="CB113" s="13" t="e">
        <f t="shared" ca="1" si="83"/>
        <v>#N/A</v>
      </c>
      <c r="CC113" s="13" t="e">
        <f t="shared" ca="1" si="83"/>
        <v>#N/A</v>
      </c>
      <c r="CD113" s="13" t="e">
        <f t="shared" ca="1" si="83"/>
        <v>#N/A</v>
      </c>
      <c r="CE113" s="13" t="e">
        <f t="shared" ca="1" si="83"/>
        <v>#N/A</v>
      </c>
      <c r="CF113" s="13" t="e">
        <f t="shared" ca="1" si="83"/>
        <v>#N/A</v>
      </c>
      <c r="CG113" s="13" t="e">
        <f t="shared" ca="1" si="83"/>
        <v>#N/A</v>
      </c>
      <c r="CH113" s="13" t="e">
        <f t="shared" ca="1" si="83"/>
        <v>#N/A</v>
      </c>
      <c r="CI113" s="13" t="e">
        <f t="shared" ca="1" si="83"/>
        <v>#N/A</v>
      </c>
      <c r="CJ113" s="13" t="e">
        <f t="shared" ca="1" si="83"/>
        <v>#N/A</v>
      </c>
      <c r="CK113" s="13" t="e">
        <f t="shared" ca="1" si="83"/>
        <v>#N/A</v>
      </c>
      <c r="CL113" s="13" t="e">
        <f t="shared" ca="1" si="83"/>
        <v>#N/A</v>
      </c>
      <c r="CM113" s="13" t="e">
        <f t="shared" ca="1" si="83"/>
        <v>#N/A</v>
      </c>
      <c r="CN113" s="13" t="e">
        <f t="shared" ca="1" si="83"/>
        <v>#N/A</v>
      </c>
      <c r="CO113" s="13" t="e">
        <f t="shared" ca="1" si="83"/>
        <v>#N/A</v>
      </c>
      <c r="CP113" s="13" t="e">
        <f t="shared" ca="1" si="83"/>
        <v>#N/A</v>
      </c>
      <c r="CQ113" s="13" t="e">
        <f t="shared" ca="1" si="83"/>
        <v>#N/A</v>
      </c>
      <c r="CR113" s="13" t="e">
        <f t="shared" ca="1" si="83"/>
        <v>#N/A</v>
      </c>
    </row>
    <row r="114" spans="1:96" x14ac:dyDescent="0.25">
      <c r="A114" t="e">
        <f t="shared" ca="1" si="64"/>
        <v>#VALUE!</v>
      </c>
      <c r="B114">
        <f t="shared" si="65"/>
        <v>9</v>
      </c>
      <c r="C114" t="str">
        <f t="shared" ca="1" si="57"/>
        <v>Iran</v>
      </c>
      <c r="D114" s="1">
        <f t="shared" ca="1" si="57"/>
        <v>83992949</v>
      </c>
      <c r="E114" s="13">
        <f t="shared" ref="E114:BP114" ca="1" si="84">E51/$D114*100000</f>
        <v>5.1194773504142588E-2</v>
      </c>
      <c r="F114" s="13">
        <f t="shared" ca="1" si="84"/>
        <v>7.2625143808202286E-2</v>
      </c>
      <c r="G114" s="13">
        <f t="shared" ca="1" si="84"/>
        <v>0.11310473216031502</v>
      </c>
      <c r="H114" s="13">
        <f t="shared" ca="1" si="84"/>
        <v>0.16549008179246094</v>
      </c>
      <c r="I114" s="13">
        <f t="shared" ca="1" si="84"/>
        <v>0.29169115136081247</v>
      </c>
      <c r="J114" s="13">
        <f t="shared" ca="1" si="84"/>
        <v>0.46194353766528667</v>
      </c>
      <c r="K114" s="13">
        <f t="shared" ca="1" si="84"/>
        <v>0.70601164390596649</v>
      </c>
      <c r="L114" s="13">
        <f t="shared" ca="1" si="84"/>
        <v>1.1643834531872432</v>
      </c>
      <c r="M114" s="13">
        <f t="shared" ca="1" si="84"/>
        <v>1.7870547681329776</v>
      </c>
      <c r="N114" s="13">
        <f t="shared" ca="1" si="84"/>
        <v>2.7811858350157461</v>
      </c>
      <c r="O114" s="13">
        <f t="shared" ca="1" si="84"/>
        <v>3.4788634460256893</v>
      </c>
      <c r="P114" s="13">
        <f t="shared" ca="1" si="84"/>
        <v>4.1824939376756491</v>
      </c>
      <c r="Q114" s="13">
        <f t="shared" ca="1" si="84"/>
        <v>5.6516648796317419</v>
      </c>
      <c r="R114" s="13">
        <f t="shared" ca="1" si="84"/>
        <v>6.9327247933633096</v>
      </c>
      <c r="S114" s="13">
        <f t="shared" ca="1" si="84"/>
        <v>7.8173228564697741</v>
      </c>
      <c r="T114" s="13">
        <f t="shared" ca="1" si="84"/>
        <v>8.5257156526317459</v>
      </c>
      <c r="U114" s="13">
        <f t="shared" ca="1" si="84"/>
        <v>9.574613221402668</v>
      </c>
      <c r="V114" s="13">
        <f t="shared" ca="1" si="84"/>
        <v>10.715185152029845</v>
      </c>
      <c r="W114" s="13">
        <f t="shared" ca="1" si="84"/>
        <v>11.995054489633409</v>
      </c>
      <c r="X114" s="13">
        <f t="shared" ca="1" si="84"/>
        <v>13.529707118629684</v>
      </c>
      <c r="Y114" s="13">
        <f t="shared" ca="1" si="84"/>
        <v>15.15484353335421</v>
      </c>
      <c r="Z114" s="13">
        <f t="shared" ca="1" si="84"/>
        <v>16.594250072110221</v>
      </c>
      <c r="AA114" s="13">
        <f t="shared" ca="1" si="84"/>
        <v>17.847926734897712</v>
      </c>
      <c r="AB114" s="13">
        <f t="shared" ca="1" si="84"/>
        <v>19.250425413685615</v>
      </c>
      <c r="AC114" s="13">
        <f t="shared" ca="1" si="84"/>
        <v>20.669592158265573</v>
      </c>
      <c r="AD114" s="13">
        <f t="shared" ca="1" si="84"/>
        <v>21.914934788157041</v>
      </c>
      <c r="AE114" s="13">
        <f t="shared" ca="1" si="84"/>
        <v>23.387677458497141</v>
      </c>
      <c r="AF114" s="13">
        <f t="shared" ca="1" si="84"/>
        <v>24.537773998148346</v>
      </c>
      <c r="AG114" s="13">
        <f t="shared" ca="1" si="84"/>
        <v>25.761686257735754</v>
      </c>
      <c r="AH114" s="13">
        <f t="shared" ca="1" si="84"/>
        <v>27.441589174348429</v>
      </c>
      <c r="AI114" s="13">
        <f t="shared" ca="1" si="84"/>
        <v>29.539384311890274</v>
      </c>
      <c r="AJ114" s="13">
        <f t="shared" ca="1" si="84"/>
        <v>32.165795250265589</v>
      </c>
      <c r="AK114" s="13">
        <f t="shared" ca="1" si="84"/>
        <v>35.010081620065513</v>
      </c>
      <c r="AL114" s="13">
        <f t="shared" ca="1" si="84"/>
        <v>38.493707370603218</v>
      </c>
      <c r="AM114" s="13">
        <f t="shared" ca="1" si="84"/>
        <v>42.155919540341415</v>
      </c>
      <c r="AN114" s="13">
        <f t="shared" ca="1" si="84"/>
        <v>45.609780887679037</v>
      </c>
      <c r="AO114" s="13">
        <f t="shared" ca="1" si="84"/>
        <v>49.402956431497607</v>
      </c>
      <c r="AP114" s="13">
        <f t="shared" ca="1" si="84"/>
        <v>53.10564818958791</v>
      </c>
      <c r="AQ114" s="13">
        <f t="shared" ca="1" si="84"/>
        <v>56.663089660061821</v>
      </c>
      <c r="AR114" s="13">
        <f t="shared" ca="1" si="84"/>
        <v>60.085996028071357</v>
      </c>
      <c r="AS114" s="13">
        <f t="shared" ca="1" si="84"/>
        <v>63.318410215600359</v>
      </c>
      <c r="AT114" s="13">
        <f t="shared" ca="1" si="84"/>
        <v>66.366285103288845</v>
      </c>
      <c r="AU114" s="13">
        <f t="shared" ca="1" si="84"/>
        <v>69.322485629121076</v>
      </c>
      <c r="AV114" s="13">
        <f t="shared" ca="1" si="84"/>
        <v>72.029855744200631</v>
      </c>
      <c r="AW114" s="13">
        <f t="shared" ca="1" si="84"/>
        <v>74.51696927559955</v>
      </c>
      <c r="AX114" s="13">
        <f t="shared" ca="1" si="84"/>
        <v>76.894549803222176</v>
      </c>
      <c r="AY114" s="13">
        <f t="shared" ca="1" si="84"/>
        <v>78.839951196379602</v>
      </c>
      <c r="AZ114" s="13">
        <f t="shared" ca="1" si="84"/>
        <v>81.187767320802138</v>
      </c>
      <c r="BA114" s="13">
        <f t="shared" ca="1" si="84"/>
        <v>83.374855667944232</v>
      </c>
      <c r="BB114" s="13">
        <f t="shared" ca="1" si="84"/>
        <v>85.347640312045726</v>
      </c>
      <c r="BC114" s="13">
        <f t="shared" ca="1" si="84"/>
        <v>87.272801911027074</v>
      </c>
      <c r="BD114" s="13">
        <f t="shared" ca="1" si="84"/>
        <v>89.146768736504299</v>
      </c>
      <c r="BE114" s="13">
        <f t="shared" ca="1" si="84"/>
        <v>90.946919842045318</v>
      </c>
      <c r="BF114" s="13">
        <f t="shared" ca="1" si="84"/>
        <v>92.858985103618636</v>
      </c>
      <c r="BG114" s="13">
        <f t="shared" ca="1" si="84"/>
        <v>94.643658719495605</v>
      </c>
      <c r="BH114" s="13" t="e">
        <f t="shared" ca="1" si="84"/>
        <v>#N/A</v>
      </c>
      <c r="BI114" s="13" t="e">
        <f t="shared" ca="1" si="84"/>
        <v>#N/A</v>
      </c>
      <c r="BJ114" s="13" t="e">
        <f t="shared" ca="1" si="84"/>
        <v>#N/A</v>
      </c>
      <c r="BK114" s="13" t="e">
        <f t="shared" ca="1" si="84"/>
        <v>#N/A</v>
      </c>
      <c r="BL114" s="13" t="e">
        <f t="shared" ca="1" si="84"/>
        <v>#N/A</v>
      </c>
      <c r="BM114" s="13" t="e">
        <f t="shared" ca="1" si="84"/>
        <v>#N/A</v>
      </c>
      <c r="BN114" s="13" t="e">
        <f t="shared" ca="1" si="84"/>
        <v>#N/A</v>
      </c>
      <c r="BO114" s="13" t="e">
        <f t="shared" ca="1" si="84"/>
        <v>#N/A</v>
      </c>
      <c r="BP114" s="13" t="e">
        <f t="shared" ca="1" si="84"/>
        <v>#N/A</v>
      </c>
      <c r="BQ114" s="13" t="e">
        <f t="shared" ref="BQ114:BV114" ca="1" si="85">BQ51/$D114*100000</f>
        <v>#N/A</v>
      </c>
      <c r="BR114" s="13" t="e">
        <f t="shared" ca="1" si="85"/>
        <v>#N/A</v>
      </c>
      <c r="BS114" s="13" t="e">
        <f t="shared" ca="1" si="85"/>
        <v>#N/A</v>
      </c>
      <c r="BT114" s="13" t="e">
        <f t="shared" ca="1" si="85"/>
        <v>#N/A</v>
      </c>
      <c r="BU114" s="13" t="e">
        <f t="shared" ca="1" si="85"/>
        <v>#N/A</v>
      </c>
      <c r="BV114" s="13" t="e">
        <f t="shared" ca="1" si="85"/>
        <v>#N/A</v>
      </c>
      <c r="BW114" s="13" t="e">
        <f t="shared" ref="BW114:CR114" ca="1" si="86">BW51/$D114*100000</f>
        <v>#N/A</v>
      </c>
      <c r="BX114" s="13" t="e">
        <f t="shared" ca="1" si="86"/>
        <v>#N/A</v>
      </c>
      <c r="BY114" s="13" t="e">
        <f t="shared" ca="1" si="86"/>
        <v>#N/A</v>
      </c>
      <c r="BZ114" s="13" t="e">
        <f t="shared" ca="1" si="86"/>
        <v>#N/A</v>
      </c>
      <c r="CA114" s="13" t="e">
        <f t="shared" ca="1" si="86"/>
        <v>#N/A</v>
      </c>
      <c r="CB114" s="13" t="e">
        <f t="shared" ca="1" si="86"/>
        <v>#N/A</v>
      </c>
      <c r="CC114" s="13" t="e">
        <f t="shared" ca="1" si="86"/>
        <v>#N/A</v>
      </c>
      <c r="CD114" s="13" t="e">
        <f t="shared" ca="1" si="86"/>
        <v>#N/A</v>
      </c>
      <c r="CE114" s="13" t="e">
        <f t="shared" ca="1" si="86"/>
        <v>#N/A</v>
      </c>
      <c r="CF114" s="13" t="e">
        <f t="shared" ca="1" si="86"/>
        <v>#N/A</v>
      </c>
      <c r="CG114" s="13" t="e">
        <f t="shared" ca="1" si="86"/>
        <v>#N/A</v>
      </c>
      <c r="CH114" s="13" t="e">
        <f t="shared" ca="1" si="86"/>
        <v>#N/A</v>
      </c>
      <c r="CI114" s="13" t="e">
        <f t="shared" ca="1" si="86"/>
        <v>#N/A</v>
      </c>
      <c r="CJ114" s="13" t="e">
        <f t="shared" ca="1" si="86"/>
        <v>#N/A</v>
      </c>
      <c r="CK114" s="13" t="e">
        <f t="shared" ca="1" si="86"/>
        <v>#N/A</v>
      </c>
      <c r="CL114" s="13" t="e">
        <f t="shared" ca="1" si="86"/>
        <v>#N/A</v>
      </c>
      <c r="CM114" s="13" t="e">
        <f t="shared" ca="1" si="86"/>
        <v>#N/A</v>
      </c>
      <c r="CN114" s="13" t="e">
        <f t="shared" ca="1" si="86"/>
        <v>#N/A</v>
      </c>
      <c r="CO114" s="13" t="e">
        <f t="shared" ca="1" si="86"/>
        <v>#N/A</v>
      </c>
      <c r="CP114" s="13" t="e">
        <f t="shared" ca="1" si="86"/>
        <v>#N/A</v>
      </c>
      <c r="CQ114" s="13" t="e">
        <f t="shared" ca="1" si="86"/>
        <v>#N/A</v>
      </c>
      <c r="CR114" s="13" t="e">
        <f t="shared" ca="1" si="86"/>
        <v>#N/A</v>
      </c>
    </row>
    <row r="115" spans="1:96" x14ac:dyDescent="0.25">
      <c r="A115" t="e">
        <f t="shared" ca="1" si="64"/>
        <v>#VALUE!</v>
      </c>
      <c r="B115">
        <f t="shared" si="65"/>
        <v>10</v>
      </c>
      <c r="C115" t="str">
        <f t="shared" ca="1" si="57"/>
        <v>Italy</v>
      </c>
      <c r="D115" s="1">
        <f t="shared" ca="1" si="57"/>
        <v>60461826</v>
      </c>
      <c r="E115" s="13">
        <f t="shared" ref="E115:BP115" ca="1" si="87">E52/$D115*100000</f>
        <v>0.10254404159080474</v>
      </c>
      <c r="F115" s="13">
        <f t="shared" ca="1" si="87"/>
        <v>0.25636010397701187</v>
      </c>
      <c r="G115" s="13">
        <f t="shared" ca="1" si="87"/>
        <v>0.37875137942410142</v>
      </c>
      <c r="H115" s="13">
        <f t="shared" ca="1" si="87"/>
        <v>0.53256744181030857</v>
      </c>
      <c r="I115" s="13">
        <f t="shared" ca="1" si="87"/>
        <v>0.74923307807475081</v>
      </c>
      <c r="J115" s="13">
        <f t="shared" ca="1" si="87"/>
        <v>1.0833281813222113</v>
      </c>
      <c r="K115" s="13">
        <f t="shared" ca="1" si="87"/>
        <v>1.4686953053650744</v>
      </c>
      <c r="L115" s="13">
        <f t="shared" ca="1" si="87"/>
        <v>1.8656399824907701</v>
      </c>
      <c r="M115" s="13">
        <f t="shared" ca="1" si="87"/>
        <v>2.8017678460455362</v>
      </c>
      <c r="N115" s="13">
        <f t="shared" ca="1" si="87"/>
        <v>3.3674140109496524</v>
      </c>
      <c r="O115" s="13">
        <f t="shared" ca="1" si="87"/>
        <v>4.1381482590353791</v>
      </c>
      <c r="P115" s="13">
        <f t="shared" ca="1" si="87"/>
        <v>5.1090087818386429</v>
      </c>
      <c r="Q115" s="13">
        <f t="shared" ca="1" si="87"/>
        <v>6.3808856847955591</v>
      </c>
      <c r="R115" s="13">
        <f t="shared" ca="1" si="87"/>
        <v>7.6676480131446914</v>
      </c>
      <c r="S115" s="13">
        <f t="shared" ca="1" si="87"/>
        <v>9.7301063980436187</v>
      </c>
      <c r="T115" s="13">
        <f t="shared" ca="1" si="87"/>
        <v>12.197779140841694</v>
      </c>
      <c r="U115" s="13">
        <f t="shared" ca="1" si="87"/>
        <v>15.16990241082034</v>
      </c>
      <c r="V115" s="13">
        <f t="shared" ca="1" si="87"/>
        <v>16.785798033952862</v>
      </c>
      <c r="W115" s="13">
        <f t="shared" ca="1" si="87"/>
        <v>20.611352359751756</v>
      </c>
      <c r="X115" s="13">
        <f t="shared" ca="1" si="87"/>
        <v>24.909932425792103</v>
      </c>
      <c r="Y115" s="13">
        <f t="shared" ca="1" si="87"/>
        <v>29.208512491832451</v>
      </c>
      <c r="Z115" s="13">
        <f t="shared" ca="1" si="87"/>
        <v>34.992327224784781</v>
      </c>
      <c r="AA115" s="13">
        <f t="shared" ca="1" si="87"/>
        <v>40.929958020123308</v>
      </c>
      <c r="AB115" s="13">
        <f t="shared" ca="1" si="87"/>
        <v>46.277133608237371</v>
      </c>
      <c r="AC115" s="13">
        <f t="shared" ca="1" si="87"/>
        <v>52.108912489675717</v>
      </c>
      <c r="AD115" s="13">
        <f t="shared" ca="1" si="87"/>
        <v>59.067021892458229</v>
      </c>
      <c r="AE115" s="13">
        <f t="shared" ca="1" si="87"/>
        <v>67.869270107720538</v>
      </c>
      <c r="AF115" s="13">
        <f t="shared" ca="1" si="87"/>
        <v>77.769731929697258</v>
      </c>
      <c r="AG115" s="13">
        <f t="shared" ca="1" si="87"/>
        <v>88.614591296002217</v>
      </c>
      <c r="AH115" s="13">
        <f t="shared" ca="1" si="87"/>
        <v>97.810476316080823</v>
      </c>
      <c r="AI115" s="13">
        <f t="shared" ca="1" si="87"/>
        <v>105.73117656089315</v>
      </c>
      <c r="AJ115" s="13">
        <f t="shared" ca="1" si="87"/>
        <v>114.41268743686305</v>
      </c>
      <c r="AK115" s="13">
        <f t="shared" ca="1" si="87"/>
        <v>123.02969480280004</v>
      </c>
      <c r="AL115" s="13">
        <f t="shared" ca="1" si="87"/>
        <v>133.28906077034458</v>
      </c>
      <c r="AM115" s="13">
        <f t="shared" ca="1" si="87"/>
        <v>143.06216950841016</v>
      </c>
      <c r="AN115" s="13">
        <f t="shared" ca="1" si="87"/>
        <v>152.9427840965306</v>
      </c>
      <c r="AO115" s="13">
        <f t="shared" ca="1" si="87"/>
        <v>161.5713690155504</v>
      </c>
      <c r="AP115" s="13">
        <f t="shared" ca="1" si="87"/>
        <v>168.26981044204652</v>
      </c>
      <c r="AQ115" s="13">
        <f t="shared" ca="1" si="87"/>
        <v>174.97321367700673</v>
      </c>
      <c r="AR115" s="13">
        <f t="shared" ca="1" si="87"/>
        <v>182.88233636873619</v>
      </c>
      <c r="AS115" s="13">
        <f t="shared" ca="1" si="87"/>
        <v>190.60291033883098</v>
      </c>
      <c r="AT115" s="13">
        <f t="shared" ca="1" si="87"/>
        <v>198.18620760808648</v>
      </c>
      <c r="AU115" s="13">
        <f t="shared" ca="1" si="87"/>
        <v>206.13337083137381</v>
      </c>
      <c r="AV115" s="13">
        <f t="shared" ca="1" si="87"/>
        <v>213.27175927501759</v>
      </c>
      <c r="AW115" s="13">
        <f t="shared" ca="1" si="87"/>
        <v>219.22427549574834</v>
      </c>
      <c r="AX115" s="13">
        <f t="shared" ca="1" si="87"/>
        <v>224.25058746985246</v>
      </c>
      <c r="AY115" s="13">
        <f t="shared" ca="1" si="87"/>
        <v>230.59508655924481</v>
      </c>
      <c r="AZ115" s="13">
        <f t="shared" ca="1" si="87"/>
        <v>237.54823415356327</v>
      </c>
      <c r="BA115" s="13">
        <f t="shared" ca="1" si="87"/>
        <v>244.08293590074504</v>
      </c>
      <c r="BB115" s="13">
        <f t="shared" ca="1" si="87"/>
        <v>251.84651221086176</v>
      </c>
      <c r="BC115" s="13">
        <f t="shared" ca="1" si="87"/>
        <v>258.61441895585489</v>
      </c>
      <c r="BD115" s="13">
        <f t="shared" ca="1" si="87"/>
        <v>263.82927965159377</v>
      </c>
      <c r="BE115" s="13">
        <f t="shared" ca="1" si="87"/>
        <v>268.74477790333361</v>
      </c>
      <c r="BF115" s="13">
        <f t="shared" ca="1" si="87"/>
        <v>273.15582562789291</v>
      </c>
      <c r="BG115" s="13">
        <f t="shared" ca="1" si="87"/>
        <v>279.41762790955073</v>
      </c>
      <c r="BH115" s="13">
        <f t="shared" ca="1" si="87"/>
        <v>285.1948268978843</v>
      </c>
      <c r="BI115" s="13" t="e">
        <f t="shared" ca="1" si="87"/>
        <v>#N/A</v>
      </c>
      <c r="BJ115" s="13" t="e">
        <f t="shared" ca="1" si="87"/>
        <v>#N/A</v>
      </c>
      <c r="BK115" s="13" t="e">
        <f t="shared" ca="1" si="87"/>
        <v>#N/A</v>
      </c>
      <c r="BL115" s="13" t="e">
        <f t="shared" ca="1" si="87"/>
        <v>#N/A</v>
      </c>
      <c r="BM115" s="13" t="e">
        <f t="shared" ca="1" si="87"/>
        <v>#N/A</v>
      </c>
      <c r="BN115" s="13" t="e">
        <f t="shared" ca="1" si="87"/>
        <v>#N/A</v>
      </c>
      <c r="BO115" s="13" t="e">
        <f t="shared" ca="1" si="87"/>
        <v>#N/A</v>
      </c>
      <c r="BP115" s="13" t="e">
        <f t="shared" ca="1" si="87"/>
        <v>#N/A</v>
      </c>
      <c r="BQ115" s="13" t="e">
        <f t="shared" ref="BQ115:BV115" ca="1" si="88">BQ52/$D115*100000</f>
        <v>#N/A</v>
      </c>
      <c r="BR115" s="13" t="e">
        <f t="shared" ca="1" si="88"/>
        <v>#N/A</v>
      </c>
      <c r="BS115" s="13" t="e">
        <f t="shared" ca="1" si="88"/>
        <v>#N/A</v>
      </c>
      <c r="BT115" s="13" t="e">
        <f t="shared" ca="1" si="88"/>
        <v>#N/A</v>
      </c>
      <c r="BU115" s="13" t="e">
        <f t="shared" ca="1" si="88"/>
        <v>#N/A</v>
      </c>
      <c r="BV115" s="13" t="e">
        <f t="shared" ca="1" si="88"/>
        <v>#N/A</v>
      </c>
      <c r="BW115" s="13" t="e">
        <f t="shared" ref="BW115:CR115" ca="1" si="89">BW52/$D115*100000</f>
        <v>#N/A</v>
      </c>
      <c r="BX115" s="13" t="e">
        <f t="shared" ca="1" si="89"/>
        <v>#N/A</v>
      </c>
      <c r="BY115" s="13" t="e">
        <f t="shared" ca="1" si="89"/>
        <v>#N/A</v>
      </c>
      <c r="BZ115" s="13" t="e">
        <f t="shared" ca="1" si="89"/>
        <v>#N/A</v>
      </c>
      <c r="CA115" s="13" t="e">
        <f t="shared" ca="1" si="89"/>
        <v>#N/A</v>
      </c>
      <c r="CB115" s="13" t="e">
        <f t="shared" ca="1" si="89"/>
        <v>#N/A</v>
      </c>
      <c r="CC115" s="13" t="e">
        <f t="shared" ca="1" si="89"/>
        <v>#N/A</v>
      </c>
      <c r="CD115" s="13" t="e">
        <f t="shared" ca="1" si="89"/>
        <v>#N/A</v>
      </c>
      <c r="CE115" s="13" t="e">
        <f t="shared" ca="1" si="89"/>
        <v>#N/A</v>
      </c>
      <c r="CF115" s="13" t="e">
        <f t="shared" ca="1" si="89"/>
        <v>#N/A</v>
      </c>
      <c r="CG115" s="13" t="e">
        <f t="shared" ca="1" si="89"/>
        <v>#N/A</v>
      </c>
      <c r="CH115" s="13" t="e">
        <f t="shared" ca="1" si="89"/>
        <v>#N/A</v>
      </c>
      <c r="CI115" s="13" t="e">
        <f t="shared" ca="1" si="89"/>
        <v>#N/A</v>
      </c>
      <c r="CJ115" s="13" t="e">
        <f t="shared" ca="1" si="89"/>
        <v>#N/A</v>
      </c>
      <c r="CK115" s="13" t="e">
        <f t="shared" ca="1" si="89"/>
        <v>#N/A</v>
      </c>
      <c r="CL115" s="13" t="e">
        <f t="shared" ca="1" si="89"/>
        <v>#N/A</v>
      </c>
      <c r="CM115" s="13" t="e">
        <f t="shared" ca="1" si="89"/>
        <v>#N/A</v>
      </c>
      <c r="CN115" s="13" t="e">
        <f t="shared" ca="1" si="89"/>
        <v>#N/A</v>
      </c>
      <c r="CO115" s="13" t="e">
        <f t="shared" ca="1" si="89"/>
        <v>#N/A</v>
      </c>
      <c r="CP115" s="13" t="e">
        <f t="shared" ca="1" si="89"/>
        <v>#N/A</v>
      </c>
      <c r="CQ115" s="13" t="e">
        <f t="shared" ca="1" si="89"/>
        <v>#N/A</v>
      </c>
      <c r="CR115" s="13" t="e">
        <f t="shared" ca="1" si="89"/>
        <v>#N/A</v>
      </c>
    </row>
    <row r="116" spans="1:96" x14ac:dyDescent="0.25">
      <c r="A116" t="e">
        <f t="shared" ca="1" si="64"/>
        <v>#VALUE!</v>
      </c>
      <c r="B116">
        <f t="shared" si="65"/>
        <v>11</v>
      </c>
      <c r="C116" t="str">
        <f t="shared" ca="1" si="57"/>
        <v>Japan</v>
      </c>
      <c r="D116" s="1">
        <f t="shared" ca="1" si="57"/>
        <v>126476461</v>
      </c>
      <c r="E116" s="13">
        <f t="shared" ref="E116:BP116" ca="1" si="90">E53/$D116*100000</f>
        <v>3.3998421255635861E-2</v>
      </c>
      <c r="F116" s="13">
        <f t="shared" ca="1" si="90"/>
        <v>4.6648996606570133E-2</v>
      </c>
      <c r="G116" s="13">
        <f t="shared" ca="1" si="90"/>
        <v>5.2183623322603873E-2</v>
      </c>
      <c r="H116" s="13">
        <f t="shared" ca="1" si="90"/>
        <v>5.8508910998071019E-2</v>
      </c>
      <c r="I116" s="13">
        <f t="shared" ca="1" si="90"/>
        <v>6.6415520592404936E-2</v>
      </c>
      <c r="J116" s="13">
        <f t="shared" ca="1" si="90"/>
        <v>7.4322130186738861E-2</v>
      </c>
      <c r="K116" s="13">
        <f t="shared" ca="1" si="90"/>
        <v>8.3019400740506177E-2</v>
      </c>
      <c r="L116" s="13">
        <f t="shared" ca="1" si="90"/>
        <v>9.6460637050873849E-2</v>
      </c>
      <c r="M116" s="13">
        <f t="shared" ca="1" si="90"/>
        <v>0.11622716103670865</v>
      </c>
      <c r="N116" s="13">
        <f t="shared" ca="1" si="90"/>
        <v>0.12571509254990934</v>
      </c>
      <c r="O116" s="13">
        <f t="shared" ca="1" si="90"/>
        <v>0.13441236310367666</v>
      </c>
      <c r="P116" s="13">
        <f t="shared" ca="1" si="90"/>
        <v>0.14943492133291111</v>
      </c>
      <c r="Q116" s="13">
        <f t="shared" ca="1" si="90"/>
        <v>0.1692014453187459</v>
      </c>
      <c r="R116" s="13">
        <f t="shared" ca="1" si="90"/>
        <v>0.18027069875081339</v>
      </c>
      <c r="S116" s="13">
        <f t="shared" ca="1" si="90"/>
        <v>0.19054929122344749</v>
      </c>
      <c r="T116" s="13">
        <f t="shared" ca="1" si="90"/>
        <v>0.20240920561494838</v>
      </c>
      <c r="U116" s="13">
        <f t="shared" ca="1" si="90"/>
        <v>0.21664110288474944</v>
      </c>
      <c r="V116" s="13">
        <f t="shared" ca="1" si="90"/>
        <v>0.23166366111398387</v>
      </c>
      <c r="W116" s="13">
        <f t="shared" ca="1" si="90"/>
        <v>0.26170877757245281</v>
      </c>
      <c r="X116" s="13">
        <f t="shared" ca="1" si="90"/>
        <v>0.28463794539602116</v>
      </c>
      <c r="Y116" s="13">
        <f t="shared" ca="1" si="90"/>
        <v>0.33207760296202471</v>
      </c>
      <c r="Z116" s="13">
        <f t="shared" ca="1" si="90"/>
        <v>0.36449470229879377</v>
      </c>
      <c r="AA116" s="13">
        <f t="shared" ca="1" si="90"/>
        <v>0.39691180163556283</v>
      </c>
      <c r="AB116" s="13">
        <f t="shared" ca="1" si="90"/>
        <v>0.40402775027046339</v>
      </c>
      <c r="AC116" s="13">
        <f t="shared" ca="1" si="90"/>
        <v>0.45937401743080081</v>
      </c>
      <c r="AD116" s="13">
        <f t="shared" ca="1" si="90"/>
        <v>0.50523235307793757</v>
      </c>
      <c r="AE116" s="13">
        <f t="shared" ca="1" si="90"/>
        <v>0.52974284282037276</v>
      </c>
      <c r="AF116" s="13">
        <f t="shared" ca="1" si="90"/>
        <v>0.55425333256280784</v>
      </c>
      <c r="AG116" s="13">
        <f t="shared" ca="1" si="90"/>
        <v>0.6111809216420121</v>
      </c>
      <c r="AH116" s="13">
        <f t="shared" ca="1" si="90"/>
        <v>0.66336454496461605</v>
      </c>
      <c r="AI116" s="13">
        <f t="shared" ca="1" si="90"/>
        <v>0.67878243367356716</v>
      </c>
      <c r="AJ116" s="13">
        <f t="shared" ca="1" si="90"/>
        <v>0.69420032238251828</v>
      </c>
      <c r="AK116" s="13">
        <f t="shared" ca="1" si="90"/>
        <v>0.70289759293628551</v>
      </c>
      <c r="AL116" s="13">
        <f t="shared" ca="1" si="90"/>
        <v>0.73057072651645438</v>
      </c>
      <c r="AM116" s="13">
        <f t="shared" ca="1" si="90"/>
        <v>0.7614065039343566</v>
      </c>
      <c r="AN116" s="13">
        <f t="shared" ca="1" si="90"/>
        <v>0.79619558614942587</v>
      </c>
      <c r="AO116" s="13">
        <f t="shared" ca="1" si="90"/>
        <v>0.8705177163361647</v>
      </c>
      <c r="AP116" s="13">
        <f t="shared" ca="1" si="90"/>
        <v>0.89186556224086633</v>
      </c>
      <c r="AQ116" s="13">
        <f t="shared" ca="1" si="90"/>
        <v>0.94325852460403681</v>
      </c>
      <c r="AR116" s="13">
        <f t="shared" ca="1" si="90"/>
        <v>1.0333938739794435</v>
      </c>
      <c r="AS116" s="13">
        <f t="shared" ca="1" si="90"/>
        <v>1.0966467507341149</v>
      </c>
      <c r="AT116" s="13">
        <f t="shared" ca="1" si="90"/>
        <v>1.1606902884482195</v>
      </c>
      <c r="AU116" s="13">
        <f t="shared" ca="1" si="90"/>
        <v>1.3385890043207327</v>
      </c>
      <c r="AV116" s="13">
        <f t="shared" ca="1" si="90"/>
        <v>1.4753733503027096</v>
      </c>
      <c r="AW116" s="13">
        <f t="shared" ca="1" si="90"/>
        <v>1.5097671020380623</v>
      </c>
      <c r="AX116" s="13">
        <f t="shared" ca="1" si="90"/>
        <v>1.5441608537734146</v>
      </c>
      <c r="AY116" s="13">
        <f t="shared" ca="1" si="90"/>
        <v>1.722059569645928</v>
      </c>
      <c r="AZ116" s="13">
        <f t="shared" ca="1" si="90"/>
        <v>1.9726990937863136</v>
      </c>
      <c r="BA116" s="13">
        <f t="shared" ca="1" si="90"/>
        <v>2.0691597308371872</v>
      </c>
      <c r="BB116" s="13">
        <f t="shared" ca="1" si="90"/>
        <v>2.481884751661418</v>
      </c>
      <c r="BC116" s="13">
        <f t="shared" ca="1" si="90"/>
        <v>2.6854799487155163</v>
      </c>
      <c r="BD116" s="13">
        <f t="shared" ca="1" si="90"/>
        <v>2.8890751457696147</v>
      </c>
      <c r="BE116" s="13">
        <f t="shared" ca="1" si="90"/>
        <v>3.0883217075468292</v>
      </c>
      <c r="BF116" s="13">
        <f t="shared" ca="1" si="90"/>
        <v>3.3658437043079505</v>
      </c>
      <c r="BG116" s="13">
        <f t="shared" ca="1" si="90"/>
        <v>3.6900146976756409</v>
      </c>
      <c r="BH116" s="13">
        <f t="shared" ca="1" si="90"/>
        <v>4.3723551056666583</v>
      </c>
      <c r="BI116" s="13">
        <f t="shared" ca="1" si="90"/>
        <v>4.7479190613975195</v>
      </c>
      <c r="BJ116" s="13">
        <f t="shared" ca="1" si="90"/>
        <v>5.33538015425653</v>
      </c>
      <c r="BK116" s="13">
        <f t="shared" ca="1" si="90"/>
        <v>5.8271712710240999</v>
      </c>
      <c r="BL116" s="13">
        <f t="shared" ca="1" si="90"/>
        <v>6.0446030348682829</v>
      </c>
      <c r="BM116" s="13">
        <f t="shared" ca="1" si="90"/>
        <v>6.4043537714104763</v>
      </c>
      <c r="BN116" s="13">
        <f t="shared" ca="1" si="90"/>
        <v>6.8202414360724397</v>
      </c>
      <c r="BO116" s="13">
        <f t="shared" ca="1" si="90"/>
        <v>7.7381988099746088</v>
      </c>
      <c r="BP116" s="13" t="e">
        <f t="shared" ca="1" si="90"/>
        <v>#N/A</v>
      </c>
      <c r="BQ116" s="13" t="e">
        <f t="shared" ref="BQ116:BV116" ca="1" si="91">BQ53/$D116*100000</f>
        <v>#N/A</v>
      </c>
      <c r="BR116" s="13" t="e">
        <f t="shared" ca="1" si="91"/>
        <v>#N/A</v>
      </c>
      <c r="BS116" s="13" t="e">
        <f t="shared" ca="1" si="91"/>
        <v>#N/A</v>
      </c>
      <c r="BT116" s="13" t="e">
        <f t="shared" ca="1" si="91"/>
        <v>#N/A</v>
      </c>
      <c r="BU116" s="13" t="e">
        <f t="shared" ca="1" si="91"/>
        <v>#N/A</v>
      </c>
      <c r="BV116" s="13" t="e">
        <f t="shared" ca="1" si="91"/>
        <v>#N/A</v>
      </c>
      <c r="BW116" s="13" t="e">
        <f t="shared" ref="BW116:CR116" ca="1" si="92">BW53/$D116*100000</f>
        <v>#N/A</v>
      </c>
      <c r="BX116" s="13" t="e">
        <f t="shared" ca="1" si="92"/>
        <v>#N/A</v>
      </c>
      <c r="BY116" s="13" t="e">
        <f t="shared" ca="1" si="92"/>
        <v>#N/A</v>
      </c>
      <c r="BZ116" s="13" t="e">
        <f t="shared" ca="1" si="92"/>
        <v>#N/A</v>
      </c>
      <c r="CA116" s="13" t="e">
        <f t="shared" ca="1" si="92"/>
        <v>#N/A</v>
      </c>
      <c r="CB116" s="13" t="e">
        <f t="shared" ca="1" si="92"/>
        <v>#N/A</v>
      </c>
      <c r="CC116" s="13" t="e">
        <f t="shared" ca="1" si="92"/>
        <v>#N/A</v>
      </c>
      <c r="CD116" s="13" t="e">
        <f t="shared" ca="1" si="92"/>
        <v>#N/A</v>
      </c>
      <c r="CE116" s="13" t="e">
        <f t="shared" ca="1" si="92"/>
        <v>#N/A</v>
      </c>
      <c r="CF116" s="13" t="e">
        <f t="shared" ca="1" si="92"/>
        <v>#N/A</v>
      </c>
      <c r="CG116" s="13" t="e">
        <f t="shared" ca="1" si="92"/>
        <v>#N/A</v>
      </c>
      <c r="CH116" s="13" t="e">
        <f t="shared" ca="1" si="92"/>
        <v>#N/A</v>
      </c>
      <c r="CI116" s="13" t="e">
        <f t="shared" ca="1" si="92"/>
        <v>#N/A</v>
      </c>
      <c r="CJ116" s="13" t="e">
        <f t="shared" ca="1" si="92"/>
        <v>#N/A</v>
      </c>
      <c r="CK116" s="13" t="e">
        <f t="shared" ca="1" si="92"/>
        <v>#N/A</v>
      </c>
      <c r="CL116" s="13" t="e">
        <f t="shared" ca="1" si="92"/>
        <v>#N/A</v>
      </c>
      <c r="CM116" s="13" t="e">
        <f t="shared" ca="1" si="92"/>
        <v>#N/A</v>
      </c>
      <c r="CN116" s="13" t="e">
        <f t="shared" ca="1" si="92"/>
        <v>#N/A</v>
      </c>
      <c r="CO116" s="13" t="e">
        <f t="shared" ca="1" si="92"/>
        <v>#N/A</v>
      </c>
      <c r="CP116" s="13" t="e">
        <f t="shared" ca="1" si="92"/>
        <v>#N/A</v>
      </c>
      <c r="CQ116" s="13" t="e">
        <f t="shared" ca="1" si="92"/>
        <v>#N/A</v>
      </c>
      <c r="CR116" s="13" t="e">
        <f t="shared" ca="1" si="92"/>
        <v>#N/A</v>
      </c>
    </row>
    <row r="117" spans="1:96" x14ac:dyDescent="0.25">
      <c r="A117" t="str">
        <f t="shared" ca="1" si="64"/>
        <v>outh</v>
      </c>
      <c r="B117">
        <f t="shared" si="65"/>
        <v>12</v>
      </c>
      <c r="C117" t="str">
        <f t="shared" ca="1" si="57"/>
        <v>Korea, South</v>
      </c>
      <c r="D117" s="1">
        <f t="shared" ca="1" si="57"/>
        <v>51269185</v>
      </c>
      <c r="E117" s="13">
        <f t="shared" ref="E117:BP117" ca="1" si="93">E54/$D117*100000</f>
        <v>5.8514680894576343E-2</v>
      </c>
      <c r="F117" s="13">
        <f t="shared" ca="1" si="93"/>
        <v>6.0465170257728885E-2</v>
      </c>
      <c r="G117" s="13">
        <f t="shared" ca="1" si="93"/>
        <v>0.13165803201279677</v>
      </c>
      <c r="H117" s="13">
        <f t="shared" ca="1" si="93"/>
        <v>0.20285089376786464</v>
      </c>
      <c r="I117" s="13">
        <f t="shared" ca="1" si="93"/>
        <v>0.39789983008311913</v>
      </c>
      <c r="J117" s="13">
        <f t="shared" ca="1" si="93"/>
        <v>0.8445618942450519</v>
      </c>
      <c r="K117" s="13">
        <f t="shared" ca="1" si="93"/>
        <v>1.174194596617832</v>
      </c>
      <c r="L117" s="13">
        <f t="shared" ca="1" si="93"/>
        <v>1.6247576395060697</v>
      </c>
      <c r="M117" s="13">
        <f t="shared" ca="1" si="93"/>
        <v>1.9056281078000361</v>
      </c>
      <c r="N117" s="13">
        <f t="shared" ca="1" si="93"/>
        <v>2.4595670869353592</v>
      </c>
      <c r="O117" s="13">
        <f t="shared" ca="1" si="93"/>
        <v>3.4445642153273943</v>
      </c>
      <c r="P117" s="13">
        <f t="shared" ca="1" si="93"/>
        <v>4.5582936416874968</v>
      </c>
      <c r="Q117" s="13">
        <f t="shared" ca="1" si="93"/>
        <v>6.1440414939305157</v>
      </c>
      <c r="R117" s="13">
        <f t="shared" ca="1" si="93"/>
        <v>7.2870282607379062</v>
      </c>
      <c r="S117" s="13">
        <f t="shared" ca="1" si="93"/>
        <v>8.455371389266281</v>
      </c>
      <c r="T117" s="13">
        <f t="shared" ca="1" si="93"/>
        <v>10.115237837309097</v>
      </c>
      <c r="U117" s="13">
        <f t="shared" ca="1" si="93"/>
        <v>10.963700710280454</v>
      </c>
      <c r="V117" s="13">
        <f t="shared" ca="1" si="93"/>
        <v>11.874579242872693</v>
      </c>
      <c r="W117" s="13">
        <f t="shared" ca="1" si="93"/>
        <v>12.859576371264728</v>
      </c>
      <c r="X117" s="13">
        <f t="shared" ca="1" si="93"/>
        <v>13.733395605957069</v>
      </c>
      <c r="Y117" s="13">
        <f t="shared" ca="1" si="93"/>
        <v>14.265879202097711</v>
      </c>
      <c r="Z117" s="13">
        <f t="shared" ca="1" si="93"/>
        <v>14.585759457654731</v>
      </c>
      <c r="AA117" s="13">
        <f t="shared" ca="1" si="93"/>
        <v>14.654026585365068</v>
      </c>
      <c r="AB117" s="13">
        <f t="shared" ca="1" si="93"/>
        <v>15.126045011247985</v>
      </c>
      <c r="AC117" s="13">
        <f t="shared" ca="1" si="93"/>
        <v>15.348400798647374</v>
      </c>
      <c r="AD117" s="13">
        <f t="shared" ca="1" si="93"/>
        <v>15.562954628594154</v>
      </c>
      <c r="AE117" s="13">
        <f t="shared" ca="1" si="93"/>
        <v>15.771656990451477</v>
      </c>
      <c r="AF117" s="13">
        <f t="shared" ca="1" si="93"/>
        <v>15.91989418205107</v>
      </c>
      <c r="AG117" s="13">
        <f t="shared" ca="1" si="93"/>
        <v>16.064230394924358</v>
      </c>
      <c r="AH117" s="13">
        <f t="shared" ca="1" si="93"/>
        <v>16.228071501429174</v>
      </c>
      <c r="AI117" s="13">
        <f t="shared" ca="1" si="93"/>
        <v>16.409467012202359</v>
      </c>
      <c r="AJ117" s="13">
        <f t="shared" ca="1" si="93"/>
        <v>16.705941395401545</v>
      </c>
      <c r="AK117" s="13">
        <f t="shared" ca="1" si="93"/>
        <v>16.875633969995818</v>
      </c>
      <c r="AL117" s="13">
        <f t="shared" ca="1" si="93"/>
        <v>17.162355906379243</v>
      </c>
      <c r="AM117" s="13">
        <f t="shared" ca="1" si="93"/>
        <v>17.478335183209953</v>
      </c>
      <c r="AN117" s="13">
        <f t="shared" ca="1" si="93"/>
        <v>17.552453779009753</v>
      </c>
      <c r="AO117" s="13">
        <f t="shared" ca="1" si="93"/>
        <v>17.626572374809548</v>
      </c>
      <c r="AP117" s="13">
        <f t="shared" ca="1" si="93"/>
        <v>17.821621311124801</v>
      </c>
      <c r="AQ117" s="13">
        <f t="shared" ca="1" si="93"/>
        <v>18.024472204892664</v>
      </c>
      <c r="AR117" s="13">
        <f t="shared" ca="1" si="93"/>
        <v>18.20196673693955</v>
      </c>
      <c r="AS117" s="13">
        <f t="shared" ca="1" si="93"/>
        <v>18.486738183959819</v>
      </c>
      <c r="AT117" s="13">
        <f t="shared" ca="1" si="93"/>
        <v>18.691539567090839</v>
      </c>
      <c r="AU117" s="13">
        <f t="shared" ca="1" si="93"/>
        <v>18.843677737416733</v>
      </c>
      <c r="AV117" s="13">
        <f t="shared" ca="1" si="93"/>
        <v>19.087488907810805</v>
      </c>
      <c r="AW117" s="13">
        <f t="shared" ca="1" si="93"/>
        <v>19.284488333489207</v>
      </c>
      <c r="AX117" s="13">
        <f t="shared" ca="1" si="93"/>
        <v>19.458081886809786</v>
      </c>
      <c r="AY117" s="13">
        <f t="shared" ca="1" si="93"/>
        <v>19.625823972040905</v>
      </c>
      <c r="AZ117" s="13">
        <f t="shared" ca="1" si="93"/>
        <v>19.809169972177244</v>
      </c>
      <c r="BA117" s="13">
        <f t="shared" ca="1" si="93"/>
        <v>19.967159610592599</v>
      </c>
      <c r="BB117" s="13">
        <f t="shared" ca="1" si="93"/>
        <v>20.058832610660769</v>
      </c>
      <c r="BC117" s="13">
        <f t="shared" ca="1" si="93"/>
        <v>20.150505610728942</v>
      </c>
      <c r="BD117" s="13">
        <f t="shared" ca="1" si="93"/>
        <v>20.253881546976025</v>
      </c>
      <c r="BE117" s="13">
        <f t="shared" ca="1" si="93"/>
        <v>20.329950632138974</v>
      </c>
      <c r="BF117" s="13">
        <f t="shared" ca="1" si="93"/>
        <v>20.382613844944093</v>
      </c>
      <c r="BG117" s="13">
        <f t="shared" ca="1" si="93"/>
        <v>20.441128525838671</v>
      </c>
      <c r="BH117" s="13">
        <f t="shared" ca="1" si="93"/>
        <v>20.50354418545955</v>
      </c>
      <c r="BI117" s="13">
        <f t="shared" ca="1" si="93"/>
        <v>20.552306419538365</v>
      </c>
      <c r="BJ117" s="13">
        <f t="shared" ca="1" si="93"/>
        <v>20.604969632343483</v>
      </c>
      <c r="BK117" s="13">
        <f t="shared" ca="1" si="93"/>
        <v>20.657632845148601</v>
      </c>
      <c r="BL117" s="13">
        <f t="shared" ca="1" si="93"/>
        <v>20.700543611137959</v>
      </c>
      <c r="BM117" s="13">
        <f t="shared" ca="1" si="93"/>
        <v>20.743454377127314</v>
      </c>
      <c r="BN117" s="13" t="e">
        <f t="shared" ca="1" si="93"/>
        <v>#N/A</v>
      </c>
      <c r="BO117" s="13" t="e">
        <f t="shared" ca="1" si="93"/>
        <v>#N/A</v>
      </c>
      <c r="BP117" s="13" t="e">
        <f t="shared" ca="1" si="93"/>
        <v>#N/A</v>
      </c>
      <c r="BQ117" s="13" t="e">
        <f t="shared" ref="BQ117:BV117" ca="1" si="94">BQ54/$D117*100000</f>
        <v>#N/A</v>
      </c>
      <c r="BR117" s="13" t="e">
        <f t="shared" ca="1" si="94"/>
        <v>#N/A</v>
      </c>
      <c r="BS117" s="13" t="e">
        <f t="shared" ca="1" si="94"/>
        <v>#N/A</v>
      </c>
      <c r="BT117" s="13" t="e">
        <f t="shared" ca="1" si="94"/>
        <v>#N/A</v>
      </c>
      <c r="BU117" s="13" t="e">
        <f t="shared" ca="1" si="94"/>
        <v>#N/A</v>
      </c>
      <c r="BV117" s="13" t="e">
        <f t="shared" ca="1" si="94"/>
        <v>#N/A</v>
      </c>
      <c r="BW117" s="13" t="e">
        <f t="shared" ref="BW117:CR117" ca="1" si="95">BW54/$D117*100000</f>
        <v>#N/A</v>
      </c>
      <c r="BX117" s="13" t="e">
        <f t="shared" ca="1" si="95"/>
        <v>#N/A</v>
      </c>
      <c r="BY117" s="13" t="e">
        <f t="shared" ca="1" si="95"/>
        <v>#N/A</v>
      </c>
      <c r="BZ117" s="13" t="e">
        <f t="shared" ca="1" si="95"/>
        <v>#N/A</v>
      </c>
      <c r="CA117" s="13" t="e">
        <f t="shared" ca="1" si="95"/>
        <v>#N/A</v>
      </c>
      <c r="CB117" s="13" t="e">
        <f t="shared" ca="1" si="95"/>
        <v>#N/A</v>
      </c>
      <c r="CC117" s="13" t="e">
        <f t="shared" ca="1" si="95"/>
        <v>#N/A</v>
      </c>
      <c r="CD117" s="13" t="e">
        <f t="shared" ca="1" si="95"/>
        <v>#N/A</v>
      </c>
      <c r="CE117" s="13" t="e">
        <f t="shared" ca="1" si="95"/>
        <v>#N/A</v>
      </c>
      <c r="CF117" s="13" t="e">
        <f t="shared" ca="1" si="95"/>
        <v>#N/A</v>
      </c>
      <c r="CG117" s="13" t="e">
        <f t="shared" ca="1" si="95"/>
        <v>#N/A</v>
      </c>
      <c r="CH117" s="13" t="e">
        <f t="shared" ca="1" si="95"/>
        <v>#N/A</v>
      </c>
      <c r="CI117" s="13" t="e">
        <f t="shared" ca="1" si="95"/>
        <v>#N/A</v>
      </c>
      <c r="CJ117" s="13" t="e">
        <f t="shared" ca="1" si="95"/>
        <v>#N/A</v>
      </c>
      <c r="CK117" s="13" t="e">
        <f t="shared" ca="1" si="95"/>
        <v>#N/A</v>
      </c>
      <c r="CL117" s="13" t="e">
        <f t="shared" ca="1" si="95"/>
        <v>#N/A</v>
      </c>
      <c r="CM117" s="13" t="e">
        <f t="shared" ca="1" si="95"/>
        <v>#N/A</v>
      </c>
      <c r="CN117" s="13" t="e">
        <f t="shared" ca="1" si="95"/>
        <v>#N/A</v>
      </c>
      <c r="CO117" s="13" t="e">
        <f t="shared" ca="1" si="95"/>
        <v>#N/A</v>
      </c>
      <c r="CP117" s="13" t="e">
        <f t="shared" ca="1" si="95"/>
        <v>#N/A</v>
      </c>
      <c r="CQ117" s="13" t="e">
        <f t="shared" ca="1" si="95"/>
        <v>#N/A</v>
      </c>
      <c r="CR117" s="13" t="e">
        <f t="shared" ca="1" si="95"/>
        <v>#N/A</v>
      </c>
    </row>
    <row r="118" spans="1:96" x14ac:dyDescent="0.25">
      <c r="A118" t="str">
        <f t="shared" ca="1" si="64"/>
        <v/>
      </c>
      <c r="B118">
        <f t="shared" si="65"/>
        <v>13</v>
      </c>
      <c r="C118" t="str">
        <f t="shared" ca="1" si="57"/>
        <v>Portugal</v>
      </c>
      <c r="D118" s="1">
        <f t="shared" ca="1" si="57"/>
        <v>10196709</v>
      </c>
      <c r="E118" s="13">
        <f t="shared" ref="E118:BP118" ca="1" si="96">E55/$D118*100000</f>
        <v>0.29421257388045496</v>
      </c>
      <c r="F118" s="13">
        <f t="shared" ca="1" si="96"/>
        <v>0.34815154575853835</v>
      </c>
      <c r="G118" s="13">
        <f t="shared" ca="1" si="96"/>
        <v>0.40209051763662179</v>
      </c>
      <c r="H118" s="13">
        <f t="shared" ca="1" si="96"/>
        <v>0.57861806196489474</v>
      </c>
      <c r="I118" s="13">
        <f t="shared" ca="1" si="96"/>
        <v>0.8385058355592967</v>
      </c>
      <c r="J118" s="13">
        <f t="shared" ca="1" si="96"/>
        <v>1.0983936091536985</v>
      </c>
      <c r="K118" s="13">
        <f t="shared" ca="1" si="96"/>
        <v>1.657397499526563</v>
      </c>
      <c r="L118" s="13">
        <f t="shared" ca="1" si="96"/>
        <v>2.4027360200237156</v>
      </c>
      <c r="M118" s="13">
        <f t="shared" ca="1" si="96"/>
        <v>3.2461453984810196</v>
      </c>
      <c r="N118" s="13">
        <f t="shared" ca="1" si="96"/>
        <v>4.3935744366147942</v>
      </c>
      <c r="O118" s="13">
        <f t="shared" ca="1" si="96"/>
        <v>6.0460683932433499</v>
      </c>
      <c r="P118" s="13">
        <f t="shared" ca="1" si="96"/>
        <v>7.6985623498719056</v>
      </c>
      <c r="Q118" s="13">
        <f t="shared" ca="1" si="96"/>
        <v>10.003227511935469</v>
      </c>
      <c r="R118" s="13">
        <f t="shared" ca="1" si="96"/>
        <v>12.553069818899411</v>
      </c>
      <c r="S118" s="13">
        <f t="shared" ca="1" si="96"/>
        <v>15.691337273624265</v>
      </c>
      <c r="T118" s="13">
        <f t="shared" ca="1" si="96"/>
        <v>20.20259673979124</v>
      </c>
      <c r="U118" s="13">
        <f t="shared" ca="1" si="96"/>
        <v>23.164336650187821</v>
      </c>
      <c r="V118" s="13">
        <f t="shared" ca="1" si="96"/>
        <v>29.372221959065421</v>
      </c>
      <c r="W118" s="13">
        <f t="shared" ca="1" si="96"/>
        <v>34.756312061077743</v>
      </c>
      <c r="X118" s="13">
        <f t="shared" ca="1" si="96"/>
        <v>41.856642177392722</v>
      </c>
      <c r="Y118" s="13">
        <f t="shared" ca="1" si="96"/>
        <v>50.702633565398401</v>
      </c>
      <c r="Z118" s="13">
        <f t="shared" ca="1" si="96"/>
        <v>58.469845515842408</v>
      </c>
      <c r="AA118" s="13">
        <f t="shared" ca="1" si="96"/>
        <v>62.843805780865182</v>
      </c>
      <c r="AB118" s="13">
        <f t="shared" ca="1" si="96"/>
        <v>72.994139579740875</v>
      </c>
      <c r="AC118" s="13">
        <f t="shared" ca="1" si="96"/>
        <v>80.918264902921138</v>
      </c>
      <c r="AD118" s="13">
        <f t="shared" ca="1" si="96"/>
        <v>88.597213081201005</v>
      </c>
      <c r="AE118" s="13">
        <f t="shared" ca="1" si="96"/>
        <v>96.952850179405914</v>
      </c>
      <c r="AF118" s="13">
        <f t="shared" ca="1" si="96"/>
        <v>103.2097709172636</v>
      </c>
      <c r="AG118" s="13">
        <f t="shared" ca="1" si="96"/>
        <v>110.60431360745903</v>
      </c>
      <c r="AH118" s="13">
        <f t="shared" ca="1" si="96"/>
        <v>115.0371163872579</v>
      </c>
      <c r="AI118" s="13">
        <f t="shared" ca="1" si="96"/>
        <v>122.01976147402068</v>
      </c>
      <c r="AJ118" s="13">
        <f t="shared" ca="1" si="96"/>
        <v>128.87491444543528</v>
      </c>
      <c r="AK118" s="13">
        <f t="shared" ca="1" si="96"/>
        <v>136.86768936918764</v>
      </c>
      <c r="AL118" s="13">
        <f t="shared" ca="1" si="96"/>
        <v>151.73523143594664</v>
      </c>
      <c r="AM118" s="13">
        <f t="shared" ca="1" si="96"/>
        <v>156.78588062089446</v>
      </c>
      <c r="AN118" s="13">
        <f t="shared" ca="1" si="96"/>
        <v>162.6505179269115</v>
      </c>
      <c r="AO118" s="13">
        <f t="shared" ca="1" si="96"/>
        <v>166.0731908697208</v>
      </c>
      <c r="AP118" s="13">
        <f t="shared" ca="1" si="96"/>
        <v>171.11403296887261</v>
      </c>
      <c r="AQ118" s="13">
        <f t="shared" ca="1" si="96"/>
        <v>177.41998913571035</v>
      </c>
      <c r="AR118" s="13">
        <f t="shared" ca="1" si="96"/>
        <v>184.77530348272171</v>
      </c>
      <c r="AS118" s="13">
        <f t="shared" ca="1" si="96"/>
        <v>186.55038601180047</v>
      </c>
      <c r="AT118" s="13" t="e">
        <f t="shared" ca="1" si="96"/>
        <v>#N/A</v>
      </c>
      <c r="AU118" s="13" t="e">
        <f t="shared" ca="1" si="96"/>
        <v>#N/A</v>
      </c>
      <c r="AV118" s="13" t="e">
        <f t="shared" ca="1" si="96"/>
        <v>#N/A</v>
      </c>
      <c r="AW118" s="13" t="e">
        <f t="shared" ca="1" si="96"/>
        <v>#N/A</v>
      </c>
      <c r="AX118" s="13" t="e">
        <f t="shared" ca="1" si="96"/>
        <v>#N/A</v>
      </c>
      <c r="AY118" s="13" t="e">
        <f t="shared" ca="1" si="96"/>
        <v>#N/A</v>
      </c>
      <c r="AZ118" s="13" t="e">
        <f t="shared" ca="1" si="96"/>
        <v>#N/A</v>
      </c>
      <c r="BA118" s="13" t="e">
        <f t="shared" ca="1" si="96"/>
        <v>#N/A</v>
      </c>
      <c r="BB118" s="13" t="e">
        <f t="shared" ca="1" si="96"/>
        <v>#N/A</v>
      </c>
      <c r="BC118" s="13" t="e">
        <f t="shared" ca="1" si="96"/>
        <v>#N/A</v>
      </c>
      <c r="BD118" s="13" t="e">
        <f t="shared" ca="1" si="96"/>
        <v>#N/A</v>
      </c>
      <c r="BE118" s="13" t="e">
        <f t="shared" ca="1" si="96"/>
        <v>#N/A</v>
      </c>
      <c r="BF118" s="13" t="e">
        <f t="shared" ca="1" si="96"/>
        <v>#N/A</v>
      </c>
      <c r="BG118" s="13" t="e">
        <f t="shared" ca="1" si="96"/>
        <v>#N/A</v>
      </c>
      <c r="BH118" s="13" t="e">
        <f t="shared" ca="1" si="96"/>
        <v>#N/A</v>
      </c>
      <c r="BI118" s="13" t="e">
        <f t="shared" ca="1" si="96"/>
        <v>#N/A</v>
      </c>
      <c r="BJ118" s="13" t="e">
        <f t="shared" ca="1" si="96"/>
        <v>#N/A</v>
      </c>
      <c r="BK118" s="13" t="e">
        <f t="shared" ca="1" si="96"/>
        <v>#N/A</v>
      </c>
      <c r="BL118" s="13" t="e">
        <f t="shared" ca="1" si="96"/>
        <v>#N/A</v>
      </c>
      <c r="BM118" s="13" t="e">
        <f t="shared" ca="1" si="96"/>
        <v>#N/A</v>
      </c>
      <c r="BN118" s="13" t="e">
        <f t="shared" ca="1" si="96"/>
        <v>#N/A</v>
      </c>
      <c r="BO118" s="13" t="e">
        <f t="shared" ca="1" si="96"/>
        <v>#N/A</v>
      </c>
      <c r="BP118" s="13" t="e">
        <f t="shared" ca="1" si="96"/>
        <v>#N/A</v>
      </c>
      <c r="BQ118" s="13" t="e">
        <f t="shared" ref="BQ118:BV118" ca="1" si="97">BQ55/$D118*100000</f>
        <v>#N/A</v>
      </c>
      <c r="BR118" s="13" t="e">
        <f t="shared" ca="1" si="97"/>
        <v>#N/A</v>
      </c>
      <c r="BS118" s="13" t="e">
        <f t="shared" ca="1" si="97"/>
        <v>#N/A</v>
      </c>
      <c r="BT118" s="13" t="e">
        <f t="shared" ca="1" si="97"/>
        <v>#N/A</v>
      </c>
      <c r="BU118" s="13" t="e">
        <f t="shared" ca="1" si="97"/>
        <v>#N/A</v>
      </c>
      <c r="BV118" s="13" t="e">
        <f t="shared" ca="1" si="97"/>
        <v>#N/A</v>
      </c>
      <c r="BW118" s="13" t="e">
        <f t="shared" ref="BW118:CR118" ca="1" si="98">BW55/$D118*100000</f>
        <v>#N/A</v>
      </c>
      <c r="BX118" s="13" t="e">
        <f t="shared" ca="1" si="98"/>
        <v>#N/A</v>
      </c>
      <c r="BY118" s="13" t="e">
        <f t="shared" ca="1" si="98"/>
        <v>#N/A</v>
      </c>
      <c r="BZ118" s="13" t="e">
        <f t="shared" ca="1" si="98"/>
        <v>#N/A</v>
      </c>
      <c r="CA118" s="13" t="e">
        <f t="shared" ca="1" si="98"/>
        <v>#N/A</v>
      </c>
      <c r="CB118" s="13" t="e">
        <f t="shared" ca="1" si="98"/>
        <v>#N/A</v>
      </c>
      <c r="CC118" s="13" t="e">
        <f t="shared" ca="1" si="98"/>
        <v>#N/A</v>
      </c>
      <c r="CD118" s="13" t="e">
        <f t="shared" ca="1" si="98"/>
        <v>#N/A</v>
      </c>
      <c r="CE118" s="13" t="e">
        <f t="shared" ca="1" si="98"/>
        <v>#N/A</v>
      </c>
      <c r="CF118" s="13" t="e">
        <f t="shared" ca="1" si="98"/>
        <v>#N/A</v>
      </c>
      <c r="CG118" s="13" t="e">
        <f t="shared" ca="1" si="98"/>
        <v>#N/A</v>
      </c>
      <c r="CH118" s="13" t="e">
        <f t="shared" ca="1" si="98"/>
        <v>#N/A</v>
      </c>
      <c r="CI118" s="13" t="e">
        <f t="shared" ca="1" si="98"/>
        <v>#N/A</v>
      </c>
      <c r="CJ118" s="13" t="e">
        <f t="shared" ca="1" si="98"/>
        <v>#N/A</v>
      </c>
      <c r="CK118" s="13" t="e">
        <f t="shared" ca="1" si="98"/>
        <v>#N/A</v>
      </c>
      <c r="CL118" s="13" t="e">
        <f t="shared" ca="1" si="98"/>
        <v>#N/A</v>
      </c>
      <c r="CM118" s="13" t="e">
        <f t="shared" ca="1" si="98"/>
        <v>#N/A</v>
      </c>
      <c r="CN118" s="13" t="e">
        <f t="shared" ca="1" si="98"/>
        <v>#N/A</v>
      </c>
      <c r="CO118" s="13" t="e">
        <f t="shared" ca="1" si="98"/>
        <v>#N/A</v>
      </c>
      <c r="CP118" s="13" t="e">
        <f t="shared" ca="1" si="98"/>
        <v>#N/A</v>
      </c>
      <c r="CQ118" s="13" t="e">
        <f t="shared" ca="1" si="98"/>
        <v>#N/A</v>
      </c>
      <c r="CR118" s="13" t="e">
        <f t="shared" ca="1" si="98"/>
        <v>#N/A</v>
      </c>
    </row>
    <row r="119" spans="1:96" x14ac:dyDescent="0.25">
      <c r="A119" t="e">
        <f t="shared" ca="1" si="64"/>
        <v>#VALUE!</v>
      </c>
      <c r="B119">
        <f t="shared" si="65"/>
        <v>14</v>
      </c>
      <c r="C119" t="str">
        <f t="shared" ca="1" si="57"/>
        <v>Russia</v>
      </c>
      <c r="D119" s="1">
        <f t="shared" ca="1" si="57"/>
        <v>145934462</v>
      </c>
      <c r="E119" s="13">
        <f t="shared" ref="E119:BP119" ca="1" si="99">E56/$D119*100000</f>
        <v>3.0835759685056432E-2</v>
      </c>
      <c r="F119" s="13">
        <f t="shared" ca="1" si="99"/>
        <v>4.0429107142629546E-2</v>
      </c>
      <c r="G119" s="13">
        <f t="shared" ca="1" si="99"/>
        <v>4.3170063559079007E-2</v>
      </c>
      <c r="H119" s="13">
        <f t="shared" ca="1" si="99"/>
        <v>6.1671519370112865E-2</v>
      </c>
      <c r="I119" s="13">
        <f t="shared" ca="1" si="99"/>
        <v>7.8117257868809631E-2</v>
      </c>
      <c r="J119" s="13">
        <f t="shared" ca="1" si="99"/>
        <v>0.10073014830451768</v>
      </c>
      <c r="K119" s="13">
        <f t="shared" ca="1" si="99"/>
        <v>0.13636258171836069</v>
      </c>
      <c r="L119" s="13">
        <f t="shared" ca="1" si="99"/>
        <v>0.17336549334042839</v>
      </c>
      <c r="M119" s="13">
        <f t="shared" ca="1" si="99"/>
        <v>0.20968316585838376</v>
      </c>
      <c r="N119" s="13">
        <f t="shared" ca="1" si="99"/>
        <v>0.25148275120923802</v>
      </c>
      <c r="O119" s="13">
        <f t="shared" ca="1" si="99"/>
        <v>0.30013472760121596</v>
      </c>
      <c r="P119" s="13">
        <f t="shared" ca="1" si="99"/>
        <v>0.33919335653562077</v>
      </c>
      <c r="Q119" s="13">
        <f t="shared" ca="1" si="99"/>
        <v>0.45088733050593627</v>
      </c>
      <c r="R119" s="13">
        <f t="shared" ca="1" si="99"/>
        <v>0.57560084745438678</v>
      </c>
      <c r="S119" s="13">
        <f t="shared" ca="1" si="99"/>
        <v>0.70990771186041035</v>
      </c>
      <c r="T119" s="13">
        <f t="shared" ca="1" si="99"/>
        <v>0.8661422275980295</v>
      </c>
      <c r="U119" s="13">
        <f t="shared" ca="1" si="99"/>
        <v>1.0511567857083681</v>
      </c>
      <c r="V119" s="13">
        <f t="shared" ca="1" si="99"/>
        <v>1.2580989951503025</v>
      </c>
      <c r="W119" s="13">
        <f t="shared" ca="1" si="99"/>
        <v>1.6014037863105974</v>
      </c>
      <c r="X119" s="13">
        <f t="shared" ca="1" si="99"/>
        <v>1.9029089921200382</v>
      </c>
      <c r="Y119" s="13">
        <f t="shared" ca="1" si="99"/>
        <v>2.4312283413906717</v>
      </c>
      <c r="Z119" s="13">
        <f t="shared" ca="1" si="99"/>
        <v>2.8430570429622031</v>
      </c>
      <c r="AA119" s="13">
        <f t="shared" ca="1" si="99"/>
        <v>3.2418662015555997</v>
      </c>
      <c r="AB119" s="13">
        <f t="shared" ca="1" si="99"/>
        <v>3.6927535320615359</v>
      </c>
      <c r="AC119" s="13">
        <f t="shared" ca="1" si="99"/>
        <v>4.3464716373847327</v>
      </c>
      <c r="AD119" s="13">
        <f t="shared" ca="1" si="99"/>
        <v>5.1372375635304017</v>
      </c>
      <c r="AE119" s="13">
        <f t="shared" ca="1" si="99"/>
        <v>5.9423935108624306</v>
      </c>
      <c r="AF119" s="13">
        <f t="shared" ca="1" si="99"/>
        <v>6.9421573637623712</v>
      </c>
      <c r="AG119" s="13">
        <f t="shared" ca="1" si="99"/>
        <v>8.1659944037070566</v>
      </c>
      <c r="AH119" s="13">
        <f t="shared" ca="1" si="99"/>
        <v>9.3082879902623699</v>
      </c>
      <c r="AI119" s="13">
        <f t="shared" ca="1" si="99"/>
        <v>10.806220671851998</v>
      </c>
      <c r="AJ119" s="13">
        <f t="shared" ca="1" si="99"/>
        <v>12.559062300171428</v>
      </c>
      <c r="AK119" s="13">
        <f t="shared" ca="1" si="99"/>
        <v>14.45991557497913</v>
      </c>
      <c r="AL119" s="13">
        <f t="shared" ca="1" si="99"/>
        <v>16.781505659711822</v>
      </c>
      <c r="AM119" s="13">
        <f t="shared" ca="1" si="99"/>
        <v>19.144210090691256</v>
      </c>
      <c r="AN119" s="13">
        <f t="shared" ca="1" si="99"/>
        <v>21.933133244428586</v>
      </c>
      <c r="AO119" s="13" t="e">
        <f t="shared" ca="1" si="99"/>
        <v>#N/A</v>
      </c>
      <c r="AP119" s="13" t="e">
        <f t="shared" ca="1" si="99"/>
        <v>#N/A</v>
      </c>
      <c r="AQ119" s="13" t="e">
        <f t="shared" ca="1" si="99"/>
        <v>#N/A</v>
      </c>
      <c r="AR119" s="13" t="e">
        <f t="shared" ca="1" si="99"/>
        <v>#N/A</v>
      </c>
      <c r="AS119" s="13" t="e">
        <f t="shared" ca="1" si="99"/>
        <v>#N/A</v>
      </c>
      <c r="AT119" s="13" t="e">
        <f t="shared" ca="1" si="99"/>
        <v>#N/A</v>
      </c>
      <c r="AU119" s="13" t="e">
        <f t="shared" ca="1" si="99"/>
        <v>#N/A</v>
      </c>
      <c r="AV119" s="13" t="e">
        <f t="shared" ca="1" si="99"/>
        <v>#N/A</v>
      </c>
      <c r="AW119" s="13" t="e">
        <f t="shared" ca="1" si="99"/>
        <v>#N/A</v>
      </c>
      <c r="AX119" s="13" t="e">
        <f t="shared" ca="1" si="99"/>
        <v>#N/A</v>
      </c>
      <c r="AY119" s="13" t="e">
        <f t="shared" ca="1" si="99"/>
        <v>#N/A</v>
      </c>
      <c r="AZ119" s="13" t="e">
        <f t="shared" ca="1" si="99"/>
        <v>#N/A</v>
      </c>
      <c r="BA119" s="13" t="e">
        <f t="shared" ca="1" si="99"/>
        <v>#N/A</v>
      </c>
      <c r="BB119" s="13" t="e">
        <f t="shared" ca="1" si="99"/>
        <v>#N/A</v>
      </c>
      <c r="BC119" s="13" t="e">
        <f t="shared" ca="1" si="99"/>
        <v>#N/A</v>
      </c>
      <c r="BD119" s="13" t="e">
        <f t="shared" ca="1" si="99"/>
        <v>#N/A</v>
      </c>
      <c r="BE119" s="13" t="e">
        <f t="shared" ca="1" si="99"/>
        <v>#N/A</v>
      </c>
      <c r="BF119" s="13" t="e">
        <f t="shared" ca="1" si="99"/>
        <v>#N/A</v>
      </c>
      <c r="BG119" s="13" t="e">
        <f t="shared" ca="1" si="99"/>
        <v>#N/A</v>
      </c>
      <c r="BH119" s="13" t="e">
        <f t="shared" ca="1" si="99"/>
        <v>#N/A</v>
      </c>
      <c r="BI119" s="13" t="e">
        <f t="shared" ca="1" si="99"/>
        <v>#N/A</v>
      </c>
      <c r="BJ119" s="13" t="e">
        <f t="shared" ca="1" si="99"/>
        <v>#N/A</v>
      </c>
      <c r="BK119" s="13" t="e">
        <f t="shared" ca="1" si="99"/>
        <v>#N/A</v>
      </c>
      <c r="BL119" s="13" t="e">
        <f t="shared" ca="1" si="99"/>
        <v>#N/A</v>
      </c>
      <c r="BM119" s="13" t="e">
        <f t="shared" ca="1" si="99"/>
        <v>#N/A</v>
      </c>
      <c r="BN119" s="13" t="e">
        <f t="shared" ca="1" si="99"/>
        <v>#N/A</v>
      </c>
      <c r="BO119" s="13" t="e">
        <f t="shared" ca="1" si="99"/>
        <v>#N/A</v>
      </c>
      <c r="BP119" s="13" t="e">
        <f t="shared" ca="1" si="99"/>
        <v>#N/A</v>
      </c>
      <c r="BQ119" s="13" t="e">
        <f t="shared" ref="BQ119:BV119" ca="1" si="100">BQ56/$D119*100000</f>
        <v>#N/A</v>
      </c>
      <c r="BR119" s="13" t="e">
        <f t="shared" ca="1" si="100"/>
        <v>#N/A</v>
      </c>
      <c r="BS119" s="13" t="e">
        <f t="shared" ca="1" si="100"/>
        <v>#N/A</v>
      </c>
      <c r="BT119" s="13" t="e">
        <f t="shared" ca="1" si="100"/>
        <v>#N/A</v>
      </c>
      <c r="BU119" s="13" t="e">
        <f t="shared" ca="1" si="100"/>
        <v>#N/A</v>
      </c>
      <c r="BV119" s="13" t="e">
        <f t="shared" ca="1" si="100"/>
        <v>#N/A</v>
      </c>
      <c r="BW119" s="13" t="e">
        <f t="shared" ref="BW119:CR119" ca="1" si="101">BW56/$D119*100000</f>
        <v>#N/A</v>
      </c>
      <c r="BX119" s="13" t="e">
        <f t="shared" ca="1" si="101"/>
        <v>#N/A</v>
      </c>
      <c r="BY119" s="13" t="e">
        <f t="shared" ca="1" si="101"/>
        <v>#N/A</v>
      </c>
      <c r="BZ119" s="13" t="e">
        <f t="shared" ca="1" si="101"/>
        <v>#N/A</v>
      </c>
      <c r="CA119" s="13" t="e">
        <f t="shared" ca="1" si="101"/>
        <v>#N/A</v>
      </c>
      <c r="CB119" s="13" t="e">
        <f t="shared" ca="1" si="101"/>
        <v>#N/A</v>
      </c>
      <c r="CC119" s="13" t="e">
        <f t="shared" ca="1" si="101"/>
        <v>#N/A</v>
      </c>
      <c r="CD119" s="13" t="e">
        <f t="shared" ca="1" si="101"/>
        <v>#N/A</v>
      </c>
      <c r="CE119" s="13" t="e">
        <f t="shared" ca="1" si="101"/>
        <v>#N/A</v>
      </c>
      <c r="CF119" s="13" t="e">
        <f t="shared" ca="1" si="101"/>
        <v>#N/A</v>
      </c>
      <c r="CG119" s="13" t="e">
        <f t="shared" ca="1" si="101"/>
        <v>#N/A</v>
      </c>
      <c r="CH119" s="13" t="e">
        <f t="shared" ca="1" si="101"/>
        <v>#N/A</v>
      </c>
      <c r="CI119" s="13" t="e">
        <f t="shared" ca="1" si="101"/>
        <v>#N/A</v>
      </c>
      <c r="CJ119" s="13" t="e">
        <f t="shared" ca="1" si="101"/>
        <v>#N/A</v>
      </c>
      <c r="CK119" s="13" t="e">
        <f t="shared" ca="1" si="101"/>
        <v>#N/A</v>
      </c>
      <c r="CL119" s="13" t="e">
        <f t="shared" ca="1" si="101"/>
        <v>#N/A</v>
      </c>
      <c r="CM119" s="13" t="e">
        <f t="shared" ca="1" si="101"/>
        <v>#N/A</v>
      </c>
      <c r="CN119" s="13" t="e">
        <f t="shared" ca="1" si="101"/>
        <v>#N/A</v>
      </c>
      <c r="CO119" s="13" t="e">
        <f t="shared" ca="1" si="101"/>
        <v>#N/A</v>
      </c>
      <c r="CP119" s="13" t="e">
        <f t="shared" ca="1" si="101"/>
        <v>#N/A</v>
      </c>
      <c r="CQ119" s="13" t="e">
        <f t="shared" ca="1" si="101"/>
        <v>#N/A</v>
      </c>
      <c r="CR119" s="13" t="e">
        <f t="shared" ca="1" si="101"/>
        <v>#N/A</v>
      </c>
    </row>
    <row r="120" spans="1:96" x14ac:dyDescent="0.25">
      <c r="A120" t="str">
        <f t="shared" ca="1" si="64"/>
        <v>e</v>
      </c>
      <c r="B120">
        <f t="shared" si="65"/>
        <v>15</v>
      </c>
      <c r="C120" t="str">
        <f t="shared" ca="1" si="57"/>
        <v>Singapore</v>
      </c>
      <c r="D120" s="1">
        <f t="shared" ca="1" si="57"/>
        <v>5850342</v>
      </c>
      <c r="E120" s="13">
        <f t="shared" ref="E120:BP120" ca="1" si="102">E57/$D120*100000</f>
        <v>0.5127905342969693</v>
      </c>
      <c r="F120" s="13">
        <f t="shared" ca="1" si="102"/>
        <v>0.56406958772666627</v>
      </c>
      <c r="G120" s="13">
        <f t="shared" ca="1" si="102"/>
        <v>0.68372071239595911</v>
      </c>
      <c r="H120" s="13">
        <f t="shared" ca="1" si="102"/>
        <v>0.7691858014454539</v>
      </c>
      <c r="I120" s="13">
        <f t="shared" ca="1" si="102"/>
        <v>0.80337183706525184</v>
      </c>
      <c r="J120" s="13">
        <f t="shared" ca="1" si="102"/>
        <v>0.8546508904949488</v>
      </c>
      <c r="K120" s="13">
        <f t="shared" ca="1" si="102"/>
        <v>0.99139503297414067</v>
      </c>
      <c r="L120" s="13">
        <f t="shared" ca="1" si="102"/>
        <v>1.1452321932632314</v>
      </c>
      <c r="M120" s="13">
        <f t="shared" ca="1" si="102"/>
        <v>1.2306972823127262</v>
      </c>
      <c r="N120" s="13">
        <f t="shared" ca="1" si="102"/>
        <v>1.2819763357424232</v>
      </c>
      <c r="O120" s="13">
        <f t="shared" ca="1" si="102"/>
        <v>1.3161623713622213</v>
      </c>
      <c r="P120" s="13">
        <f t="shared" ca="1" si="102"/>
        <v>1.3845344426018171</v>
      </c>
      <c r="Q120" s="13">
        <f t="shared" ca="1" si="102"/>
        <v>1.4358134960315141</v>
      </c>
      <c r="R120" s="13">
        <f t="shared" ca="1" si="102"/>
        <v>1.4443600049364635</v>
      </c>
      <c r="S120" s="13">
        <f t="shared" ca="1" si="102"/>
        <v>1.452906513841413</v>
      </c>
      <c r="T120" s="13">
        <f t="shared" ca="1" si="102"/>
        <v>1.4870925494612111</v>
      </c>
      <c r="U120" s="13">
        <f t="shared" ca="1" si="102"/>
        <v>1.5212785850810089</v>
      </c>
      <c r="V120" s="13">
        <f t="shared" ca="1" si="102"/>
        <v>1.5383716028909078</v>
      </c>
      <c r="W120" s="13">
        <f t="shared" ca="1" si="102"/>
        <v>1.5554646207008069</v>
      </c>
      <c r="X120" s="13">
        <f t="shared" ca="1" si="102"/>
        <v>1.589650656320605</v>
      </c>
      <c r="Y120" s="13">
        <f t="shared" ca="1" si="102"/>
        <v>1.6409297097503017</v>
      </c>
      <c r="Z120" s="13">
        <f t="shared" ca="1" si="102"/>
        <v>1.6922087631799987</v>
      </c>
      <c r="AA120" s="13">
        <f t="shared" ca="1" si="102"/>
        <v>1.7434878166096954</v>
      </c>
      <c r="AB120" s="13">
        <f t="shared" ca="1" si="102"/>
        <v>1.8118598878492913</v>
      </c>
      <c r="AC120" s="13">
        <f t="shared" ca="1" si="102"/>
        <v>1.8460459234690896</v>
      </c>
      <c r="AD120" s="13">
        <f t="shared" ca="1" si="102"/>
        <v>1.8802319590888876</v>
      </c>
      <c r="AE120" s="13">
        <f t="shared" ca="1" si="102"/>
        <v>1.9400575214235338</v>
      </c>
      <c r="AF120" s="13">
        <f t="shared" ca="1" si="102"/>
        <v>1.9998830837581802</v>
      </c>
      <c r="AG120" s="13">
        <f t="shared" ca="1" si="102"/>
        <v>2.2220923152868668</v>
      </c>
      <c r="AH120" s="13">
        <f t="shared" ca="1" si="102"/>
        <v>2.3588364577660585</v>
      </c>
      <c r="AI120" s="13">
        <f t="shared" ca="1" si="102"/>
        <v>2.5639526714848464</v>
      </c>
      <c r="AJ120" s="13">
        <f t="shared" ca="1" si="102"/>
        <v>2.6494177605343414</v>
      </c>
      <c r="AK120" s="13">
        <f t="shared" ca="1" si="102"/>
        <v>2.7348828495838364</v>
      </c>
      <c r="AL120" s="13">
        <f t="shared" ca="1" si="102"/>
        <v>3.0425571701620178</v>
      </c>
      <c r="AM120" s="13">
        <f t="shared" ca="1" si="102"/>
        <v>3.2305803660709063</v>
      </c>
      <c r="AN120" s="13">
        <f t="shared" ca="1" si="102"/>
        <v>3.4186035619797952</v>
      </c>
      <c r="AO120" s="13">
        <f t="shared" ca="1" si="102"/>
        <v>3.6237197756985826</v>
      </c>
      <c r="AP120" s="13">
        <f t="shared" ca="1" si="102"/>
        <v>3.8630220250371687</v>
      </c>
      <c r="AQ120" s="13">
        <f t="shared" ca="1" si="102"/>
        <v>4.1536033278054516</v>
      </c>
      <c r="AR120" s="13">
        <f t="shared" ca="1" si="102"/>
        <v>4.546742737433128</v>
      </c>
      <c r="AS120" s="13">
        <f t="shared" ca="1" si="102"/>
        <v>5.35011457449838</v>
      </c>
      <c r="AT120" s="13">
        <f t="shared" ca="1" si="102"/>
        <v>5.897091144415147</v>
      </c>
      <c r="AU120" s="13">
        <f t="shared" ca="1" si="102"/>
        <v>6.5808118568111063</v>
      </c>
      <c r="AV120" s="13">
        <f t="shared" ca="1" si="102"/>
        <v>7.3841836938763583</v>
      </c>
      <c r="AW120" s="13">
        <f t="shared" ca="1" si="102"/>
        <v>7.7773231035040347</v>
      </c>
      <c r="AX120" s="13">
        <f t="shared" ca="1" si="102"/>
        <v>8.7003460652385787</v>
      </c>
      <c r="AY120" s="13">
        <f t="shared" ca="1" si="102"/>
        <v>9.5379039379236286</v>
      </c>
      <c r="AZ120" s="13">
        <f t="shared" ca="1" si="102"/>
        <v>10.785694238046254</v>
      </c>
      <c r="BA120" s="13">
        <f t="shared" ca="1" si="102"/>
        <v>11.674531164161001</v>
      </c>
      <c r="BB120" s="13">
        <f t="shared" ca="1" si="102"/>
        <v>12.512089036846051</v>
      </c>
      <c r="BC120" s="13">
        <f t="shared" ca="1" si="102"/>
        <v>13.70860028353898</v>
      </c>
      <c r="BD120" s="13">
        <f t="shared" ca="1" si="102"/>
        <v>14.426507031554737</v>
      </c>
      <c r="BE120" s="13">
        <f t="shared" ca="1" si="102"/>
        <v>15.024762654901201</v>
      </c>
      <c r="BF120" s="13">
        <f t="shared" ca="1" si="102"/>
        <v>15.828134491966452</v>
      </c>
      <c r="BG120" s="13">
        <f t="shared" ca="1" si="102"/>
        <v>17.093017809898974</v>
      </c>
      <c r="BH120" s="13">
        <f t="shared" ca="1" si="102"/>
        <v>17.930575682584028</v>
      </c>
      <c r="BI120" s="13">
        <f t="shared" ca="1" si="102"/>
        <v>19.04162184022746</v>
      </c>
      <c r="BJ120" s="13">
        <f t="shared" ca="1" si="102"/>
        <v>20.323598175969884</v>
      </c>
      <c r="BK120" s="13">
        <f t="shared" ca="1" si="102"/>
        <v>22.374760313157761</v>
      </c>
      <c r="BL120" s="13">
        <f t="shared" ca="1" si="102"/>
        <v>23.502899488611096</v>
      </c>
      <c r="BM120" s="13">
        <f t="shared" ca="1" si="102"/>
        <v>25.314759376460383</v>
      </c>
      <c r="BN120" s="13">
        <f t="shared" ca="1" si="102"/>
        <v>27.741967905466037</v>
      </c>
      <c r="BO120" s="13">
        <f t="shared" ca="1" si="102"/>
        <v>32.647664016907044</v>
      </c>
      <c r="BP120" s="13">
        <f t="shared" ca="1" si="102"/>
        <v>36.03208154326704</v>
      </c>
      <c r="BQ120" s="13">
        <f t="shared" ref="BQ120:BV120" ca="1" si="103">BQ57/$D120*100000</f>
        <v>39.296847944957747</v>
      </c>
      <c r="BR120" s="13">
        <f t="shared" ca="1" si="103"/>
        <v>43.279521094664204</v>
      </c>
      <c r="BS120" s="13">
        <f t="shared" ca="1" si="103"/>
        <v>49.87742596928522</v>
      </c>
      <c r="BT120" s="13">
        <f t="shared" ca="1" si="103"/>
        <v>55.586493917791465</v>
      </c>
      <c r="BU120" s="13">
        <f t="shared" ca="1" si="103"/>
        <v>63.227072878816315</v>
      </c>
      <c r="BV120" s="13">
        <f t="shared" ca="1" si="103"/>
        <v>75.670789844422771</v>
      </c>
      <c r="BW120" s="13">
        <f t="shared" ref="BW120:CR120" ca="1" si="104">BW57/$D120*100000</f>
        <v>86.31973993998983</v>
      </c>
      <c r="BX120" s="13" t="e">
        <f t="shared" ca="1" si="104"/>
        <v>#N/A</v>
      </c>
      <c r="BY120" s="13" t="e">
        <f t="shared" ca="1" si="104"/>
        <v>#N/A</v>
      </c>
      <c r="BZ120" s="13" t="e">
        <f t="shared" ca="1" si="104"/>
        <v>#N/A</v>
      </c>
      <c r="CA120" s="13" t="e">
        <f t="shared" ca="1" si="104"/>
        <v>#N/A</v>
      </c>
      <c r="CB120" s="13" t="e">
        <f t="shared" ca="1" si="104"/>
        <v>#N/A</v>
      </c>
      <c r="CC120" s="13" t="e">
        <f t="shared" ca="1" si="104"/>
        <v>#N/A</v>
      </c>
      <c r="CD120" s="13" t="e">
        <f t="shared" ca="1" si="104"/>
        <v>#N/A</v>
      </c>
      <c r="CE120" s="13" t="e">
        <f t="shared" ca="1" si="104"/>
        <v>#N/A</v>
      </c>
      <c r="CF120" s="13" t="e">
        <f t="shared" ca="1" si="104"/>
        <v>#N/A</v>
      </c>
      <c r="CG120" s="13" t="e">
        <f t="shared" ca="1" si="104"/>
        <v>#N/A</v>
      </c>
      <c r="CH120" s="13" t="e">
        <f t="shared" ca="1" si="104"/>
        <v>#N/A</v>
      </c>
      <c r="CI120" s="13" t="e">
        <f t="shared" ca="1" si="104"/>
        <v>#N/A</v>
      </c>
      <c r="CJ120" s="13" t="e">
        <f t="shared" ca="1" si="104"/>
        <v>#N/A</v>
      </c>
      <c r="CK120" s="13" t="e">
        <f t="shared" ca="1" si="104"/>
        <v>#N/A</v>
      </c>
      <c r="CL120" s="13" t="e">
        <f t="shared" ca="1" si="104"/>
        <v>#N/A</v>
      </c>
      <c r="CM120" s="13" t="e">
        <f t="shared" ca="1" si="104"/>
        <v>#N/A</v>
      </c>
      <c r="CN120" s="13" t="e">
        <f t="shared" ca="1" si="104"/>
        <v>#N/A</v>
      </c>
      <c r="CO120" s="13" t="e">
        <f t="shared" ca="1" si="104"/>
        <v>#N/A</v>
      </c>
      <c r="CP120" s="13" t="e">
        <f t="shared" ca="1" si="104"/>
        <v>#N/A</v>
      </c>
      <c r="CQ120" s="13" t="e">
        <f t="shared" ca="1" si="104"/>
        <v>#N/A</v>
      </c>
      <c r="CR120" s="13" t="e">
        <f t="shared" ca="1" si="104"/>
        <v>#N/A</v>
      </c>
    </row>
    <row r="121" spans="1:96" x14ac:dyDescent="0.25">
      <c r="A121" t="e">
        <f t="shared" ca="1" si="64"/>
        <v>#VALUE!</v>
      </c>
      <c r="B121">
        <f t="shared" si="65"/>
        <v>16</v>
      </c>
      <c r="C121" t="str">
        <f t="shared" ca="1" si="57"/>
        <v>Spain</v>
      </c>
      <c r="D121" s="1">
        <f t="shared" ca="1" si="57"/>
        <v>46754778</v>
      </c>
      <c r="E121" s="13">
        <f t="shared" ref="E121:BP121" ca="1" si="105">E58/$D121*100000</f>
        <v>6.8442202848230826E-2</v>
      </c>
      <c r="F121" s="13">
        <f t="shared" ca="1" si="105"/>
        <v>9.6246847755324591E-2</v>
      </c>
      <c r="G121" s="13">
        <f t="shared" ca="1" si="105"/>
        <v>0.17966078247660591</v>
      </c>
      <c r="H121" s="13">
        <f t="shared" ca="1" si="105"/>
        <v>0.25665826068086561</v>
      </c>
      <c r="I121" s="13">
        <f t="shared" ca="1" si="105"/>
        <v>0.35290510843619016</v>
      </c>
      <c r="J121" s="13">
        <f t="shared" ca="1" si="105"/>
        <v>0.47481778225960136</v>
      </c>
      <c r="K121" s="13">
        <f t="shared" ca="1" si="105"/>
        <v>0.55395407930286822</v>
      </c>
      <c r="L121" s="13">
        <f t="shared" ca="1" si="105"/>
        <v>0.8555275356028853</v>
      </c>
      <c r="M121" s="13">
        <f t="shared" ca="1" si="105"/>
        <v>1.0694094195036066</v>
      </c>
      <c r="N121" s="13">
        <f t="shared" ca="1" si="105"/>
        <v>1.4394250786518545</v>
      </c>
      <c r="O121" s="13">
        <f t="shared" ca="1" si="105"/>
        <v>2.2949526142547398</v>
      </c>
      <c r="P121" s="13">
        <f t="shared" ca="1" si="105"/>
        <v>3.6252979321172263</v>
      </c>
      <c r="Q121" s="13">
        <f t="shared" ca="1" si="105"/>
        <v>4.8700904964194249</v>
      </c>
      <c r="R121" s="13">
        <f t="shared" ca="1" si="105"/>
        <v>8.0301953310525818</v>
      </c>
      <c r="S121" s="13">
        <f t="shared" ca="1" si="105"/>
        <v>11.190300165685741</v>
      </c>
      <c r="T121" s="13">
        <f t="shared" ca="1" si="105"/>
        <v>13.669191200095101</v>
      </c>
      <c r="U121" s="13">
        <f t="shared" ca="1" si="105"/>
        <v>16.678509306578249</v>
      </c>
      <c r="V121" s="13">
        <f t="shared" ca="1" si="105"/>
        <v>21.264136897409713</v>
      </c>
      <c r="W121" s="13">
        <f t="shared" ca="1" si="105"/>
        <v>25.126843720656741</v>
      </c>
      <c r="X121" s="13">
        <f t="shared" ca="1" si="105"/>
        <v>29.75097005059034</v>
      </c>
      <c r="Y121" s="13">
        <f t="shared" ca="1" si="105"/>
        <v>38.419602805086569</v>
      </c>
      <c r="Z121" s="13">
        <f t="shared" ca="1" si="105"/>
        <v>43.65329250413722</v>
      </c>
      <c r="AA121" s="13">
        <f t="shared" ca="1" si="105"/>
        <v>54.27038922096903</v>
      </c>
      <c r="AB121" s="13">
        <f t="shared" ca="1" si="105"/>
        <v>61.529540360559508</v>
      </c>
      <c r="AC121" s="13">
        <f t="shared" ca="1" si="105"/>
        <v>75.149538727357452</v>
      </c>
      <c r="AD121" s="13">
        <f t="shared" ca="1" si="105"/>
        <v>85.306789393802703</v>
      </c>
      <c r="AE121" s="13">
        <f t="shared" ca="1" si="105"/>
        <v>105.90361481344218</v>
      </c>
      <c r="AF121" s="13">
        <f t="shared" ca="1" si="105"/>
        <v>123.59378543087082</v>
      </c>
      <c r="AG121" s="13">
        <f t="shared" ca="1" si="105"/>
        <v>140.56103528071506</v>
      </c>
      <c r="AH121" s="13">
        <f t="shared" ca="1" si="105"/>
        <v>156.63639767469328</v>
      </c>
      <c r="AI121" s="13">
        <f t="shared" ca="1" si="105"/>
        <v>171.34077719286788</v>
      </c>
      <c r="AJ121" s="13">
        <f t="shared" ca="1" si="105"/>
        <v>188.12194980371845</v>
      </c>
      <c r="AK121" s="13">
        <f t="shared" ca="1" si="105"/>
        <v>205.16191949408892</v>
      </c>
      <c r="AL121" s="13">
        <f t="shared" ca="1" si="105"/>
        <v>222.68953987975306</v>
      </c>
      <c r="AM121" s="13">
        <f t="shared" ca="1" si="105"/>
        <v>239.68673319334334</v>
      </c>
      <c r="AN121" s="13">
        <f t="shared" ca="1" si="105"/>
        <v>254.94506679082085</v>
      </c>
      <c r="AO121" s="13">
        <f t="shared" ca="1" si="105"/>
        <v>269.85049527986206</v>
      </c>
      <c r="AP121" s="13">
        <f t="shared" ca="1" si="105"/>
        <v>281.56694487994361</v>
      </c>
      <c r="AQ121" s="13">
        <f t="shared" ca="1" si="105"/>
        <v>292.32306482131088</v>
      </c>
      <c r="AR121" s="13">
        <f t="shared" ca="1" si="105"/>
        <v>303.58822364636188</v>
      </c>
      <c r="AS121" s="13">
        <f t="shared" ca="1" si="105"/>
        <v>317.01572831764918</v>
      </c>
      <c r="AT121" s="13">
        <f t="shared" ca="1" si="105"/>
        <v>327.71410015036327</v>
      </c>
      <c r="AU121" s="13">
        <f t="shared" ca="1" si="105"/>
        <v>338.51727410618867</v>
      </c>
      <c r="AV121" s="13">
        <f t="shared" ca="1" si="105"/>
        <v>348.68521886682896</v>
      </c>
      <c r="AW121" s="13">
        <f t="shared" ca="1" si="105"/>
        <v>356.8212857304124</v>
      </c>
      <c r="AX121" s="13">
        <f t="shared" ca="1" si="105"/>
        <v>363.810945696288</v>
      </c>
      <c r="AY121" s="13">
        <f t="shared" ca="1" si="105"/>
        <v>369.03394130114356</v>
      </c>
      <c r="AZ121" s="13">
        <f t="shared" ca="1" si="105"/>
        <v>379.94833383659739</v>
      </c>
      <c r="BA121" s="13">
        <f t="shared" ca="1" si="105"/>
        <v>395.57026663670609</v>
      </c>
      <c r="BB121" s="13">
        <f t="shared" ca="1" si="105"/>
        <v>408.17004841729755</v>
      </c>
      <c r="BC121" s="13" t="e">
        <f t="shared" ca="1" si="105"/>
        <v>#N/A</v>
      </c>
      <c r="BD121" s="13" t="e">
        <f t="shared" ca="1" si="105"/>
        <v>#N/A</v>
      </c>
      <c r="BE121" s="13" t="e">
        <f t="shared" ca="1" si="105"/>
        <v>#N/A</v>
      </c>
      <c r="BF121" s="13" t="e">
        <f t="shared" ca="1" si="105"/>
        <v>#N/A</v>
      </c>
      <c r="BG121" s="13" t="e">
        <f t="shared" ca="1" si="105"/>
        <v>#N/A</v>
      </c>
      <c r="BH121" s="13" t="e">
        <f t="shared" ca="1" si="105"/>
        <v>#N/A</v>
      </c>
      <c r="BI121" s="13" t="e">
        <f t="shared" ca="1" si="105"/>
        <v>#N/A</v>
      </c>
      <c r="BJ121" s="13" t="e">
        <f t="shared" ca="1" si="105"/>
        <v>#N/A</v>
      </c>
      <c r="BK121" s="13" t="e">
        <f t="shared" ca="1" si="105"/>
        <v>#N/A</v>
      </c>
      <c r="BL121" s="13" t="e">
        <f t="shared" ca="1" si="105"/>
        <v>#N/A</v>
      </c>
      <c r="BM121" s="13" t="e">
        <f t="shared" ca="1" si="105"/>
        <v>#N/A</v>
      </c>
      <c r="BN121" s="13" t="e">
        <f t="shared" ca="1" si="105"/>
        <v>#N/A</v>
      </c>
      <c r="BO121" s="13" t="e">
        <f t="shared" ca="1" si="105"/>
        <v>#N/A</v>
      </c>
      <c r="BP121" s="13" t="e">
        <f t="shared" ca="1" si="105"/>
        <v>#N/A</v>
      </c>
      <c r="BQ121" s="13" t="e">
        <f t="shared" ref="BQ121:BV121" ca="1" si="106">BQ58/$D121*100000</f>
        <v>#N/A</v>
      </c>
      <c r="BR121" s="13" t="e">
        <f t="shared" ca="1" si="106"/>
        <v>#N/A</v>
      </c>
      <c r="BS121" s="13" t="e">
        <f t="shared" ca="1" si="106"/>
        <v>#N/A</v>
      </c>
      <c r="BT121" s="13" t="e">
        <f t="shared" ca="1" si="106"/>
        <v>#N/A</v>
      </c>
      <c r="BU121" s="13" t="e">
        <f t="shared" ca="1" si="106"/>
        <v>#N/A</v>
      </c>
      <c r="BV121" s="13" t="e">
        <f t="shared" ca="1" si="106"/>
        <v>#N/A</v>
      </c>
      <c r="BW121" s="13" t="e">
        <f t="shared" ref="BW121:CR121" ca="1" si="107">BW58/$D121*100000</f>
        <v>#N/A</v>
      </c>
      <c r="BX121" s="13" t="e">
        <f t="shared" ca="1" si="107"/>
        <v>#N/A</v>
      </c>
      <c r="BY121" s="13" t="e">
        <f t="shared" ca="1" si="107"/>
        <v>#N/A</v>
      </c>
      <c r="BZ121" s="13" t="e">
        <f t="shared" ca="1" si="107"/>
        <v>#N/A</v>
      </c>
      <c r="CA121" s="13" t="e">
        <f t="shared" ca="1" si="107"/>
        <v>#N/A</v>
      </c>
      <c r="CB121" s="13" t="e">
        <f t="shared" ca="1" si="107"/>
        <v>#N/A</v>
      </c>
      <c r="CC121" s="13" t="e">
        <f t="shared" ca="1" si="107"/>
        <v>#N/A</v>
      </c>
      <c r="CD121" s="13" t="e">
        <f t="shared" ca="1" si="107"/>
        <v>#N/A</v>
      </c>
      <c r="CE121" s="13" t="e">
        <f t="shared" ca="1" si="107"/>
        <v>#N/A</v>
      </c>
      <c r="CF121" s="13" t="e">
        <f t="shared" ca="1" si="107"/>
        <v>#N/A</v>
      </c>
      <c r="CG121" s="13" t="e">
        <f t="shared" ca="1" si="107"/>
        <v>#N/A</v>
      </c>
      <c r="CH121" s="13" t="e">
        <f t="shared" ca="1" si="107"/>
        <v>#N/A</v>
      </c>
      <c r="CI121" s="13" t="e">
        <f t="shared" ca="1" si="107"/>
        <v>#N/A</v>
      </c>
      <c r="CJ121" s="13" t="e">
        <f t="shared" ca="1" si="107"/>
        <v>#N/A</v>
      </c>
      <c r="CK121" s="13" t="e">
        <f t="shared" ca="1" si="107"/>
        <v>#N/A</v>
      </c>
      <c r="CL121" s="13" t="e">
        <f t="shared" ca="1" si="107"/>
        <v>#N/A</v>
      </c>
      <c r="CM121" s="13" t="e">
        <f t="shared" ca="1" si="107"/>
        <v>#N/A</v>
      </c>
      <c r="CN121" s="13" t="e">
        <f t="shared" ca="1" si="107"/>
        <v>#N/A</v>
      </c>
      <c r="CO121" s="13" t="e">
        <f t="shared" ca="1" si="107"/>
        <v>#N/A</v>
      </c>
      <c r="CP121" s="13" t="e">
        <f t="shared" ca="1" si="107"/>
        <v>#N/A</v>
      </c>
      <c r="CQ121" s="13" t="e">
        <f t="shared" ca="1" si="107"/>
        <v>#N/A</v>
      </c>
      <c r="CR121" s="13" t="e">
        <f t="shared" ca="1" si="107"/>
        <v>#N/A</v>
      </c>
    </row>
    <row r="122" spans="1:96" x14ac:dyDescent="0.25">
      <c r="A122" t="e">
        <f t="shared" ca="1" si="64"/>
        <v>#VALUE!</v>
      </c>
      <c r="B122">
        <f t="shared" si="65"/>
        <v>17</v>
      </c>
      <c r="C122" t="str">
        <f t="shared" ca="1" si="57"/>
        <v>Sweden</v>
      </c>
      <c r="D122" s="1">
        <f t="shared" ca="1" si="57"/>
        <v>10099265</v>
      </c>
      <c r="E122" s="13">
        <f t="shared" ref="E122:BP122" ca="1" si="108">E59/$D122*100000</f>
        <v>0.34655987341653077</v>
      </c>
      <c r="F122" s="13">
        <f t="shared" ca="1" si="108"/>
        <v>0.93076080289011143</v>
      </c>
      <c r="G122" s="13">
        <f t="shared" ca="1" si="108"/>
        <v>1.0000727775734175</v>
      </c>
      <c r="H122" s="13">
        <f t="shared" ca="1" si="108"/>
        <v>1.5941754177160419</v>
      </c>
      <c r="I122" s="13">
        <f t="shared" ca="1" si="108"/>
        <v>2.0100472658158788</v>
      </c>
      <c r="J122" s="13">
        <f t="shared" ca="1" si="108"/>
        <v>2.4556242459228468</v>
      </c>
      <c r="K122" s="13">
        <f t="shared" ca="1" si="108"/>
        <v>3.5151072875105265</v>
      </c>
      <c r="L122" s="13">
        <f t="shared" ca="1" si="108"/>
        <v>4.9508553345218687</v>
      </c>
      <c r="M122" s="13">
        <f t="shared" ca="1" si="108"/>
        <v>5.9311246907571986</v>
      </c>
      <c r="N122" s="13">
        <f t="shared" ca="1" si="108"/>
        <v>8.0599924846016027</v>
      </c>
      <c r="O122" s="13">
        <f t="shared" ca="1" si="108"/>
        <v>9.5155439529510311</v>
      </c>
      <c r="P122" s="13">
        <f t="shared" ca="1" si="108"/>
        <v>10.1195483037627</v>
      </c>
      <c r="Q122" s="13">
        <f t="shared" ca="1" si="108"/>
        <v>10.921586867955241</v>
      </c>
      <c r="R122" s="13">
        <f t="shared" ca="1" si="108"/>
        <v>11.783035696162047</v>
      </c>
      <c r="S122" s="13">
        <f t="shared" ca="1" si="108"/>
        <v>12.66428794570694</v>
      </c>
      <c r="T122" s="13">
        <f t="shared" ca="1" si="108"/>
        <v>14.248561652753938</v>
      </c>
      <c r="U122" s="13">
        <f t="shared" ca="1" si="108"/>
        <v>16.228903786562686</v>
      </c>
      <c r="V122" s="13">
        <f t="shared" ca="1" si="108"/>
        <v>17.45671590952411</v>
      </c>
      <c r="W122" s="13">
        <f t="shared" ca="1" si="108"/>
        <v>19.149908433930587</v>
      </c>
      <c r="X122" s="13">
        <f t="shared" ca="1" si="108"/>
        <v>20.258900028863486</v>
      </c>
      <c r="Y122" s="13">
        <f t="shared" ca="1" si="108"/>
        <v>22.635310589433985</v>
      </c>
      <c r="Z122" s="13">
        <f t="shared" ca="1" si="108"/>
        <v>25.01172115000448</v>
      </c>
      <c r="AA122" s="13">
        <f t="shared" ca="1" si="108"/>
        <v>28.120858300084212</v>
      </c>
      <c r="AB122" s="13">
        <f t="shared" ca="1" si="108"/>
        <v>30.38835004329523</v>
      </c>
      <c r="AC122" s="13">
        <f t="shared" ca="1" si="108"/>
        <v>34.13119667619376</v>
      </c>
      <c r="AD122" s="13">
        <f t="shared" ca="1" si="108"/>
        <v>36.636329475461828</v>
      </c>
      <c r="AE122" s="13">
        <f t="shared" ca="1" si="108"/>
        <v>39.884090574908171</v>
      </c>
      <c r="AF122" s="13">
        <f t="shared" ca="1" si="108"/>
        <v>43.914086817208975</v>
      </c>
      <c r="AG122" s="13">
        <f t="shared" ca="1" si="108"/>
        <v>48.983762679759366</v>
      </c>
      <c r="AH122" s="13">
        <f t="shared" ca="1" si="108"/>
        <v>55.132725005235535</v>
      </c>
      <c r="AI122" s="13">
        <f t="shared" ca="1" si="108"/>
        <v>60.707388111907157</v>
      </c>
      <c r="AJ122" s="13">
        <f t="shared" ca="1" si="108"/>
        <v>63.7967218406488</v>
      </c>
      <c r="AK122" s="13">
        <f t="shared" ca="1" si="108"/>
        <v>67.628683869568718</v>
      </c>
      <c r="AL122" s="13">
        <f t="shared" ca="1" si="108"/>
        <v>71.35172708112917</v>
      </c>
      <c r="AM122" s="13">
        <f t="shared" ca="1" si="108"/>
        <v>76.173860176953468</v>
      </c>
      <c r="AN122" s="13">
        <f t="shared" ca="1" si="108"/>
        <v>83.362502122679231</v>
      </c>
      <c r="AO122" s="13">
        <f t="shared" ca="1" si="108"/>
        <v>90.511537225728802</v>
      </c>
      <c r="AP122" s="13">
        <f t="shared" ca="1" si="108"/>
        <v>95.8980678296886</v>
      </c>
      <c r="AQ122" s="13">
        <f t="shared" ca="1" si="108"/>
        <v>100.51226500146298</v>
      </c>
      <c r="AR122" s="13">
        <f t="shared" ca="1" si="108"/>
        <v>103.79963294358549</v>
      </c>
      <c r="AS122" s="13">
        <f t="shared" ca="1" si="108"/>
        <v>108.40392840469083</v>
      </c>
      <c r="AT122" s="13">
        <f t="shared" ca="1" si="108"/>
        <v>113.32507860720557</v>
      </c>
      <c r="AU122" s="13">
        <f t="shared" ca="1" si="108"/>
        <v>118.09770314968465</v>
      </c>
      <c r="AV122" s="13">
        <f t="shared" ca="1" si="108"/>
        <v>124.16745178980845</v>
      </c>
      <c r="AW122" s="13">
        <f t="shared" ca="1" si="108"/>
        <v>130.86100820208202</v>
      </c>
      <c r="AX122" s="13" t="e">
        <f t="shared" ca="1" si="108"/>
        <v>#N/A</v>
      </c>
      <c r="AY122" s="13" t="e">
        <f t="shared" ca="1" si="108"/>
        <v>#N/A</v>
      </c>
      <c r="AZ122" s="13" t="e">
        <f t="shared" ca="1" si="108"/>
        <v>#N/A</v>
      </c>
      <c r="BA122" s="13" t="e">
        <f t="shared" ca="1" si="108"/>
        <v>#N/A</v>
      </c>
      <c r="BB122" s="13" t="e">
        <f t="shared" ca="1" si="108"/>
        <v>#N/A</v>
      </c>
      <c r="BC122" s="13" t="e">
        <f t="shared" ca="1" si="108"/>
        <v>#N/A</v>
      </c>
      <c r="BD122" s="13" t="e">
        <f t="shared" ca="1" si="108"/>
        <v>#N/A</v>
      </c>
      <c r="BE122" s="13" t="e">
        <f t="shared" ca="1" si="108"/>
        <v>#N/A</v>
      </c>
      <c r="BF122" s="13" t="e">
        <f t="shared" ca="1" si="108"/>
        <v>#N/A</v>
      </c>
      <c r="BG122" s="13" t="e">
        <f t="shared" ca="1" si="108"/>
        <v>#N/A</v>
      </c>
      <c r="BH122" s="13" t="e">
        <f t="shared" ca="1" si="108"/>
        <v>#N/A</v>
      </c>
      <c r="BI122" s="13" t="e">
        <f t="shared" ca="1" si="108"/>
        <v>#N/A</v>
      </c>
      <c r="BJ122" s="13" t="e">
        <f t="shared" ca="1" si="108"/>
        <v>#N/A</v>
      </c>
      <c r="BK122" s="13" t="e">
        <f t="shared" ca="1" si="108"/>
        <v>#N/A</v>
      </c>
      <c r="BL122" s="13" t="e">
        <f t="shared" ca="1" si="108"/>
        <v>#N/A</v>
      </c>
      <c r="BM122" s="13" t="e">
        <f t="shared" ca="1" si="108"/>
        <v>#N/A</v>
      </c>
      <c r="BN122" s="13" t="e">
        <f t="shared" ca="1" si="108"/>
        <v>#N/A</v>
      </c>
      <c r="BO122" s="13" t="e">
        <f t="shared" ca="1" si="108"/>
        <v>#N/A</v>
      </c>
      <c r="BP122" s="13" t="e">
        <f t="shared" ca="1" si="108"/>
        <v>#N/A</v>
      </c>
      <c r="BQ122" s="13" t="e">
        <f t="shared" ref="BQ122:BV122" ca="1" si="109">BQ59/$D122*100000</f>
        <v>#N/A</v>
      </c>
      <c r="BR122" s="13" t="e">
        <f t="shared" ca="1" si="109"/>
        <v>#N/A</v>
      </c>
      <c r="BS122" s="13" t="e">
        <f t="shared" ca="1" si="109"/>
        <v>#N/A</v>
      </c>
      <c r="BT122" s="13" t="e">
        <f t="shared" ca="1" si="109"/>
        <v>#N/A</v>
      </c>
      <c r="BU122" s="13" t="e">
        <f t="shared" ca="1" si="109"/>
        <v>#N/A</v>
      </c>
      <c r="BV122" s="13" t="e">
        <f t="shared" ca="1" si="109"/>
        <v>#N/A</v>
      </c>
      <c r="BW122" s="13" t="e">
        <f t="shared" ref="BW122:CR122" ca="1" si="110">BW59/$D122*100000</f>
        <v>#N/A</v>
      </c>
      <c r="BX122" s="13" t="e">
        <f t="shared" ca="1" si="110"/>
        <v>#N/A</v>
      </c>
      <c r="BY122" s="13" t="e">
        <f t="shared" ca="1" si="110"/>
        <v>#N/A</v>
      </c>
      <c r="BZ122" s="13" t="e">
        <f t="shared" ca="1" si="110"/>
        <v>#N/A</v>
      </c>
      <c r="CA122" s="13" t="e">
        <f t="shared" ca="1" si="110"/>
        <v>#N/A</v>
      </c>
      <c r="CB122" s="13" t="e">
        <f t="shared" ca="1" si="110"/>
        <v>#N/A</v>
      </c>
      <c r="CC122" s="13" t="e">
        <f t="shared" ca="1" si="110"/>
        <v>#N/A</v>
      </c>
      <c r="CD122" s="13" t="e">
        <f t="shared" ca="1" si="110"/>
        <v>#N/A</v>
      </c>
      <c r="CE122" s="13" t="e">
        <f t="shared" ca="1" si="110"/>
        <v>#N/A</v>
      </c>
      <c r="CF122" s="13" t="e">
        <f t="shared" ca="1" si="110"/>
        <v>#N/A</v>
      </c>
      <c r="CG122" s="13" t="e">
        <f t="shared" ca="1" si="110"/>
        <v>#N/A</v>
      </c>
      <c r="CH122" s="13" t="e">
        <f t="shared" ca="1" si="110"/>
        <v>#N/A</v>
      </c>
      <c r="CI122" s="13" t="e">
        <f t="shared" ca="1" si="110"/>
        <v>#N/A</v>
      </c>
      <c r="CJ122" s="13" t="e">
        <f t="shared" ca="1" si="110"/>
        <v>#N/A</v>
      </c>
      <c r="CK122" s="13" t="e">
        <f t="shared" ca="1" si="110"/>
        <v>#N/A</v>
      </c>
      <c r="CL122" s="13" t="e">
        <f t="shared" ca="1" si="110"/>
        <v>#N/A</v>
      </c>
      <c r="CM122" s="13" t="e">
        <f t="shared" ca="1" si="110"/>
        <v>#N/A</v>
      </c>
      <c r="CN122" s="13" t="e">
        <f t="shared" ca="1" si="110"/>
        <v>#N/A</v>
      </c>
      <c r="CO122" s="13" t="e">
        <f t="shared" ca="1" si="110"/>
        <v>#N/A</v>
      </c>
      <c r="CP122" s="13" t="e">
        <f t="shared" ca="1" si="110"/>
        <v>#N/A</v>
      </c>
      <c r="CQ122" s="13" t="e">
        <f t="shared" ca="1" si="110"/>
        <v>#N/A</v>
      </c>
      <c r="CR122" s="13" t="e">
        <f t="shared" ca="1" si="110"/>
        <v>#N/A</v>
      </c>
    </row>
    <row r="123" spans="1:96" x14ac:dyDescent="0.25">
      <c r="A123" t="str">
        <f t="shared" ca="1" si="64"/>
        <v>and</v>
      </c>
      <c r="B123">
        <f t="shared" si="65"/>
        <v>18</v>
      </c>
      <c r="C123" t="str">
        <f t="shared" ca="1" si="57"/>
        <v>Switzerland</v>
      </c>
      <c r="D123" s="1">
        <f t="shared" ca="1" si="57"/>
        <v>8654622</v>
      </c>
      <c r="E123" s="13">
        <f t="shared" ref="E123:BP123" ca="1" si="111">E60/$D123*100000</f>
        <v>0.48528982548284605</v>
      </c>
      <c r="F123" s="13">
        <f t="shared" ca="1" si="111"/>
        <v>0.64705310064379473</v>
      </c>
      <c r="G123" s="13">
        <f t="shared" ca="1" si="111"/>
        <v>1.0399067688918131</v>
      </c>
      <c r="H123" s="13">
        <f t="shared" ca="1" si="111"/>
        <v>1.3172152405962965</v>
      </c>
      <c r="I123" s="13">
        <f t="shared" ca="1" si="111"/>
        <v>2.4726672060316441</v>
      </c>
      <c r="J123" s="13">
        <f t="shared" ca="1" si="111"/>
        <v>3.0966112673667321</v>
      </c>
      <c r="K123" s="13">
        <f t="shared" ca="1" si="111"/>
        <v>3.8938731235171216</v>
      </c>
      <c r="L123" s="13">
        <f t="shared" ca="1" si="111"/>
        <v>4.3213903507282003</v>
      </c>
      <c r="M123" s="13">
        <f t="shared" ca="1" si="111"/>
        <v>5.6732691502875578</v>
      </c>
      <c r="N123" s="13">
        <f t="shared" ca="1" si="111"/>
        <v>7.5335468146384681</v>
      </c>
      <c r="O123" s="13">
        <f t="shared" ca="1" si="111"/>
        <v>10.347072350473539</v>
      </c>
      <c r="P123" s="13">
        <f t="shared" ca="1" si="111"/>
        <v>13.16059788630861</v>
      </c>
      <c r="Q123" s="13">
        <f t="shared" ca="1" si="111"/>
        <v>15.702592210266376</v>
      </c>
      <c r="R123" s="13">
        <f t="shared" ca="1" si="111"/>
        <v>25.419943239577652</v>
      </c>
      <c r="S123" s="13">
        <f t="shared" ca="1" si="111"/>
        <v>28.308573153166019</v>
      </c>
      <c r="T123" s="13">
        <f t="shared" ca="1" si="111"/>
        <v>31.19720306675439</v>
      </c>
      <c r="U123" s="13">
        <f t="shared" ca="1" si="111"/>
        <v>34.987085513382333</v>
      </c>
      <c r="V123" s="13">
        <f t="shared" ca="1" si="111"/>
        <v>47.084667591490422</v>
      </c>
      <c r="W123" s="13">
        <f t="shared" ca="1" si="111"/>
        <v>61.169627050147312</v>
      </c>
      <c r="X123" s="13">
        <f t="shared" ca="1" si="111"/>
        <v>75.970966727374119</v>
      </c>
      <c r="Y123" s="13">
        <f t="shared" ca="1" si="111"/>
        <v>86.358479896637888</v>
      </c>
      <c r="Z123" s="13">
        <f t="shared" ca="1" si="111"/>
        <v>101.62200036003884</v>
      </c>
      <c r="AA123" s="13">
        <f t="shared" ca="1" si="111"/>
        <v>114.12399062604929</v>
      </c>
      <c r="AB123" s="13">
        <f t="shared" ca="1" si="111"/>
        <v>125.90960067348983</v>
      </c>
      <c r="AC123" s="13">
        <f t="shared" ca="1" si="111"/>
        <v>136.47043163756891</v>
      </c>
      <c r="AD123" s="13">
        <f t="shared" ca="1" si="111"/>
        <v>149.37683009148176</v>
      </c>
      <c r="AE123" s="13">
        <f t="shared" ca="1" si="111"/>
        <v>162.64141865467954</v>
      </c>
      <c r="AF123" s="13">
        <f t="shared" ca="1" si="111"/>
        <v>171.34197195440771</v>
      </c>
      <c r="AG123" s="13">
        <f t="shared" ca="1" si="111"/>
        <v>183.97106193661605</v>
      </c>
      <c r="AH123" s="13">
        <f t="shared" ca="1" si="111"/>
        <v>191.86279886053947</v>
      </c>
      <c r="AI123" s="13">
        <f t="shared" ca="1" si="111"/>
        <v>205.30070521855257</v>
      </c>
      <c r="AJ123" s="13">
        <f t="shared" ca="1" si="111"/>
        <v>217.53694153251291</v>
      </c>
      <c r="AK123" s="13">
        <f t="shared" ca="1" si="111"/>
        <v>226.53791234325431</v>
      </c>
      <c r="AL123" s="13">
        <f t="shared" ca="1" si="111"/>
        <v>236.92542551251805</v>
      </c>
      <c r="AM123" s="13">
        <f t="shared" ca="1" si="111"/>
        <v>243.80036470685837</v>
      </c>
      <c r="AN123" s="13">
        <f t="shared" ca="1" si="111"/>
        <v>250.23623215433324</v>
      </c>
      <c r="AO123" s="13">
        <f t="shared" ca="1" si="111"/>
        <v>257.12272586832796</v>
      </c>
      <c r="AP123" s="13">
        <f t="shared" ca="1" si="111"/>
        <v>268.98921755334896</v>
      </c>
      <c r="AQ123" s="13">
        <f t="shared" ca="1" si="111"/>
        <v>277.8977522068555</v>
      </c>
      <c r="AR123" s="13">
        <f t="shared" ca="1" si="111"/>
        <v>283.67501203403219</v>
      </c>
      <c r="AS123" s="13">
        <f t="shared" ca="1" si="111"/>
        <v>290.09932496185274</v>
      </c>
      <c r="AT123" s="13">
        <f t="shared" ca="1" si="111"/>
        <v>293.6581170153936</v>
      </c>
      <c r="AU123" s="13">
        <f t="shared" ca="1" si="111"/>
        <v>296.81250088103212</v>
      </c>
      <c r="AV123" s="13">
        <f t="shared" ca="1" si="111"/>
        <v>299.67802175531182</v>
      </c>
      <c r="AW123" s="13">
        <f t="shared" ca="1" si="111"/>
        <v>304.29982961705315</v>
      </c>
      <c r="AX123" s="13">
        <f t="shared" ca="1" si="111"/>
        <v>308.87541940017718</v>
      </c>
      <c r="AY123" s="13">
        <f t="shared" ca="1" si="111"/>
        <v>312.87328320058344</v>
      </c>
      <c r="AZ123" s="13" t="e">
        <f t="shared" ca="1" si="111"/>
        <v>#N/A</v>
      </c>
      <c r="BA123" s="13" t="e">
        <f t="shared" ca="1" si="111"/>
        <v>#N/A</v>
      </c>
      <c r="BB123" s="13" t="e">
        <f t="shared" ca="1" si="111"/>
        <v>#N/A</v>
      </c>
      <c r="BC123" s="13" t="e">
        <f t="shared" ca="1" si="111"/>
        <v>#N/A</v>
      </c>
      <c r="BD123" s="13" t="e">
        <f t="shared" ca="1" si="111"/>
        <v>#N/A</v>
      </c>
      <c r="BE123" s="13" t="e">
        <f t="shared" ca="1" si="111"/>
        <v>#N/A</v>
      </c>
      <c r="BF123" s="13" t="e">
        <f t="shared" ca="1" si="111"/>
        <v>#N/A</v>
      </c>
      <c r="BG123" s="13" t="e">
        <f t="shared" ca="1" si="111"/>
        <v>#N/A</v>
      </c>
      <c r="BH123" s="13" t="e">
        <f t="shared" ca="1" si="111"/>
        <v>#N/A</v>
      </c>
      <c r="BI123" s="13" t="e">
        <f t="shared" ca="1" si="111"/>
        <v>#N/A</v>
      </c>
      <c r="BJ123" s="13" t="e">
        <f t="shared" ca="1" si="111"/>
        <v>#N/A</v>
      </c>
      <c r="BK123" s="13" t="e">
        <f t="shared" ca="1" si="111"/>
        <v>#N/A</v>
      </c>
      <c r="BL123" s="13" t="e">
        <f t="shared" ca="1" si="111"/>
        <v>#N/A</v>
      </c>
      <c r="BM123" s="13" t="e">
        <f t="shared" ca="1" si="111"/>
        <v>#N/A</v>
      </c>
      <c r="BN123" s="13" t="e">
        <f t="shared" ca="1" si="111"/>
        <v>#N/A</v>
      </c>
      <c r="BO123" s="13" t="e">
        <f t="shared" ca="1" si="111"/>
        <v>#N/A</v>
      </c>
      <c r="BP123" s="13" t="e">
        <f t="shared" ca="1" si="111"/>
        <v>#N/A</v>
      </c>
      <c r="BQ123" s="13" t="e">
        <f t="shared" ref="BQ123:BV123" ca="1" si="112">BQ60/$D123*100000</f>
        <v>#N/A</v>
      </c>
      <c r="BR123" s="13" t="e">
        <f t="shared" ca="1" si="112"/>
        <v>#N/A</v>
      </c>
      <c r="BS123" s="13" t="e">
        <f t="shared" ca="1" si="112"/>
        <v>#N/A</v>
      </c>
      <c r="BT123" s="13" t="e">
        <f t="shared" ca="1" si="112"/>
        <v>#N/A</v>
      </c>
      <c r="BU123" s="13" t="e">
        <f t="shared" ca="1" si="112"/>
        <v>#N/A</v>
      </c>
      <c r="BV123" s="13" t="e">
        <f t="shared" ca="1" si="112"/>
        <v>#N/A</v>
      </c>
      <c r="BW123" s="13" t="e">
        <f t="shared" ref="BW123:CR123" ca="1" si="113">BW60/$D123*100000</f>
        <v>#N/A</v>
      </c>
      <c r="BX123" s="13" t="e">
        <f t="shared" ca="1" si="113"/>
        <v>#N/A</v>
      </c>
      <c r="BY123" s="13" t="e">
        <f t="shared" ca="1" si="113"/>
        <v>#N/A</v>
      </c>
      <c r="BZ123" s="13" t="e">
        <f t="shared" ca="1" si="113"/>
        <v>#N/A</v>
      </c>
      <c r="CA123" s="13" t="e">
        <f t="shared" ca="1" si="113"/>
        <v>#N/A</v>
      </c>
      <c r="CB123" s="13" t="e">
        <f t="shared" ca="1" si="113"/>
        <v>#N/A</v>
      </c>
      <c r="CC123" s="13" t="e">
        <f t="shared" ca="1" si="113"/>
        <v>#N/A</v>
      </c>
      <c r="CD123" s="13" t="e">
        <f t="shared" ca="1" si="113"/>
        <v>#N/A</v>
      </c>
      <c r="CE123" s="13" t="e">
        <f t="shared" ca="1" si="113"/>
        <v>#N/A</v>
      </c>
      <c r="CF123" s="13" t="e">
        <f t="shared" ca="1" si="113"/>
        <v>#N/A</v>
      </c>
      <c r="CG123" s="13" t="e">
        <f t="shared" ca="1" si="113"/>
        <v>#N/A</v>
      </c>
      <c r="CH123" s="13" t="e">
        <f t="shared" ca="1" si="113"/>
        <v>#N/A</v>
      </c>
      <c r="CI123" s="13" t="e">
        <f t="shared" ca="1" si="113"/>
        <v>#N/A</v>
      </c>
      <c r="CJ123" s="13" t="e">
        <f t="shared" ca="1" si="113"/>
        <v>#N/A</v>
      </c>
      <c r="CK123" s="13" t="e">
        <f t="shared" ca="1" si="113"/>
        <v>#N/A</v>
      </c>
      <c r="CL123" s="13" t="e">
        <f t="shared" ca="1" si="113"/>
        <v>#N/A</v>
      </c>
      <c r="CM123" s="13" t="e">
        <f t="shared" ca="1" si="113"/>
        <v>#N/A</v>
      </c>
      <c r="CN123" s="13" t="e">
        <f t="shared" ca="1" si="113"/>
        <v>#N/A</v>
      </c>
      <c r="CO123" s="13" t="e">
        <f t="shared" ca="1" si="113"/>
        <v>#N/A</v>
      </c>
      <c r="CP123" s="13" t="e">
        <f t="shared" ca="1" si="113"/>
        <v>#N/A</v>
      </c>
      <c r="CQ123" s="13" t="e">
        <f t="shared" ca="1" si="113"/>
        <v>#N/A</v>
      </c>
      <c r="CR123" s="13" t="e">
        <f t="shared" ca="1" si="113"/>
        <v>#N/A</v>
      </c>
    </row>
    <row r="124" spans="1:96" x14ac:dyDescent="0.25">
      <c r="A124" t="e">
        <f t="shared" ca="1" si="64"/>
        <v>#VALUE!</v>
      </c>
      <c r="B124">
        <f t="shared" si="65"/>
        <v>19</v>
      </c>
      <c r="C124" t="str">
        <f t="shared" ca="1" si="57"/>
        <v>US</v>
      </c>
      <c r="D124" s="1">
        <f t="shared" ca="1" si="57"/>
        <v>331002651</v>
      </c>
      <c r="E124" s="13">
        <f t="shared" ref="E124:BP124" ca="1" si="114">E61/$D124*100000</f>
        <v>1.1782382975536954E-2</v>
      </c>
      <c r="F124" s="13">
        <f t="shared" ca="1" si="114"/>
        <v>1.5407731583394479E-2</v>
      </c>
      <c r="G124" s="13">
        <f t="shared" ca="1" si="114"/>
        <v>1.6314068735358862E-2</v>
      </c>
      <c r="H124" s="13">
        <f t="shared" ca="1" si="114"/>
        <v>1.722040588732324E-2</v>
      </c>
      <c r="I124" s="13">
        <f t="shared" ca="1" si="114"/>
        <v>1.752251827131137E-2</v>
      </c>
      <c r="J124" s="13">
        <f t="shared" ca="1" si="114"/>
        <v>1.8126743039287622E-2</v>
      </c>
      <c r="K124" s="13">
        <f t="shared" ca="1" si="114"/>
        <v>2.0543642111192639E-2</v>
      </c>
      <c r="L124" s="13">
        <f t="shared" ca="1" si="114"/>
        <v>2.23563164151214E-2</v>
      </c>
      <c r="M124" s="13">
        <f t="shared" ca="1" si="114"/>
        <v>2.9607013630836451E-2</v>
      </c>
      <c r="N124" s="13">
        <f t="shared" ca="1" si="114"/>
        <v>3.5649261310598993E-2</v>
      </c>
      <c r="O124" s="13">
        <f t="shared" ca="1" si="114"/>
        <v>4.5014745214230927E-2</v>
      </c>
      <c r="P124" s="13">
        <f t="shared" ca="1" si="114"/>
        <v>6.5558387325423559E-2</v>
      </c>
      <c r="Q124" s="13">
        <f t="shared" ca="1" si="114"/>
        <v>7.9153444604889281E-2</v>
      </c>
      <c r="R124" s="13">
        <f t="shared" ca="1" si="114"/>
        <v>0.12144917836322706</v>
      </c>
      <c r="S124" s="13">
        <f t="shared" ca="1" si="114"/>
        <v>0.1564942149058498</v>
      </c>
      <c r="T124" s="13">
        <f t="shared" ca="1" si="114"/>
        <v>0.17613151986507805</v>
      </c>
      <c r="U124" s="13">
        <f t="shared" ca="1" si="114"/>
        <v>0.28972577624461382</v>
      </c>
      <c r="V124" s="13">
        <f t="shared" ca="1" si="114"/>
        <v>0.38700596388879072</v>
      </c>
      <c r="W124" s="13">
        <f t="shared" ca="1" si="114"/>
        <v>0.50241289457225524</v>
      </c>
      <c r="X124" s="13">
        <f t="shared" ca="1" si="114"/>
        <v>0.65830288471012877</v>
      </c>
      <c r="Y124" s="13">
        <f t="shared" ca="1" si="114"/>
        <v>0.82386047113562244</v>
      </c>
      <c r="Z124" s="13">
        <f t="shared" ca="1" si="114"/>
        <v>1.0570912315744565</v>
      </c>
      <c r="AA124" s="13">
        <f t="shared" ca="1" si="114"/>
        <v>1.3993845626330044</v>
      </c>
      <c r="AB124" s="13">
        <f t="shared" ca="1" si="114"/>
        <v>1.9398636175877635</v>
      </c>
      <c r="AC124" s="13">
        <f t="shared" ca="1" si="114"/>
        <v>2.3513406845795926</v>
      </c>
      <c r="AD124" s="13">
        <f t="shared" ca="1" si="114"/>
        <v>4.153138942684782</v>
      </c>
      <c r="AE124" s="13">
        <f t="shared" ca="1" si="114"/>
        <v>5.8226119766031719</v>
      </c>
      <c r="AF124" s="13">
        <f t="shared" ca="1" si="114"/>
        <v>7.7340770300960529</v>
      </c>
      <c r="AG124" s="13">
        <f t="shared" ca="1" si="114"/>
        <v>10.053091689588916</v>
      </c>
      <c r="AH124" s="13">
        <f t="shared" ca="1" si="114"/>
        <v>13.245513251191454</v>
      </c>
      <c r="AI124" s="13">
        <f t="shared" ca="1" si="114"/>
        <v>16.234311065985995</v>
      </c>
      <c r="AJ124" s="13">
        <f t="shared" ca="1" si="114"/>
        <v>19.87234839397102</v>
      </c>
      <c r="AK124" s="13">
        <f t="shared" ca="1" si="114"/>
        <v>25.327893824028621</v>
      </c>
      <c r="AL124" s="13">
        <f t="shared" ca="1" si="114"/>
        <v>30.711838619081028</v>
      </c>
      <c r="AM124" s="13">
        <f t="shared" ca="1" si="114"/>
        <v>36.696080721117852</v>
      </c>
      <c r="AN124" s="13">
        <f t="shared" ca="1" si="114"/>
        <v>42.570353915382988</v>
      </c>
      <c r="AO124" s="13">
        <f t="shared" ca="1" si="114"/>
        <v>48.89114921318258</v>
      </c>
      <c r="AP124" s="13">
        <f t="shared" ca="1" si="114"/>
        <v>56.849091519813832</v>
      </c>
      <c r="AQ124" s="13">
        <f t="shared" ca="1" si="114"/>
        <v>64.462323596314633</v>
      </c>
      <c r="AR124" s="13">
        <f t="shared" ca="1" si="114"/>
        <v>73.643518945713822</v>
      </c>
      <c r="AS124" s="13">
        <f t="shared" ca="1" si="114"/>
        <v>83.257943453751977</v>
      </c>
      <c r="AT124" s="13">
        <f t="shared" ca="1" si="114"/>
        <v>93.308316131885007</v>
      </c>
      <c r="AU124" s="13">
        <f t="shared" ca="1" si="114"/>
        <v>101.83362549564595</v>
      </c>
      <c r="AV124" s="13">
        <f t="shared" ca="1" si="114"/>
        <v>110.77464149977457</v>
      </c>
      <c r="AW124" s="13">
        <f t="shared" ca="1" si="114"/>
        <v>119.70387512092765</v>
      </c>
      <c r="AX124" s="13">
        <f t="shared" ca="1" si="114"/>
        <v>129.62192257487388</v>
      </c>
      <c r="AY124" s="13">
        <f t="shared" ca="1" si="114"/>
        <v>139.40583213032937</v>
      </c>
      <c r="AZ124" s="13">
        <f t="shared" ca="1" si="114"/>
        <v>150.00937258354466</v>
      </c>
      <c r="BA124" s="13">
        <f t="shared" ca="1" si="114"/>
        <v>159.0307504818141</v>
      </c>
      <c r="BB124" s="13">
        <f t="shared" ca="1" si="114"/>
        <v>167.76693428959877</v>
      </c>
      <c r="BC124" s="13">
        <f t="shared" ca="1" si="114"/>
        <v>175.41219027880234</v>
      </c>
      <c r="BD124" s="13">
        <f t="shared" ca="1" si="114"/>
        <v>183.58463237806515</v>
      </c>
      <c r="BE124" s="13">
        <f t="shared" ca="1" si="114"/>
        <v>192.24921555084464</v>
      </c>
      <c r="BF124" s="13">
        <f t="shared" ca="1" si="114"/>
        <v>201.7509521396552</v>
      </c>
      <c r="BG124" s="13">
        <f t="shared" ca="1" si="114"/>
        <v>211.38984775079641</v>
      </c>
      <c r="BH124" s="13" t="e">
        <f t="shared" ca="1" si="114"/>
        <v>#N/A</v>
      </c>
      <c r="BI124" s="13" t="e">
        <f t="shared" ca="1" si="114"/>
        <v>#N/A</v>
      </c>
      <c r="BJ124" s="13" t="e">
        <f t="shared" ca="1" si="114"/>
        <v>#N/A</v>
      </c>
      <c r="BK124" s="13" t="e">
        <f t="shared" ca="1" si="114"/>
        <v>#N/A</v>
      </c>
      <c r="BL124" s="13" t="e">
        <f t="shared" ca="1" si="114"/>
        <v>#N/A</v>
      </c>
      <c r="BM124" s="13" t="e">
        <f t="shared" ca="1" si="114"/>
        <v>#N/A</v>
      </c>
      <c r="BN124" s="13" t="e">
        <f t="shared" ca="1" si="114"/>
        <v>#N/A</v>
      </c>
      <c r="BO124" s="13" t="e">
        <f t="shared" ca="1" si="114"/>
        <v>#N/A</v>
      </c>
      <c r="BP124" s="13" t="e">
        <f t="shared" ca="1" si="114"/>
        <v>#N/A</v>
      </c>
      <c r="BQ124" s="13" t="e">
        <f t="shared" ref="BQ124:BV124" ca="1" si="115">BQ61/$D124*100000</f>
        <v>#N/A</v>
      </c>
      <c r="BR124" s="13" t="e">
        <f t="shared" ca="1" si="115"/>
        <v>#N/A</v>
      </c>
      <c r="BS124" s="13" t="e">
        <f t="shared" ca="1" si="115"/>
        <v>#N/A</v>
      </c>
      <c r="BT124" s="13" t="e">
        <f t="shared" ca="1" si="115"/>
        <v>#N/A</v>
      </c>
      <c r="BU124" s="13" t="e">
        <f t="shared" ca="1" si="115"/>
        <v>#N/A</v>
      </c>
      <c r="BV124" s="13" t="e">
        <f t="shared" ca="1" si="115"/>
        <v>#N/A</v>
      </c>
      <c r="BW124" s="13" t="e">
        <f t="shared" ref="BW124:CR124" ca="1" si="116">BW61/$D124*100000</f>
        <v>#N/A</v>
      </c>
      <c r="BX124" s="13" t="e">
        <f t="shared" ca="1" si="116"/>
        <v>#N/A</v>
      </c>
      <c r="BY124" s="13" t="e">
        <f t="shared" ca="1" si="116"/>
        <v>#N/A</v>
      </c>
      <c r="BZ124" s="13" t="e">
        <f t="shared" ca="1" si="116"/>
        <v>#N/A</v>
      </c>
      <c r="CA124" s="13" t="e">
        <f t="shared" ca="1" si="116"/>
        <v>#N/A</v>
      </c>
      <c r="CB124" s="13" t="e">
        <f t="shared" ca="1" si="116"/>
        <v>#N/A</v>
      </c>
      <c r="CC124" s="13" t="e">
        <f t="shared" ca="1" si="116"/>
        <v>#N/A</v>
      </c>
      <c r="CD124" s="13" t="e">
        <f t="shared" ca="1" si="116"/>
        <v>#N/A</v>
      </c>
      <c r="CE124" s="13" t="e">
        <f t="shared" ca="1" si="116"/>
        <v>#N/A</v>
      </c>
      <c r="CF124" s="13" t="e">
        <f t="shared" ca="1" si="116"/>
        <v>#N/A</v>
      </c>
      <c r="CG124" s="13" t="e">
        <f t="shared" ca="1" si="116"/>
        <v>#N/A</v>
      </c>
      <c r="CH124" s="13" t="e">
        <f t="shared" ca="1" si="116"/>
        <v>#N/A</v>
      </c>
      <c r="CI124" s="13" t="e">
        <f t="shared" ca="1" si="116"/>
        <v>#N/A</v>
      </c>
      <c r="CJ124" s="13" t="e">
        <f t="shared" ca="1" si="116"/>
        <v>#N/A</v>
      </c>
      <c r="CK124" s="13" t="e">
        <f t="shared" ca="1" si="116"/>
        <v>#N/A</v>
      </c>
      <c r="CL124" s="13" t="e">
        <f t="shared" ca="1" si="116"/>
        <v>#N/A</v>
      </c>
      <c r="CM124" s="13" t="e">
        <f t="shared" ca="1" si="116"/>
        <v>#N/A</v>
      </c>
      <c r="CN124" s="13" t="e">
        <f t="shared" ca="1" si="116"/>
        <v>#N/A</v>
      </c>
      <c r="CO124" s="13" t="e">
        <f t="shared" ca="1" si="116"/>
        <v>#N/A</v>
      </c>
      <c r="CP124" s="13" t="e">
        <f t="shared" ca="1" si="116"/>
        <v>#N/A</v>
      </c>
      <c r="CQ124" s="13" t="e">
        <f t="shared" ca="1" si="116"/>
        <v>#N/A</v>
      </c>
      <c r="CR124" s="13" t="e">
        <f t="shared" ca="1" si="116"/>
        <v>#N/A</v>
      </c>
    </row>
    <row r="125" spans="1:96" x14ac:dyDescent="0.25">
      <c r="A125" t="str">
        <f t="shared" ca="1" si="64"/>
        <v>ingdom</v>
      </c>
      <c r="B125">
        <f t="shared" si="65"/>
        <v>20</v>
      </c>
      <c r="C125" t="str">
        <f t="shared" ca="1" si="57"/>
        <v>United Kingdom</v>
      </c>
      <c r="D125" s="1">
        <f t="shared" ca="1" si="57"/>
        <v>67886011</v>
      </c>
      <c r="E125" s="13">
        <f t="shared" ref="E125:BP125" ca="1" si="117">E62/$D125*100000</f>
        <v>5.3030071246931855E-2</v>
      </c>
      <c r="F125" s="13">
        <f t="shared" ca="1" si="117"/>
        <v>5.8922301385479853E-2</v>
      </c>
      <c r="G125" s="13">
        <f t="shared" ca="1" si="117"/>
        <v>7.512593426648681E-2</v>
      </c>
      <c r="H125" s="13">
        <f t="shared" ca="1" si="117"/>
        <v>0.12520989044414468</v>
      </c>
      <c r="I125" s="13">
        <f t="shared" ca="1" si="117"/>
        <v>0.16940161648325455</v>
      </c>
      <c r="J125" s="13">
        <f t="shared" ca="1" si="117"/>
        <v>0.24010837814583039</v>
      </c>
      <c r="K125" s="13">
        <f t="shared" ca="1" si="117"/>
        <v>0.30344985213522119</v>
      </c>
      <c r="L125" s="13">
        <f t="shared" ca="1" si="117"/>
        <v>0.40214470695589993</v>
      </c>
      <c r="M125" s="13">
        <f t="shared" ca="1" si="117"/>
        <v>0.47285146861847571</v>
      </c>
      <c r="N125" s="13">
        <f t="shared" ca="1" si="117"/>
        <v>0.56270797823133256</v>
      </c>
      <c r="O125" s="13">
        <f t="shared" ca="1" si="117"/>
        <v>0.6717142357944702</v>
      </c>
      <c r="P125" s="13">
        <f t="shared" ca="1" si="117"/>
        <v>0.92360707421739652</v>
      </c>
      <c r="Q125" s="13">
        <f t="shared" ca="1" si="117"/>
        <v>1.1754999126403229</v>
      </c>
      <c r="R125" s="13">
        <f t="shared" ca="1" si="117"/>
        <v>1.6792855894861758</v>
      </c>
      <c r="S125" s="13">
        <f t="shared" ca="1" si="117"/>
        <v>1.9761066827155302</v>
      </c>
      <c r="T125" s="13">
        <f t="shared" ca="1" si="117"/>
        <v>2.2729277759448849</v>
      </c>
      <c r="U125" s="13">
        <f t="shared" ca="1" si="117"/>
        <v>2.8724621925421423</v>
      </c>
      <c r="V125" s="13">
        <f t="shared" ca="1" si="117"/>
        <v>3.8682490859567515</v>
      </c>
      <c r="W125" s="13">
        <f t="shared" ca="1" si="117"/>
        <v>3.9610517106388823</v>
      </c>
      <c r="X125" s="13">
        <f t="shared" ca="1" si="117"/>
        <v>5.8671881604591558</v>
      </c>
      <c r="Y125" s="13">
        <f t="shared" ca="1" si="117"/>
        <v>7.3918027088084468</v>
      </c>
      <c r="Z125" s="13">
        <f t="shared" ca="1" si="117"/>
        <v>8.3713859693420485</v>
      </c>
      <c r="AA125" s="13">
        <f t="shared" ca="1" si="117"/>
        <v>9.7958326053360238</v>
      </c>
      <c r="AB125" s="13">
        <f t="shared" ca="1" si="117"/>
        <v>11.897885707263018</v>
      </c>
      <c r="AC125" s="13">
        <f t="shared" ca="1" si="117"/>
        <v>14.036765247555936</v>
      </c>
      <c r="AD125" s="13">
        <f t="shared" ca="1" si="117"/>
        <v>17.172904738798103</v>
      </c>
      <c r="AE125" s="13">
        <f t="shared" ca="1" si="117"/>
        <v>21.422675726225837</v>
      </c>
      <c r="AF125" s="13">
        <f t="shared" ca="1" si="117"/>
        <v>25.173080209411626</v>
      </c>
      <c r="AG125" s="13">
        <f t="shared" ca="1" si="117"/>
        <v>28.757029191183438</v>
      </c>
      <c r="AH125" s="13">
        <f t="shared" ca="1" si="117"/>
        <v>32.61496687439773</v>
      </c>
      <c r="AI125" s="13">
        <f t="shared" ca="1" si="117"/>
        <v>37.047396996120455</v>
      </c>
      <c r="AJ125" s="13">
        <f t="shared" ca="1" si="117"/>
        <v>43.416897775890824</v>
      </c>
      <c r="AK125" s="13">
        <f t="shared" ca="1" si="117"/>
        <v>49.668553952890228</v>
      </c>
      <c r="AL125" s="13">
        <f t="shared" ca="1" si="117"/>
        <v>56.22365998202487</v>
      </c>
      <c r="AM125" s="13">
        <f t="shared" ca="1" si="117"/>
        <v>61.725529873894054</v>
      </c>
      <c r="AN125" s="13">
        <f t="shared" ca="1" si="117"/>
        <v>70.42098850085624</v>
      </c>
      <c r="AO125" s="13">
        <f t="shared" ca="1" si="117"/>
        <v>76.021553247546095</v>
      </c>
      <c r="AP125" s="13">
        <f t="shared" ca="1" si="117"/>
        <v>81.374644328416949</v>
      </c>
      <c r="AQ125" s="13">
        <f t="shared" ca="1" si="117"/>
        <v>89.463203251108681</v>
      </c>
      <c r="AR125" s="13">
        <f t="shared" ca="1" si="117"/>
        <v>95.862165181571797</v>
      </c>
      <c r="AS125" s="13">
        <f t="shared" ca="1" si="117"/>
        <v>108.64977763975557</v>
      </c>
      <c r="AT125" s="13">
        <f t="shared" ca="1" si="117"/>
        <v>116.35828771851095</v>
      </c>
      <c r="AU125" s="13">
        <f t="shared" ca="1" si="117"/>
        <v>124.1478159616714</v>
      </c>
      <c r="AV125" s="13">
        <f t="shared" ca="1" si="117"/>
        <v>130.54383177706524</v>
      </c>
      <c r="AW125" s="13">
        <f t="shared" ca="1" si="117"/>
        <v>138.28032994897873</v>
      </c>
      <c r="AX125" s="13">
        <f t="shared" ca="1" si="117"/>
        <v>145.06081378091284</v>
      </c>
      <c r="AY125" s="13">
        <f t="shared" ca="1" si="117"/>
        <v>151.86192041833183</v>
      </c>
      <c r="AZ125" s="13">
        <f t="shared" ca="1" si="117"/>
        <v>160.10956955476439</v>
      </c>
      <c r="BA125" s="13" t="e">
        <f t="shared" ca="1" si="117"/>
        <v>#N/A</v>
      </c>
      <c r="BB125" s="13" t="e">
        <f t="shared" ca="1" si="117"/>
        <v>#N/A</v>
      </c>
      <c r="BC125" s="13" t="e">
        <f t="shared" ca="1" si="117"/>
        <v>#N/A</v>
      </c>
      <c r="BD125" s="13" t="e">
        <f t="shared" ca="1" si="117"/>
        <v>#N/A</v>
      </c>
      <c r="BE125" s="13" t="e">
        <f t="shared" ca="1" si="117"/>
        <v>#N/A</v>
      </c>
      <c r="BF125" s="13" t="e">
        <f t="shared" ca="1" si="117"/>
        <v>#N/A</v>
      </c>
      <c r="BG125" s="13" t="e">
        <f t="shared" ca="1" si="117"/>
        <v>#N/A</v>
      </c>
      <c r="BH125" s="13" t="e">
        <f t="shared" ca="1" si="117"/>
        <v>#N/A</v>
      </c>
      <c r="BI125" s="13" t="e">
        <f t="shared" ca="1" si="117"/>
        <v>#N/A</v>
      </c>
      <c r="BJ125" s="13" t="e">
        <f t="shared" ca="1" si="117"/>
        <v>#N/A</v>
      </c>
      <c r="BK125" s="13" t="e">
        <f t="shared" ca="1" si="117"/>
        <v>#N/A</v>
      </c>
      <c r="BL125" s="13" t="e">
        <f t="shared" ca="1" si="117"/>
        <v>#N/A</v>
      </c>
      <c r="BM125" s="13" t="e">
        <f t="shared" ca="1" si="117"/>
        <v>#N/A</v>
      </c>
      <c r="BN125" s="13" t="e">
        <f t="shared" ca="1" si="117"/>
        <v>#N/A</v>
      </c>
      <c r="BO125" s="13" t="e">
        <f t="shared" ca="1" si="117"/>
        <v>#N/A</v>
      </c>
      <c r="BP125" s="13" t="e">
        <f t="shared" ca="1" si="117"/>
        <v>#N/A</v>
      </c>
      <c r="BQ125" s="13" t="e">
        <f t="shared" ref="BQ125:BV125" ca="1" si="118">BQ62/$D125*100000</f>
        <v>#N/A</v>
      </c>
      <c r="BR125" s="13" t="e">
        <f t="shared" ca="1" si="118"/>
        <v>#N/A</v>
      </c>
      <c r="BS125" s="13" t="e">
        <f t="shared" ca="1" si="118"/>
        <v>#N/A</v>
      </c>
      <c r="BT125" s="13" t="e">
        <f t="shared" ca="1" si="118"/>
        <v>#N/A</v>
      </c>
      <c r="BU125" s="13" t="e">
        <f t="shared" ca="1" si="118"/>
        <v>#N/A</v>
      </c>
      <c r="BV125" s="13" t="e">
        <f t="shared" ca="1" si="118"/>
        <v>#N/A</v>
      </c>
      <c r="BW125" s="13" t="e">
        <f t="shared" ref="BW125:CR125" ca="1" si="119">BW62/$D125*100000</f>
        <v>#N/A</v>
      </c>
      <c r="BX125" s="13" t="e">
        <f t="shared" ca="1" si="119"/>
        <v>#N/A</v>
      </c>
      <c r="BY125" s="13" t="e">
        <f t="shared" ca="1" si="119"/>
        <v>#N/A</v>
      </c>
      <c r="BZ125" s="13" t="e">
        <f t="shared" ca="1" si="119"/>
        <v>#N/A</v>
      </c>
      <c r="CA125" s="13" t="e">
        <f t="shared" ca="1" si="119"/>
        <v>#N/A</v>
      </c>
      <c r="CB125" s="13" t="e">
        <f t="shared" ca="1" si="119"/>
        <v>#N/A</v>
      </c>
      <c r="CC125" s="13" t="e">
        <f t="shared" ca="1" si="119"/>
        <v>#N/A</v>
      </c>
      <c r="CD125" s="13" t="e">
        <f t="shared" ca="1" si="119"/>
        <v>#N/A</v>
      </c>
      <c r="CE125" s="13" t="e">
        <f t="shared" ca="1" si="119"/>
        <v>#N/A</v>
      </c>
      <c r="CF125" s="13" t="e">
        <f t="shared" ca="1" si="119"/>
        <v>#N/A</v>
      </c>
      <c r="CG125" s="13" t="e">
        <f t="shared" ca="1" si="119"/>
        <v>#N/A</v>
      </c>
      <c r="CH125" s="13" t="e">
        <f t="shared" ca="1" si="119"/>
        <v>#N/A</v>
      </c>
      <c r="CI125" s="13" t="e">
        <f t="shared" ca="1" si="119"/>
        <v>#N/A</v>
      </c>
      <c r="CJ125" s="13" t="e">
        <f t="shared" ca="1" si="119"/>
        <v>#N/A</v>
      </c>
      <c r="CK125" s="13" t="e">
        <f t="shared" ca="1" si="119"/>
        <v>#N/A</v>
      </c>
      <c r="CL125" s="13" t="e">
        <f t="shared" ca="1" si="119"/>
        <v>#N/A</v>
      </c>
      <c r="CM125" s="13" t="e">
        <f t="shared" ca="1" si="119"/>
        <v>#N/A</v>
      </c>
      <c r="CN125" s="13" t="e">
        <f t="shared" ca="1" si="119"/>
        <v>#N/A</v>
      </c>
      <c r="CO125" s="13" t="e">
        <f t="shared" ca="1" si="119"/>
        <v>#N/A</v>
      </c>
      <c r="CP125" s="13" t="e">
        <f t="shared" ca="1" si="119"/>
        <v>#N/A</v>
      </c>
      <c r="CQ125" s="13" t="e">
        <f t="shared" ca="1" si="119"/>
        <v>#N/A</v>
      </c>
      <c r="CR125" s="13" t="e">
        <f t="shared" ca="1" si="119"/>
        <v>#N/A</v>
      </c>
    </row>
    <row r="126" spans="1:96" x14ac:dyDescent="0.25">
      <c r="A126" t="e">
        <f t="shared" ca="1" si="64"/>
        <v>#VALUE!</v>
      </c>
      <c r="B126">
        <f t="shared" si="65"/>
        <v>21</v>
      </c>
      <c r="C126">
        <f t="shared" ref="C126:D145" ca="1" si="120">C63</f>
        <v>0</v>
      </c>
      <c r="D126" s="1" t="e">
        <f t="shared" ca="1" si="120"/>
        <v>#N/A</v>
      </c>
      <c r="E126" s="13" t="e">
        <f t="shared" ref="E126:BP126" ca="1" si="121">E63/$D126*100000</f>
        <v>#N/A</v>
      </c>
      <c r="F126" s="13" t="e">
        <f t="shared" ca="1" si="121"/>
        <v>#N/A</v>
      </c>
      <c r="G126" s="13" t="e">
        <f t="shared" ca="1" si="121"/>
        <v>#N/A</v>
      </c>
      <c r="H126" s="13" t="e">
        <f t="shared" ca="1" si="121"/>
        <v>#N/A</v>
      </c>
      <c r="I126" s="13" t="e">
        <f t="shared" ca="1" si="121"/>
        <v>#N/A</v>
      </c>
      <c r="J126" s="13" t="e">
        <f t="shared" ca="1" si="121"/>
        <v>#N/A</v>
      </c>
      <c r="K126" s="13" t="e">
        <f t="shared" ca="1" si="121"/>
        <v>#N/A</v>
      </c>
      <c r="L126" s="13" t="e">
        <f t="shared" ca="1" si="121"/>
        <v>#N/A</v>
      </c>
      <c r="M126" s="13" t="e">
        <f t="shared" ca="1" si="121"/>
        <v>#N/A</v>
      </c>
      <c r="N126" s="13" t="e">
        <f t="shared" ca="1" si="121"/>
        <v>#N/A</v>
      </c>
      <c r="O126" s="13" t="e">
        <f t="shared" ca="1" si="121"/>
        <v>#N/A</v>
      </c>
      <c r="P126" s="13" t="e">
        <f t="shared" ca="1" si="121"/>
        <v>#N/A</v>
      </c>
      <c r="Q126" s="13" t="e">
        <f t="shared" ca="1" si="121"/>
        <v>#N/A</v>
      </c>
      <c r="R126" s="13" t="e">
        <f t="shared" ca="1" si="121"/>
        <v>#N/A</v>
      </c>
      <c r="S126" s="13" t="e">
        <f t="shared" ca="1" si="121"/>
        <v>#N/A</v>
      </c>
      <c r="T126" s="13" t="e">
        <f t="shared" ca="1" si="121"/>
        <v>#N/A</v>
      </c>
      <c r="U126" s="13" t="e">
        <f t="shared" ca="1" si="121"/>
        <v>#N/A</v>
      </c>
      <c r="V126" s="13" t="e">
        <f t="shared" ca="1" si="121"/>
        <v>#N/A</v>
      </c>
      <c r="W126" s="13" t="e">
        <f t="shared" ca="1" si="121"/>
        <v>#N/A</v>
      </c>
      <c r="X126" s="13" t="e">
        <f t="shared" ca="1" si="121"/>
        <v>#N/A</v>
      </c>
      <c r="Y126" s="13" t="e">
        <f t="shared" ca="1" si="121"/>
        <v>#N/A</v>
      </c>
      <c r="Z126" s="13" t="e">
        <f t="shared" ca="1" si="121"/>
        <v>#N/A</v>
      </c>
      <c r="AA126" s="13" t="e">
        <f t="shared" ca="1" si="121"/>
        <v>#N/A</v>
      </c>
      <c r="AB126" s="13" t="e">
        <f t="shared" ca="1" si="121"/>
        <v>#N/A</v>
      </c>
      <c r="AC126" s="13" t="e">
        <f t="shared" ca="1" si="121"/>
        <v>#N/A</v>
      </c>
      <c r="AD126" s="13" t="e">
        <f t="shared" ca="1" si="121"/>
        <v>#N/A</v>
      </c>
      <c r="AE126" s="13" t="e">
        <f t="shared" ca="1" si="121"/>
        <v>#N/A</v>
      </c>
      <c r="AF126" s="13" t="e">
        <f t="shared" ca="1" si="121"/>
        <v>#N/A</v>
      </c>
      <c r="AG126" s="13" t="e">
        <f t="shared" ca="1" si="121"/>
        <v>#N/A</v>
      </c>
      <c r="AH126" s="13" t="e">
        <f t="shared" ca="1" si="121"/>
        <v>#N/A</v>
      </c>
      <c r="AI126" s="13" t="e">
        <f t="shared" ca="1" si="121"/>
        <v>#N/A</v>
      </c>
      <c r="AJ126" s="13" t="e">
        <f t="shared" ca="1" si="121"/>
        <v>#N/A</v>
      </c>
      <c r="AK126" s="13" t="e">
        <f t="shared" ca="1" si="121"/>
        <v>#N/A</v>
      </c>
      <c r="AL126" s="13" t="e">
        <f t="shared" ca="1" si="121"/>
        <v>#N/A</v>
      </c>
      <c r="AM126" s="13" t="e">
        <f t="shared" ca="1" si="121"/>
        <v>#N/A</v>
      </c>
      <c r="AN126" s="13" t="e">
        <f t="shared" ca="1" si="121"/>
        <v>#N/A</v>
      </c>
      <c r="AO126" s="13" t="e">
        <f t="shared" ca="1" si="121"/>
        <v>#N/A</v>
      </c>
      <c r="AP126" s="13" t="e">
        <f t="shared" ca="1" si="121"/>
        <v>#N/A</v>
      </c>
      <c r="AQ126" s="13" t="e">
        <f t="shared" ca="1" si="121"/>
        <v>#N/A</v>
      </c>
      <c r="AR126" s="13" t="e">
        <f t="shared" ca="1" si="121"/>
        <v>#N/A</v>
      </c>
      <c r="AS126" s="13" t="e">
        <f t="shared" ca="1" si="121"/>
        <v>#N/A</v>
      </c>
      <c r="AT126" s="13" t="e">
        <f t="shared" ca="1" si="121"/>
        <v>#N/A</v>
      </c>
      <c r="AU126" s="13" t="e">
        <f t="shared" ca="1" si="121"/>
        <v>#N/A</v>
      </c>
      <c r="AV126" s="13" t="e">
        <f t="shared" ca="1" si="121"/>
        <v>#N/A</v>
      </c>
      <c r="AW126" s="13" t="e">
        <f t="shared" ca="1" si="121"/>
        <v>#N/A</v>
      </c>
      <c r="AX126" s="13" t="e">
        <f t="shared" ca="1" si="121"/>
        <v>#N/A</v>
      </c>
      <c r="AY126" s="13" t="e">
        <f t="shared" ca="1" si="121"/>
        <v>#N/A</v>
      </c>
      <c r="AZ126" s="13" t="e">
        <f t="shared" ca="1" si="121"/>
        <v>#N/A</v>
      </c>
      <c r="BA126" s="13" t="e">
        <f t="shared" ca="1" si="121"/>
        <v>#N/A</v>
      </c>
      <c r="BB126" s="13" t="e">
        <f t="shared" ca="1" si="121"/>
        <v>#N/A</v>
      </c>
      <c r="BC126" s="13" t="e">
        <f t="shared" ca="1" si="121"/>
        <v>#N/A</v>
      </c>
      <c r="BD126" s="13" t="e">
        <f t="shared" ca="1" si="121"/>
        <v>#N/A</v>
      </c>
      <c r="BE126" s="13" t="e">
        <f t="shared" ca="1" si="121"/>
        <v>#N/A</v>
      </c>
      <c r="BF126" s="13" t="e">
        <f t="shared" ca="1" si="121"/>
        <v>#N/A</v>
      </c>
      <c r="BG126" s="13" t="e">
        <f t="shared" ca="1" si="121"/>
        <v>#N/A</v>
      </c>
      <c r="BH126" s="13" t="e">
        <f t="shared" ca="1" si="121"/>
        <v>#N/A</v>
      </c>
      <c r="BI126" s="13" t="e">
        <f t="shared" ca="1" si="121"/>
        <v>#N/A</v>
      </c>
      <c r="BJ126" s="13" t="e">
        <f t="shared" ca="1" si="121"/>
        <v>#N/A</v>
      </c>
      <c r="BK126" s="13" t="e">
        <f t="shared" ca="1" si="121"/>
        <v>#N/A</v>
      </c>
      <c r="BL126" s="13" t="e">
        <f t="shared" ca="1" si="121"/>
        <v>#N/A</v>
      </c>
      <c r="BM126" s="13" t="e">
        <f t="shared" ca="1" si="121"/>
        <v>#N/A</v>
      </c>
      <c r="BN126" s="13" t="e">
        <f t="shared" ca="1" si="121"/>
        <v>#N/A</v>
      </c>
      <c r="BO126" s="13" t="e">
        <f t="shared" ca="1" si="121"/>
        <v>#N/A</v>
      </c>
      <c r="BP126" s="13" t="e">
        <f t="shared" ca="1" si="121"/>
        <v>#N/A</v>
      </c>
      <c r="BQ126" s="13" t="e">
        <f t="shared" ref="BQ126:BV126" ca="1" si="122">BQ63/$D126*100000</f>
        <v>#N/A</v>
      </c>
      <c r="BR126" s="13" t="e">
        <f t="shared" ca="1" si="122"/>
        <v>#N/A</v>
      </c>
      <c r="BS126" s="13" t="e">
        <f t="shared" ca="1" si="122"/>
        <v>#N/A</v>
      </c>
      <c r="BT126" s="13" t="e">
        <f t="shared" ca="1" si="122"/>
        <v>#N/A</v>
      </c>
      <c r="BU126" s="13" t="e">
        <f t="shared" ca="1" si="122"/>
        <v>#N/A</v>
      </c>
      <c r="BV126" s="13" t="e">
        <f t="shared" ca="1" si="122"/>
        <v>#N/A</v>
      </c>
      <c r="BW126" s="13" t="e">
        <f t="shared" ref="BW126:CR126" ca="1" si="123">BW63/$D126*100000</f>
        <v>#N/A</v>
      </c>
      <c r="BX126" s="13" t="e">
        <f t="shared" ca="1" si="123"/>
        <v>#N/A</v>
      </c>
      <c r="BY126" s="13" t="e">
        <f t="shared" ca="1" si="123"/>
        <v>#N/A</v>
      </c>
      <c r="BZ126" s="13" t="e">
        <f t="shared" ca="1" si="123"/>
        <v>#N/A</v>
      </c>
      <c r="CA126" s="13" t="e">
        <f t="shared" ca="1" si="123"/>
        <v>#N/A</v>
      </c>
      <c r="CB126" s="13" t="e">
        <f t="shared" ca="1" si="123"/>
        <v>#N/A</v>
      </c>
      <c r="CC126" s="13" t="e">
        <f t="shared" ca="1" si="123"/>
        <v>#N/A</v>
      </c>
      <c r="CD126" s="13" t="e">
        <f t="shared" ca="1" si="123"/>
        <v>#N/A</v>
      </c>
      <c r="CE126" s="13" t="e">
        <f t="shared" ca="1" si="123"/>
        <v>#N/A</v>
      </c>
      <c r="CF126" s="13" t="e">
        <f t="shared" ca="1" si="123"/>
        <v>#N/A</v>
      </c>
      <c r="CG126" s="13" t="e">
        <f t="shared" ca="1" si="123"/>
        <v>#N/A</v>
      </c>
      <c r="CH126" s="13" t="e">
        <f t="shared" ca="1" si="123"/>
        <v>#N/A</v>
      </c>
      <c r="CI126" s="13" t="e">
        <f t="shared" ca="1" si="123"/>
        <v>#N/A</v>
      </c>
      <c r="CJ126" s="13" t="e">
        <f t="shared" ca="1" si="123"/>
        <v>#N/A</v>
      </c>
      <c r="CK126" s="13" t="e">
        <f t="shared" ca="1" si="123"/>
        <v>#N/A</v>
      </c>
      <c r="CL126" s="13" t="e">
        <f t="shared" ca="1" si="123"/>
        <v>#N/A</v>
      </c>
      <c r="CM126" s="13" t="e">
        <f t="shared" ca="1" si="123"/>
        <v>#N/A</v>
      </c>
      <c r="CN126" s="13" t="e">
        <f t="shared" ca="1" si="123"/>
        <v>#N/A</v>
      </c>
      <c r="CO126" s="13" t="e">
        <f t="shared" ca="1" si="123"/>
        <v>#N/A</v>
      </c>
      <c r="CP126" s="13" t="e">
        <f t="shared" ca="1" si="123"/>
        <v>#N/A</v>
      </c>
      <c r="CQ126" s="13" t="e">
        <f t="shared" ca="1" si="123"/>
        <v>#N/A</v>
      </c>
      <c r="CR126" s="13" t="e">
        <f t="shared" ca="1" si="123"/>
        <v>#N/A</v>
      </c>
    </row>
    <row r="127" spans="1:96" x14ac:dyDescent="0.25">
      <c r="A127" t="e">
        <f t="shared" ca="1" si="64"/>
        <v>#VALUE!</v>
      </c>
      <c r="B127">
        <f t="shared" si="65"/>
        <v>22</v>
      </c>
      <c r="C127">
        <f t="shared" ca="1" si="120"/>
        <v>0</v>
      </c>
      <c r="D127" s="1" t="e">
        <f t="shared" ca="1" si="120"/>
        <v>#N/A</v>
      </c>
      <c r="E127" s="13" t="e">
        <f t="shared" ref="E127:BP127" ca="1" si="124">E64/$D127*100000</f>
        <v>#N/A</v>
      </c>
      <c r="F127" s="13" t="e">
        <f t="shared" ca="1" si="124"/>
        <v>#N/A</v>
      </c>
      <c r="G127" s="13" t="e">
        <f t="shared" ca="1" si="124"/>
        <v>#N/A</v>
      </c>
      <c r="H127" s="13" t="e">
        <f t="shared" ca="1" si="124"/>
        <v>#N/A</v>
      </c>
      <c r="I127" s="13" t="e">
        <f t="shared" ca="1" si="124"/>
        <v>#N/A</v>
      </c>
      <c r="J127" s="13" t="e">
        <f t="shared" ca="1" si="124"/>
        <v>#N/A</v>
      </c>
      <c r="K127" s="13" t="e">
        <f t="shared" ca="1" si="124"/>
        <v>#N/A</v>
      </c>
      <c r="L127" s="13" t="e">
        <f t="shared" ca="1" si="124"/>
        <v>#N/A</v>
      </c>
      <c r="M127" s="13" t="e">
        <f t="shared" ca="1" si="124"/>
        <v>#N/A</v>
      </c>
      <c r="N127" s="13" t="e">
        <f t="shared" ca="1" si="124"/>
        <v>#N/A</v>
      </c>
      <c r="O127" s="13" t="e">
        <f t="shared" ca="1" si="124"/>
        <v>#N/A</v>
      </c>
      <c r="P127" s="13" t="e">
        <f t="shared" ca="1" si="124"/>
        <v>#N/A</v>
      </c>
      <c r="Q127" s="13" t="e">
        <f t="shared" ca="1" si="124"/>
        <v>#N/A</v>
      </c>
      <c r="R127" s="13" t="e">
        <f t="shared" ca="1" si="124"/>
        <v>#N/A</v>
      </c>
      <c r="S127" s="13" t="e">
        <f t="shared" ca="1" si="124"/>
        <v>#N/A</v>
      </c>
      <c r="T127" s="13" t="e">
        <f t="shared" ca="1" si="124"/>
        <v>#N/A</v>
      </c>
      <c r="U127" s="13" t="e">
        <f t="shared" ca="1" si="124"/>
        <v>#N/A</v>
      </c>
      <c r="V127" s="13" t="e">
        <f t="shared" ca="1" si="124"/>
        <v>#N/A</v>
      </c>
      <c r="W127" s="13" t="e">
        <f t="shared" ca="1" si="124"/>
        <v>#N/A</v>
      </c>
      <c r="X127" s="13" t="e">
        <f t="shared" ca="1" si="124"/>
        <v>#N/A</v>
      </c>
      <c r="Y127" s="13" t="e">
        <f t="shared" ca="1" si="124"/>
        <v>#N/A</v>
      </c>
      <c r="Z127" s="13" t="e">
        <f t="shared" ca="1" si="124"/>
        <v>#N/A</v>
      </c>
      <c r="AA127" s="13" t="e">
        <f t="shared" ca="1" si="124"/>
        <v>#N/A</v>
      </c>
      <c r="AB127" s="13" t="e">
        <f t="shared" ca="1" si="124"/>
        <v>#N/A</v>
      </c>
      <c r="AC127" s="13" t="e">
        <f t="shared" ca="1" si="124"/>
        <v>#N/A</v>
      </c>
      <c r="AD127" s="13" t="e">
        <f t="shared" ca="1" si="124"/>
        <v>#N/A</v>
      </c>
      <c r="AE127" s="13" t="e">
        <f t="shared" ca="1" si="124"/>
        <v>#N/A</v>
      </c>
      <c r="AF127" s="13" t="e">
        <f t="shared" ca="1" si="124"/>
        <v>#N/A</v>
      </c>
      <c r="AG127" s="13" t="e">
        <f t="shared" ca="1" si="124"/>
        <v>#N/A</v>
      </c>
      <c r="AH127" s="13" t="e">
        <f t="shared" ca="1" si="124"/>
        <v>#N/A</v>
      </c>
      <c r="AI127" s="13" t="e">
        <f t="shared" ca="1" si="124"/>
        <v>#N/A</v>
      </c>
      <c r="AJ127" s="13" t="e">
        <f t="shared" ca="1" si="124"/>
        <v>#N/A</v>
      </c>
      <c r="AK127" s="13" t="e">
        <f t="shared" ca="1" si="124"/>
        <v>#N/A</v>
      </c>
      <c r="AL127" s="13" t="e">
        <f t="shared" ca="1" si="124"/>
        <v>#N/A</v>
      </c>
      <c r="AM127" s="13" t="e">
        <f t="shared" ca="1" si="124"/>
        <v>#N/A</v>
      </c>
      <c r="AN127" s="13" t="e">
        <f t="shared" ca="1" si="124"/>
        <v>#N/A</v>
      </c>
      <c r="AO127" s="13" t="e">
        <f t="shared" ca="1" si="124"/>
        <v>#N/A</v>
      </c>
      <c r="AP127" s="13" t="e">
        <f t="shared" ca="1" si="124"/>
        <v>#N/A</v>
      </c>
      <c r="AQ127" s="13" t="e">
        <f t="shared" ca="1" si="124"/>
        <v>#N/A</v>
      </c>
      <c r="AR127" s="13" t="e">
        <f t="shared" ca="1" si="124"/>
        <v>#N/A</v>
      </c>
      <c r="AS127" s="13" t="e">
        <f t="shared" ca="1" si="124"/>
        <v>#N/A</v>
      </c>
      <c r="AT127" s="13" t="e">
        <f t="shared" ca="1" si="124"/>
        <v>#N/A</v>
      </c>
      <c r="AU127" s="13" t="e">
        <f t="shared" ca="1" si="124"/>
        <v>#N/A</v>
      </c>
      <c r="AV127" s="13" t="e">
        <f t="shared" ca="1" si="124"/>
        <v>#N/A</v>
      </c>
      <c r="AW127" s="13" t="e">
        <f t="shared" ca="1" si="124"/>
        <v>#N/A</v>
      </c>
      <c r="AX127" s="13" t="e">
        <f t="shared" ca="1" si="124"/>
        <v>#N/A</v>
      </c>
      <c r="AY127" s="13" t="e">
        <f t="shared" ca="1" si="124"/>
        <v>#N/A</v>
      </c>
      <c r="AZ127" s="13" t="e">
        <f t="shared" ca="1" si="124"/>
        <v>#N/A</v>
      </c>
      <c r="BA127" s="13" t="e">
        <f t="shared" ca="1" si="124"/>
        <v>#N/A</v>
      </c>
      <c r="BB127" s="13" t="e">
        <f t="shared" ca="1" si="124"/>
        <v>#N/A</v>
      </c>
      <c r="BC127" s="13" t="e">
        <f t="shared" ca="1" si="124"/>
        <v>#N/A</v>
      </c>
      <c r="BD127" s="13" t="e">
        <f t="shared" ca="1" si="124"/>
        <v>#N/A</v>
      </c>
      <c r="BE127" s="13" t="e">
        <f t="shared" ca="1" si="124"/>
        <v>#N/A</v>
      </c>
      <c r="BF127" s="13" t="e">
        <f t="shared" ca="1" si="124"/>
        <v>#N/A</v>
      </c>
      <c r="BG127" s="13" t="e">
        <f t="shared" ca="1" si="124"/>
        <v>#N/A</v>
      </c>
      <c r="BH127" s="13" t="e">
        <f t="shared" ca="1" si="124"/>
        <v>#N/A</v>
      </c>
      <c r="BI127" s="13" t="e">
        <f t="shared" ca="1" si="124"/>
        <v>#N/A</v>
      </c>
      <c r="BJ127" s="13" t="e">
        <f t="shared" ca="1" si="124"/>
        <v>#N/A</v>
      </c>
      <c r="BK127" s="13" t="e">
        <f t="shared" ca="1" si="124"/>
        <v>#N/A</v>
      </c>
      <c r="BL127" s="13" t="e">
        <f t="shared" ca="1" si="124"/>
        <v>#N/A</v>
      </c>
      <c r="BM127" s="13" t="e">
        <f t="shared" ca="1" si="124"/>
        <v>#N/A</v>
      </c>
      <c r="BN127" s="13" t="e">
        <f t="shared" ca="1" si="124"/>
        <v>#N/A</v>
      </c>
      <c r="BO127" s="13" t="e">
        <f t="shared" ca="1" si="124"/>
        <v>#N/A</v>
      </c>
      <c r="BP127" s="13" t="e">
        <f t="shared" ca="1" si="124"/>
        <v>#N/A</v>
      </c>
      <c r="BQ127" s="13" t="e">
        <f t="shared" ref="BQ127:BV127" ca="1" si="125">BQ64/$D127*100000</f>
        <v>#N/A</v>
      </c>
      <c r="BR127" s="13" t="e">
        <f t="shared" ca="1" si="125"/>
        <v>#N/A</v>
      </c>
      <c r="BS127" s="13" t="e">
        <f t="shared" ca="1" si="125"/>
        <v>#N/A</v>
      </c>
      <c r="BT127" s="13" t="e">
        <f t="shared" ca="1" si="125"/>
        <v>#N/A</v>
      </c>
      <c r="BU127" s="13" t="e">
        <f t="shared" ca="1" si="125"/>
        <v>#N/A</v>
      </c>
      <c r="BV127" s="13" t="e">
        <f t="shared" ca="1" si="125"/>
        <v>#N/A</v>
      </c>
      <c r="BW127" s="13" t="e">
        <f t="shared" ref="BW127:CR127" ca="1" si="126">BW64/$D127*100000</f>
        <v>#N/A</v>
      </c>
      <c r="BX127" s="13" t="e">
        <f t="shared" ca="1" si="126"/>
        <v>#N/A</v>
      </c>
      <c r="BY127" s="13" t="e">
        <f t="shared" ca="1" si="126"/>
        <v>#N/A</v>
      </c>
      <c r="BZ127" s="13" t="e">
        <f t="shared" ca="1" si="126"/>
        <v>#N/A</v>
      </c>
      <c r="CA127" s="13" t="e">
        <f t="shared" ca="1" si="126"/>
        <v>#N/A</v>
      </c>
      <c r="CB127" s="13" t="e">
        <f t="shared" ca="1" si="126"/>
        <v>#N/A</v>
      </c>
      <c r="CC127" s="13" t="e">
        <f t="shared" ca="1" si="126"/>
        <v>#N/A</v>
      </c>
      <c r="CD127" s="13" t="e">
        <f t="shared" ca="1" si="126"/>
        <v>#N/A</v>
      </c>
      <c r="CE127" s="13" t="e">
        <f t="shared" ca="1" si="126"/>
        <v>#N/A</v>
      </c>
      <c r="CF127" s="13" t="e">
        <f t="shared" ca="1" si="126"/>
        <v>#N/A</v>
      </c>
      <c r="CG127" s="13" t="e">
        <f t="shared" ca="1" si="126"/>
        <v>#N/A</v>
      </c>
      <c r="CH127" s="13" t="e">
        <f t="shared" ca="1" si="126"/>
        <v>#N/A</v>
      </c>
      <c r="CI127" s="13" t="e">
        <f t="shared" ca="1" si="126"/>
        <v>#N/A</v>
      </c>
      <c r="CJ127" s="13" t="e">
        <f t="shared" ca="1" si="126"/>
        <v>#N/A</v>
      </c>
      <c r="CK127" s="13" t="e">
        <f t="shared" ca="1" si="126"/>
        <v>#N/A</v>
      </c>
      <c r="CL127" s="13" t="e">
        <f t="shared" ca="1" si="126"/>
        <v>#N/A</v>
      </c>
      <c r="CM127" s="13" t="e">
        <f t="shared" ca="1" si="126"/>
        <v>#N/A</v>
      </c>
      <c r="CN127" s="13" t="e">
        <f t="shared" ca="1" si="126"/>
        <v>#N/A</v>
      </c>
      <c r="CO127" s="13" t="e">
        <f t="shared" ca="1" si="126"/>
        <v>#N/A</v>
      </c>
      <c r="CP127" s="13" t="e">
        <f t="shared" ca="1" si="126"/>
        <v>#N/A</v>
      </c>
      <c r="CQ127" s="13" t="e">
        <f t="shared" ca="1" si="126"/>
        <v>#N/A</v>
      </c>
      <c r="CR127" s="13" t="e">
        <f t="shared" ca="1" si="126"/>
        <v>#N/A</v>
      </c>
    </row>
    <row r="128" spans="1:96" x14ac:dyDescent="0.25">
      <c r="A128" t="e">
        <f t="shared" ca="1" si="64"/>
        <v>#VALUE!</v>
      </c>
      <c r="B128">
        <f t="shared" si="65"/>
        <v>23</v>
      </c>
      <c r="C128">
        <f t="shared" ca="1" si="120"/>
        <v>0</v>
      </c>
      <c r="D128" s="1" t="e">
        <f t="shared" ca="1" si="120"/>
        <v>#N/A</v>
      </c>
      <c r="E128" s="13" t="e">
        <f t="shared" ref="E128:BP128" ca="1" si="127">E65/$D128*100000</f>
        <v>#N/A</v>
      </c>
      <c r="F128" s="13" t="e">
        <f t="shared" ca="1" si="127"/>
        <v>#N/A</v>
      </c>
      <c r="G128" s="13" t="e">
        <f t="shared" ca="1" si="127"/>
        <v>#N/A</v>
      </c>
      <c r="H128" s="13" t="e">
        <f t="shared" ca="1" si="127"/>
        <v>#N/A</v>
      </c>
      <c r="I128" s="13" t="e">
        <f t="shared" ca="1" si="127"/>
        <v>#N/A</v>
      </c>
      <c r="J128" s="13" t="e">
        <f t="shared" ca="1" si="127"/>
        <v>#N/A</v>
      </c>
      <c r="K128" s="13" t="e">
        <f t="shared" ca="1" si="127"/>
        <v>#N/A</v>
      </c>
      <c r="L128" s="13" t="e">
        <f t="shared" ca="1" si="127"/>
        <v>#N/A</v>
      </c>
      <c r="M128" s="13" t="e">
        <f t="shared" ca="1" si="127"/>
        <v>#N/A</v>
      </c>
      <c r="N128" s="13" t="e">
        <f t="shared" ca="1" si="127"/>
        <v>#N/A</v>
      </c>
      <c r="O128" s="13" t="e">
        <f t="shared" ca="1" si="127"/>
        <v>#N/A</v>
      </c>
      <c r="P128" s="13" t="e">
        <f t="shared" ca="1" si="127"/>
        <v>#N/A</v>
      </c>
      <c r="Q128" s="13" t="e">
        <f t="shared" ca="1" si="127"/>
        <v>#N/A</v>
      </c>
      <c r="R128" s="13" t="e">
        <f t="shared" ca="1" si="127"/>
        <v>#N/A</v>
      </c>
      <c r="S128" s="13" t="e">
        <f t="shared" ca="1" si="127"/>
        <v>#N/A</v>
      </c>
      <c r="T128" s="13" t="e">
        <f t="shared" ca="1" si="127"/>
        <v>#N/A</v>
      </c>
      <c r="U128" s="13" t="e">
        <f t="shared" ca="1" si="127"/>
        <v>#N/A</v>
      </c>
      <c r="V128" s="13" t="e">
        <f t="shared" ca="1" si="127"/>
        <v>#N/A</v>
      </c>
      <c r="W128" s="13" t="e">
        <f t="shared" ca="1" si="127"/>
        <v>#N/A</v>
      </c>
      <c r="X128" s="13" t="e">
        <f t="shared" ca="1" si="127"/>
        <v>#N/A</v>
      </c>
      <c r="Y128" s="13" t="e">
        <f t="shared" ca="1" si="127"/>
        <v>#N/A</v>
      </c>
      <c r="Z128" s="13" t="e">
        <f t="shared" ca="1" si="127"/>
        <v>#N/A</v>
      </c>
      <c r="AA128" s="13" t="e">
        <f t="shared" ca="1" si="127"/>
        <v>#N/A</v>
      </c>
      <c r="AB128" s="13" t="e">
        <f t="shared" ca="1" si="127"/>
        <v>#N/A</v>
      </c>
      <c r="AC128" s="13" t="e">
        <f t="shared" ca="1" si="127"/>
        <v>#N/A</v>
      </c>
      <c r="AD128" s="13" t="e">
        <f t="shared" ca="1" si="127"/>
        <v>#N/A</v>
      </c>
      <c r="AE128" s="13" t="e">
        <f t="shared" ca="1" si="127"/>
        <v>#N/A</v>
      </c>
      <c r="AF128" s="13" t="e">
        <f t="shared" ca="1" si="127"/>
        <v>#N/A</v>
      </c>
      <c r="AG128" s="13" t="e">
        <f t="shared" ca="1" si="127"/>
        <v>#N/A</v>
      </c>
      <c r="AH128" s="13" t="e">
        <f t="shared" ca="1" si="127"/>
        <v>#N/A</v>
      </c>
      <c r="AI128" s="13" t="e">
        <f t="shared" ca="1" si="127"/>
        <v>#N/A</v>
      </c>
      <c r="AJ128" s="13" t="e">
        <f t="shared" ca="1" si="127"/>
        <v>#N/A</v>
      </c>
      <c r="AK128" s="13" t="e">
        <f t="shared" ca="1" si="127"/>
        <v>#N/A</v>
      </c>
      <c r="AL128" s="13" t="e">
        <f t="shared" ca="1" si="127"/>
        <v>#N/A</v>
      </c>
      <c r="AM128" s="13" t="e">
        <f t="shared" ca="1" si="127"/>
        <v>#N/A</v>
      </c>
      <c r="AN128" s="13" t="e">
        <f t="shared" ca="1" si="127"/>
        <v>#N/A</v>
      </c>
      <c r="AO128" s="13" t="e">
        <f t="shared" ca="1" si="127"/>
        <v>#N/A</v>
      </c>
      <c r="AP128" s="13" t="e">
        <f t="shared" ca="1" si="127"/>
        <v>#N/A</v>
      </c>
      <c r="AQ128" s="13" t="e">
        <f t="shared" ca="1" si="127"/>
        <v>#N/A</v>
      </c>
      <c r="AR128" s="13" t="e">
        <f t="shared" ca="1" si="127"/>
        <v>#N/A</v>
      </c>
      <c r="AS128" s="13" t="e">
        <f t="shared" ca="1" si="127"/>
        <v>#N/A</v>
      </c>
      <c r="AT128" s="13" t="e">
        <f t="shared" ca="1" si="127"/>
        <v>#N/A</v>
      </c>
      <c r="AU128" s="13" t="e">
        <f t="shared" ca="1" si="127"/>
        <v>#N/A</v>
      </c>
      <c r="AV128" s="13" t="e">
        <f t="shared" ca="1" si="127"/>
        <v>#N/A</v>
      </c>
      <c r="AW128" s="13" t="e">
        <f t="shared" ca="1" si="127"/>
        <v>#N/A</v>
      </c>
      <c r="AX128" s="13" t="e">
        <f t="shared" ca="1" si="127"/>
        <v>#N/A</v>
      </c>
      <c r="AY128" s="13" t="e">
        <f t="shared" ca="1" si="127"/>
        <v>#N/A</v>
      </c>
      <c r="AZ128" s="13" t="e">
        <f t="shared" ca="1" si="127"/>
        <v>#N/A</v>
      </c>
      <c r="BA128" s="13" t="e">
        <f t="shared" ca="1" si="127"/>
        <v>#N/A</v>
      </c>
      <c r="BB128" s="13" t="e">
        <f t="shared" ca="1" si="127"/>
        <v>#N/A</v>
      </c>
      <c r="BC128" s="13" t="e">
        <f t="shared" ca="1" si="127"/>
        <v>#N/A</v>
      </c>
      <c r="BD128" s="13" t="e">
        <f t="shared" ca="1" si="127"/>
        <v>#N/A</v>
      </c>
      <c r="BE128" s="13" t="e">
        <f t="shared" ca="1" si="127"/>
        <v>#N/A</v>
      </c>
      <c r="BF128" s="13" t="e">
        <f t="shared" ca="1" si="127"/>
        <v>#N/A</v>
      </c>
      <c r="BG128" s="13" t="e">
        <f t="shared" ca="1" si="127"/>
        <v>#N/A</v>
      </c>
      <c r="BH128" s="13" t="e">
        <f t="shared" ca="1" si="127"/>
        <v>#N/A</v>
      </c>
      <c r="BI128" s="13" t="e">
        <f t="shared" ca="1" si="127"/>
        <v>#N/A</v>
      </c>
      <c r="BJ128" s="13" t="e">
        <f t="shared" ca="1" si="127"/>
        <v>#N/A</v>
      </c>
      <c r="BK128" s="13" t="e">
        <f t="shared" ca="1" si="127"/>
        <v>#N/A</v>
      </c>
      <c r="BL128" s="13" t="e">
        <f t="shared" ca="1" si="127"/>
        <v>#N/A</v>
      </c>
      <c r="BM128" s="13" t="e">
        <f t="shared" ca="1" si="127"/>
        <v>#N/A</v>
      </c>
      <c r="BN128" s="13" t="e">
        <f t="shared" ca="1" si="127"/>
        <v>#N/A</v>
      </c>
      <c r="BO128" s="13" t="e">
        <f t="shared" ca="1" si="127"/>
        <v>#N/A</v>
      </c>
      <c r="BP128" s="13" t="e">
        <f t="shared" ca="1" si="127"/>
        <v>#N/A</v>
      </c>
      <c r="BQ128" s="13" t="e">
        <f t="shared" ref="BQ128:BV128" ca="1" si="128">BQ65/$D128*100000</f>
        <v>#N/A</v>
      </c>
      <c r="BR128" s="13" t="e">
        <f t="shared" ca="1" si="128"/>
        <v>#N/A</v>
      </c>
      <c r="BS128" s="13" t="e">
        <f t="shared" ca="1" si="128"/>
        <v>#N/A</v>
      </c>
      <c r="BT128" s="13" t="e">
        <f t="shared" ca="1" si="128"/>
        <v>#N/A</v>
      </c>
      <c r="BU128" s="13" t="e">
        <f t="shared" ca="1" si="128"/>
        <v>#N/A</v>
      </c>
      <c r="BV128" s="13" t="e">
        <f t="shared" ca="1" si="128"/>
        <v>#N/A</v>
      </c>
      <c r="BW128" s="13" t="e">
        <f t="shared" ref="BW128:CR128" ca="1" si="129">BW65/$D128*100000</f>
        <v>#N/A</v>
      </c>
      <c r="BX128" s="13" t="e">
        <f t="shared" ca="1" si="129"/>
        <v>#N/A</v>
      </c>
      <c r="BY128" s="13" t="e">
        <f t="shared" ca="1" si="129"/>
        <v>#N/A</v>
      </c>
      <c r="BZ128" s="13" t="e">
        <f t="shared" ca="1" si="129"/>
        <v>#N/A</v>
      </c>
      <c r="CA128" s="13" t="e">
        <f t="shared" ca="1" si="129"/>
        <v>#N/A</v>
      </c>
      <c r="CB128" s="13" t="e">
        <f t="shared" ca="1" si="129"/>
        <v>#N/A</v>
      </c>
      <c r="CC128" s="13" t="e">
        <f t="shared" ca="1" si="129"/>
        <v>#N/A</v>
      </c>
      <c r="CD128" s="13" t="e">
        <f t="shared" ca="1" si="129"/>
        <v>#N/A</v>
      </c>
      <c r="CE128" s="13" t="e">
        <f t="shared" ca="1" si="129"/>
        <v>#N/A</v>
      </c>
      <c r="CF128" s="13" t="e">
        <f t="shared" ca="1" si="129"/>
        <v>#N/A</v>
      </c>
      <c r="CG128" s="13" t="e">
        <f t="shared" ca="1" si="129"/>
        <v>#N/A</v>
      </c>
      <c r="CH128" s="13" t="e">
        <f t="shared" ca="1" si="129"/>
        <v>#N/A</v>
      </c>
      <c r="CI128" s="13" t="e">
        <f t="shared" ca="1" si="129"/>
        <v>#N/A</v>
      </c>
      <c r="CJ128" s="13" t="e">
        <f t="shared" ca="1" si="129"/>
        <v>#N/A</v>
      </c>
      <c r="CK128" s="13" t="e">
        <f t="shared" ca="1" si="129"/>
        <v>#N/A</v>
      </c>
      <c r="CL128" s="13" t="e">
        <f t="shared" ca="1" si="129"/>
        <v>#N/A</v>
      </c>
      <c r="CM128" s="13" t="e">
        <f t="shared" ca="1" si="129"/>
        <v>#N/A</v>
      </c>
      <c r="CN128" s="13" t="e">
        <f t="shared" ca="1" si="129"/>
        <v>#N/A</v>
      </c>
      <c r="CO128" s="13" t="e">
        <f t="shared" ca="1" si="129"/>
        <v>#N/A</v>
      </c>
      <c r="CP128" s="13" t="e">
        <f t="shared" ca="1" si="129"/>
        <v>#N/A</v>
      </c>
      <c r="CQ128" s="13" t="e">
        <f t="shared" ca="1" si="129"/>
        <v>#N/A</v>
      </c>
      <c r="CR128" s="13" t="e">
        <f t="shared" ca="1" si="129"/>
        <v>#N/A</v>
      </c>
    </row>
    <row r="129" spans="1:96" x14ac:dyDescent="0.25">
      <c r="A129" t="e">
        <f t="shared" ca="1" si="64"/>
        <v>#VALUE!</v>
      </c>
      <c r="B129">
        <f t="shared" si="65"/>
        <v>24</v>
      </c>
      <c r="C129">
        <f t="shared" ca="1" si="120"/>
        <v>0</v>
      </c>
      <c r="D129" s="1" t="e">
        <f t="shared" ca="1" si="120"/>
        <v>#N/A</v>
      </c>
      <c r="E129" s="13" t="e">
        <f t="shared" ref="E129:BP129" ca="1" si="130">E66/$D129*100000</f>
        <v>#N/A</v>
      </c>
      <c r="F129" s="13" t="e">
        <f t="shared" ca="1" si="130"/>
        <v>#N/A</v>
      </c>
      <c r="G129" s="13" t="e">
        <f t="shared" ca="1" si="130"/>
        <v>#N/A</v>
      </c>
      <c r="H129" s="13" t="e">
        <f t="shared" ca="1" si="130"/>
        <v>#N/A</v>
      </c>
      <c r="I129" s="13" t="e">
        <f t="shared" ca="1" si="130"/>
        <v>#N/A</v>
      </c>
      <c r="J129" s="13" t="e">
        <f t="shared" ca="1" si="130"/>
        <v>#N/A</v>
      </c>
      <c r="K129" s="13" t="e">
        <f t="shared" ca="1" si="130"/>
        <v>#N/A</v>
      </c>
      <c r="L129" s="13" t="e">
        <f t="shared" ca="1" si="130"/>
        <v>#N/A</v>
      </c>
      <c r="M129" s="13" t="e">
        <f t="shared" ca="1" si="130"/>
        <v>#N/A</v>
      </c>
      <c r="N129" s="13" t="e">
        <f t="shared" ca="1" si="130"/>
        <v>#N/A</v>
      </c>
      <c r="O129" s="13" t="e">
        <f t="shared" ca="1" si="130"/>
        <v>#N/A</v>
      </c>
      <c r="P129" s="13" t="e">
        <f t="shared" ca="1" si="130"/>
        <v>#N/A</v>
      </c>
      <c r="Q129" s="13" t="e">
        <f t="shared" ca="1" si="130"/>
        <v>#N/A</v>
      </c>
      <c r="R129" s="13" t="e">
        <f t="shared" ca="1" si="130"/>
        <v>#N/A</v>
      </c>
      <c r="S129" s="13" t="e">
        <f t="shared" ca="1" si="130"/>
        <v>#N/A</v>
      </c>
      <c r="T129" s="13" t="e">
        <f t="shared" ca="1" si="130"/>
        <v>#N/A</v>
      </c>
      <c r="U129" s="13" t="e">
        <f t="shared" ca="1" si="130"/>
        <v>#N/A</v>
      </c>
      <c r="V129" s="13" t="e">
        <f t="shared" ca="1" si="130"/>
        <v>#N/A</v>
      </c>
      <c r="W129" s="13" t="e">
        <f t="shared" ca="1" si="130"/>
        <v>#N/A</v>
      </c>
      <c r="X129" s="13" t="e">
        <f t="shared" ca="1" si="130"/>
        <v>#N/A</v>
      </c>
      <c r="Y129" s="13" t="e">
        <f t="shared" ca="1" si="130"/>
        <v>#N/A</v>
      </c>
      <c r="Z129" s="13" t="e">
        <f t="shared" ca="1" si="130"/>
        <v>#N/A</v>
      </c>
      <c r="AA129" s="13" t="e">
        <f t="shared" ca="1" si="130"/>
        <v>#N/A</v>
      </c>
      <c r="AB129" s="13" t="e">
        <f t="shared" ca="1" si="130"/>
        <v>#N/A</v>
      </c>
      <c r="AC129" s="13" t="e">
        <f t="shared" ca="1" si="130"/>
        <v>#N/A</v>
      </c>
      <c r="AD129" s="13" t="e">
        <f t="shared" ca="1" si="130"/>
        <v>#N/A</v>
      </c>
      <c r="AE129" s="13" t="e">
        <f t="shared" ca="1" si="130"/>
        <v>#N/A</v>
      </c>
      <c r="AF129" s="13" t="e">
        <f t="shared" ca="1" si="130"/>
        <v>#N/A</v>
      </c>
      <c r="AG129" s="13" t="e">
        <f t="shared" ca="1" si="130"/>
        <v>#N/A</v>
      </c>
      <c r="AH129" s="13" t="e">
        <f t="shared" ca="1" si="130"/>
        <v>#N/A</v>
      </c>
      <c r="AI129" s="13" t="e">
        <f t="shared" ca="1" si="130"/>
        <v>#N/A</v>
      </c>
      <c r="AJ129" s="13" t="e">
        <f t="shared" ca="1" si="130"/>
        <v>#N/A</v>
      </c>
      <c r="AK129" s="13" t="e">
        <f t="shared" ca="1" si="130"/>
        <v>#N/A</v>
      </c>
      <c r="AL129" s="13" t="e">
        <f t="shared" ca="1" si="130"/>
        <v>#N/A</v>
      </c>
      <c r="AM129" s="13" t="e">
        <f t="shared" ca="1" si="130"/>
        <v>#N/A</v>
      </c>
      <c r="AN129" s="13" t="e">
        <f t="shared" ca="1" si="130"/>
        <v>#N/A</v>
      </c>
      <c r="AO129" s="13" t="e">
        <f t="shared" ca="1" si="130"/>
        <v>#N/A</v>
      </c>
      <c r="AP129" s="13" t="e">
        <f t="shared" ca="1" si="130"/>
        <v>#N/A</v>
      </c>
      <c r="AQ129" s="13" t="e">
        <f t="shared" ca="1" si="130"/>
        <v>#N/A</v>
      </c>
      <c r="AR129" s="13" t="e">
        <f t="shared" ca="1" si="130"/>
        <v>#N/A</v>
      </c>
      <c r="AS129" s="13" t="e">
        <f t="shared" ca="1" si="130"/>
        <v>#N/A</v>
      </c>
      <c r="AT129" s="13" t="e">
        <f t="shared" ca="1" si="130"/>
        <v>#N/A</v>
      </c>
      <c r="AU129" s="13" t="e">
        <f t="shared" ca="1" si="130"/>
        <v>#N/A</v>
      </c>
      <c r="AV129" s="13" t="e">
        <f t="shared" ca="1" si="130"/>
        <v>#N/A</v>
      </c>
      <c r="AW129" s="13" t="e">
        <f t="shared" ca="1" si="130"/>
        <v>#N/A</v>
      </c>
      <c r="AX129" s="13" t="e">
        <f t="shared" ca="1" si="130"/>
        <v>#N/A</v>
      </c>
      <c r="AY129" s="13" t="e">
        <f t="shared" ca="1" si="130"/>
        <v>#N/A</v>
      </c>
      <c r="AZ129" s="13" t="e">
        <f t="shared" ca="1" si="130"/>
        <v>#N/A</v>
      </c>
      <c r="BA129" s="13" t="e">
        <f t="shared" ca="1" si="130"/>
        <v>#N/A</v>
      </c>
      <c r="BB129" s="13" t="e">
        <f t="shared" ca="1" si="130"/>
        <v>#N/A</v>
      </c>
      <c r="BC129" s="13" t="e">
        <f t="shared" ca="1" si="130"/>
        <v>#N/A</v>
      </c>
      <c r="BD129" s="13" t="e">
        <f t="shared" ca="1" si="130"/>
        <v>#N/A</v>
      </c>
      <c r="BE129" s="13" t="e">
        <f t="shared" ca="1" si="130"/>
        <v>#N/A</v>
      </c>
      <c r="BF129" s="13" t="e">
        <f t="shared" ca="1" si="130"/>
        <v>#N/A</v>
      </c>
      <c r="BG129" s="13" t="e">
        <f t="shared" ca="1" si="130"/>
        <v>#N/A</v>
      </c>
      <c r="BH129" s="13" t="e">
        <f t="shared" ca="1" si="130"/>
        <v>#N/A</v>
      </c>
      <c r="BI129" s="13" t="e">
        <f t="shared" ca="1" si="130"/>
        <v>#N/A</v>
      </c>
      <c r="BJ129" s="13" t="e">
        <f t="shared" ca="1" si="130"/>
        <v>#N/A</v>
      </c>
      <c r="BK129" s="13" t="e">
        <f t="shared" ca="1" si="130"/>
        <v>#N/A</v>
      </c>
      <c r="BL129" s="13" t="e">
        <f t="shared" ca="1" si="130"/>
        <v>#N/A</v>
      </c>
      <c r="BM129" s="13" t="e">
        <f t="shared" ca="1" si="130"/>
        <v>#N/A</v>
      </c>
      <c r="BN129" s="13" t="e">
        <f t="shared" ca="1" si="130"/>
        <v>#N/A</v>
      </c>
      <c r="BO129" s="13" t="e">
        <f t="shared" ca="1" si="130"/>
        <v>#N/A</v>
      </c>
      <c r="BP129" s="13" t="e">
        <f t="shared" ca="1" si="130"/>
        <v>#N/A</v>
      </c>
      <c r="BQ129" s="13" t="e">
        <f t="shared" ref="BQ129:BV129" ca="1" si="131">BQ66/$D129*100000</f>
        <v>#N/A</v>
      </c>
      <c r="BR129" s="13" t="e">
        <f t="shared" ca="1" si="131"/>
        <v>#N/A</v>
      </c>
      <c r="BS129" s="13" t="e">
        <f t="shared" ca="1" si="131"/>
        <v>#N/A</v>
      </c>
      <c r="BT129" s="13" t="e">
        <f t="shared" ca="1" si="131"/>
        <v>#N/A</v>
      </c>
      <c r="BU129" s="13" t="e">
        <f t="shared" ca="1" si="131"/>
        <v>#N/A</v>
      </c>
      <c r="BV129" s="13" t="e">
        <f t="shared" ca="1" si="131"/>
        <v>#N/A</v>
      </c>
      <c r="BW129" s="13" t="e">
        <f t="shared" ref="BW129:CR129" ca="1" si="132">BW66/$D129*100000</f>
        <v>#N/A</v>
      </c>
      <c r="BX129" s="13" t="e">
        <f t="shared" ca="1" si="132"/>
        <v>#N/A</v>
      </c>
      <c r="BY129" s="13" t="e">
        <f t="shared" ca="1" si="132"/>
        <v>#N/A</v>
      </c>
      <c r="BZ129" s="13" t="e">
        <f t="shared" ca="1" si="132"/>
        <v>#N/A</v>
      </c>
      <c r="CA129" s="13" t="e">
        <f t="shared" ca="1" si="132"/>
        <v>#N/A</v>
      </c>
      <c r="CB129" s="13" t="e">
        <f t="shared" ca="1" si="132"/>
        <v>#N/A</v>
      </c>
      <c r="CC129" s="13" t="e">
        <f t="shared" ca="1" si="132"/>
        <v>#N/A</v>
      </c>
      <c r="CD129" s="13" t="e">
        <f t="shared" ca="1" si="132"/>
        <v>#N/A</v>
      </c>
      <c r="CE129" s="13" t="e">
        <f t="shared" ca="1" si="132"/>
        <v>#N/A</v>
      </c>
      <c r="CF129" s="13" t="e">
        <f t="shared" ca="1" si="132"/>
        <v>#N/A</v>
      </c>
      <c r="CG129" s="13" t="e">
        <f t="shared" ca="1" si="132"/>
        <v>#N/A</v>
      </c>
      <c r="CH129" s="13" t="e">
        <f t="shared" ca="1" si="132"/>
        <v>#N/A</v>
      </c>
      <c r="CI129" s="13" t="e">
        <f t="shared" ca="1" si="132"/>
        <v>#N/A</v>
      </c>
      <c r="CJ129" s="13" t="e">
        <f t="shared" ca="1" si="132"/>
        <v>#N/A</v>
      </c>
      <c r="CK129" s="13" t="e">
        <f t="shared" ca="1" si="132"/>
        <v>#N/A</v>
      </c>
      <c r="CL129" s="13" t="e">
        <f t="shared" ca="1" si="132"/>
        <v>#N/A</v>
      </c>
      <c r="CM129" s="13" t="e">
        <f t="shared" ca="1" si="132"/>
        <v>#N/A</v>
      </c>
      <c r="CN129" s="13" t="e">
        <f t="shared" ca="1" si="132"/>
        <v>#N/A</v>
      </c>
      <c r="CO129" s="13" t="e">
        <f t="shared" ca="1" si="132"/>
        <v>#N/A</v>
      </c>
      <c r="CP129" s="13" t="e">
        <f t="shared" ca="1" si="132"/>
        <v>#N/A</v>
      </c>
      <c r="CQ129" s="13" t="e">
        <f t="shared" ca="1" si="132"/>
        <v>#N/A</v>
      </c>
      <c r="CR129" s="13" t="e">
        <f t="shared" ca="1" si="132"/>
        <v>#N/A</v>
      </c>
    </row>
    <row r="130" spans="1:96" x14ac:dyDescent="0.25">
      <c r="A130" t="e">
        <f t="shared" ca="1" si="64"/>
        <v>#VALUE!</v>
      </c>
      <c r="B130">
        <f t="shared" si="65"/>
        <v>25</v>
      </c>
      <c r="C130">
        <f t="shared" ca="1" si="120"/>
        <v>0</v>
      </c>
      <c r="D130" s="1" t="e">
        <f t="shared" ca="1" si="120"/>
        <v>#N/A</v>
      </c>
      <c r="E130" s="13" t="e">
        <f t="shared" ref="E130:BP130" ca="1" si="133">E67/$D130*100000</f>
        <v>#N/A</v>
      </c>
      <c r="F130" s="13" t="e">
        <f t="shared" ca="1" si="133"/>
        <v>#N/A</v>
      </c>
      <c r="G130" s="13" t="e">
        <f t="shared" ca="1" si="133"/>
        <v>#N/A</v>
      </c>
      <c r="H130" s="13" t="e">
        <f t="shared" ca="1" si="133"/>
        <v>#N/A</v>
      </c>
      <c r="I130" s="13" t="e">
        <f t="shared" ca="1" si="133"/>
        <v>#N/A</v>
      </c>
      <c r="J130" s="13" t="e">
        <f t="shared" ca="1" si="133"/>
        <v>#N/A</v>
      </c>
      <c r="K130" s="13" t="e">
        <f t="shared" ca="1" si="133"/>
        <v>#N/A</v>
      </c>
      <c r="L130" s="13" t="e">
        <f t="shared" ca="1" si="133"/>
        <v>#N/A</v>
      </c>
      <c r="M130" s="13" t="e">
        <f t="shared" ca="1" si="133"/>
        <v>#N/A</v>
      </c>
      <c r="N130" s="13" t="e">
        <f t="shared" ca="1" si="133"/>
        <v>#N/A</v>
      </c>
      <c r="O130" s="13" t="e">
        <f t="shared" ca="1" si="133"/>
        <v>#N/A</v>
      </c>
      <c r="P130" s="13" t="e">
        <f t="shared" ca="1" si="133"/>
        <v>#N/A</v>
      </c>
      <c r="Q130" s="13" t="e">
        <f t="shared" ca="1" si="133"/>
        <v>#N/A</v>
      </c>
      <c r="R130" s="13" t="e">
        <f t="shared" ca="1" si="133"/>
        <v>#N/A</v>
      </c>
      <c r="S130" s="13" t="e">
        <f t="shared" ca="1" si="133"/>
        <v>#N/A</v>
      </c>
      <c r="T130" s="13" t="e">
        <f t="shared" ca="1" si="133"/>
        <v>#N/A</v>
      </c>
      <c r="U130" s="13" t="e">
        <f t="shared" ca="1" si="133"/>
        <v>#N/A</v>
      </c>
      <c r="V130" s="13" t="e">
        <f t="shared" ca="1" si="133"/>
        <v>#N/A</v>
      </c>
      <c r="W130" s="13" t="e">
        <f t="shared" ca="1" si="133"/>
        <v>#N/A</v>
      </c>
      <c r="X130" s="13" t="e">
        <f t="shared" ca="1" si="133"/>
        <v>#N/A</v>
      </c>
      <c r="Y130" s="13" t="e">
        <f t="shared" ca="1" si="133"/>
        <v>#N/A</v>
      </c>
      <c r="Z130" s="13" t="e">
        <f t="shared" ca="1" si="133"/>
        <v>#N/A</v>
      </c>
      <c r="AA130" s="13" t="e">
        <f t="shared" ca="1" si="133"/>
        <v>#N/A</v>
      </c>
      <c r="AB130" s="13" t="e">
        <f t="shared" ca="1" si="133"/>
        <v>#N/A</v>
      </c>
      <c r="AC130" s="13" t="e">
        <f t="shared" ca="1" si="133"/>
        <v>#N/A</v>
      </c>
      <c r="AD130" s="13" t="e">
        <f t="shared" ca="1" si="133"/>
        <v>#N/A</v>
      </c>
      <c r="AE130" s="13" t="e">
        <f t="shared" ca="1" si="133"/>
        <v>#N/A</v>
      </c>
      <c r="AF130" s="13" t="e">
        <f t="shared" ca="1" si="133"/>
        <v>#N/A</v>
      </c>
      <c r="AG130" s="13" t="e">
        <f t="shared" ca="1" si="133"/>
        <v>#N/A</v>
      </c>
      <c r="AH130" s="13" t="e">
        <f t="shared" ca="1" si="133"/>
        <v>#N/A</v>
      </c>
      <c r="AI130" s="13" t="e">
        <f t="shared" ca="1" si="133"/>
        <v>#N/A</v>
      </c>
      <c r="AJ130" s="13" t="e">
        <f t="shared" ca="1" si="133"/>
        <v>#N/A</v>
      </c>
      <c r="AK130" s="13" t="e">
        <f t="shared" ca="1" si="133"/>
        <v>#N/A</v>
      </c>
      <c r="AL130" s="13" t="e">
        <f t="shared" ca="1" si="133"/>
        <v>#N/A</v>
      </c>
      <c r="AM130" s="13" t="e">
        <f t="shared" ca="1" si="133"/>
        <v>#N/A</v>
      </c>
      <c r="AN130" s="13" t="e">
        <f t="shared" ca="1" si="133"/>
        <v>#N/A</v>
      </c>
      <c r="AO130" s="13" t="e">
        <f t="shared" ca="1" si="133"/>
        <v>#N/A</v>
      </c>
      <c r="AP130" s="13" t="e">
        <f t="shared" ca="1" si="133"/>
        <v>#N/A</v>
      </c>
      <c r="AQ130" s="13" t="e">
        <f t="shared" ca="1" si="133"/>
        <v>#N/A</v>
      </c>
      <c r="AR130" s="13" t="e">
        <f t="shared" ca="1" si="133"/>
        <v>#N/A</v>
      </c>
      <c r="AS130" s="13" t="e">
        <f t="shared" ca="1" si="133"/>
        <v>#N/A</v>
      </c>
      <c r="AT130" s="13" t="e">
        <f t="shared" ca="1" si="133"/>
        <v>#N/A</v>
      </c>
      <c r="AU130" s="13" t="e">
        <f t="shared" ca="1" si="133"/>
        <v>#N/A</v>
      </c>
      <c r="AV130" s="13" t="e">
        <f t="shared" ca="1" si="133"/>
        <v>#N/A</v>
      </c>
      <c r="AW130" s="13" t="e">
        <f t="shared" ca="1" si="133"/>
        <v>#N/A</v>
      </c>
      <c r="AX130" s="13" t="e">
        <f t="shared" ca="1" si="133"/>
        <v>#N/A</v>
      </c>
      <c r="AY130" s="13" t="e">
        <f t="shared" ca="1" si="133"/>
        <v>#N/A</v>
      </c>
      <c r="AZ130" s="13" t="e">
        <f t="shared" ca="1" si="133"/>
        <v>#N/A</v>
      </c>
      <c r="BA130" s="13" t="e">
        <f t="shared" ca="1" si="133"/>
        <v>#N/A</v>
      </c>
      <c r="BB130" s="13" t="e">
        <f t="shared" ca="1" si="133"/>
        <v>#N/A</v>
      </c>
      <c r="BC130" s="13" t="e">
        <f t="shared" ca="1" si="133"/>
        <v>#N/A</v>
      </c>
      <c r="BD130" s="13" t="e">
        <f t="shared" ca="1" si="133"/>
        <v>#N/A</v>
      </c>
      <c r="BE130" s="13" t="e">
        <f t="shared" ca="1" si="133"/>
        <v>#N/A</v>
      </c>
      <c r="BF130" s="13" t="e">
        <f t="shared" ca="1" si="133"/>
        <v>#N/A</v>
      </c>
      <c r="BG130" s="13" t="e">
        <f t="shared" ca="1" si="133"/>
        <v>#N/A</v>
      </c>
      <c r="BH130" s="13" t="e">
        <f t="shared" ca="1" si="133"/>
        <v>#N/A</v>
      </c>
      <c r="BI130" s="13" t="e">
        <f t="shared" ca="1" si="133"/>
        <v>#N/A</v>
      </c>
      <c r="BJ130" s="13" t="e">
        <f t="shared" ca="1" si="133"/>
        <v>#N/A</v>
      </c>
      <c r="BK130" s="13" t="e">
        <f t="shared" ca="1" si="133"/>
        <v>#N/A</v>
      </c>
      <c r="BL130" s="13" t="e">
        <f t="shared" ca="1" si="133"/>
        <v>#N/A</v>
      </c>
      <c r="BM130" s="13" t="e">
        <f t="shared" ca="1" si="133"/>
        <v>#N/A</v>
      </c>
      <c r="BN130" s="13" t="e">
        <f t="shared" ca="1" si="133"/>
        <v>#N/A</v>
      </c>
      <c r="BO130" s="13" t="e">
        <f t="shared" ca="1" si="133"/>
        <v>#N/A</v>
      </c>
      <c r="BP130" s="13" t="e">
        <f t="shared" ca="1" si="133"/>
        <v>#N/A</v>
      </c>
      <c r="BQ130" s="13" t="e">
        <f t="shared" ref="BQ130:BV130" ca="1" si="134">BQ67/$D130*100000</f>
        <v>#N/A</v>
      </c>
      <c r="BR130" s="13" t="e">
        <f t="shared" ca="1" si="134"/>
        <v>#N/A</v>
      </c>
      <c r="BS130" s="13" t="e">
        <f t="shared" ca="1" si="134"/>
        <v>#N/A</v>
      </c>
      <c r="BT130" s="13" t="e">
        <f t="shared" ca="1" si="134"/>
        <v>#N/A</v>
      </c>
      <c r="BU130" s="13" t="e">
        <f t="shared" ca="1" si="134"/>
        <v>#N/A</v>
      </c>
      <c r="BV130" s="13" t="e">
        <f t="shared" ca="1" si="134"/>
        <v>#N/A</v>
      </c>
      <c r="BW130" s="13" t="e">
        <f t="shared" ref="BW130:CR130" ca="1" si="135">BW67/$D130*100000</f>
        <v>#N/A</v>
      </c>
      <c r="BX130" s="13" t="e">
        <f t="shared" ca="1" si="135"/>
        <v>#N/A</v>
      </c>
      <c r="BY130" s="13" t="e">
        <f t="shared" ca="1" si="135"/>
        <v>#N/A</v>
      </c>
      <c r="BZ130" s="13" t="e">
        <f t="shared" ca="1" si="135"/>
        <v>#N/A</v>
      </c>
      <c r="CA130" s="13" t="e">
        <f t="shared" ca="1" si="135"/>
        <v>#N/A</v>
      </c>
      <c r="CB130" s="13" t="e">
        <f t="shared" ca="1" si="135"/>
        <v>#N/A</v>
      </c>
      <c r="CC130" s="13" t="e">
        <f t="shared" ca="1" si="135"/>
        <v>#N/A</v>
      </c>
      <c r="CD130" s="13" t="e">
        <f t="shared" ca="1" si="135"/>
        <v>#N/A</v>
      </c>
      <c r="CE130" s="13" t="e">
        <f t="shared" ca="1" si="135"/>
        <v>#N/A</v>
      </c>
      <c r="CF130" s="13" t="e">
        <f t="shared" ca="1" si="135"/>
        <v>#N/A</v>
      </c>
      <c r="CG130" s="13" t="e">
        <f t="shared" ca="1" si="135"/>
        <v>#N/A</v>
      </c>
      <c r="CH130" s="13" t="e">
        <f t="shared" ca="1" si="135"/>
        <v>#N/A</v>
      </c>
      <c r="CI130" s="13" t="e">
        <f t="shared" ca="1" si="135"/>
        <v>#N/A</v>
      </c>
      <c r="CJ130" s="13" t="e">
        <f t="shared" ca="1" si="135"/>
        <v>#N/A</v>
      </c>
      <c r="CK130" s="13" t="e">
        <f t="shared" ca="1" si="135"/>
        <v>#N/A</v>
      </c>
      <c r="CL130" s="13" t="e">
        <f t="shared" ca="1" si="135"/>
        <v>#N/A</v>
      </c>
      <c r="CM130" s="13" t="e">
        <f t="shared" ca="1" si="135"/>
        <v>#N/A</v>
      </c>
      <c r="CN130" s="13" t="e">
        <f t="shared" ca="1" si="135"/>
        <v>#N/A</v>
      </c>
      <c r="CO130" s="13" t="e">
        <f t="shared" ca="1" si="135"/>
        <v>#N/A</v>
      </c>
      <c r="CP130" s="13" t="e">
        <f t="shared" ca="1" si="135"/>
        <v>#N/A</v>
      </c>
      <c r="CQ130" s="13" t="e">
        <f t="shared" ca="1" si="135"/>
        <v>#N/A</v>
      </c>
      <c r="CR130" s="13" t="e">
        <f t="shared" ca="1" si="135"/>
        <v>#N/A</v>
      </c>
    </row>
    <row r="131" spans="1:96" x14ac:dyDescent="0.25">
      <c r="A131" t="e">
        <f t="shared" ca="1" si="64"/>
        <v>#VALUE!</v>
      </c>
      <c r="B131">
        <f t="shared" si="65"/>
        <v>26</v>
      </c>
      <c r="C131">
        <f t="shared" ca="1" si="120"/>
        <v>0</v>
      </c>
      <c r="D131" s="1" t="e">
        <f t="shared" ca="1" si="120"/>
        <v>#N/A</v>
      </c>
      <c r="E131" s="13" t="e">
        <f t="shared" ref="E131:BP131" ca="1" si="136">E68/$D131*100000</f>
        <v>#N/A</v>
      </c>
      <c r="F131" s="13" t="e">
        <f t="shared" ca="1" si="136"/>
        <v>#N/A</v>
      </c>
      <c r="G131" s="13" t="e">
        <f t="shared" ca="1" si="136"/>
        <v>#N/A</v>
      </c>
      <c r="H131" s="13" t="e">
        <f t="shared" ca="1" si="136"/>
        <v>#N/A</v>
      </c>
      <c r="I131" s="13" t="e">
        <f t="shared" ca="1" si="136"/>
        <v>#N/A</v>
      </c>
      <c r="J131" s="13" t="e">
        <f t="shared" ca="1" si="136"/>
        <v>#N/A</v>
      </c>
      <c r="K131" s="13" t="e">
        <f t="shared" ca="1" si="136"/>
        <v>#N/A</v>
      </c>
      <c r="L131" s="13" t="e">
        <f t="shared" ca="1" si="136"/>
        <v>#N/A</v>
      </c>
      <c r="M131" s="13" t="e">
        <f t="shared" ca="1" si="136"/>
        <v>#N/A</v>
      </c>
      <c r="N131" s="13" t="e">
        <f t="shared" ca="1" si="136"/>
        <v>#N/A</v>
      </c>
      <c r="O131" s="13" t="e">
        <f t="shared" ca="1" si="136"/>
        <v>#N/A</v>
      </c>
      <c r="P131" s="13" t="e">
        <f t="shared" ca="1" si="136"/>
        <v>#N/A</v>
      </c>
      <c r="Q131" s="13" t="e">
        <f t="shared" ca="1" si="136"/>
        <v>#N/A</v>
      </c>
      <c r="R131" s="13" t="e">
        <f t="shared" ca="1" si="136"/>
        <v>#N/A</v>
      </c>
      <c r="S131" s="13" t="e">
        <f t="shared" ca="1" si="136"/>
        <v>#N/A</v>
      </c>
      <c r="T131" s="13" t="e">
        <f t="shared" ca="1" si="136"/>
        <v>#N/A</v>
      </c>
      <c r="U131" s="13" t="e">
        <f t="shared" ca="1" si="136"/>
        <v>#N/A</v>
      </c>
      <c r="V131" s="13" t="e">
        <f t="shared" ca="1" si="136"/>
        <v>#N/A</v>
      </c>
      <c r="W131" s="13" t="e">
        <f t="shared" ca="1" si="136"/>
        <v>#N/A</v>
      </c>
      <c r="X131" s="13" t="e">
        <f t="shared" ca="1" si="136"/>
        <v>#N/A</v>
      </c>
      <c r="Y131" s="13" t="e">
        <f t="shared" ca="1" si="136"/>
        <v>#N/A</v>
      </c>
      <c r="Z131" s="13" t="e">
        <f t="shared" ca="1" si="136"/>
        <v>#N/A</v>
      </c>
      <c r="AA131" s="13" t="e">
        <f t="shared" ca="1" si="136"/>
        <v>#N/A</v>
      </c>
      <c r="AB131" s="13" t="e">
        <f t="shared" ca="1" si="136"/>
        <v>#N/A</v>
      </c>
      <c r="AC131" s="13" t="e">
        <f t="shared" ca="1" si="136"/>
        <v>#N/A</v>
      </c>
      <c r="AD131" s="13" t="e">
        <f t="shared" ca="1" si="136"/>
        <v>#N/A</v>
      </c>
      <c r="AE131" s="13" t="e">
        <f t="shared" ca="1" si="136"/>
        <v>#N/A</v>
      </c>
      <c r="AF131" s="13" t="e">
        <f t="shared" ca="1" si="136"/>
        <v>#N/A</v>
      </c>
      <c r="AG131" s="13" t="e">
        <f t="shared" ca="1" si="136"/>
        <v>#N/A</v>
      </c>
      <c r="AH131" s="13" t="e">
        <f t="shared" ca="1" si="136"/>
        <v>#N/A</v>
      </c>
      <c r="AI131" s="13" t="e">
        <f t="shared" ca="1" si="136"/>
        <v>#N/A</v>
      </c>
      <c r="AJ131" s="13" t="e">
        <f t="shared" ca="1" si="136"/>
        <v>#N/A</v>
      </c>
      <c r="AK131" s="13" t="e">
        <f t="shared" ca="1" si="136"/>
        <v>#N/A</v>
      </c>
      <c r="AL131" s="13" t="e">
        <f t="shared" ca="1" si="136"/>
        <v>#N/A</v>
      </c>
      <c r="AM131" s="13" t="e">
        <f t="shared" ca="1" si="136"/>
        <v>#N/A</v>
      </c>
      <c r="AN131" s="13" t="e">
        <f t="shared" ca="1" si="136"/>
        <v>#N/A</v>
      </c>
      <c r="AO131" s="13" t="e">
        <f t="shared" ca="1" si="136"/>
        <v>#N/A</v>
      </c>
      <c r="AP131" s="13" t="e">
        <f t="shared" ca="1" si="136"/>
        <v>#N/A</v>
      </c>
      <c r="AQ131" s="13" t="e">
        <f t="shared" ca="1" si="136"/>
        <v>#N/A</v>
      </c>
      <c r="AR131" s="13" t="e">
        <f t="shared" ca="1" si="136"/>
        <v>#N/A</v>
      </c>
      <c r="AS131" s="13" t="e">
        <f t="shared" ca="1" si="136"/>
        <v>#N/A</v>
      </c>
      <c r="AT131" s="13" t="e">
        <f t="shared" ca="1" si="136"/>
        <v>#N/A</v>
      </c>
      <c r="AU131" s="13" t="e">
        <f t="shared" ca="1" si="136"/>
        <v>#N/A</v>
      </c>
      <c r="AV131" s="13" t="e">
        <f t="shared" ca="1" si="136"/>
        <v>#N/A</v>
      </c>
      <c r="AW131" s="13" t="e">
        <f t="shared" ca="1" si="136"/>
        <v>#N/A</v>
      </c>
      <c r="AX131" s="13" t="e">
        <f t="shared" ca="1" si="136"/>
        <v>#N/A</v>
      </c>
      <c r="AY131" s="13" t="e">
        <f t="shared" ca="1" si="136"/>
        <v>#N/A</v>
      </c>
      <c r="AZ131" s="13" t="e">
        <f t="shared" ca="1" si="136"/>
        <v>#N/A</v>
      </c>
      <c r="BA131" s="13" t="e">
        <f t="shared" ca="1" si="136"/>
        <v>#N/A</v>
      </c>
      <c r="BB131" s="13" t="e">
        <f t="shared" ca="1" si="136"/>
        <v>#N/A</v>
      </c>
      <c r="BC131" s="13" t="e">
        <f t="shared" ca="1" si="136"/>
        <v>#N/A</v>
      </c>
      <c r="BD131" s="13" t="e">
        <f t="shared" ca="1" si="136"/>
        <v>#N/A</v>
      </c>
      <c r="BE131" s="13" t="e">
        <f t="shared" ca="1" si="136"/>
        <v>#N/A</v>
      </c>
      <c r="BF131" s="13" t="e">
        <f t="shared" ca="1" si="136"/>
        <v>#N/A</v>
      </c>
      <c r="BG131" s="13" t="e">
        <f t="shared" ca="1" si="136"/>
        <v>#N/A</v>
      </c>
      <c r="BH131" s="13" t="e">
        <f t="shared" ca="1" si="136"/>
        <v>#N/A</v>
      </c>
      <c r="BI131" s="13" t="e">
        <f t="shared" ca="1" si="136"/>
        <v>#N/A</v>
      </c>
      <c r="BJ131" s="13" t="e">
        <f t="shared" ca="1" si="136"/>
        <v>#N/A</v>
      </c>
      <c r="BK131" s="13" t="e">
        <f t="shared" ca="1" si="136"/>
        <v>#N/A</v>
      </c>
      <c r="BL131" s="13" t="e">
        <f t="shared" ca="1" si="136"/>
        <v>#N/A</v>
      </c>
      <c r="BM131" s="13" t="e">
        <f t="shared" ca="1" si="136"/>
        <v>#N/A</v>
      </c>
      <c r="BN131" s="13" t="e">
        <f t="shared" ca="1" si="136"/>
        <v>#N/A</v>
      </c>
      <c r="BO131" s="13" t="e">
        <f t="shared" ca="1" si="136"/>
        <v>#N/A</v>
      </c>
      <c r="BP131" s="13" t="e">
        <f t="shared" ca="1" si="136"/>
        <v>#N/A</v>
      </c>
      <c r="BQ131" s="13" t="e">
        <f t="shared" ref="BQ131:BV131" ca="1" si="137">BQ68/$D131*100000</f>
        <v>#N/A</v>
      </c>
      <c r="BR131" s="13" t="e">
        <f t="shared" ca="1" si="137"/>
        <v>#N/A</v>
      </c>
      <c r="BS131" s="13" t="e">
        <f t="shared" ca="1" si="137"/>
        <v>#N/A</v>
      </c>
      <c r="BT131" s="13" t="e">
        <f t="shared" ca="1" si="137"/>
        <v>#N/A</v>
      </c>
      <c r="BU131" s="13" t="e">
        <f t="shared" ca="1" si="137"/>
        <v>#N/A</v>
      </c>
      <c r="BV131" s="13" t="e">
        <f t="shared" ca="1" si="137"/>
        <v>#N/A</v>
      </c>
      <c r="BW131" s="13" t="e">
        <f t="shared" ref="BW131:CR131" ca="1" si="138">BW68/$D131*100000</f>
        <v>#N/A</v>
      </c>
      <c r="BX131" s="13" t="e">
        <f t="shared" ca="1" si="138"/>
        <v>#N/A</v>
      </c>
      <c r="BY131" s="13" t="e">
        <f t="shared" ca="1" si="138"/>
        <v>#N/A</v>
      </c>
      <c r="BZ131" s="13" t="e">
        <f t="shared" ca="1" si="138"/>
        <v>#N/A</v>
      </c>
      <c r="CA131" s="13" t="e">
        <f t="shared" ca="1" si="138"/>
        <v>#N/A</v>
      </c>
      <c r="CB131" s="13" t="e">
        <f t="shared" ca="1" si="138"/>
        <v>#N/A</v>
      </c>
      <c r="CC131" s="13" t="e">
        <f t="shared" ca="1" si="138"/>
        <v>#N/A</v>
      </c>
      <c r="CD131" s="13" t="e">
        <f t="shared" ca="1" si="138"/>
        <v>#N/A</v>
      </c>
      <c r="CE131" s="13" t="e">
        <f t="shared" ca="1" si="138"/>
        <v>#N/A</v>
      </c>
      <c r="CF131" s="13" t="e">
        <f t="shared" ca="1" si="138"/>
        <v>#N/A</v>
      </c>
      <c r="CG131" s="13" t="e">
        <f t="shared" ca="1" si="138"/>
        <v>#N/A</v>
      </c>
      <c r="CH131" s="13" t="e">
        <f t="shared" ca="1" si="138"/>
        <v>#N/A</v>
      </c>
      <c r="CI131" s="13" t="e">
        <f t="shared" ca="1" si="138"/>
        <v>#N/A</v>
      </c>
      <c r="CJ131" s="13" t="e">
        <f t="shared" ca="1" si="138"/>
        <v>#N/A</v>
      </c>
      <c r="CK131" s="13" t="e">
        <f t="shared" ca="1" si="138"/>
        <v>#N/A</v>
      </c>
      <c r="CL131" s="13" t="e">
        <f t="shared" ca="1" si="138"/>
        <v>#N/A</v>
      </c>
      <c r="CM131" s="13" t="e">
        <f t="shared" ca="1" si="138"/>
        <v>#N/A</v>
      </c>
      <c r="CN131" s="13" t="e">
        <f t="shared" ca="1" si="138"/>
        <v>#N/A</v>
      </c>
      <c r="CO131" s="13" t="e">
        <f t="shared" ca="1" si="138"/>
        <v>#N/A</v>
      </c>
      <c r="CP131" s="13" t="e">
        <f t="shared" ca="1" si="138"/>
        <v>#N/A</v>
      </c>
      <c r="CQ131" s="13" t="e">
        <f t="shared" ca="1" si="138"/>
        <v>#N/A</v>
      </c>
      <c r="CR131" s="13" t="e">
        <f t="shared" ca="1" si="138"/>
        <v>#N/A</v>
      </c>
    </row>
    <row r="132" spans="1:96" x14ac:dyDescent="0.25">
      <c r="A132" t="e">
        <f t="shared" ca="1" si="64"/>
        <v>#VALUE!</v>
      </c>
      <c r="B132">
        <f t="shared" si="65"/>
        <v>27</v>
      </c>
      <c r="C132">
        <f t="shared" ca="1" si="120"/>
        <v>0</v>
      </c>
      <c r="D132" s="1" t="e">
        <f t="shared" ca="1" si="120"/>
        <v>#N/A</v>
      </c>
      <c r="E132" s="13" t="e">
        <f t="shared" ref="E132:BP132" ca="1" si="139">E69/$D132*100000</f>
        <v>#N/A</v>
      </c>
      <c r="F132" s="13" t="e">
        <f t="shared" ca="1" si="139"/>
        <v>#N/A</v>
      </c>
      <c r="G132" s="13" t="e">
        <f t="shared" ca="1" si="139"/>
        <v>#N/A</v>
      </c>
      <c r="H132" s="13" t="e">
        <f t="shared" ca="1" si="139"/>
        <v>#N/A</v>
      </c>
      <c r="I132" s="13" t="e">
        <f t="shared" ca="1" si="139"/>
        <v>#N/A</v>
      </c>
      <c r="J132" s="13" t="e">
        <f t="shared" ca="1" si="139"/>
        <v>#N/A</v>
      </c>
      <c r="K132" s="13" t="e">
        <f t="shared" ca="1" si="139"/>
        <v>#N/A</v>
      </c>
      <c r="L132" s="13" t="e">
        <f t="shared" ca="1" si="139"/>
        <v>#N/A</v>
      </c>
      <c r="M132" s="13" t="e">
        <f t="shared" ca="1" si="139"/>
        <v>#N/A</v>
      </c>
      <c r="N132" s="13" t="e">
        <f t="shared" ca="1" si="139"/>
        <v>#N/A</v>
      </c>
      <c r="O132" s="13" t="e">
        <f t="shared" ca="1" si="139"/>
        <v>#N/A</v>
      </c>
      <c r="P132" s="13" t="e">
        <f t="shared" ca="1" si="139"/>
        <v>#N/A</v>
      </c>
      <c r="Q132" s="13" t="e">
        <f t="shared" ca="1" si="139"/>
        <v>#N/A</v>
      </c>
      <c r="R132" s="13" t="e">
        <f t="shared" ca="1" si="139"/>
        <v>#N/A</v>
      </c>
      <c r="S132" s="13" t="e">
        <f t="shared" ca="1" si="139"/>
        <v>#N/A</v>
      </c>
      <c r="T132" s="13" t="e">
        <f t="shared" ca="1" si="139"/>
        <v>#N/A</v>
      </c>
      <c r="U132" s="13" t="e">
        <f t="shared" ca="1" si="139"/>
        <v>#N/A</v>
      </c>
      <c r="V132" s="13" t="e">
        <f t="shared" ca="1" si="139"/>
        <v>#N/A</v>
      </c>
      <c r="W132" s="13" t="e">
        <f t="shared" ca="1" si="139"/>
        <v>#N/A</v>
      </c>
      <c r="X132" s="13" t="e">
        <f t="shared" ca="1" si="139"/>
        <v>#N/A</v>
      </c>
      <c r="Y132" s="13" t="e">
        <f t="shared" ca="1" si="139"/>
        <v>#N/A</v>
      </c>
      <c r="Z132" s="13" t="e">
        <f t="shared" ca="1" si="139"/>
        <v>#N/A</v>
      </c>
      <c r="AA132" s="13" t="e">
        <f t="shared" ca="1" si="139"/>
        <v>#N/A</v>
      </c>
      <c r="AB132" s="13" t="e">
        <f t="shared" ca="1" si="139"/>
        <v>#N/A</v>
      </c>
      <c r="AC132" s="13" t="e">
        <f t="shared" ca="1" si="139"/>
        <v>#N/A</v>
      </c>
      <c r="AD132" s="13" t="e">
        <f t="shared" ca="1" si="139"/>
        <v>#N/A</v>
      </c>
      <c r="AE132" s="13" t="e">
        <f t="shared" ca="1" si="139"/>
        <v>#N/A</v>
      </c>
      <c r="AF132" s="13" t="e">
        <f t="shared" ca="1" si="139"/>
        <v>#N/A</v>
      </c>
      <c r="AG132" s="13" t="e">
        <f t="shared" ca="1" si="139"/>
        <v>#N/A</v>
      </c>
      <c r="AH132" s="13" t="e">
        <f t="shared" ca="1" si="139"/>
        <v>#N/A</v>
      </c>
      <c r="AI132" s="13" t="e">
        <f t="shared" ca="1" si="139"/>
        <v>#N/A</v>
      </c>
      <c r="AJ132" s="13" t="e">
        <f t="shared" ca="1" si="139"/>
        <v>#N/A</v>
      </c>
      <c r="AK132" s="13" t="e">
        <f t="shared" ca="1" si="139"/>
        <v>#N/A</v>
      </c>
      <c r="AL132" s="13" t="e">
        <f t="shared" ca="1" si="139"/>
        <v>#N/A</v>
      </c>
      <c r="AM132" s="13" t="e">
        <f t="shared" ca="1" si="139"/>
        <v>#N/A</v>
      </c>
      <c r="AN132" s="13" t="e">
        <f t="shared" ca="1" si="139"/>
        <v>#N/A</v>
      </c>
      <c r="AO132" s="13" t="e">
        <f t="shared" ca="1" si="139"/>
        <v>#N/A</v>
      </c>
      <c r="AP132" s="13" t="e">
        <f t="shared" ca="1" si="139"/>
        <v>#N/A</v>
      </c>
      <c r="AQ132" s="13" t="e">
        <f t="shared" ca="1" si="139"/>
        <v>#N/A</v>
      </c>
      <c r="AR132" s="13" t="e">
        <f t="shared" ca="1" si="139"/>
        <v>#N/A</v>
      </c>
      <c r="AS132" s="13" t="e">
        <f t="shared" ca="1" si="139"/>
        <v>#N/A</v>
      </c>
      <c r="AT132" s="13" t="e">
        <f t="shared" ca="1" si="139"/>
        <v>#N/A</v>
      </c>
      <c r="AU132" s="13" t="e">
        <f t="shared" ca="1" si="139"/>
        <v>#N/A</v>
      </c>
      <c r="AV132" s="13" t="e">
        <f t="shared" ca="1" si="139"/>
        <v>#N/A</v>
      </c>
      <c r="AW132" s="13" t="e">
        <f t="shared" ca="1" si="139"/>
        <v>#N/A</v>
      </c>
      <c r="AX132" s="13" t="e">
        <f t="shared" ca="1" si="139"/>
        <v>#N/A</v>
      </c>
      <c r="AY132" s="13" t="e">
        <f t="shared" ca="1" si="139"/>
        <v>#N/A</v>
      </c>
      <c r="AZ132" s="13" t="e">
        <f t="shared" ca="1" si="139"/>
        <v>#N/A</v>
      </c>
      <c r="BA132" s="13" t="e">
        <f t="shared" ca="1" si="139"/>
        <v>#N/A</v>
      </c>
      <c r="BB132" s="13" t="e">
        <f t="shared" ca="1" si="139"/>
        <v>#N/A</v>
      </c>
      <c r="BC132" s="13" t="e">
        <f t="shared" ca="1" si="139"/>
        <v>#N/A</v>
      </c>
      <c r="BD132" s="13" t="e">
        <f t="shared" ca="1" si="139"/>
        <v>#N/A</v>
      </c>
      <c r="BE132" s="13" t="e">
        <f t="shared" ca="1" si="139"/>
        <v>#N/A</v>
      </c>
      <c r="BF132" s="13" t="e">
        <f t="shared" ca="1" si="139"/>
        <v>#N/A</v>
      </c>
      <c r="BG132" s="13" t="e">
        <f t="shared" ca="1" si="139"/>
        <v>#N/A</v>
      </c>
      <c r="BH132" s="13" t="e">
        <f t="shared" ca="1" si="139"/>
        <v>#N/A</v>
      </c>
      <c r="BI132" s="13" t="e">
        <f t="shared" ca="1" si="139"/>
        <v>#N/A</v>
      </c>
      <c r="BJ132" s="13" t="e">
        <f t="shared" ca="1" si="139"/>
        <v>#N/A</v>
      </c>
      <c r="BK132" s="13" t="e">
        <f t="shared" ca="1" si="139"/>
        <v>#N/A</v>
      </c>
      <c r="BL132" s="13" t="e">
        <f t="shared" ca="1" si="139"/>
        <v>#N/A</v>
      </c>
      <c r="BM132" s="13" t="e">
        <f t="shared" ca="1" si="139"/>
        <v>#N/A</v>
      </c>
      <c r="BN132" s="13" t="e">
        <f t="shared" ca="1" si="139"/>
        <v>#N/A</v>
      </c>
      <c r="BO132" s="13" t="e">
        <f t="shared" ca="1" si="139"/>
        <v>#N/A</v>
      </c>
      <c r="BP132" s="13" t="e">
        <f t="shared" ca="1" si="139"/>
        <v>#N/A</v>
      </c>
      <c r="BQ132" s="13" t="e">
        <f t="shared" ref="BQ132:BV132" ca="1" si="140">BQ69/$D132*100000</f>
        <v>#N/A</v>
      </c>
      <c r="BR132" s="13" t="e">
        <f t="shared" ca="1" si="140"/>
        <v>#N/A</v>
      </c>
      <c r="BS132" s="13" t="e">
        <f t="shared" ca="1" si="140"/>
        <v>#N/A</v>
      </c>
      <c r="BT132" s="13" t="e">
        <f t="shared" ca="1" si="140"/>
        <v>#N/A</v>
      </c>
      <c r="BU132" s="13" t="e">
        <f t="shared" ca="1" si="140"/>
        <v>#N/A</v>
      </c>
      <c r="BV132" s="13" t="e">
        <f t="shared" ca="1" si="140"/>
        <v>#N/A</v>
      </c>
      <c r="BW132" s="13" t="e">
        <f t="shared" ref="BW132:CR132" ca="1" si="141">BW69/$D132*100000</f>
        <v>#N/A</v>
      </c>
      <c r="BX132" s="13" t="e">
        <f t="shared" ca="1" si="141"/>
        <v>#N/A</v>
      </c>
      <c r="BY132" s="13" t="e">
        <f t="shared" ca="1" si="141"/>
        <v>#N/A</v>
      </c>
      <c r="BZ132" s="13" t="e">
        <f t="shared" ca="1" si="141"/>
        <v>#N/A</v>
      </c>
      <c r="CA132" s="13" t="e">
        <f t="shared" ca="1" si="141"/>
        <v>#N/A</v>
      </c>
      <c r="CB132" s="13" t="e">
        <f t="shared" ca="1" si="141"/>
        <v>#N/A</v>
      </c>
      <c r="CC132" s="13" t="e">
        <f t="shared" ca="1" si="141"/>
        <v>#N/A</v>
      </c>
      <c r="CD132" s="13" t="e">
        <f t="shared" ca="1" si="141"/>
        <v>#N/A</v>
      </c>
      <c r="CE132" s="13" t="e">
        <f t="shared" ca="1" si="141"/>
        <v>#N/A</v>
      </c>
      <c r="CF132" s="13" t="e">
        <f t="shared" ca="1" si="141"/>
        <v>#N/A</v>
      </c>
      <c r="CG132" s="13" t="e">
        <f t="shared" ca="1" si="141"/>
        <v>#N/A</v>
      </c>
      <c r="CH132" s="13" t="e">
        <f t="shared" ca="1" si="141"/>
        <v>#N/A</v>
      </c>
      <c r="CI132" s="13" t="e">
        <f t="shared" ca="1" si="141"/>
        <v>#N/A</v>
      </c>
      <c r="CJ132" s="13" t="e">
        <f t="shared" ca="1" si="141"/>
        <v>#N/A</v>
      </c>
      <c r="CK132" s="13" t="e">
        <f t="shared" ca="1" si="141"/>
        <v>#N/A</v>
      </c>
      <c r="CL132" s="13" t="e">
        <f t="shared" ca="1" si="141"/>
        <v>#N/A</v>
      </c>
      <c r="CM132" s="13" t="e">
        <f t="shared" ca="1" si="141"/>
        <v>#N/A</v>
      </c>
      <c r="CN132" s="13" t="e">
        <f t="shared" ca="1" si="141"/>
        <v>#N/A</v>
      </c>
      <c r="CO132" s="13" t="e">
        <f t="shared" ca="1" si="141"/>
        <v>#N/A</v>
      </c>
      <c r="CP132" s="13" t="e">
        <f t="shared" ca="1" si="141"/>
        <v>#N/A</v>
      </c>
      <c r="CQ132" s="13" t="e">
        <f t="shared" ca="1" si="141"/>
        <v>#N/A</v>
      </c>
      <c r="CR132" s="13" t="e">
        <f t="shared" ca="1" si="141"/>
        <v>#N/A</v>
      </c>
    </row>
    <row r="133" spans="1:96" x14ac:dyDescent="0.25">
      <c r="B133">
        <f t="shared" si="65"/>
        <v>28</v>
      </c>
      <c r="C133">
        <f t="shared" ca="1" si="120"/>
        <v>0</v>
      </c>
      <c r="D133" s="1" t="e">
        <f t="shared" ca="1" si="120"/>
        <v>#N/A</v>
      </c>
      <c r="E133" s="13" t="e">
        <f t="shared" ref="E133:BP133" ca="1" si="142">E70/$D133*100000</f>
        <v>#N/A</v>
      </c>
      <c r="F133" s="13" t="e">
        <f t="shared" ca="1" si="142"/>
        <v>#N/A</v>
      </c>
      <c r="G133" s="13" t="e">
        <f t="shared" ca="1" si="142"/>
        <v>#N/A</v>
      </c>
      <c r="H133" s="13" t="e">
        <f t="shared" ca="1" si="142"/>
        <v>#N/A</v>
      </c>
      <c r="I133" s="13" t="e">
        <f t="shared" ca="1" si="142"/>
        <v>#N/A</v>
      </c>
      <c r="J133" s="13" t="e">
        <f t="shared" ca="1" si="142"/>
        <v>#N/A</v>
      </c>
      <c r="K133" s="13" t="e">
        <f t="shared" ca="1" si="142"/>
        <v>#N/A</v>
      </c>
      <c r="L133" s="13" t="e">
        <f t="shared" ca="1" si="142"/>
        <v>#N/A</v>
      </c>
      <c r="M133" s="13" t="e">
        <f t="shared" ca="1" si="142"/>
        <v>#N/A</v>
      </c>
      <c r="N133" s="13" t="e">
        <f t="shared" ca="1" si="142"/>
        <v>#N/A</v>
      </c>
      <c r="O133" s="13" t="e">
        <f t="shared" ca="1" si="142"/>
        <v>#N/A</v>
      </c>
      <c r="P133" s="13" t="e">
        <f t="shared" ca="1" si="142"/>
        <v>#N/A</v>
      </c>
      <c r="Q133" s="13" t="e">
        <f t="shared" ca="1" si="142"/>
        <v>#N/A</v>
      </c>
      <c r="R133" s="13" t="e">
        <f t="shared" ca="1" si="142"/>
        <v>#N/A</v>
      </c>
      <c r="S133" s="13" t="e">
        <f t="shared" ca="1" si="142"/>
        <v>#N/A</v>
      </c>
      <c r="T133" s="13" t="e">
        <f t="shared" ca="1" si="142"/>
        <v>#N/A</v>
      </c>
      <c r="U133" s="13" t="e">
        <f t="shared" ca="1" si="142"/>
        <v>#N/A</v>
      </c>
      <c r="V133" s="13" t="e">
        <f t="shared" ca="1" si="142"/>
        <v>#N/A</v>
      </c>
      <c r="W133" s="13" t="e">
        <f t="shared" ca="1" si="142"/>
        <v>#N/A</v>
      </c>
      <c r="X133" s="13" t="e">
        <f t="shared" ca="1" si="142"/>
        <v>#N/A</v>
      </c>
      <c r="Y133" s="13" t="e">
        <f t="shared" ca="1" si="142"/>
        <v>#N/A</v>
      </c>
      <c r="Z133" s="13" t="e">
        <f t="shared" ca="1" si="142"/>
        <v>#N/A</v>
      </c>
      <c r="AA133" s="13" t="e">
        <f t="shared" ca="1" si="142"/>
        <v>#N/A</v>
      </c>
      <c r="AB133" s="13" t="e">
        <f t="shared" ca="1" si="142"/>
        <v>#N/A</v>
      </c>
      <c r="AC133" s="13" t="e">
        <f t="shared" ca="1" si="142"/>
        <v>#N/A</v>
      </c>
      <c r="AD133" s="13" t="e">
        <f t="shared" ca="1" si="142"/>
        <v>#N/A</v>
      </c>
      <c r="AE133" s="13" t="e">
        <f t="shared" ca="1" si="142"/>
        <v>#N/A</v>
      </c>
      <c r="AF133" s="13" t="e">
        <f t="shared" ca="1" si="142"/>
        <v>#N/A</v>
      </c>
      <c r="AG133" s="13" t="e">
        <f t="shared" ca="1" si="142"/>
        <v>#N/A</v>
      </c>
      <c r="AH133" s="13" t="e">
        <f t="shared" ca="1" si="142"/>
        <v>#N/A</v>
      </c>
      <c r="AI133" s="13" t="e">
        <f t="shared" ca="1" si="142"/>
        <v>#N/A</v>
      </c>
      <c r="AJ133" s="13" t="e">
        <f t="shared" ca="1" si="142"/>
        <v>#N/A</v>
      </c>
      <c r="AK133" s="13" t="e">
        <f t="shared" ca="1" si="142"/>
        <v>#N/A</v>
      </c>
      <c r="AL133" s="13" t="e">
        <f t="shared" ca="1" si="142"/>
        <v>#N/A</v>
      </c>
      <c r="AM133" s="13" t="e">
        <f t="shared" ca="1" si="142"/>
        <v>#N/A</v>
      </c>
      <c r="AN133" s="13" t="e">
        <f t="shared" ca="1" si="142"/>
        <v>#N/A</v>
      </c>
      <c r="AO133" s="13" t="e">
        <f t="shared" ca="1" si="142"/>
        <v>#N/A</v>
      </c>
      <c r="AP133" s="13" t="e">
        <f t="shared" ca="1" si="142"/>
        <v>#N/A</v>
      </c>
      <c r="AQ133" s="13" t="e">
        <f t="shared" ca="1" si="142"/>
        <v>#N/A</v>
      </c>
      <c r="AR133" s="13" t="e">
        <f t="shared" ca="1" si="142"/>
        <v>#N/A</v>
      </c>
      <c r="AS133" s="13" t="e">
        <f t="shared" ca="1" si="142"/>
        <v>#N/A</v>
      </c>
      <c r="AT133" s="13" t="e">
        <f t="shared" ca="1" si="142"/>
        <v>#N/A</v>
      </c>
      <c r="AU133" s="13" t="e">
        <f t="shared" ca="1" si="142"/>
        <v>#N/A</v>
      </c>
      <c r="AV133" s="13" t="e">
        <f t="shared" ca="1" si="142"/>
        <v>#N/A</v>
      </c>
      <c r="AW133" s="13" t="e">
        <f t="shared" ca="1" si="142"/>
        <v>#N/A</v>
      </c>
      <c r="AX133" s="13" t="e">
        <f t="shared" ca="1" si="142"/>
        <v>#N/A</v>
      </c>
      <c r="AY133" s="13" t="e">
        <f t="shared" ca="1" si="142"/>
        <v>#N/A</v>
      </c>
      <c r="AZ133" s="13" t="e">
        <f t="shared" ca="1" si="142"/>
        <v>#N/A</v>
      </c>
      <c r="BA133" s="13" t="e">
        <f t="shared" ca="1" si="142"/>
        <v>#N/A</v>
      </c>
      <c r="BB133" s="13" t="e">
        <f t="shared" ca="1" si="142"/>
        <v>#N/A</v>
      </c>
      <c r="BC133" s="13" t="e">
        <f t="shared" ca="1" si="142"/>
        <v>#N/A</v>
      </c>
      <c r="BD133" s="13" t="e">
        <f t="shared" ca="1" si="142"/>
        <v>#N/A</v>
      </c>
      <c r="BE133" s="13" t="e">
        <f t="shared" ca="1" si="142"/>
        <v>#N/A</v>
      </c>
      <c r="BF133" s="13" t="e">
        <f t="shared" ca="1" si="142"/>
        <v>#N/A</v>
      </c>
      <c r="BG133" s="13" t="e">
        <f t="shared" ca="1" si="142"/>
        <v>#N/A</v>
      </c>
      <c r="BH133" s="13" t="e">
        <f t="shared" ca="1" si="142"/>
        <v>#N/A</v>
      </c>
      <c r="BI133" s="13" t="e">
        <f t="shared" ca="1" si="142"/>
        <v>#N/A</v>
      </c>
      <c r="BJ133" s="13" t="e">
        <f t="shared" ca="1" si="142"/>
        <v>#N/A</v>
      </c>
      <c r="BK133" s="13" t="e">
        <f t="shared" ca="1" si="142"/>
        <v>#N/A</v>
      </c>
      <c r="BL133" s="13" t="e">
        <f t="shared" ca="1" si="142"/>
        <v>#N/A</v>
      </c>
      <c r="BM133" s="13" t="e">
        <f t="shared" ca="1" si="142"/>
        <v>#N/A</v>
      </c>
      <c r="BN133" s="13" t="e">
        <f t="shared" ca="1" si="142"/>
        <v>#N/A</v>
      </c>
      <c r="BO133" s="13" t="e">
        <f t="shared" ca="1" si="142"/>
        <v>#N/A</v>
      </c>
      <c r="BP133" s="13" t="e">
        <f t="shared" ca="1" si="142"/>
        <v>#N/A</v>
      </c>
      <c r="BQ133" s="13" t="e">
        <f t="shared" ref="BQ133:BV133" ca="1" si="143">BQ70/$D133*100000</f>
        <v>#N/A</v>
      </c>
      <c r="BR133" s="13" t="e">
        <f t="shared" ca="1" si="143"/>
        <v>#N/A</v>
      </c>
      <c r="BS133" s="13" t="e">
        <f t="shared" ca="1" si="143"/>
        <v>#N/A</v>
      </c>
      <c r="BT133" s="13" t="e">
        <f t="shared" ca="1" si="143"/>
        <v>#N/A</v>
      </c>
      <c r="BU133" s="13" t="e">
        <f t="shared" ca="1" si="143"/>
        <v>#N/A</v>
      </c>
      <c r="BV133" s="13" t="e">
        <f t="shared" ca="1" si="143"/>
        <v>#N/A</v>
      </c>
      <c r="BW133" s="13" t="e">
        <f t="shared" ref="BW133:CR133" ca="1" si="144">BW70/$D133*100000</f>
        <v>#N/A</v>
      </c>
      <c r="BX133" s="13" t="e">
        <f t="shared" ca="1" si="144"/>
        <v>#N/A</v>
      </c>
      <c r="BY133" s="13" t="e">
        <f t="shared" ca="1" si="144"/>
        <v>#N/A</v>
      </c>
      <c r="BZ133" s="13" t="e">
        <f t="shared" ca="1" si="144"/>
        <v>#N/A</v>
      </c>
      <c r="CA133" s="13" t="e">
        <f t="shared" ca="1" si="144"/>
        <v>#N/A</v>
      </c>
      <c r="CB133" s="13" t="e">
        <f t="shared" ca="1" si="144"/>
        <v>#N/A</v>
      </c>
      <c r="CC133" s="13" t="e">
        <f t="shared" ca="1" si="144"/>
        <v>#N/A</v>
      </c>
      <c r="CD133" s="13" t="e">
        <f t="shared" ca="1" si="144"/>
        <v>#N/A</v>
      </c>
      <c r="CE133" s="13" t="e">
        <f t="shared" ca="1" si="144"/>
        <v>#N/A</v>
      </c>
      <c r="CF133" s="13" t="e">
        <f t="shared" ca="1" si="144"/>
        <v>#N/A</v>
      </c>
      <c r="CG133" s="13" t="e">
        <f t="shared" ca="1" si="144"/>
        <v>#N/A</v>
      </c>
      <c r="CH133" s="13" t="e">
        <f t="shared" ca="1" si="144"/>
        <v>#N/A</v>
      </c>
      <c r="CI133" s="13" t="e">
        <f t="shared" ca="1" si="144"/>
        <v>#N/A</v>
      </c>
      <c r="CJ133" s="13" t="e">
        <f t="shared" ca="1" si="144"/>
        <v>#N/A</v>
      </c>
      <c r="CK133" s="13" t="e">
        <f t="shared" ca="1" si="144"/>
        <v>#N/A</v>
      </c>
      <c r="CL133" s="13" t="e">
        <f t="shared" ca="1" si="144"/>
        <v>#N/A</v>
      </c>
      <c r="CM133" s="13" t="e">
        <f t="shared" ca="1" si="144"/>
        <v>#N/A</v>
      </c>
      <c r="CN133" s="13" t="e">
        <f t="shared" ca="1" si="144"/>
        <v>#N/A</v>
      </c>
      <c r="CO133" s="13" t="e">
        <f t="shared" ca="1" si="144"/>
        <v>#N/A</v>
      </c>
      <c r="CP133" s="13" t="e">
        <f t="shared" ca="1" si="144"/>
        <v>#N/A</v>
      </c>
      <c r="CQ133" s="13" t="e">
        <f t="shared" ca="1" si="144"/>
        <v>#N/A</v>
      </c>
      <c r="CR133" s="13" t="e">
        <f t="shared" ca="1" si="144"/>
        <v>#N/A</v>
      </c>
    </row>
    <row r="134" spans="1:96" x14ac:dyDescent="0.25">
      <c r="B134">
        <f t="shared" si="65"/>
        <v>29</v>
      </c>
      <c r="C134">
        <f t="shared" ca="1" si="120"/>
        <v>0</v>
      </c>
      <c r="D134" s="1" t="e">
        <f t="shared" ca="1" si="120"/>
        <v>#N/A</v>
      </c>
      <c r="E134" s="13" t="e">
        <f t="shared" ref="E134:BP134" ca="1" si="145">E71/$D134*100000</f>
        <v>#N/A</v>
      </c>
      <c r="F134" s="13" t="e">
        <f t="shared" ca="1" si="145"/>
        <v>#N/A</v>
      </c>
      <c r="G134" s="13" t="e">
        <f t="shared" ca="1" si="145"/>
        <v>#N/A</v>
      </c>
      <c r="H134" s="13" t="e">
        <f t="shared" ca="1" si="145"/>
        <v>#N/A</v>
      </c>
      <c r="I134" s="13" t="e">
        <f t="shared" ca="1" si="145"/>
        <v>#N/A</v>
      </c>
      <c r="J134" s="13" t="e">
        <f t="shared" ca="1" si="145"/>
        <v>#N/A</v>
      </c>
      <c r="K134" s="13" t="e">
        <f t="shared" ca="1" si="145"/>
        <v>#N/A</v>
      </c>
      <c r="L134" s="13" t="e">
        <f t="shared" ca="1" si="145"/>
        <v>#N/A</v>
      </c>
      <c r="M134" s="13" t="e">
        <f t="shared" ca="1" si="145"/>
        <v>#N/A</v>
      </c>
      <c r="N134" s="13" t="e">
        <f t="shared" ca="1" si="145"/>
        <v>#N/A</v>
      </c>
      <c r="O134" s="13" t="e">
        <f t="shared" ca="1" si="145"/>
        <v>#N/A</v>
      </c>
      <c r="P134" s="13" t="e">
        <f t="shared" ca="1" si="145"/>
        <v>#N/A</v>
      </c>
      <c r="Q134" s="13" t="e">
        <f t="shared" ca="1" si="145"/>
        <v>#N/A</v>
      </c>
      <c r="R134" s="13" t="e">
        <f t="shared" ca="1" si="145"/>
        <v>#N/A</v>
      </c>
      <c r="S134" s="13" t="e">
        <f t="shared" ca="1" si="145"/>
        <v>#N/A</v>
      </c>
      <c r="T134" s="13" t="e">
        <f t="shared" ca="1" si="145"/>
        <v>#N/A</v>
      </c>
      <c r="U134" s="13" t="e">
        <f t="shared" ca="1" si="145"/>
        <v>#N/A</v>
      </c>
      <c r="V134" s="13" t="e">
        <f t="shared" ca="1" si="145"/>
        <v>#N/A</v>
      </c>
      <c r="W134" s="13" t="e">
        <f t="shared" ca="1" si="145"/>
        <v>#N/A</v>
      </c>
      <c r="X134" s="13" t="e">
        <f t="shared" ca="1" si="145"/>
        <v>#N/A</v>
      </c>
      <c r="Y134" s="13" t="e">
        <f t="shared" ca="1" si="145"/>
        <v>#N/A</v>
      </c>
      <c r="Z134" s="13" t="e">
        <f t="shared" ca="1" si="145"/>
        <v>#N/A</v>
      </c>
      <c r="AA134" s="13" t="e">
        <f t="shared" ca="1" si="145"/>
        <v>#N/A</v>
      </c>
      <c r="AB134" s="13" t="e">
        <f t="shared" ca="1" si="145"/>
        <v>#N/A</v>
      </c>
      <c r="AC134" s="13" t="e">
        <f t="shared" ca="1" si="145"/>
        <v>#N/A</v>
      </c>
      <c r="AD134" s="13" t="e">
        <f t="shared" ca="1" si="145"/>
        <v>#N/A</v>
      </c>
      <c r="AE134" s="13" t="e">
        <f t="shared" ca="1" si="145"/>
        <v>#N/A</v>
      </c>
      <c r="AF134" s="13" t="e">
        <f t="shared" ca="1" si="145"/>
        <v>#N/A</v>
      </c>
      <c r="AG134" s="13" t="e">
        <f t="shared" ca="1" si="145"/>
        <v>#N/A</v>
      </c>
      <c r="AH134" s="13" t="e">
        <f t="shared" ca="1" si="145"/>
        <v>#N/A</v>
      </c>
      <c r="AI134" s="13" t="e">
        <f t="shared" ca="1" si="145"/>
        <v>#N/A</v>
      </c>
      <c r="AJ134" s="13" t="e">
        <f t="shared" ca="1" si="145"/>
        <v>#N/A</v>
      </c>
      <c r="AK134" s="13" t="e">
        <f t="shared" ca="1" si="145"/>
        <v>#N/A</v>
      </c>
      <c r="AL134" s="13" t="e">
        <f t="shared" ca="1" si="145"/>
        <v>#N/A</v>
      </c>
      <c r="AM134" s="13" t="e">
        <f t="shared" ca="1" si="145"/>
        <v>#N/A</v>
      </c>
      <c r="AN134" s="13" t="e">
        <f t="shared" ca="1" si="145"/>
        <v>#N/A</v>
      </c>
      <c r="AO134" s="13" t="e">
        <f t="shared" ca="1" si="145"/>
        <v>#N/A</v>
      </c>
      <c r="AP134" s="13" t="e">
        <f t="shared" ca="1" si="145"/>
        <v>#N/A</v>
      </c>
      <c r="AQ134" s="13" t="e">
        <f t="shared" ca="1" si="145"/>
        <v>#N/A</v>
      </c>
      <c r="AR134" s="13" t="e">
        <f t="shared" ca="1" si="145"/>
        <v>#N/A</v>
      </c>
      <c r="AS134" s="13" t="e">
        <f t="shared" ca="1" si="145"/>
        <v>#N/A</v>
      </c>
      <c r="AT134" s="13" t="e">
        <f t="shared" ca="1" si="145"/>
        <v>#N/A</v>
      </c>
      <c r="AU134" s="13" t="e">
        <f t="shared" ca="1" si="145"/>
        <v>#N/A</v>
      </c>
      <c r="AV134" s="13" t="e">
        <f t="shared" ca="1" si="145"/>
        <v>#N/A</v>
      </c>
      <c r="AW134" s="13" t="e">
        <f t="shared" ca="1" si="145"/>
        <v>#N/A</v>
      </c>
      <c r="AX134" s="13" t="e">
        <f t="shared" ca="1" si="145"/>
        <v>#N/A</v>
      </c>
      <c r="AY134" s="13" t="e">
        <f t="shared" ca="1" si="145"/>
        <v>#N/A</v>
      </c>
      <c r="AZ134" s="13" t="e">
        <f t="shared" ca="1" si="145"/>
        <v>#N/A</v>
      </c>
      <c r="BA134" s="13" t="e">
        <f t="shared" ca="1" si="145"/>
        <v>#N/A</v>
      </c>
      <c r="BB134" s="13" t="e">
        <f t="shared" ca="1" si="145"/>
        <v>#N/A</v>
      </c>
      <c r="BC134" s="13" t="e">
        <f t="shared" ca="1" si="145"/>
        <v>#N/A</v>
      </c>
      <c r="BD134" s="13" t="e">
        <f t="shared" ca="1" si="145"/>
        <v>#N/A</v>
      </c>
      <c r="BE134" s="13" t="e">
        <f t="shared" ca="1" si="145"/>
        <v>#N/A</v>
      </c>
      <c r="BF134" s="13" t="e">
        <f t="shared" ca="1" si="145"/>
        <v>#N/A</v>
      </c>
      <c r="BG134" s="13" t="e">
        <f t="shared" ca="1" si="145"/>
        <v>#N/A</v>
      </c>
      <c r="BH134" s="13" t="e">
        <f t="shared" ca="1" si="145"/>
        <v>#N/A</v>
      </c>
      <c r="BI134" s="13" t="e">
        <f t="shared" ca="1" si="145"/>
        <v>#N/A</v>
      </c>
      <c r="BJ134" s="13" t="e">
        <f t="shared" ca="1" si="145"/>
        <v>#N/A</v>
      </c>
      <c r="BK134" s="13" t="e">
        <f t="shared" ca="1" si="145"/>
        <v>#N/A</v>
      </c>
      <c r="BL134" s="13" t="e">
        <f t="shared" ca="1" si="145"/>
        <v>#N/A</v>
      </c>
      <c r="BM134" s="13" t="e">
        <f t="shared" ca="1" si="145"/>
        <v>#N/A</v>
      </c>
      <c r="BN134" s="13" t="e">
        <f t="shared" ca="1" si="145"/>
        <v>#N/A</v>
      </c>
      <c r="BO134" s="13" t="e">
        <f t="shared" ca="1" si="145"/>
        <v>#N/A</v>
      </c>
      <c r="BP134" s="13" t="e">
        <f t="shared" ca="1" si="145"/>
        <v>#N/A</v>
      </c>
      <c r="BQ134" s="13" t="e">
        <f t="shared" ref="BQ134:BV134" ca="1" si="146">BQ71/$D134*100000</f>
        <v>#N/A</v>
      </c>
      <c r="BR134" s="13" t="e">
        <f t="shared" ca="1" si="146"/>
        <v>#N/A</v>
      </c>
      <c r="BS134" s="13" t="e">
        <f t="shared" ca="1" si="146"/>
        <v>#N/A</v>
      </c>
      <c r="BT134" s="13" t="e">
        <f t="shared" ca="1" si="146"/>
        <v>#N/A</v>
      </c>
      <c r="BU134" s="13" t="e">
        <f t="shared" ca="1" si="146"/>
        <v>#N/A</v>
      </c>
      <c r="BV134" s="13" t="e">
        <f t="shared" ca="1" si="146"/>
        <v>#N/A</v>
      </c>
      <c r="BW134" s="13" t="e">
        <f t="shared" ref="BW134:CR134" ca="1" si="147">BW71/$D134*100000</f>
        <v>#N/A</v>
      </c>
      <c r="BX134" s="13" t="e">
        <f t="shared" ca="1" si="147"/>
        <v>#N/A</v>
      </c>
      <c r="BY134" s="13" t="e">
        <f t="shared" ca="1" si="147"/>
        <v>#N/A</v>
      </c>
      <c r="BZ134" s="13" t="e">
        <f t="shared" ca="1" si="147"/>
        <v>#N/A</v>
      </c>
      <c r="CA134" s="13" t="e">
        <f t="shared" ca="1" si="147"/>
        <v>#N/A</v>
      </c>
      <c r="CB134" s="13" t="e">
        <f t="shared" ca="1" si="147"/>
        <v>#N/A</v>
      </c>
      <c r="CC134" s="13" t="e">
        <f t="shared" ca="1" si="147"/>
        <v>#N/A</v>
      </c>
      <c r="CD134" s="13" t="e">
        <f t="shared" ca="1" si="147"/>
        <v>#N/A</v>
      </c>
      <c r="CE134" s="13" t="e">
        <f t="shared" ca="1" si="147"/>
        <v>#N/A</v>
      </c>
      <c r="CF134" s="13" t="e">
        <f t="shared" ca="1" si="147"/>
        <v>#N/A</v>
      </c>
      <c r="CG134" s="13" t="e">
        <f t="shared" ca="1" si="147"/>
        <v>#N/A</v>
      </c>
      <c r="CH134" s="13" t="e">
        <f t="shared" ca="1" si="147"/>
        <v>#N/A</v>
      </c>
      <c r="CI134" s="13" t="e">
        <f t="shared" ca="1" si="147"/>
        <v>#N/A</v>
      </c>
      <c r="CJ134" s="13" t="e">
        <f t="shared" ca="1" si="147"/>
        <v>#N/A</v>
      </c>
      <c r="CK134" s="13" t="e">
        <f t="shared" ca="1" si="147"/>
        <v>#N/A</v>
      </c>
      <c r="CL134" s="13" t="e">
        <f t="shared" ca="1" si="147"/>
        <v>#N/A</v>
      </c>
      <c r="CM134" s="13" t="e">
        <f t="shared" ca="1" si="147"/>
        <v>#N/A</v>
      </c>
      <c r="CN134" s="13" t="e">
        <f t="shared" ca="1" si="147"/>
        <v>#N/A</v>
      </c>
      <c r="CO134" s="13" t="e">
        <f t="shared" ca="1" si="147"/>
        <v>#N/A</v>
      </c>
      <c r="CP134" s="13" t="e">
        <f t="shared" ca="1" si="147"/>
        <v>#N/A</v>
      </c>
      <c r="CQ134" s="13" t="e">
        <f t="shared" ca="1" si="147"/>
        <v>#N/A</v>
      </c>
      <c r="CR134" s="13" t="e">
        <f t="shared" ca="1" si="147"/>
        <v>#N/A</v>
      </c>
    </row>
    <row r="135" spans="1:96" x14ac:dyDescent="0.25">
      <c r="B135">
        <f t="shared" si="65"/>
        <v>30</v>
      </c>
      <c r="C135">
        <f t="shared" ca="1" si="120"/>
        <v>0</v>
      </c>
      <c r="D135" s="1" t="e">
        <f t="shared" ca="1" si="120"/>
        <v>#N/A</v>
      </c>
      <c r="E135" s="13" t="e">
        <f t="shared" ref="E135:BP135" ca="1" si="148">E72/$D135*100000</f>
        <v>#N/A</v>
      </c>
      <c r="F135" s="13" t="e">
        <f t="shared" ca="1" si="148"/>
        <v>#N/A</v>
      </c>
      <c r="G135" s="13" t="e">
        <f t="shared" ca="1" si="148"/>
        <v>#N/A</v>
      </c>
      <c r="H135" s="13" t="e">
        <f t="shared" ca="1" si="148"/>
        <v>#N/A</v>
      </c>
      <c r="I135" s="13" t="e">
        <f t="shared" ca="1" si="148"/>
        <v>#N/A</v>
      </c>
      <c r="J135" s="13" t="e">
        <f t="shared" ca="1" si="148"/>
        <v>#N/A</v>
      </c>
      <c r="K135" s="13" t="e">
        <f t="shared" ca="1" si="148"/>
        <v>#N/A</v>
      </c>
      <c r="L135" s="13" t="e">
        <f t="shared" ca="1" si="148"/>
        <v>#N/A</v>
      </c>
      <c r="M135" s="13" t="e">
        <f t="shared" ca="1" si="148"/>
        <v>#N/A</v>
      </c>
      <c r="N135" s="13" t="e">
        <f t="shared" ca="1" si="148"/>
        <v>#N/A</v>
      </c>
      <c r="O135" s="13" t="e">
        <f t="shared" ca="1" si="148"/>
        <v>#N/A</v>
      </c>
      <c r="P135" s="13" t="e">
        <f t="shared" ca="1" si="148"/>
        <v>#N/A</v>
      </c>
      <c r="Q135" s="13" t="e">
        <f t="shared" ca="1" si="148"/>
        <v>#N/A</v>
      </c>
      <c r="R135" s="13" t="e">
        <f t="shared" ca="1" si="148"/>
        <v>#N/A</v>
      </c>
      <c r="S135" s="13" t="e">
        <f t="shared" ca="1" si="148"/>
        <v>#N/A</v>
      </c>
      <c r="T135" s="13" t="e">
        <f t="shared" ca="1" si="148"/>
        <v>#N/A</v>
      </c>
      <c r="U135" s="13" t="e">
        <f t="shared" ca="1" si="148"/>
        <v>#N/A</v>
      </c>
      <c r="V135" s="13" t="e">
        <f t="shared" ca="1" si="148"/>
        <v>#N/A</v>
      </c>
      <c r="W135" s="13" t="e">
        <f t="shared" ca="1" si="148"/>
        <v>#N/A</v>
      </c>
      <c r="X135" s="13" t="e">
        <f t="shared" ca="1" si="148"/>
        <v>#N/A</v>
      </c>
      <c r="Y135" s="13" t="e">
        <f t="shared" ca="1" si="148"/>
        <v>#N/A</v>
      </c>
      <c r="Z135" s="13" t="e">
        <f t="shared" ca="1" si="148"/>
        <v>#N/A</v>
      </c>
      <c r="AA135" s="13" t="e">
        <f t="shared" ca="1" si="148"/>
        <v>#N/A</v>
      </c>
      <c r="AB135" s="13" t="e">
        <f t="shared" ca="1" si="148"/>
        <v>#N/A</v>
      </c>
      <c r="AC135" s="13" t="e">
        <f t="shared" ca="1" si="148"/>
        <v>#N/A</v>
      </c>
      <c r="AD135" s="13" t="e">
        <f t="shared" ca="1" si="148"/>
        <v>#N/A</v>
      </c>
      <c r="AE135" s="13" t="e">
        <f t="shared" ca="1" si="148"/>
        <v>#N/A</v>
      </c>
      <c r="AF135" s="13" t="e">
        <f t="shared" ca="1" si="148"/>
        <v>#N/A</v>
      </c>
      <c r="AG135" s="13" t="e">
        <f t="shared" ca="1" si="148"/>
        <v>#N/A</v>
      </c>
      <c r="AH135" s="13" t="e">
        <f t="shared" ca="1" si="148"/>
        <v>#N/A</v>
      </c>
      <c r="AI135" s="13" t="e">
        <f t="shared" ca="1" si="148"/>
        <v>#N/A</v>
      </c>
      <c r="AJ135" s="13" t="e">
        <f t="shared" ca="1" si="148"/>
        <v>#N/A</v>
      </c>
      <c r="AK135" s="13" t="e">
        <f t="shared" ca="1" si="148"/>
        <v>#N/A</v>
      </c>
      <c r="AL135" s="13" t="e">
        <f t="shared" ca="1" si="148"/>
        <v>#N/A</v>
      </c>
      <c r="AM135" s="13" t="e">
        <f t="shared" ca="1" si="148"/>
        <v>#N/A</v>
      </c>
      <c r="AN135" s="13" t="e">
        <f t="shared" ca="1" si="148"/>
        <v>#N/A</v>
      </c>
      <c r="AO135" s="13" t="e">
        <f t="shared" ca="1" si="148"/>
        <v>#N/A</v>
      </c>
      <c r="AP135" s="13" t="e">
        <f t="shared" ca="1" si="148"/>
        <v>#N/A</v>
      </c>
      <c r="AQ135" s="13" t="e">
        <f t="shared" ca="1" si="148"/>
        <v>#N/A</v>
      </c>
      <c r="AR135" s="13" t="e">
        <f t="shared" ca="1" si="148"/>
        <v>#N/A</v>
      </c>
      <c r="AS135" s="13" t="e">
        <f t="shared" ca="1" si="148"/>
        <v>#N/A</v>
      </c>
      <c r="AT135" s="13" t="e">
        <f t="shared" ca="1" si="148"/>
        <v>#N/A</v>
      </c>
      <c r="AU135" s="13" t="e">
        <f t="shared" ca="1" si="148"/>
        <v>#N/A</v>
      </c>
      <c r="AV135" s="13" t="e">
        <f t="shared" ca="1" si="148"/>
        <v>#N/A</v>
      </c>
      <c r="AW135" s="13" t="e">
        <f t="shared" ca="1" si="148"/>
        <v>#N/A</v>
      </c>
      <c r="AX135" s="13" t="e">
        <f t="shared" ca="1" si="148"/>
        <v>#N/A</v>
      </c>
      <c r="AY135" s="13" t="e">
        <f t="shared" ca="1" si="148"/>
        <v>#N/A</v>
      </c>
      <c r="AZ135" s="13" t="e">
        <f t="shared" ca="1" si="148"/>
        <v>#N/A</v>
      </c>
      <c r="BA135" s="13" t="e">
        <f t="shared" ca="1" si="148"/>
        <v>#N/A</v>
      </c>
      <c r="BB135" s="13" t="e">
        <f t="shared" ca="1" si="148"/>
        <v>#N/A</v>
      </c>
      <c r="BC135" s="13" t="e">
        <f t="shared" ca="1" si="148"/>
        <v>#N/A</v>
      </c>
      <c r="BD135" s="13" t="e">
        <f t="shared" ca="1" si="148"/>
        <v>#N/A</v>
      </c>
      <c r="BE135" s="13" t="e">
        <f t="shared" ca="1" si="148"/>
        <v>#N/A</v>
      </c>
      <c r="BF135" s="13" t="e">
        <f t="shared" ca="1" si="148"/>
        <v>#N/A</v>
      </c>
      <c r="BG135" s="13" t="e">
        <f t="shared" ca="1" si="148"/>
        <v>#N/A</v>
      </c>
      <c r="BH135" s="13" t="e">
        <f t="shared" ca="1" si="148"/>
        <v>#N/A</v>
      </c>
      <c r="BI135" s="13" t="e">
        <f t="shared" ca="1" si="148"/>
        <v>#N/A</v>
      </c>
      <c r="BJ135" s="13" t="e">
        <f t="shared" ca="1" si="148"/>
        <v>#N/A</v>
      </c>
      <c r="BK135" s="13" t="e">
        <f t="shared" ca="1" si="148"/>
        <v>#N/A</v>
      </c>
      <c r="BL135" s="13" t="e">
        <f t="shared" ca="1" si="148"/>
        <v>#N/A</v>
      </c>
      <c r="BM135" s="13" t="e">
        <f t="shared" ca="1" si="148"/>
        <v>#N/A</v>
      </c>
      <c r="BN135" s="13" t="e">
        <f t="shared" ca="1" si="148"/>
        <v>#N/A</v>
      </c>
      <c r="BO135" s="13" t="e">
        <f t="shared" ca="1" si="148"/>
        <v>#N/A</v>
      </c>
      <c r="BP135" s="13" t="e">
        <f t="shared" ca="1" si="148"/>
        <v>#N/A</v>
      </c>
      <c r="BQ135" s="13" t="e">
        <f t="shared" ref="BQ135:BV135" ca="1" si="149">BQ72/$D135*100000</f>
        <v>#N/A</v>
      </c>
      <c r="BR135" s="13" t="e">
        <f t="shared" ca="1" si="149"/>
        <v>#N/A</v>
      </c>
      <c r="BS135" s="13" t="e">
        <f t="shared" ca="1" si="149"/>
        <v>#N/A</v>
      </c>
      <c r="BT135" s="13" t="e">
        <f t="shared" ca="1" si="149"/>
        <v>#N/A</v>
      </c>
      <c r="BU135" s="13" t="e">
        <f t="shared" ca="1" si="149"/>
        <v>#N/A</v>
      </c>
      <c r="BV135" s="13" t="e">
        <f t="shared" ca="1" si="149"/>
        <v>#N/A</v>
      </c>
      <c r="BW135" s="13" t="e">
        <f t="shared" ref="BW135:CR135" ca="1" si="150">BW72/$D135*100000</f>
        <v>#N/A</v>
      </c>
      <c r="BX135" s="13" t="e">
        <f t="shared" ca="1" si="150"/>
        <v>#N/A</v>
      </c>
      <c r="BY135" s="13" t="e">
        <f t="shared" ca="1" si="150"/>
        <v>#N/A</v>
      </c>
      <c r="BZ135" s="13" t="e">
        <f t="shared" ca="1" si="150"/>
        <v>#N/A</v>
      </c>
      <c r="CA135" s="13" t="e">
        <f t="shared" ca="1" si="150"/>
        <v>#N/A</v>
      </c>
      <c r="CB135" s="13" t="e">
        <f t="shared" ca="1" si="150"/>
        <v>#N/A</v>
      </c>
      <c r="CC135" s="13" t="e">
        <f t="shared" ca="1" si="150"/>
        <v>#N/A</v>
      </c>
      <c r="CD135" s="13" t="e">
        <f t="shared" ca="1" si="150"/>
        <v>#N/A</v>
      </c>
      <c r="CE135" s="13" t="e">
        <f t="shared" ca="1" si="150"/>
        <v>#N/A</v>
      </c>
      <c r="CF135" s="13" t="e">
        <f t="shared" ca="1" si="150"/>
        <v>#N/A</v>
      </c>
      <c r="CG135" s="13" t="e">
        <f t="shared" ca="1" si="150"/>
        <v>#N/A</v>
      </c>
      <c r="CH135" s="13" t="e">
        <f t="shared" ca="1" si="150"/>
        <v>#N/A</v>
      </c>
      <c r="CI135" s="13" t="e">
        <f t="shared" ca="1" si="150"/>
        <v>#N/A</v>
      </c>
      <c r="CJ135" s="13" t="e">
        <f t="shared" ca="1" si="150"/>
        <v>#N/A</v>
      </c>
      <c r="CK135" s="13" t="e">
        <f t="shared" ca="1" si="150"/>
        <v>#N/A</v>
      </c>
      <c r="CL135" s="13" t="e">
        <f t="shared" ca="1" si="150"/>
        <v>#N/A</v>
      </c>
      <c r="CM135" s="13" t="e">
        <f t="shared" ca="1" si="150"/>
        <v>#N/A</v>
      </c>
      <c r="CN135" s="13" t="e">
        <f t="shared" ca="1" si="150"/>
        <v>#N/A</v>
      </c>
      <c r="CO135" s="13" t="e">
        <f t="shared" ca="1" si="150"/>
        <v>#N/A</v>
      </c>
      <c r="CP135" s="13" t="e">
        <f t="shared" ca="1" si="150"/>
        <v>#N/A</v>
      </c>
      <c r="CQ135" s="13" t="e">
        <f t="shared" ca="1" si="150"/>
        <v>#N/A</v>
      </c>
      <c r="CR135" s="13" t="e">
        <f t="shared" ca="1" si="150"/>
        <v>#N/A</v>
      </c>
    </row>
    <row r="136" spans="1:96" x14ac:dyDescent="0.25">
      <c r="B136">
        <f t="shared" si="65"/>
        <v>31</v>
      </c>
      <c r="C136">
        <f t="shared" ca="1" si="120"/>
        <v>0</v>
      </c>
      <c r="D136" s="1" t="e">
        <f t="shared" ca="1" si="120"/>
        <v>#N/A</v>
      </c>
      <c r="E136" s="13" t="e">
        <f t="shared" ref="E136:BP136" ca="1" si="151">E73/$D136*100000</f>
        <v>#N/A</v>
      </c>
      <c r="F136" s="13" t="e">
        <f t="shared" ca="1" si="151"/>
        <v>#N/A</v>
      </c>
      <c r="G136" s="13" t="e">
        <f t="shared" ca="1" si="151"/>
        <v>#N/A</v>
      </c>
      <c r="H136" s="13" t="e">
        <f t="shared" ca="1" si="151"/>
        <v>#N/A</v>
      </c>
      <c r="I136" s="13" t="e">
        <f t="shared" ca="1" si="151"/>
        <v>#N/A</v>
      </c>
      <c r="J136" s="13" t="e">
        <f t="shared" ca="1" si="151"/>
        <v>#N/A</v>
      </c>
      <c r="K136" s="13" t="e">
        <f t="shared" ca="1" si="151"/>
        <v>#N/A</v>
      </c>
      <c r="L136" s="13" t="e">
        <f t="shared" ca="1" si="151"/>
        <v>#N/A</v>
      </c>
      <c r="M136" s="13" t="e">
        <f t="shared" ca="1" si="151"/>
        <v>#N/A</v>
      </c>
      <c r="N136" s="13" t="e">
        <f t="shared" ca="1" si="151"/>
        <v>#N/A</v>
      </c>
      <c r="O136" s="13" t="e">
        <f t="shared" ca="1" si="151"/>
        <v>#N/A</v>
      </c>
      <c r="P136" s="13" t="e">
        <f t="shared" ca="1" si="151"/>
        <v>#N/A</v>
      </c>
      <c r="Q136" s="13" t="e">
        <f t="shared" ca="1" si="151"/>
        <v>#N/A</v>
      </c>
      <c r="R136" s="13" t="e">
        <f t="shared" ca="1" si="151"/>
        <v>#N/A</v>
      </c>
      <c r="S136" s="13" t="e">
        <f t="shared" ca="1" si="151"/>
        <v>#N/A</v>
      </c>
      <c r="T136" s="13" t="e">
        <f t="shared" ca="1" si="151"/>
        <v>#N/A</v>
      </c>
      <c r="U136" s="13" t="e">
        <f t="shared" ca="1" si="151"/>
        <v>#N/A</v>
      </c>
      <c r="V136" s="13" t="e">
        <f t="shared" ca="1" si="151"/>
        <v>#N/A</v>
      </c>
      <c r="W136" s="13" t="e">
        <f t="shared" ca="1" si="151"/>
        <v>#N/A</v>
      </c>
      <c r="X136" s="13" t="e">
        <f t="shared" ca="1" si="151"/>
        <v>#N/A</v>
      </c>
      <c r="Y136" s="13" t="e">
        <f t="shared" ca="1" si="151"/>
        <v>#N/A</v>
      </c>
      <c r="Z136" s="13" t="e">
        <f t="shared" ca="1" si="151"/>
        <v>#N/A</v>
      </c>
      <c r="AA136" s="13" t="e">
        <f t="shared" ca="1" si="151"/>
        <v>#N/A</v>
      </c>
      <c r="AB136" s="13" t="e">
        <f t="shared" ca="1" si="151"/>
        <v>#N/A</v>
      </c>
      <c r="AC136" s="13" t="e">
        <f t="shared" ca="1" si="151"/>
        <v>#N/A</v>
      </c>
      <c r="AD136" s="13" t="e">
        <f t="shared" ca="1" si="151"/>
        <v>#N/A</v>
      </c>
      <c r="AE136" s="13" t="e">
        <f t="shared" ca="1" si="151"/>
        <v>#N/A</v>
      </c>
      <c r="AF136" s="13" t="e">
        <f t="shared" ca="1" si="151"/>
        <v>#N/A</v>
      </c>
      <c r="AG136" s="13" t="e">
        <f t="shared" ca="1" si="151"/>
        <v>#N/A</v>
      </c>
      <c r="AH136" s="13" t="e">
        <f t="shared" ca="1" si="151"/>
        <v>#N/A</v>
      </c>
      <c r="AI136" s="13" t="e">
        <f t="shared" ca="1" si="151"/>
        <v>#N/A</v>
      </c>
      <c r="AJ136" s="13" t="e">
        <f t="shared" ca="1" si="151"/>
        <v>#N/A</v>
      </c>
      <c r="AK136" s="13" t="e">
        <f t="shared" ca="1" si="151"/>
        <v>#N/A</v>
      </c>
      <c r="AL136" s="13" t="e">
        <f t="shared" ca="1" si="151"/>
        <v>#N/A</v>
      </c>
      <c r="AM136" s="13" t="e">
        <f t="shared" ca="1" si="151"/>
        <v>#N/A</v>
      </c>
      <c r="AN136" s="13" t="e">
        <f t="shared" ca="1" si="151"/>
        <v>#N/A</v>
      </c>
      <c r="AO136" s="13" t="e">
        <f t="shared" ca="1" si="151"/>
        <v>#N/A</v>
      </c>
      <c r="AP136" s="13" t="e">
        <f t="shared" ca="1" si="151"/>
        <v>#N/A</v>
      </c>
      <c r="AQ136" s="13" t="e">
        <f t="shared" ca="1" si="151"/>
        <v>#N/A</v>
      </c>
      <c r="AR136" s="13" t="e">
        <f t="shared" ca="1" si="151"/>
        <v>#N/A</v>
      </c>
      <c r="AS136" s="13" t="e">
        <f t="shared" ca="1" si="151"/>
        <v>#N/A</v>
      </c>
      <c r="AT136" s="13" t="e">
        <f t="shared" ca="1" si="151"/>
        <v>#N/A</v>
      </c>
      <c r="AU136" s="13" t="e">
        <f t="shared" ca="1" si="151"/>
        <v>#N/A</v>
      </c>
      <c r="AV136" s="13" t="e">
        <f t="shared" ca="1" si="151"/>
        <v>#N/A</v>
      </c>
      <c r="AW136" s="13" t="e">
        <f t="shared" ca="1" si="151"/>
        <v>#N/A</v>
      </c>
      <c r="AX136" s="13" t="e">
        <f t="shared" ca="1" si="151"/>
        <v>#N/A</v>
      </c>
      <c r="AY136" s="13" t="e">
        <f t="shared" ca="1" si="151"/>
        <v>#N/A</v>
      </c>
      <c r="AZ136" s="13" t="e">
        <f t="shared" ca="1" si="151"/>
        <v>#N/A</v>
      </c>
      <c r="BA136" s="13" t="e">
        <f t="shared" ca="1" si="151"/>
        <v>#N/A</v>
      </c>
      <c r="BB136" s="13" t="e">
        <f t="shared" ca="1" si="151"/>
        <v>#N/A</v>
      </c>
      <c r="BC136" s="13" t="e">
        <f t="shared" ca="1" si="151"/>
        <v>#N/A</v>
      </c>
      <c r="BD136" s="13" t="e">
        <f t="shared" ca="1" si="151"/>
        <v>#N/A</v>
      </c>
      <c r="BE136" s="13" t="e">
        <f t="shared" ca="1" si="151"/>
        <v>#N/A</v>
      </c>
      <c r="BF136" s="13" t="e">
        <f t="shared" ca="1" si="151"/>
        <v>#N/A</v>
      </c>
      <c r="BG136" s="13" t="e">
        <f t="shared" ca="1" si="151"/>
        <v>#N/A</v>
      </c>
      <c r="BH136" s="13" t="e">
        <f t="shared" ca="1" si="151"/>
        <v>#N/A</v>
      </c>
      <c r="BI136" s="13" t="e">
        <f t="shared" ca="1" si="151"/>
        <v>#N/A</v>
      </c>
      <c r="BJ136" s="13" t="e">
        <f t="shared" ca="1" si="151"/>
        <v>#N/A</v>
      </c>
      <c r="BK136" s="13" t="e">
        <f t="shared" ca="1" si="151"/>
        <v>#N/A</v>
      </c>
      <c r="BL136" s="13" t="e">
        <f t="shared" ca="1" si="151"/>
        <v>#N/A</v>
      </c>
      <c r="BM136" s="13" t="e">
        <f t="shared" ca="1" si="151"/>
        <v>#N/A</v>
      </c>
      <c r="BN136" s="13" t="e">
        <f t="shared" ca="1" si="151"/>
        <v>#N/A</v>
      </c>
      <c r="BO136" s="13" t="e">
        <f t="shared" ca="1" si="151"/>
        <v>#N/A</v>
      </c>
      <c r="BP136" s="13" t="e">
        <f t="shared" ca="1" si="151"/>
        <v>#N/A</v>
      </c>
      <c r="BQ136" s="13" t="e">
        <f t="shared" ref="BQ136:BV136" ca="1" si="152">BQ73/$D136*100000</f>
        <v>#N/A</v>
      </c>
      <c r="BR136" s="13" t="e">
        <f t="shared" ca="1" si="152"/>
        <v>#N/A</v>
      </c>
      <c r="BS136" s="13" t="e">
        <f t="shared" ca="1" si="152"/>
        <v>#N/A</v>
      </c>
      <c r="BT136" s="13" t="e">
        <f t="shared" ca="1" si="152"/>
        <v>#N/A</v>
      </c>
      <c r="BU136" s="13" t="e">
        <f t="shared" ca="1" si="152"/>
        <v>#N/A</v>
      </c>
      <c r="BV136" s="13" t="e">
        <f t="shared" ca="1" si="152"/>
        <v>#N/A</v>
      </c>
      <c r="BW136" s="13" t="e">
        <f t="shared" ref="BW136:CR136" ca="1" si="153">BW73/$D136*100000</f>
        <v>#N/A</v>
      </c>
      <c r="BX136" s="13" t="e">
        <f t="shared" ca="1" si="153"/>
        <v>#N/A</v>
      </c>
      <c r="BY136" s="13" t="e">
        <f t="shared" ca="1" si="153"/>
        <v>#N/A</v>
      </c>
      <c r="BZ136" s="13" t="e">
        <f t="shared" ca="1" si="153"/>
        <v>#N/A</v>
      </c>
      <c r="CA136" s="13" t="e">
        <f t="shared" ca="1" si="153"/>
        <v>#N/A</v>
      </c>
      <c r="CB136" s="13" t="e">
        <f t="shared" ca="1" si="153"/>
        <v>#N/A</v>
      </c>
      <c r="CC136" s="13" t="e">
        <f t="shared" ca="1" si="153"/>
        <v>#N/A</v>
      </c>
      <c r="CD136" s="13" t="e">
        <f t="shared" ca="1" si="153"/>
        <v>#N/A</v>
      </c>
      <c r="CE136" s="13" t="e">
        <f t="shared" ca="1" si="153"/>
        <v>#N/A</v>
      </c>
      <c r="CF136" s="13" t="e">
        <f t="shared" ca="1" si="153"/>
        <v>#N/A</v>
      </c>
      <c r="CG136" s="13" t="e">
        <f t="shared" ca="1" si="153"/>
        <v>#N/A</v>
      </c>
      <c r="CH136" s="13" t="e">
        <f t="shared" ca="1" si="153"/>
        <v>#N/A</v>
      </c>
      <c r="CI136" s="13" t="e">
        <f t="shared" ca="1" si="153"/>
        <v>#N/A</v>
      </c>
      <c r="CJ136" s="13" t="e">
        <f t="shared" ca="1" si="153"/>
        <v>#N/A</v>
      </c>
      <c r="CK136" s="13" t="e">
        <f t="shared" ca="1" si="153"/>
        <v>#N/A</v>
      </c>
      <c r="CL136" s="13" t="e">
        <f t="shared" ca="1" si="153"/>
        <v>#N/A</v>
      </c>
      <c r="CM136" s="13" t="e">
        <f t="shared" ca="1" si="153"/>
        <v>#N/A</v>
      </c>
      <c r="CN136" s="13" t="e">
        <f t="shared" ca="1" si="153"/>
        <v>#N/A</v>
      </c>
      <c r="CO136" s="13" t="e">
        <f t="shared" ca="1" si="153"/>
        <v>#N/A</v>
      </c>
      <c r="CP136" s="13" t="e">
        <f t="shared" ca="1" si="153"/>
        <v>#N/A</v>
      </c>
      <c r="CQ136" s="13" t="e">
        <f t="shared" ca="1" si="153"/>
        <v>#N/A</v>
      </c>
      <c r="CR136" s="13" t="e">
        <f t="shared" ca="1" si="153"/>
        <v>#N/A</v>
      </c>
    </row>
    <row r="137" spans="1:96" x14ac:dyDescent="0.25">
      <c r="B137">
        <f t="shared" si="65"/>
        <v>32</v>
      </c>
      <c r="C137">
        <f t="shared" ca="1" si="120"/>
        <v>0</v>
      </c>
      <c r="D137" s="1" t="e">
        <f t="shared" ca="1" si="120"/>
        <v>#N/A</v>
      </c>
      <c r="E137" s="13" t="e">
        <f t="shared" ref="E137:BP137" ca="1" si="154">E74/$D137*100000</f>
        <v>#N/A</v>
      </c>
      <c r="F137" s="13" t="e">
        <f t="shared" ca="1" si="154"/>
        <v>#N/A</v>
      </c>
      <c r="G137" s="13" t="e">
        <f t="shared" ca="1" si="154"/>
        <v>#N/A</v>
      </c>
      <c r="H137" s="13" t="e">
        <f t="shared" ca="1" si="154"/>
        <v>#N/A</v>
      </c>
      <c r="I137" s="13" t="e">
        <f t="shared" ca="1" si="154"/>
        <v>#N/A</v>
      </c>
      <c r="J137" s="13" t="e">
        <f t="shared" ca="1" si="154"/>
        <v>#N/A</v>
      </c>
      <c r="K137" s="13" t="e">
        <f t="shared" ca="1" si="154"/>
        <v>#N/A</v>
      </c>
      <c r="L137" s="13" t="e">
        <f t="shared" ca="1" si="154"/>
        <v>#N/A</v>
      </c>
      <c r="M137" s="13" t="e">
        <f t="shared" ca="1" si="154"/>
        <v>#N/A</v>
      </c>
      <c r="N137" s="13" t="e">
        <f t="shared" ca="1" si="154"/>
        <v>#N/A</v>
      </c>
      <c r="O137" s="13" t="e">
        <f t="shared" ca="1" si="154"/>
        <v>#N/A</v>
      </c>
      <c r="P137" s="13" t="e">
        <f t="shared" ca="1" si="154"/>
        <v>#N/A</v>
      </c>
      <c r="Q137" s="13" t="e">
        <f t="shared" ca="1" si="154"/>
        <v>#N/A</v>
      </c>
      <c r="R137" s="13" t="e">
        <f t="shared" ca="1" si="154"/>
        <v>#N/A</v>
      </c>
      <c r="S137" s="13" t="e">
        <f t="shared" ca="1" si="154"/>
        <v>#N/A</v>
      </c>
      <c r="T137" s="13" t="e">
        <f t="shared" ca="1" si="154"/>
        <v>#N/A</v>
      </c>
      <c r="U137" s="13" t="e">
        <f t="shared" ca="1" si="154"/>
        <v>#N/A</v>
      </c>
      <c r="V137" s="13" t="e">
        <f t="shared" ca="1" si="154"/>
        <v>#N/A</v>
      </c>
      <c r="W137" s="13" t="e">
        <f t="shared" ca="1" si="154"/>
        <v>#N/A</v>
      </c>
      <c r="X137" s="13" t="e">
        <f t="shared" ca="1" si="154"/>
        <v>#N/A</v>
      </c>
      <c r="Y137" s="13" t="e">
        <f t="shared" ca="1" si="154"/>
        <v>#N/A</v>
      </c>
      <c r="Z137" s="13" t="e">
        <f t="shared" ca="1" si="154"/>
        <v>#N/A</v>
      </c>
      <c r="AA137" s="13" t="e">
        <f t="shared" ca="1" si="154"/>
        <v>#N/A</v>
      </c>
      <c r="AB137" s="13" t="e">
        <f t="shared" ca="1" si="154"/>
        <v>#N/A</v>
      </c>
      <c r="AC137" s="13" t="e">
        <f t="shared" ca="1" si="154"/>
        <v>#N/A</v>
      </c>
      <c r="AD137" s="13" t="e">
        <f t="shared" ca="1" si="154"/>
        <v>#N/A</v>
      </c>
      <c r="AE137" s="13" t="e">
        <f t="shared" ca="1" si="154"/>
        <v>#N/A</v>
      </c>
      <c r="AF137" s="13" t="e">
        <f t="shared" ca="1" si="154"/>
        <v>#N/A</v>
      </c>
      <c r="AG137" s="13" t="e">
        <f t="shared" ca="1" si="154"/>
        <v>#N/A</v>
      </c>
      <c r="AH137" s="13" t="e">
        <f t="shared" ca="1" si="154"/>
        <v>#N/A</v>
      </c>
      <c r="AI137" s="13" t="e">
        <f t="shared" ca="1" si="154"/>
        <v>#N/A</v>
      </c>
      <c r="AJ137" s="13" t="e">
        <f t="shared" ca="1" si="154"/>
        <v>#N/A</v>
      </c>
      <c r="AK137" s="13" t="e">
        <f t="shared" ca="1" si="154"/>
        <v>#N/A</v>
      </c>
      <c r="AL137" s="13" t="e">
        <f t="shared" ca="1" si="154"/>
        <v>#N/A</v>
      </c>
      <c r="AM137" s="13" t="e">
        <f t="shared" ca="1" si="154"/>
        <v>#N/A</v>
      </c>
      <c r="AN137" s="13" t="e">
        <f t="shared" ca="1" si="154"/>
        <v>#N/A</v>
      </c>
      <c r="AO137" s="13" t="e">
        <f t="shared" ca="1" si="154"/>
        <v>#N/A</v>
      </c>
      <c r="AP137" s="13" t="e">
        <f t="shared" ca="1" si="154"/>
        <v>#N/A</v>
      </c>
      <c r="AQ137" s="13" t="e">
        <f t="shared" ca="1" si="154"/>
        <v>#N/A</v>
      </c>
      <c r="AR137" s="13" t="e">
        <f t="shared" ca="1" si="154"/>
        <v>#N/A</v>
      </c>
      <c r="AS137" s="13" t="e">
        <f t="shared" ca="1" si="154"/>
        <v>#N/A</v>
      </c>
      <c r="AT137" s="13" t="e">
        <f t="shared" ca="1" si="154"/>
        <v>#N/A</v>
      </c>
      <c r="AU137" s="13" t="e">
        <f t="shared" ca="1" si="154"/>
        <v>#N/A</v>
      </c>
      <c r="AV137" s="13" t="e">
        <f t="shared" ca="1" si="154"/>
        <v>#N/A</v>
      </c>
      <c r="AW137" s="13" t="e">
        <f t="shared" ca="1" si="154"/>
        <v>#N/A</v>
      </c>
      <c r="AX137" s="13" t="e">
        <f t="shared" ca="1" si="154"/>
        <v>#N/A</v>
      </c>
      <c r="AY137" s="13" t="e">
        <f t="shared" ca="1" si="154"/>
        <v>#N/A</v>
      </c>
      <c r="AZ137" s="13" t="e">
        <f t="shared" ca="1" si="154"/>
        <v>#N/A</v>
      </c>
      <c r="BA137" s="13" t="e">
        <f t="shared" ca="1" si="154"/>
        <v>#N/A</v>
      </c>
      <c r="BB137" s="13" t="e">
        <f t="shared" ca="1" si="154"/>
        <v>#N/A</v>
      </c>
      <c r="BC137" s="13" t="e">
        <f t="shared" ca="1" si="154"/>
        <v>#N/A</v>
      </c>
      <c r="BD137" s="13" t="e">
        <f t="shared" ca="1" si="154"/>
        <v>#N/A</v>
      </c>
      <c r="BE137" s="13" t="e">
        <f t="shared" ca="1" si="154"/>
        <v>#N/A</v>
      </c>
      <c r="BF137" s="13" t="e">
        <f t="shared" ca="1" si="154"/>
        <v>#N/A</v>
      </c>
      <c r="BG137" s="13" t="e">
        <f t="shared" ca="1" si="154"/>
        <v>#N/A</v>
      </c>
      <c r="BH137" s="13" t="e">
        <f t="shared" ca="1" si="154"/>
        <v>#N/A</v>
      </c>
      <c r="BI137" s="13" t="e">
        <f t="shared" ca="1" si="154"/>
        <v>#N/A</v>
      </c>
      <c r="BJ137" s="13" t="e">
        <f t="shared" ca="1" si="154"/>
        <v>#N/A</v>
      </c>
      <c r="BK137" s="13" t="e">
        <f t="shared" ca="1" si="154"/>
        <v>#N/A</v>
      </c>
      <c r="BL137" s="13" t="e">
        <f t="shared" ca="1" si="154"/>
        <v>#N/A</v>
      </c>
      <c r="BM137" s="13" t="e">
        <f t="shared" ca="1" si="154"/>
        <v>#N/A</v>
      </c>
      <c r="BN137" s="13" t="e">
        <f t="shared" ca="1" si="154"/>
        <v>#N/A</v>
      </c>
      <c r="BO137" s="13" t="e">
        <f t="shared" ca="1" si="154"/>
        <v>#N/A</v>
      </c>
      <c r="BP137" s="13" t="e">
        <f t="shared" ca="1" si="154"/>
        <v>#N/A</v>
      </c>
      <c r="BQ137" s="13" t="e">
        <f t="shared" ref="BQ137:BV137" ca="1" si="155">BQ74/$D137*100000</f>
        <v>#N/A</v>
      </c>
      <c r="BR137" s="13" t="e">
        <f t="shared" ca="1" si="155"/>
        <v>#N/A</v>
      </c>
      <c r="BS137" s="13" t="e">
        <f t="shared" ca="1" si="155"/>
        <v>#N/A</v>
      </c>
      <c r="BT137" s="13" t="e">
        <f t="shared" ca="1" si="155"/>
        <v>#N/A</v>
      </c>
      <c r="BU137" s="13" t="e">
        <f t="shared" ca="1" si="155"/>
        <v>#N/A</v>
      </c>
      <c r="BV137" s="13" t="e">
        <f t="shared" ca="1" si="155"/>
        <v>#N/A</v>
      </c>
      <c r="BW137" s="13" t="e">
        <f t="shared" ref="BW137:CR137" ca="1" si="156">BW74/$D137*100000</f>
        <v>#N/A</v>
      </c>
      <c r="BX137" s="13" t="e">
        <f t="shared" ca="1" si="156"/>
        <v>#N/A</v>
      </c>
      <c r="BY137" s="13" t="e">
        <f t="shared" ca="1" si="156"/>
        <v>#N/A</v>
      </c>
      <c r="BZ137" s="13" t="e">
        <f t="shared" ca="1" si="156"/>
        <v>#N/A</v>
      </c>
      <c r="CA137" s="13" t="e">
        <f t="shared" ca="1" si="156"/>
        <v>#N/A</v>
      </c>
      <c r="CB137" s="13" t="e">
        <f t="shared" ca="1" si="156"/>
        <v>#N/A</v>
      </c>
      <c r="CC137" s="13" t="e">
        <f t="shared" ca="1" si="156"/>
        <v>#N/A</v>
      </c>
      <c r="CD137" s="13" t="e">
        <f t="shared" ca="1" si="156"/>
        <v>#N/A</v>
      </c>
      <c r="CE137" s="13" t="e">
        <f t="shared" ca="1" si="156"/>
        <v>#N/A</v>
      </c>
      <c r="CF137" s="13" t="e">
        <f t="shared" ca="1" si="156"/>
        <v>#N/A</v>
      </c>
      <c r="CG137" s="13" t="e">
        <f t="shared" ca="1" si="156"/>
        <v>#N/A</v>
      </c>
      <c r="CH137" s="13" t="e">
        <f t="shared" ca="1" si="156"/>
        <v>#N/A</v>
      </c>
      <c r="CI137" s="13" t="e">
        <f t="shared" ca="1" si="156"/>
        <v>#N/A</v>
      </c>
      <c r="CJ137" s="13" t="e">
        <f t="shared" ca="1" si="156"/>
        <v>#N/A</v>
      </c>
      <c r="CK137" s="13" t="e">
        <f t="shared" ca="1" si="156"/>
        <v>#N/A</v>
      </c>
      <c r="CL137" s="13" t="e">
        <f t="shared" ca="1" si="156"/>
        <v>#N/A</v>
      </c>
      <c r="CM137" s="13" t="e">
        <f t="shared" ca="1" si="156"/>
        <v>#N/A</v>
      </c>
      <c r="CN137" s="13" t="e">
        <f t="shared" ca="1" si="156"/>
        <v>#N/A</v>
      </c>
      <c r="CO137" s="13" t="e">
        <f t="shared" ca="1" si="156"/>
        <v>#N/A</v>
      </c>
      <c r="CP137" s="13" t="e">
        <f t="shared" ca="1" si="156"/>
        <v>#N/A</v>
      </c>
      <c r="CQ137" s="13" t="e">
        <f t="shared" ca="1" si="156"/>
        <v>#N/A</v>
      </c>
      <c r="CR137" s="13" t="e">
        <f t="shared" ca="1" si="156"/>
        <v>#N/A</v>
      </c>
    </row>
    <row r="138" spans="1:96" x14ac:dyDescent="0.25">
      <c r="B138">
        <f t="shared" si="65"/>
        <v>33</v>
      </c>
      <c r="C138">
        <f t="shared" ca="1" si="120"/>
        <v>0</v>
      </c>
      <c r="D138" s="1" t="e">
        <f t="shared" ca="1" si="120"/>
        <v>#N/A</v>
      </c>
      <c r="E138" s="13" t="e">
        <f t="shared" ref="E138:BP138" ca="1" si="157">E75/$D138*100000</f>
        <v>#N/A</v>
      </c>
      <c r="F138" s="13" t="e">
        <f t="shared" ca="1" si="157"/>
        <v>#N/A</v>
      </c>
      <c r="G138" s="13" t="e">
        <f t="shared" ca="1" si="157"/>
        <v>#N/A</v>
      </c>
      <c r="H138" s="13" t="e">
        <f t="shared" ca="1" si="157"/>
        <v>#N/A</v>
      </c>
      <c r="I138" s="13" t="e">
        <f t="shared" ca="1" si="157"/>
        <v>#N/A</v>
      </c>
      <c r="J138" s="13" t="e">
        <f t="shared" ca="1" si="157"/>
        <v>#N/A</v>
      </c>
      <c r="K138" s="13" t="e">
        <f t="shared" ca="1" si="157"/>
        <v>#N/A</v>
      </c>
      <c r="L138" s="13" t="e">
        <f t="shared" ca="1" si="157"/>
        <v>#N/A</v>
      </c>
      <c r="M138" s="13" t="e">
        <f t="shared" ca="1" si="157"/>
        <v>#N/A</v>
      </c>
      <c r="N138" s="13" t="e">
        <f t="shared" ca="1" si="157"/>
        <v>#N/A</v>
      </c>
      <c r="O138" s="13" t="e">
        <f t="shared" ca="1" si="157"/>
        <v>#N/A</v>
      </c>
      <c r="P138" s="13" t="e">
        <f t="shared" ca="1" si="157"/>
        <v>#N/A</v>
      </c>
      <c r="Q138" s="13" t="e">
        <f t="shared" ca="1" si="157"/>
        <v>#N/A</v>
      </c>
      <c r="R138" s="13" t="e">
        <f t="shared" ca="1" si="157"/>
        <v>#N/A</v>
      </c>
      <c r="S138" s="13" t="e">
        <f t="shared" ca="1" si="157"/>
        <v>#N/A</v>
      </c>
      <c r="T138" s="13" t="e">
        <f t="shared" ca="1" si="157"/>
        <v>#N/A</v>
      </c>
      <c r="U138" s="13" t="e">
        <f t="shared" ca="1" si="157"/>
        <v>#N/A</v>
      </c>
      <c r="V138" s="13" t="e">
        <f t="shared" ca="1" si="157"/>
        <v>#N/A</v>
      </c>
      <c r="W138" s="13" t="e">
        <f t="shared" ca="1" si="157"/>
        <v>#N/A</v>
      </c>
      <c r="X138" s="13" t="e">
        <f t="shared" ca="1" si="157"/>
        <v>#N/A</v>
      </c>
      <c r="Y138" s="13" t="e">
        <f t="shared" ca="1" si="157"/>
        <v>#N/A</v>
      </c>
      <c r="Z138" s="13" t="e">
        <f t="shared" ca="1" si="157"/>
        <v>#N/A</v>
      </c>
      <c r="AA138" s="13" t="e">
        <f t="shared" ca="1" si="157"/>
        <v>#N/A</v>
      </c>
      <c r="AB138" s="13" t="e">
        <f t="shared" ca="1" si="157"/>
        <v>#N/A</v>
      </c>
      <c r="AC138" s="13" t="e">
        <f t="shared" ca="1" si="157"/>
        <v>#N/A</v>
      </c>
      <c r="AD138" s="13" t="e">
        <f t="shared" ca="1" si="157"/>
        <v>#N/A</v>
      </c>
      <c r="AE138" s="13" t="e">
        <f t="shared" ca="1" si="157"/>
        <v>#N/A</v>
      </c>
      <c r="AF138" s="13" t="e">
        <f t="shared" ca="1" si="157"/>
        <v>#N/A</v>
      </c>
      <c r="AG138" s="13" t="e">
        <f t="shared" ca="1" si="157"/>
        <v>#N/A</v>
      </c>
      <c r="AH138" s="13" t="e">
        <f t="shared" ca="1" si="157"/>
        <v>#N/A</v>
      </c>
      <c r="AI138" s="13" t="e">
        <f t="shared" ca="1" si="157"/>
        <v>#N/A</v>
      </c>
      <c r="AJ138" s="13" t="e">
        <f t="shared" ca="1" si="157"/>
        <v>#N/A</v>
      </c>
      <c r="AK138" s="13" t="e">
        <f t="shared" ca="1" si="157"/>
        <v>#N/A</v>
      </c>
      <c r="AL138" s="13" t="e">
        <f t="shared" ca="1" si="157"/>
        <v>#N/A</v>
      </c>
      <c r="AM138" s="13" t="e">
        <f t="shared" ca="1" si="157"/>
        <v>#N/A</v>
      </c>
      <c r="AN138" s="13" t="e">
        <f t="shared" ca="1" si="157"/>
        <v>#N/A</v>
      </c>
      <c r="AO138" s="13" t="e">
        <f t="shared" ca="1" si="157"/>
        <v>#N/A</v>
      </c>
      <c r="AP138" s="13" t="e">
        <f t="shared" ca="1" si="157"/>
        <v>#N/A</v>
      </c>
      <c r="AQ138" s="13" t="e">
        <f t="shared" ca="1" si="157"/>
        <v>#N/A</v>
      </c>
      <c r="AR138" s="13" t="e">
        <f t="shared" ca="1" si="157"/>
        <v>#N/A</v>
      </c>
      <c r="AS138" s="13" t="e">
        <f t="shared" ca="1" si="157"/>
        <v>#N/A</v>
      </c>
      <c r="AT138" s="13" t="e">
        <f t="shared" ca="1" si="157"/>
        <v>#N/A</v>
      </c>
      <c r="AU138" s="13" t="e">
        <f t="shared" ca="1" si="157"/>
        <v>#N/A</v>
      </c>
      <c r="AV138" s="13" t="e">
        <f t="shared" ca="1" si="157"/>
        <v>#N/A</v>
      </c>
      <c r="AW138" s="13" t="e">
        <f t="shared" ca="1" si="157"/>
        <v>#N/A</v>
      </c>
      <c r="AX138" s="13" t="e">
        <f t="shared" ca="1" si="157"/>
        <v>#N/A</v>
      </c>
      <c r="AY138" s="13" t="e">
        <f t="shared" ca="1" si="157"/>
        <v>#N/A</v>
      </c>
      <c r="AZ138" s="13" t="e">
        <f t="shared" ca="1" si="157"/>
        <v>#N/A</v>
      </c>
      <c r="BA138" s="13" t="e">
        <f t="shared" ca="1" si="157"/>
        <v>#N/A</v>
      </c>
      <c r="BB138" s="13" t="e">
        <f t="shared" ca="1" si="157"/>
        <v>#N/A</v>
      </c>
      <c r="BC138" s="13" t="e">
        <f t="shared" ca="1" si="157"/>
        <v>#N/A</v>
      </c>
      <c r="BD138" s="13" t="e">
        <f t="shared" ca="1" si="157"/>
        <v>#N/A</v>
      </c>
      <c r="BE138" s="13" t="e">
        <f t="shared" ca="1" si="157"/>
        <v>#N/A</v>
      </c>
      <c r="BF138" s="13" t="e">
        <f t="shared" ca="1" si="157"/>
        <v>#N/A</v>
      </c>
      <c r="BG138" s="13" t="e">
        <f t="shared" ca="1" si="157"/>
        <v>#N/A</v>
      </c>
      <c r="BH138" s="13" t="e">
        <f t="shared" ca="1" si="157"/>
        <v>#N/A</v>
      </c>
      <c r="BI138" s="13" t="e">
        <f t="shared" ca="1" si="157"/>
        <v>#N/A</v>
      </c>
      <c r="BJ138" s="13" t="e">
        <f t="shared" ca="1" si="157"/>
        <v>#N/A</v>
      </c>
      <c r="BK138" s="13" t="e">
        <f t="shared" ca="1" si="157"/>
        <v>#N/A</v>
      </c>
      <c r="BL138" s="13" t="e">
        <f t="shared" ca="1" si="157"/>
        <v>#N/A</v>
      </c>
      <c r="BM138" s="13" t="e">
        <f t="shared" ca="1" si="157"/>
        <v>#N/A</v>
      </c>
      <c r="BN138" s="13" t="e">
        <f t="shared" ca="1" si="157"/>
        <v>#N/A</v>
      </c>
      <c r="BO138" s="13" t="e">
        <f t="shared" ca="1" si="157"/>
        <v>#N/A</v>
      </c>
      <c r="BP138" s="13" t="e">
        <f t="shared" ca="1" si="157"/>
        <v>#N/A</v>
      </c>
      <c r="BQ138" s="13" t="e">
        <f t="shared" ref="BQ138:BV138" ca="1" si="158">BQ75/$D138*100000</f>
        <v>#N/A</v>
      </c>
      <c r="BR138" s="13" t="e">
        <f t="shared" ca="1" si="158"/>
        <v>#N/A</v>
      </c>
      <c r="BS138" s="13" t="e">
        <f t="shared" ca="1" si="158"/>
        <v>#N/A</v>
      </c>
      <c r="BT138" s="13" t="e">
        <f t="shared" ca="1" si="158"/>
        <v>#N/A</v>
      </c>
      <c r="BU138" s="13" t="e">
        <f t="shared" ca="1" si="158"/>
        <v>#N/A</v>
      </c>
      <c r="BV138" s="13" t="e">
        <f t="shared" ca="1" si="158"/>
        <v>#N/A</v>
      </c>
      <c r="BW138" s="13" t="e">
        <f t="shared" ref="BW138:CR138" ca="1" si="159">BW75/$D138*100000</f>
        <v>#N/A</v>
      </c>
      <c r="BX138" s="13" t="e">
        <f t="shared" ca="1" si="159"/>
        <v>#N/A</v>
      </c>
      <c r="BY138" s="13" t="e">
        <f t="shared" ca="1" si="159"/>
        <v>#N/A</v>
      </c>
      <c r="BZ138" s="13" t="e">
        <f t="shared" ca="1" si="159"/>
        <v>#N/A</v>
      </c>
      <c r="CA138" s="13" t="e">
        <f t="shared" ca="1" si="159"/>
        <v>#N/A</v>
      </c>
      <c r="CB138" s="13" t="e">
        <f t="shared" ca="1" si="159"/>
        <v>#N/A</v>
      </c>
      <c r="CC138" s="13" t="e">
        <f t="shared" ca="1" si="159"/>
        <v>#N/A</v>
      </c>
      <c r="CD138" s="13" t="e">
        <f t="shared" ca="1" si="159"/>
        <v>#N/A</v>
      </c>
      <c r="CE138" s="13" t="e">
        <f t="shared" ca="1" si="159"/>
        <v>#N/A</v>
      </c>
      <c r="CF138" s="13" t="e">
        <f t="shared" ca="1" si="159"/>
        <v>#N/A</v>
      </c>
      <c r="CG138" s="13" t="e">
        <f t="shared" ca="1" si="159"/>
        <v>#N/A</v>
      </c>
      <c r="CH138" s="13" t="e">
        <f t="shared" ca="1" si="159"/>
        <v>#N/A</v>
      </c>
      <c r="CI138" s="13" t="e">
        <f t="shared" ca="1" si="159"/>
        <v>#N/A</v>
      </c>
      <c r="CJ138" s="13" t="e">
        <f t="shared" ca="1" si="159"/>
        <v>#N/A</v>
      </c>
      <c r="CK138" s="13" t="e">
        <f t="shared" ca="1" si="159"/>
        <v>#N/A</v>
      </c>
      <c r="CL138" s="13" t="e">
        <f t="shared" ca="1" si="159"/>
        <v>#N/A</v>
      </c>
      <c r="CM138" s="13" t="e">
        <f t="shared" ca="1" si="159"/>
        <v>#N/A</v>
      </c>
      <c r="CN138" s="13" t="e">
        <f t="shared" ca="1" si="159"/>
        <v>#N/A</v>
      </c>
      <c r="CO138" s="13" t="e">
        <f t="shared" ca="1" si="159"/>
        <v>#N/A</v>
      </c>
      <c r="CP138" s="13" t="e">
        <f t="shared" ca="1" si="159"/>
        <v>#N/A</v>
      </c>
      <c r="CQ138" s="13" t="e">
        <f t="shared" ca="1" si="159"/>
        <v>#N/A</v>
      </c>
      <c r="CR138" s="13" t="e">
        <f t="shared" ca="1" si="159"/>
        <v>#N/A</v>
      </c>
    </row>
    <row r="139" spans="1:96" x14ac:dyDescent="0.25">
      <c r="B139">
        <f t="shared" si="65"/>
        <v>34</v>
      </c>
      <c r="C139">
        <f t="shared" ca="1" si="120"/>
        <v>0</v>
      </c>
      <c r="D139" s="1" t="e">
        <f t="shared" ca="1" si="120"/>
        <v>#N/A</v>
      </c>
      <c r="E139" s="13" t="e">
        <f t="shared" ref="E139:BP139" ca="1" si="160">E76/$D139*100000</f>
        <v>#N/A</v>
      </c>
      <c r="F139" s="13" t="e">
        <f t="shared" ca="1" si="160"/>
        <v>#N/A</v>
      </c>
      <c r="G139" s="13" t="e">
        <f t="shared" ca="1" si="160"/>
        <v>#N/A</v>
      </c>
      <c r="H139" s="13" t="e">
        <f t="shared" ca="1" si="160"/>
        <v>#N/A</v>
      </c>
      <c r="I139" s="13" t="e">
        <f t="shared" ca="1" si="160"/>
        <v>#N/A</v>
      </c>
      <c r="J139" s="13" t="e">
        <f t="shared" ca="1" si="160"/>
        <v>#N/A</v>
      </c>
      <c r="K139" s="13" t="e">
        <f t="shared" ca="1" si="160"/>
        <v>#N/A</v>
      </c>
      <c r="L139" s="13" t="e">
        <f t="shared" ca="1" si="160"/>
        <v>#N/A</v>
      </c>
      <c r="M139" s="13" t="e">
        <f t="shared" ca="1" si="160"/>
        <v>#N/A</v>
      </c>
      <c r="N139" s="13" t="e">
        <f t="shared" ca="1" si="160"/>
        <v>#N/A</v>
      </c>
      <c r="O139" s="13" t="e">
        <f t="shared" ca="1" si="160"/>
        <v>#N/A</v>
      </c>
      <c r="P139" s="13" t="e">
        <f t="shared" ca="1" si="160"/>
        <v>#N/A</v>
      </c>
      <c r="Q139" s="13" t="e">
        <f t="shared" ca="1" si="160"/>
        <v>#N/A</v>
      </c>
      <c r="R139" s="13" t="e">
        <f t="shared" ca="1" si="160"/>
        <v>#N/A</v>
      </c>
      <c r="S139" s="13" t="e">
        <f t="shared" ca="1" si="160"/>
        <v>#N/A</v>
      </c>
      <c r="T139" s="13" t="e">
        <f t="shared" ca="1" si="160"/>
        <v>#N/A</v>
      </c>
      <c r="U139" s="13" t="e">
        <f t="shared" ca="1" si="160"/>
        <v>#N/A</v>
      </c>
      <c r="V139" s="13" t="e">
        <f t="shared" ca="1" si="160"/>
        <v>#N/A</v>
      </c>
      <c r="W139" s="13" t="e">
        <f t="shared" ca="1" si="160"/>
        <v>#N/A</v>
      </c>
      <c r="X139" s="13" t="e">
        <f t="shared" ca="1" si="160"/>
        <v>#N/A</v>
      </c>
      <c r="Y139" s="13" t="e">
        <f t="shared" ca="1" si="160"/>
        <v>#N/A</v>
      </c>
      <c r="Z139" s="13" t="e">
        <f t="shared" ca="1" si="160"/>
        <v>#N/A</v>
      </c>
      <c r="AA139" s="13" t="e">
        <f t="shared" ca="1" si="160"/>
        <v>#N/A</v>
      </c>
      <c r="AB139" s="13" t="e">
        <f t="shared" ca="1" si="160"/>
        <v>#N/A</v>
      </c>
      <c r="AC139" s="13" t="e">
        <f t="shared" ca="1" si="160"/>
        <v>#N/A</v>
      </c>
      <c r="AD139" s="13" t="e">
        <f t="shared" ca="1" si="160"/>
        <v>#N/A</v>
      </c>
      <c r="AE139" s="13" t="e">
        <f t="shared" ca="1" si="160"/>
        <v>#N/A</v>
      </c>
      <c r="AF139" s="13" t="e">
        <f t="shared" ca="1" si="160"/>
        <v>#N/A</v>
      </c>
      <c r="AG139" s="13" t="e">
        <f t="shared" ca="1" si="160"/>
        <v>#N/A</v>
      </c>
      <c r="AH139" s="13" t="e">
        <f t="shared" ca="1" si="160"/>
        <v>#N/A</v>
      </c>
      <c r="AI139" s="13" t="e">
        <f t="shared" ca="1" si="160"/>
        <v>#N/A</v>
      </c>
      <c r="AJ139" s="13" t="e">
        <f t="shared" ca="1" si="160"/>
        <v>#N/A</v>
      </c>
      <c r="AK139" s="13" t="e">
        <f t="shared" ca="1" si="160"/>
        <v>#N/A</v>
      </c>
      <c r="AL139" s="13" t="e">
        <f t="shared" ca="1" si="160"/>
        <v>#N/A</v>
      </c>
      <c r="AM139" s="13" t="e">
        <f t="shared" ca="1" si="160"/>
        <v>#N/A</v>
      </c>
      <c r="AN139" s="13" t="e">
        <f t="shared" ca="1" si="160"/>
        <v>#N/A</v>
      </c>
      <c r="AO139" s="13" t="e">
        <f t="shared" ca="1" si="160"/>
        <v>#N/A</v>
      </c>
      <c r="AP139" s="13" t="e">
        <f t="shared" ca="1" si="160"/>
        <v>#N/A</v>
      </c>
      <c r="AQ139" s="13" t="e">
        <f t="shared" ca="1" si="160"/>
        <v>#N/A</v>
      </c>
      <c r="AR139" s="13" t="e">
        <f t="shared" ca="1" si="160"/>
        <v>#N/A</v>
      </c>
      <c r="AS139" s="13" t="e">
        <f t="shared" ca="1" si="160"/>
        <v>#N/A</v>
      </c>
      <c r="AT139" s="13" t="e">
        <f t="shared" ca="1" si="160"/>
        <v>#N/A</v>
      </c>
      <c r="AU139" s="13" t="e">
        <f t="shared" ca="1" si="160"/>
        <v>#N/A</v>
      </c>
      <c r="AV139" s="13" t="e">
        <f t="shared" ca="1" si="160"/>
        <v>#N/A</v>
      </c>
      <c r="AW139" s="13" t="e">
        <f t="shared" ca="1" si="160"/>
        <v>#N/A</v>
      </c>
      <c r="AX139" s="13" t="e">
        <f t="shared" ca="1" si="160"/>
        <v>#N/A</v>
      </c>
      <c r="AY139" s="13" t="e">
        <f t="shared" ca="1" si="160"/>
        <v>#N/A</v>
      </c>
      <c r="AZ139" s="13" t="e">
        <f t="shared" ca="1" si="160"/>
        <v>#N/A</v>
      </c>
      <c r="BA139" s="13" t="e">
        <f t="shared" ca="1" si="160"/>
        <v>#N/A</v>
      </c>
      <c r="BB139" s="13" t="e">
        <f t="shared" ca="1" si="160"/>
        <v>#N/A</v>
      </c>
      <c r="BC139" s="13" t="e">
        <f t="shared" ca="1" si="160"/>
        <v>#N/A</v>
      </c>
      <c r="BD139" s="13" t="e">
        <f t="shared" ca="1" si="160"/>
        <v>#N/A</v>
      </c>
      <c r="BE139" s="13" t="e">
        <f t="shared" ca="1" si="160"/>
        <v>#N/A</v>
      </c>
      <c r="BF139" s="13" t="e">
        <f t="shared" ca="1" si="160"/>
        <v>#N/A</v>
      </c>
      <c r="BG139" s="13" t="e">
        <f t="shared" ca="1" si="160"/>
        <v>#N/A</v>
      </c>
      <c r="BH139" s="13" t="e">
        <f t="shared" ca="1" si="160"/>
        <v>#N/A</v>
      </c>
      <c r="BI139" s="13" t="e">
        <f t="shared" ca="1" si="160"/>
        <v>#N/A</v>
      </c>
      <c r="BJ139" s="13" t="e">
        <f t="shared" ca="1" si="160"/>
        <v>#N/A</v>
      </c>
      <c r="BK139" s="13" t="e">
        <f t="shared" ca="1" si="160"/>
        <v>#N/A</v>
      </c>
      <c r="BL139" s="13" t="e">
        <f t="shared" ca="1" si="160"/>
        <v>#N/A</v>
      </c>
      <c r="BM139" s="13" t="e">
        <f t="shared" ca="1" si="160"/>
        <v>#N/A</v>
      </c>
      <c r="BN139" s="13" t="e">
        <f t="shared" ca="1" si="160"/>
        <v>#N/A</v>
      </c>
      <c r="BO139" s="13" t="e">
        <f t="shared" ca="1" si="160"/>
        <v>#N/A</v>
      </c>
      <c r="BP139" s="13" t="e">
        <f t="shared" ca="1" si="160"/>
        <v>#N/A</v>
      </c>
      <c r="BQ139" s="13" t="e">
        <f t="shared" ref="BQ139:BV139" ca="1" si="161">BQ76/$D139*100000</f>
        <v>#N/A</v>
      </c>
      <c r="BR139" s="13" t="e">
        <f t="shared" ca="1" si="161"/>
        <v>#N/A</v>
      </c>
      <c r="BS139" s="13" t="e">
        <f t="shared" ca="1" si="161"/>
        <v>#N/A</v>
      </c>
      <c r="BT139" s="13" t="e">
        <f t="shared" ca="1" si="161"/>
        <v>#N/A</v>
      </c>
      <c r="BU139" s="13" t="e">
        <f t="shared" ca="1" si="161"/>
        <v>#N/A</v>
      </c>
      <c r="BV139" s="13" t="e">
        <f t="shared" ca="1" si="161"/>
        <v>#N/A</v>
      </c>
      <c r="BW139" s="13" t="e">
        <f t="shared" ref="BW139:CR139" ca="1" si="162">BW76/$D139*100000</f>
        <v>#N/A</v>
      </c>
      <c r="BX139" s="13" t="e">
        <f t="shared" ca="1" si="162"/>
        <v>#N/A</v>
      </c>
      <c r="BY139" s="13" t="e">
        <f t="shared" ca="1" si="162"/>
        <v>#N/A</v>
      </c>
      <c r="BZ139" s="13" t="e">
        <f t="shared" ca="1" si="162"/>
        <v>#N/A</v>
      </c>
      <c r="CA139" s="13" t="e">
        <f t="shared" ca="1" si="162"/>
        <v>#N/A</v>
      </c>
      <c r="CB139" s="13" t="e">
        <f t="shared" ca="1" si="162"/>
        <v>#N/A</v>
      </c>
      <c r="CC139" s="13" t="e">
        <f t="shared" ca="1" si="162"/>
        <v>#N/A</v>
      </c>
      <c r="CD139" s="13" t="e">
        <f t="shared" ca="1" si="162"/>
        <v>#N/A</v>
      </c>
      <c r="CE139" s="13" t="e">
        <f t="shared" ca="1" si="162"/>
        <v>#N/A</v>
      </c>
      <c r="CF139" s="13" t="e">
        <f t="shared" ca="1" si="162"/>
        <v>#N/A</v>
      </c>
      <c r="CG139" s="13" t="e">
        <f t="shared" ca="1" si="162"/>
        <v>#N/A</v>
      </c>
      <c r="CH139" s="13" t="e">
        <f t="shared" ca="1" si="162"/>
        <v>#N/A</v>
      </c>
      <c r="CI139" s="13" t="e">
        <f t="shared" ca="1" si="162"/>
        <v>#N/A</v>
      </c>
      <c r="CJ139" s="13" t="e">
        <f t="shared" ca="1" si="162"/>
        <v>#N/A</v>
      </c>
      <c r="CK139" s="13" t="e">
        <f t="shared" ca="1" si="162"/>
        <v>#N/A</v>
      </c>
      <c r="CL139" s="13" t="e">
        <f t="shared" ca="1" si="162"/>
        <v>#N/A</v>
      </c>
      <c r="CM139" s="13" t="e">
        <f t="shared" ca="1" si="162"/>
        <v>#N/A</v>
      </c>
      <c r="CN139" s="13" t="e">
        <f t="shared" ca="1" si="162"/>
        <v>#N/A</v>
      </c>
      <c r="CO139" s="13" t="e">
        <f t="shared" ca="1" si="162"/>
        <v>#N/A</v>
      </c>
      <c r="CP139" s="13" t="e">
        <f t="shared" ca="1" si="162"/>
        <v>#N/A</v>
      </c>
      <c r="CQ139" s="13" t="e">
        <f t="shared" ca="1" si="162"/>
        <v>#N/A</v>
      </c>
      <c r="CR139" s="13" t="e">
        <f t="shared" ca="1" si="162"/>
        <v>#N/A</v>
      </c>
    </row>
    <row r="140" spans="1:96" x14ac:dyDescent="0.25">
      <c r="B140">
        <f t="shared" si="65"/>
        <v>35</v>
      </c>
      <c r="C140">
        <f t="shared" ca="1" si="120"/>
        <v>0</v>
      </c>
      <c r="D140" s="1" t="e">
        <f t="shared" ca="1" si="120"/>
        <v>#N/A</v>
      </c>
      <c r="E140" s="13" t="e">
        <f t="shared" ref="E140:BP140" ca="1" si="163">E77/$D140*100000</f>
        <v>#N/A</v>
      </c>
      <c r="F140" s="13" t="e">
        <f t="shared" ca="1" si="163"/>
        <v>#N/A</v>
      </c>
      <c r="G140" s="13" t="e">
        <f t="shared" ca="1" si="163"/>
        <v>#N/A</v>
      </c>
      <c r="H140" s="13" t="e">
        <f t="shared" ca="1" si="163"/>
        <v>#N/A</v>
      </c>
      <c r="I140" s="13" t="e">
        <f t="shared" ca="1" si="163"/>
        <v>#N/A</v>
      </c>
      <c r="J140" s="13" t="e">
        <f t="shared" ca="1" si="163"/>
        <v>#N/A</v>
      </c>
      <c r="K140" s="13" t="e">
        <f t="shared" ca="1" si="163"/>
        <v>#N/A</v>
      </c>
      <c r="L140" s="13" t="e">
        <f t="shared" ca="1" si="163"/>
        <v>#N/A</v>
      </c>
      <c r="M140" s="13" t="e">
        <f t="shared" ca="1" si="163"/>
        <v>#N/A</v>
      </c>
      <c r="N140" s="13" t="e">
        <f t="shared" ca="1" si="163"/>
        <v>#N/A</v>
      </c>
      <c r="O140" s="13" t="e">
        <f t="shared" ca="1" si="163"/>
        <v>#N/A</v>
      </c>
      <c r="P140" s="13" t="e">
        <f t="shared" ca="1" si="163"/>
        <v>#N/A</v>
      </c>
      <c r="Q140" s="13" t="e">
        <f t="shared" ca="1" si="163"/>
        <v>#N/A</v>
      </c>
      <c r="R140" s="13" t="e">
        <f t="shared" ca="1" si="163"/>
        <v>#N/A</v>
      </c>
      <c r="S140" s="13" t="e">
        <f t="shared" ca="1" si="163"/>
        <v>#N/A</v>
      </c>
      <c r="T140" s="13" t="e">
        <f t="shared" ca="1" si="163"/>
        <v>#N/A</v>
      </c>
      <c r="U140" s="13" t="e">
        <f t="shared" ca="1" si="163"/>
        <v>#N/A</v>
      </c>
      <c r="V140" s="13" t="e">
        <f t="shared" ca="1" si="163"/>
        <v>#N/A</v>
      </c>
      <c r="W140" s="13" t="e">
        <f t="shared" ca="1" si="163"/>
        <v>#N/A</v>
      </c>
      <c r="X140" s="13" t="e">
        <f t="shared" ca="1" si="163"/>
        <v>#N/A</v>
      </c>
      <c r="Y140" s="13" t="e">
        <f t="shared" ca="1" si="163"/>
        <v>#N/A</v>
      </c>
      <c r="Z140" s="13" t="e">
        <f t="shared" ca="1" si="163"/>
        <v>#N/A</v>
      </c>
      <c r="AA140" s="13" t="e">
        <f t="shared" ca="1" si="163"/>
        <v>#N/A</v>
      </c>
      <c r="AB140" s="13" t="e">
        <f t="shared" ca="1" si="163"/>
        <v>#N/A</v>
      </c>
      <c r="AC140" s="13" t="e">
        <f t="shared" ca="1" si="163"/>
        <v>#N/A</v>
      </c>
      <c r="AD140" s="13" t="e">
        <f t="shared" ca="1" si="163"/>
        <v>#N/A</v>
      </c>
      <c r="AE140" s="13" t="e">
        <f t="shared" ca="1" si="163"/>
        <v>#N/A</v>
      </c>
      <c r="AF140" s="13" t="e">
        <f t="shared" ca="1" si="163"/>
        <v>#N/A</v>
      </c>
      <c r="AG140" s="13" t="e">
        <f t="shared" ca="1" si="163"/>
        <v>#N/A</v>
      </c>
      <c r="AH140" s="13" t="e">
        <f t="shared" ca="1" si="163"/>
        <v>#N/A</v>
      </c>
      <c r="AI140" s="13" t="e">
        <f t="shared" ca="1" si="163"/>
        <v>#N/A</v>
      </c>
      <c r="AJ140" s="13" t="e">
        <f t="shared" ca="1" si="163"/>
        <v>#N/A</v>
      </c>
      <c r="AK140" s="13" t="e">
        <f t="shared" ca="1" si="163"/>
        <v>#N/A</v>
      </c>
      <c r="AL140" s="13" t="e">
        <f t="shared" ca="1" si="163"/>
        <v>#N/A</v>
      </c>
      <c r="AM140" s="13" t="e">
        <f t="shared" ca="1" si="163"/>
        <v>#N/A</v>
      </c>
      <c r="AN140" s="13" t="e">
        <f t="shared" ca="1" si="163"/>
        <v>#N/A</v>
      </c>
      <c r="AO140" s="13" t="e">
        <f t="shared" ca="1" si="163"/>
        <v>#N/A</v>
      </c>
      <c r="AP140" s="13" t="e">
        <f t="shared" ca="1" si="163"/>
        <v>#N/A</v>
      </c>
      <c r="AQ140" s="13" t="e">
        <f t="shared" ca="1" si="163"/>
        <v>#N/A</v>
      </c>
      <c r="AR140" s="13" t="e">
        <f t="shared" ca="1" si="163"/>
        <v>#N/A</v>
      </c>
      <c r="AS140" s="13" t="e">
        <f t="shared" ca="1" si="163"/>
        <v>#N/A</v>
      </c>
      <c r="AT140" s="13" t="e">
        <f t="shared" ca="1" si="163"/>
        <v>#N/A</v>
      </c>
      <c r="AU140" s="13" t="e">
        <f t="shared" ca="1" si="163"/>
        <v>#N/A</v>
      </c>
      <c r="AV140" s="13" t="e">
        <f t="shared" ca="1" si="163"/>
        <v>#N/A</v>
      </c>
      <c r="AW140" s="13" t="e">
        <f t="shared" ca="1" si="163"/>
        <v>#N/A</v>
      </c>
      <c r="AX140" s="13" t="e">
        <f t="shared" ca="1" si="163"/>
        <v>#N/A</v>
      </c>
      <c r="AY140" s="13" t="e">
        <f t="shared" ca="1" si="163"/>
        <v>#N/A</v>
      </c>
      <c r="AZ140" s="13" t="e">
        <f t="shared" ca="1" si="163"/>
        <v>#N/A</v>
      </c>
      <c r="BA140" s="13" t="e">
        <f t="shared" ca="1" si="163"/>
        <v>#N/A</v>
      </c>
      <c r="BB140" s="13" t="e">
        <f t="shared" ca="1" si="163"/>
        <v>#N/A</v>
      </c>
      <c r="BC140" s="13" t="e">
        <f t="shared" ca="1" si="163"/>
        <v>#N/A</v>
      </c>
      <c r="BD140" s="13" t="e">
        <f t="shared" ca="1" si="163"/>
        <v>#N/A</v>
      </c>
      <c r="BE140" s="13" t="e">
        <f t="shared" ca="1" si="163"/>
        <v>#N/A</v>
      </c>
      <c r="BF140" s="13" t="e">
        <f t="shared" ca="1" si="163"/>
        <v>#N/A</v>
      </c>
      <c r="BG140" s="13" t="e">
        <f t="shared" ca="1" si="163"/>
        <v>#N/A</v>
      </c>
      <c r="BH140" s="13" t="e">
        <f t="shared" ca="1" si="163"/>
        <v>#N/A</v>
      </c>
      <c r="BI140" s="13" t="e">
        <f t="shared" ca="1" si="163"/>
        <v>#N/A</v>
      </c>
      <c r="BJ140" s="13" t="e">
        <f t="shared" ca="1" si="163"/>
        <v>#N/A</v>
      </c>
      <c r="BK140" s="13" t="e">
        <f t="shared" ca="1" si="163"/>
        <v>#N/A</v>
      </c>
      <c r="BL140" s="13" t="e">
        <f t="shared" ca="1" si="163"/>
        <v>#N/A</v>
      </c>
      <c r="BM140" s="13" t="e">
        <f t="shared" ca="1" si="163"/>
        <v>#N/A</v>
      </c>
      <c r="BN140" s="13" t="e">
        <f t="shared" ca="1" si="163"/>
        <v>#N/A</v>
      </c>
      <c r="BO140" s="13" t="e">
        <f t="shared" ca="1" si="163"/>
        <v>#N/A</v>
      </c>
      <c r="BP140" s="13" t="e">
        <f t="shared" ca="1" si="163"/>
        <v>#N/A</v>
      </c>
      <c r="BQ140" s="13" t="e">
        <f t="shared" ref="BQ140:BV140" ca="1" si="164">BQ77/$D140*100000</f>
        <v>#N/A</v>
      </c>
      <c r="BR140" s="13" t="e">
        <f t="shared" ca="1" si="164"/>
        <v>#N/A</v>
      </c>
      <c r="BS140" s="13" t="e">
        <f t="shared" ca="1" si="164"/>
        <v>#N/A</v>
      </c>
      <c r="BT140" s="13" t="e">
        <f t="shared" ca="1" si="164"/>
        <v>#N/A</v>
      </c>
      <c r="BU140" s="13" t="e">
        <f t="shared" ca="1" si="164"/>
        <v>#N/A</v>
      </c>
      <c r="BV140" s="13" t="e">
        <f t="shared" ca="1" si="164"/>
        <v>#N/A</v>
      </c>
      <c r="BW140" s="13" t="e">
        <f t="shared" ref="BW140:CR140" ca="1" si="165">BW77/$D140*100000</f>
        <v>#N/A</v>
      </c>
      <c r="BX140" s="13" t="e">
        <f t="shared" ca="1" si="165"/>
        <v>#N/A</v>
      </c>
      <c r="BY140" s="13" t="e">
        <f t="shared" ca="1" si="165"/>
        <v>#N/A</v>
      </c>
      <c r="BZ140" s="13" t="e">
        <f t="shared" ca="1" si="165"/>
        <v>#N/A</v>
      </c>
      <c r="CA140" s="13" t="e">
        <f t="shared" ca="1" si="165"/>
        <v>#N/A</v>
      </c>
      <c r="CB140" s="13" t="e">
        <f t="shared" ca="1" si="165"/>
        <v>#N/A</v>
      </c>
      <c r="CC140" s="13" t="e">
        <f t="shared" ca="1" si="165"/>
        <v>#N/A</v>
      </c>
      <c r="CD140" s="13" t="e">
        <f t="shared" ca="1" si="165"/>
        <v>#N/A</v>
      </c>
      <c r="CE140" s="13" t="e">
        <f t="shared" ca="1" si="165"/>
        <v>#N/A</v>
      </c>
      <c r="CF140" s="13" t="e">
        <f t="shared" ca="1" si="165"/>
        <v>#N/A</v>
      </c>
      <c r="CG140" s="13" t="e">
        <f t="shared" ca="1" si="165"/>
        <v>#N/A</v>
      </c>
      <c r="CH140" s="13" t="e">
        <f t="shared" ca="1" si="165"/>
        <v>#N/A</v>
      </c>
      <c r="CI140" s="13" t="e">
        <f t="shared" ca="1" si="165"/>
        <v>#N/A</v>
      </c>
      <c r="CJ140" s="13" t="e">
        <f t="shared" ca="1" si="165"/>
        <v>#N/A</v>
      </c>
      <c r="CK140" s="13" t="e">
        <f t="shared" ca="1" si="165"/>
        <v>#N/A</v>
      </c>
      <c r="CL140" s="13" t="e">
        <f t="shared" ca="1" si="165"/>
        <v>#N/A</v>
      </c>
      <c r="CM140" s="13" t="e">
        <f t="shared" ca="1" si="165"/>
        <v>#N/A</v>
      </c>
      <c r="CN140" s="13" t="e">
        <f t="shared" ca="1" si="165"/>
        <v>#N/A</v>
      </c>
      <c r="CO140" s="13" t="e">
        <f t="shared" ca="1" si="165"/>
        <v>#N/A</v>
      </c>
      <c r="CP140" s="13" t="e">
        <f t="shared" ca="1" si="165"/>
        <v>#N/A</v>
      </c>
      <c r="CQ140" s="13" t="e">
        <f t="shared" ca="1" si="165"/>
        <v>#N/A</v>
      </c>
      <c r="CR140" s="13" t="e">
        <f t="shared" ca="1" si="165"/>
        <v>#N/A</v>
      </c>
    </row>
    <row r="141" spans="1:96" x14ac:dyDescent="0.25">
      <c r="B141">
        <f t="shared" si="65"/>
        <v>36</v>
      </c>
      <c r="C141">
        <f t="shared" ca="1" si="120"/>
        <v>0</v>
      </c>
      <c r="D141" s="1" t="e">
        <f t="shared" ca="1" si="120"/>
        <v>#N/A</v>
      </c>
      <c r="E141" s="13" t="e">
        <f t="shared" ref="E141:BP141" ca="1" si="166">E78/$D141*100000</f>
        <v>#N/A</v>
      </c>
      <c r="F141" s="13" t="e">
        <f t="shared" ca="1" si="166"/>
        <v>#N/A</v>
      </c>
      <c r="G141" s="13" t="e">
        <f t="shared" ca="1" si="166"/>
        <v>#N/A</v>
      </c>
      <c r="H141" s="13" t="e">
        <f t="shared" ca="1" si="166"/>
        <v>#N/A</v>
      </c>
      <c r="I141" s="13" t="e">
        <f t="shared" ca="1" si="166"/>
        <v>#N/A</v>
      </c>
      <c r="J141" s="13" t="e">
        <f t="shared" ca="1" si="166"/>
        <v>#N/A</v>
      </c>
      <c r="K141" s="13" t="e">
        <f t="shared" ca="1" si="166"/>
        <v>#N/A</v>
      </c>
      <c r="L141" s="13" t="e">
        <f t="shared" ca="1" si="166"/>
        <v>#N/A</v>
      </c>
      <c r="M141" s="13" t="e">
        <f t="shared" ca="1" si="166"/>
        <v>#N/A</v>
      </c>
      <c r="N141" s="13" t="e">
        <f t="shared" ca="1" si="166"/>
        <v>#N/A</v>
      </c>
      <c r="O141" s="13" t="e">
        <f t="shared" ca="1" si="166"/>
        <v>#N/A</v>
      </c>
      <c r="P141" s="13" t="e">
        <f t="shared" ca="1" si="166"/>
        <v>#N/A</v>
      </c>
      <c r="Q141" s="13" t="e">
        <f t="shared" ca="1" si="166"/>
        <v>#N/A</v>
      </c>
      <c r="R141" s="13" t="e">
        <f t="shared" ca="1" si="166"/>
        <v>#N/A</v>
      </c>
      <c r="S141" s="13" t="e">
        <f t="shared" ca="1" si="166"/>
        <v>#N/A</v>
      </c>
      <c r="T141" s="13" t="e">
        <f t="shared" ca="1" si="166"/>
        <v>#N/A</v>
      </c>
      <c r="U141" s="13" t="e">
        <f t="shared" ca="1" si="166"/>
        <v>#N/A</v>
      </c>
      <c r="V141" s="13" t="e">
        <f t="shared" ca="1" si="166"/>
        <v>#N/A</v>
      </c>
      <c r="W141" s="13" t="e">
        <f t="shared" ca="1" si="166"/>
        <v>#N/A</v>
      </c>
      <c r="X141" s="13" t="e">
        <f t="shared" ca="1" si="166"/>
        <v>#N/A</v>
      </c>
      <c r="Y141" s="13" t="e">
        <f t="shared" ca="1" si="166"/>
        <v>#N/A</v>
      </c>
      <c r="Z141" s="13" t="e">
        <f t="shared" ca="1" si="166"/>
        <v>#N/A</v>
      </c>
      <c r="AA141" s="13" t="e">
        <f t="shared" ca="1" si="166"/>
        <v>#N/A</v>
      </c>
      <c r="AB141" s="13" t="e">
        <f t="shared" ca="1" si="166"/>
        <v>#N/A</v>
      </c>
      <c r="AC141" s="13" t="e">
        <f t="shared" ca="1" si="166"/>
        <v>#N/A</v>
      </c>
      <c r="AD141" s="13" t="e">
        <f t="shared" ca="1" si="166"/>
        <v>#N/A</v>
      </c>
      <c r="AE141" s="13" t="e">
        <f t="shared" ca="1" si="166"/>
        <v>#N/A</v>
      </c>
      <c r="AF141" s="13" t="e">
        <f t="shared" ca="1" si="166"/>
        <v>#N/A</v>
      </c>
      <c r="AG141" s="13" t="e">
        <f t="shared" ca="1" si="166"/>
        <v>#N/A</v>
      </c>
      <c r="AH141" s="13" t="e">
        <f t="shared" ca="1" si="166"/>
        <v>#N/A</v>
      </c>
      <c r="AI141" s="13" t="e">
        <f t="shared" ca="1" si="166"/>
        <v>#N/A</v>
      </c>
      <c r="AJ141" s="13" t="e">
        <f t="shared" ca="1" si="166"/>
        <v>#N/A</v>
      </c>
      <c r="AK141" s="13" t="e">
        <f t="shared" ca="1" si="166"/>
        <v>#N/A</v>
      </c>
      <c r="AL141" s="13" t="e">
        <f t="shared" ca="1" si="166"/>
        <v>#N/A</v>
      </c>
      <c r="AM141" s="13" t="e">
        <f t="shared" ca="1" si="166"/>
        <v>#N/A</v>
      </c>
      <c r="AN141" s="13" t="e">
        <f t="shared" ca="1" si="166"/>
        <v>#N/A</v>
      </c>
      <c r="AO141" s="13" t="e">
        <f t="shared" ca="1" si="166"/>
        <v>#N/A</v>
      </c>
      <c r="AP141" s="13" t="e">
        <f t="shared" ca="1" si="166"/>
        <v>#N/A</v>
      </c>
      <c r="AQ141" s="13" t="e">
        <f t="shared" ca="1" si="166"/>
        <v>#N/A</v>
      </c>
      <c r="AR141" s="13" t="e">
        <f t="shared" ca="1" si="166"/>
        <v>#N/A</v>
      </c>
      <c r="AS141" s="13" t="e">
        <f t="shared" ca="1" si="166"/>
        <v>#N/A</v>
      </c>
      <c r="AT141" s="13" t="e">
        <f t="shared" ca="1" si="166"/>
        <v>#N/A</v>
      </c>
      <c r="AU141" s="13" t="e">
        <f t="shared" ca="1" si="166"/>
        <v>#N/A</v>
      </c>
      <c r="AV141" s="13" t="e">
        <f t="shared" ca="1" si="166"/>
        <v>#N/A</v>
      </c>
      <c r="AW141" s="13" t="e">
        <f t="shared" ca="1" si="166"/>
        <v>#N/A</v>
      </c>
      <c r="AX141" s="13" t="e">
        <f t="shared" ca="1" si="166"/>
        <v>#N/A</v>
      </c>
      <c r="AY141" s="13" t="e">
        <f t="shared" ca="1" si="166"/>
        <v>#N/A</v>
      </c>
      <c r="AZ141" s="13" t="e">
        <f t="shared" ca="1" si="166"/>
        <v>#N/A</v>
      </c>
      <c r="BA141" s="13" t="e">
        <f t="shared" ca="1" si="166"/>
        <v>#N/A</v>
      </c>
      <c r="BB141" s="13" t="e">
        <f t="shared" ca="1" si="166"/>
        <v>#N/A</v>
      </c>
      <c r="BC141" s="13" t="e">
        <f t="shared" ca="1" si="166"/>
        <v>#N/A</v>
      </c>
      <c r="BD141" s="13" t="e">
        <f t="shared" ca="1" si="166"/>
        <v>#N/A</v>
      </c>
      <c r="BE141" s="13" t="e">
        <f t="shared" ca="1" si="166"/>
        <v>#N/A</v>
      </c>
      <c r="BF141" s="13" t="e">
        <f t="shared" ca="1" si="166"/>
        <v>#N/A</v>
      </c>
      <c r="BG141" s="13" t="e">
        <f t="shared" ca="1" si="166"/>
        <v>#N/A</v>
      </c>
      <c r="BH141" s="13" t="e">
        <f t="shared" ca="1" si="166"/>
        <v>#N/A</v>
      </c>
      <c r="BI141" s="13" t="e">
        <f t="shared" ca="1" si="166"/>
        <v>#N/A</v>
      </c>
      <c r="BJ141" s="13" t="e">
        <f t="shared" ca="1" si="166"/>
        <v>#N/A</v>
      </c>
      <c r="BK141" s="13" t="e">
        <f t="shared" ca="1" si="166"/>
        <v>#N/A</v>
      </c>
      <c r="BL141" s="13" t="e">
        <f t="shared" ca="1" si="166"/>
        <v>#N/A</v>
      </c>
      <c r="BM141" s="13" t="e">
        <f t="shared" ca="1" si="166"/>
        <v>#N/A</v>
      </c>
      <c r="BN141" s="13" t="e">
        <f t="shared" ca="1" si="166"/>
        <v>#N/A</v>
      </c>
      <c r="BO141" s="13" t="e">
        <f t="shared" ca="1" si="166"/>
        <v>#N/A</v>
      </c>
      <c r="BP141" s="13" t="e">
        <f t="shared" ca="1" si="166"/>
        <v>#N/A</v>
      </c>
      <c r="BQ141" s="13" t="e">
        <f t="shared" ref="BQ141:BV141" ca="1" si="167">BQ78/$D141*100000</f>
        <v>#N/A</v>
      </c>
      <c r="BR141" s="13" t="e">
        <f t="shared" ca="1" si="167"/>
        <v>#N/A</v>
      </c>
      <c r="BS141" s="13" t="e">
        <f t="shared" ca="1" si="167"/>
        <v>#N/A</v>
      </c>
      <c r="BT141" s="13" t="e">
        <f t="shared" ca="1" si="167"/>
        <v>#N/A</v>
      </c>
      <c r="BU141" s="13" t="e">
        <f t="shared" ca="1" si="167"/>
        <v>#N/A</v>
      </c>
      <c r="BV141" s="13" t="e">
        <f t="shared" ca="1" si="167"/>
        <v>#N/A</v>
      </c>
      <c r="BW141" s="13" t="e">
        <f t="shared" ref="BW141:CR141" ca="1" si="168">BW78/$D141*100000</f>
        <v>#N/A</v>
      </c>
      <c r="BX141" s="13" t="e">
        <f t="shared" ca="1" si="168"/>
        <v>#N/A</v>
      </c>
      <c r="BY141" s="13" t="e">
        <f t="shared" ca="1" si="168"/>
        <v>#N/A</v>
      </c>
      <c r="BZ141" s="13" t="e">
        <f t="shared" ca="1" si="168"/>
        <v>#N/A</v>
      </c>
      <c r="CA141" s="13" t="e">
        <f t="shared" ca="1" si="168"/>
        <v>#N/A</v>
      </c>
      <c r="CB141" s="13" t="e">
        <f t="shared" ca="1" si="168"/>
        <v>#N/A</v>
      </c>
      <c r="CC141" s="13" t="e">
        <f t="shared" ca="1" si="168"/>
        <v>#N/A</v>
      </c>
      <c r="CD141" s="13" t="e">
        <f t="shared" ca="1" si="168"/>
        <v>#N/A</v>
      </c>
      <c r="CE141" s="13" t="e">
        <f t="shared" ca="1" si="168"/>
        <v>#N/A</v>
      </c>
      <c r="CF141" s="13" t="e">
        <f t="shared" ca="1" si="168"/>
        <v>#N/A</v>
      </c>
      <c r="CG141" s="13" t="e">
        <f t="shared" ca="1" si="168"/>
        <v>#N/A</v>
      </c>
      <c r="CH141" s="13" t="e">
        <f t="shared" ca="1" si="168"/>
        <v>#N/A</v>
      </c>
      <c r="CI141" s="13" t="e">
        <f t="shared" ca="1" si="168"/>
        <v>#N/A</v>
      </c>
      <c r="CJ141" s="13" t="e">
        <f t="shared" ca="1" si="168"/>
        <v>#N/A</v>
      </c>
      <c r="CK141" s="13" t="e">
        <f t="shared" ca="1" si="168"/>
        <v>#N/A</v>
      </c>
      <c r="CL141" s="13" t="e">
        <f t="shared" ca="1" si="168"/>
        <v>#N/A</v>
      </c>
      <c r="CM141" s="13" t="e">
        <f t="shared" ca="1" si="168"/>
        <v>#N/A</v>
      </c>
      <c r="CN141" s="13" t="e">
        <f t="shared" ca="1" si="168"/>
        <v>#N/A</v>
      </c>
      <c r="CO141" s="13" t="e">
        <f t="shared" ca="1" si="168"/>
        <v>#N/A</v>
      </c>
      <c r="CP141" s="13" t="e">
        <f t="shared" ca="1" si="168"/>
        <v>#N/A</v>
      </c>
      <c r="CQ141" s="13" t="e">
        <f t="shared" ca="1" si="168"/>
        <v>#N/A</v>
      </c>
      <c r="CR141" s="13" t="e">
        <f t="shared" ca="1" si="168"/>
        <v>#N/A</v>
      </c>
    </row>
    <row r="142" spans="1:96" x14ac:dyDescent="0.25">
      <c r="B142">
        <f t="shared" si="65"/>
        <v>37</v>
      </c>
      <c r="C142">
        <f t="shared" ca="1" si="120"/>
        <v>0</v>
      </c>
      <c r="D142" s="1" t="e">
        <f t="shared" ca="1" si="120"/>
        <v>#N/A</v>
      </c>
      <c r="E142" s="13" t="e">
        <f t="shared" ref="E142:BP142" ca="1" si="169">E79/$D142*100000</f>
        <v>#N/A</v>
      </c>
      <c r="F142" s="13" t="e">
        <f t="shared" ca="1" si="169"/>
        <v>#N/A</v>
      </c>
      <c r="G142" s="13" t="e">
        <f t="shared" ca="1" si="169"/>
        <v>#N/A</v>
      </c>
      <c r="H142" s="13" t="e">
        <f t="shared" ca="1" si="169"/>
        <v>#N/A</v>
      </c>
      <c r="I142" s="13" t="e">
        <f t="shared" ca="1" si="169"/>
        <v>#N/A</v>
      </c>
      <c r="J142" s="13" t="e">
        <f t="shared" ca="1" si="169"/>
        <v>#N/A</v>
      </c>
      <c r="K142" s="13" t="e">
        <f t="shared" ca="1" si="169"/>
        <v>#N/A</v>
      </c>
      <c r="L142" s="13" t="e">
        <f t="shared" ca="1" si="169"/>
        <v>#N/A</v>
      </c>
      <c r="M142" s="13" t="e">
        <f t="shared" ca="1" si="169"/>
        <v>#N/A</v>
      </c>
      <c r="N142" s="13" t="e">
        <f t="shared" ca="1" si="169"/>
        <v>#N/A</v>
      </c>
      <c r="O142" s="13" t="e">
        <f t="shared" ca="1" si="169"/>
        <v>#N/A</v>
      </c>
      <c r="P142" s="13" t="e">
        <f t="shared" ca="1" si="169"/>
        <v>#N/A</v>
      </c>
      <c r="Q142" s="13" t="e">
        <f t="shared" ca="1" si="169"/>
        <v>#N/A</v>
      </c>
      <c r="R142" s="13" t="e">
        <f t="shared" ca="1" si="169"/>
        <v>#N/A</v>
      </c>
      <c r="S142" s="13" t="e">
        <f t="shared" ca="1" si="169"/>
        <v>#N/A</v>
      </c>
      <c r="T142" s="13" t="e">
        <f t="shared" ca="1" si="169"/>
        <v>#N/A</v>
      </c>
      <c r="U142" s="13" t="e">
        <f t="shared" ca="1" si="169"/>
        <v>#N/A</v>
      </c>
      <c r="V142" s="13" t="e">
        <f t="shared" ca="1" si="169"/>
        <v>#N/A</v>
      </c>
      <c r="W142" s="13" t="e">
        <f t="shared" ca="1" si="169"/>
        <v>#N/A</v>
      </c>
      <c r="X142" s="13" t="e">
        <f t="shared" ca="1" si="169"/>
        <v>#N/A</v>
      </c>
      <c r="Y142" s="13" t="e">
        <f t="shared" ca="1" si="169"/>
        <v>#N/A</v>
      </c>
      <c r="Z142" s="13" t="e">
        <f t="shared" ca="1" si="169"/>
        <v>#N/A</v>
      </c>
      <c r="AA142" s="13" t="e">
        <f t="shared" ca="1" si="169"/>
        <v>#N/A</v>
      </c>
      <c r="AB142" s="13" t="e">
        <f t="shared" ca="1" si="169"/>
        <v>#N/A</v>
      </c>
      <c r="AC142" s="13" t="e">
        <f t="shared" ca="1" si="169"/>
        <v>#N/A</v>
      </c>
      <c r="AD142" s="13" t="e">
        <f t="shared" ca="1" si="169"/>
        <v>#N/A</v>
      </c>
      <c r="AE142" s="13" t="e">
        <f t="shared" ca="1" si="169"/>
        <v>#N/A</v>
      </c>
      <c r="AF142" s="13" t="e">
        <f t="shared" ca="1" si="169"/>
        <v>#N/A</v>
      </c>
      <c r="AG142" s="13" t="e">
        <f t="shared" ca="1" si="169"/>
        <v>#N/A</v>
      </c>
      <c r="AH142" s="13" t="e">
        <f t="shared" ca="1" si="169"/>
        <v>#N/A</v>
      </c>
      <c r="AI142" s="13" t="e">
        <f t="shared" ca="1" si="169"/>
        <v>#N/A</v>
      </c>
      <c r="AJ142" s="13" t="e">
        <f t="shared" ca="1" si="169"/>
        <v>#N/A</v>
      </c>
      <c r="AK142" s="13" t="e">
        <f t="shared" ca="1" si="169"/>
        <v>#N/A</v>
      </c>
      <c r="AL142" s="13" t="e">
        <f t="shared" ca="1" si="169"/>
        <v>#N/A</v>
      </c>
      <c r="AM142" s="13" t="e">
        <f t="shared" ca="1" si="169"/>
        <v>#N/A</v>
      </c>
      <c r="AN142" s="13" t="e">
        <f t="shared" ca="1" si="169"/>
        <v>#N/A</v>
      </c>
      <c r="AO142" s="13" t="e">
        <f t="shared" ca="1" si="169"/>
        <v>#N/A</v>
      </c>
      <c r="AP142" s="13" t="e">
        <f t="shared" ca="1" si="169"/>
        <v>#N/A</v>
      </c>
      <c r="AQ142" s="13" t="e">
        <f t="shared" ca="1" si="169"/>
        <v>#N/A</v>
      </c>
      <c r="AR142" s="13" t="e">
        <f t="shared" ca="1" si="169"/>
        <v>#N/A</v>
      </c>
      <c r="AS142" s="13" t="e">
        <f t="shared" ca="1" si="169"/>
        <v>#N/A</v>
      </c>
      <c r="AT142" s="13" t="e">
        <f t="shared" ca="1" si="169"/>
        <v>#N/A</v>
      </c>
      <c r="AU142" s="13" t="e">
        <f t="shared" ca="1" si="169"/>
        <v>#N/A</v>
      </c>
      <c r="AV142" s="13" t="e">
        <f t="shared" ca="1" si="169"/>
        <v>#N/A</v>
      </c>
      <c r="AW142" s="13" t="e">
        <f t="shared" ca="1" si="169"/>
        <v>#N/A</v>
      </c>
      <c r="AX142" s="13" t="e">
        <f t="shared" ca="1" si="169"/>
        <v>#N/A</v>
      </c>
      <c r="AY142" s="13" t="e">
        <f t="shared" ca="1" si="169"/>
        <v>#N/A</v>
      </c>
      <c r="AZ142" s="13" t="e">
        <f t="shared" ca="1" si="169"/>
        <v>#N/A</v>
      </c>
      <c r="BA142" s="13" t="e">
        <f t="shared" ca="1" si="169"/>
        <v>#N/A</v>
      </c>
      <c r="BB142" s="13" t="e">
        <f t="shared" ca="1" si="169"/>
        <v>#N/A</v>
      </c>
      <c r="BC142" s="13" t="e">
        <f t="shared" ca="1" si="169"/>
        <v>#N/A</v>
      </c>
      <c r="BD142" s="13" t="e">
        <f t="shared" ca="1" si="169"/>
        <v>#N/A</v>
      </c>
      <c r="BE142" s="13" t="e">
        <f t="shared" ca="1" si="169"/>
        <v>#N/A</v>
      </c>
      <c r="BF142" s="13" t="e">
        <f t="shared" ca="1" si="169"/>
        <v>#N/A</v>
      </c>
      <c r="BG142" s="13" t="e">
        <f t="shared" ca="1" si="169"/>
        <v>#N/A</v>
      </c>
      <c r="BH142" s="13" t="e">
        <f t="shared" ca="1" si="169"/>
        <v>#N/A</v>
      </c>
      <c r="BI142" s="13" t="e">
        <f t="shared" ca="1" si="169"/>
        <v>#N/A</v>
      </c>
      <c r="BJ142" s="13" t="e">
        <f t="shared" ca="1" si="169"/>
        <v>#N/A</v>
      </c>
      <c r="BK142" s="13" t="e">
        <f t="shared" ca="1" si="169"/>
        <v>#N/A</v>
      </c>
      <c r="BL142" s="13" t="e">
        <f t="shared" ca="1" si="169"/>
        <v>#N/A</v>
      </c>
      <c r="BM142" s="13" t="e">
        <f t="shared" ca="1" si="169"/>
        <v>#N/A</v>
      </c>
      <c r="BN142" s="13" t="e">
        <f t="shared" ca="1" si="169"/>
        <v>#N/A</v>
      </c>
      <c r="BO142" s="13" t="e">
        <f t="shared" ca="1" si="169"/>
        <v>#N/A</v>
      </c>
      <c r="BP142" s="13" t="e">
        <f t="shared" ca="1" si="169"/>
        <v>#N/A</v>
      </c>
      <c r="BQ142" s="13" t="e">
        <f t="shared" ref="BQ142:BV142" ca="1" si="170">BQ79/$D142*100000</f>
        <v>#N/A</v>
      </c>
      <c r="BR142" s="13" t="e">
        <f t="shared" ca="1" si="170"/>
        <v>#N/A</v>
      </c>
      <c r="BS142" s="13" t="e">
        <f t="shared" ca="1" si="170"/>
        <v>#N/A</v>
      </c>
      <c r="BT142" s="13" t="e">
        <f t="shared" ca="1" si="170"/>
        <v>#N/A</v>
      </c>
      <c r="BU142" s="13" t="e">
        <f t="shared" ca="1" si="170"/>
        <v>#N/A</v>
      </c>
      <c r="BV142" s="13" t="e">
        <f t="shared" ca="1" si="170"/>
        <v>#N/A</v>
      </c>
      <c r="BW142" s="13" t="e">
        <f t="shared" ref="BW142:CR142" ca="1" si="171">BW79/$D142*100000</f>
        <v>#N/A</v>
      </c>
      <c r="BX142" s="13" t="e">
        <f t="shared" ca="1" si="171"/>
        <v>#N/A</v>
      </c>
      <c r="BY142" s="13" t="e">
        <f t="shared" ca="1" si="171"/>
        <v>#N/A</v>
      </c>
      <c r="BZ142" s="13" t="e">
        <f t="shared" ca="1" si="171"/>
        <v>#N/A</v>
      </c>
      <c r="CA142" s="13" t="e">
        <f t="shared" ca="1" si="171"/>
        <v>#N/A</v>
      </c>
      <c r="CB142" s="13" t="e">
        <f t="shared" ca="1" si="171"/>
        <v>#N/A</v>
      </c>
      <c r="CC142" s="13" t="e">
        <f t="shared" ca="1" si="171"/>
        <v>#N/A</v>
      </c>
      <c r="CD142" s="13" t="e">
        <f t="shared" ca="1" si="171"/>
        <v>#N/A</v>
      </c>
      <c r="CE142" s="13" t="e">
        <f t="shared" ca="1" si="171"/>
        <v>#N/A</v>
      </c>
      <c r="CF142" s="13" t="e">
        <f t="shared" ca="1" si="171"/>
        <v>#N/A</v>
      </c>
      <c r="CG142" s="13" t="e">
        <f t="shared" ca="1" si="171"/>
        <v>#N/A</v>
      </c>
      <c r="CH142" s="13" t="e">
        <f t="shared" ca="1" si="171"/>
        <v>#N/A</v>
      </c>
      <c r="CI142" s="13" t="e">
        <f t="shared" ca="1" si="171"/>
        <v>#N/A</v>
      </c>
      <c r="CJ142" s="13" t="e">
        <f t="shared" ca="1" si="171"/>
        <v>#N/A</v>
      </c>
      <c r="CK142" s="13" t="e">
        <f t="shared" ca="1" si="171"/>
        <v>#N/A</v>
      </c>
      <c r="CL142" s="13" t="e">
        <f t="shared" ca="1" si="171"/>
        <v>#N/A</v>
      </c>
      <c r="CM142" s="13" t="e">
        <f t="shared" ca="1" si="171"/>
        <v>#N/A</v>
      </c>
      <c r="CN142" s="13" t="e">
        <f t="shared" ca="1" si="171"/>
        <v>#N/A</v>
      </c>
      <c r="CO142" s="13" t="e">
        <f t="shared" ca="1" si="171"/>
        <v>#N/A</v>
      </c>
      <c r="CP142" s="13" t="e">
        <f t="shared" ca="1" si="171"/>
        <v>#N/A</v>
      </c>
      <c r="CQ142" s="13" t="e">
        <f t="shared" ca="1" si="171"/>
        <v>#N/A</v>
      </c>
      <c r="CR142" s="13" t="e">
        <f t="shared" ca="1" si="171"/>
        <v>#N/A</v>
      </c>
    </row>
    <row r="143" spans="1:96" x14ac:dyDescent="0.25">
      <c r="B143">
        <f t="shared" si="65"/>
        <v>38</v>
      </c>
      <c r="C143">
        <f t="shared" ca="1" si="120"/>
        <v>0</v>
      </c>
      <c r="D143" s="1" t="e">
        <f t="shared" ca="1" si="120"/>
        <v>#N/A</v>
      </c>
      <c r="E143" s="13" t="e">
        <f t="shared" ref="E143:BP143" ca="1" si="172">E80/$D143*100000</f>
        <v>#N/A</v>
      </c>
      <c r="F143" s="13" t="e">
        <f t="shared" ca="1" si="172"/>
        <v>#N/A</v>
      </c>
      <c r="G143" s="13" t="e">
        <f t="shared" ca="1" si="172"/>
        <v>#N/A</v>
      </c>
      <c r="H143" s="13" t="e">
        <f t="shared" ca="1" si="172"/>
        <v>#N/A</v>
      </c>
      <c r="I143" s="13" t="e">
        <f t="shared" ca="1" si="172"/>
        <v>#N/A</v>
      </c>
      <c r="J143" s="13" t="e">
        <f t="shared" ca="1" si="172"/>
        <v>#N/A</v>
      </c>
      <c r="K143" s="13" t="e">
        <f t="shared" ca="1" si="172"/>
        <v>#N/A</v>
      </c>
      <c r="L143" s="13" t="e">
        <f t="shared" ca="1" si="172"/>
        <v>#N/A</v>
      </c>
      <c r="M143" s="13" t="e">
        <f t="shared" ca="1" si="172"/>
        <v>#N/A</v>
      </c>
      <c r="N143" s="13" t="e">
        <f t="shared" ca="1" si="172"/>
        <v>#N/A</v>
      </c>
      <c r="O143" s="13" t="e">
        <f t="shared" ca="1" si="172"/>
        <v>#N/A</v>
      </c>
      <c r="P143" s="13" t="e">
        <f t="shared" ca="1" si="172"/>
        <v>#N/A</v>
      </c>
      <c r="Q143" s="13" t="e">
        <f t="shared" ca="1" si="172"/>
        <v>#N/A</v>
      </c>
      <c r="R143" s="13" t="e">
        <f t="shared" ca="1" si="172"/>
        <v>#N/A</v>
      </c>
      <c r="S143" s="13" t="e">
        <f t="shared" ca="1" si="172"/>
        <v>#N/A</v>
      </c>
      <c r="T143" s="13" t="e">
        <f t="shared" ca="1" si="172"/>
        <v>#N/A</v>
      </c>
      <c r="U143" s="13" t="e">
        <f t="shared" ca="1" si="172"/>
        <v>#N/A</v>
      </c>
      <c r="V143" s="13" t="e">
        <f t="shared" ca="1" si="172"/>
        <v>#N/A</v>
      </c>
      <c r="W143" s="13" t="e">
        <f t="shared" ca="1" si="172"/>
        <v>#N/A</v>
      </c>
      <c r="X143" s="13" t="e">
        <f t="shared" ca="1" si="172"/>
        <v>#N/A</v>
      </c>
      <c r="Y143" s="13" t="e">
        <f t="shared" ca="1" si="172"/>
        <v>#N/A</v>
      </c>
      <c r="Z143" s="13" t="e">
        <f t="shared" ca="1" si="172"/>
        <v>#N/A</v>
      </c>
      <c r="AA143" s="13" t="e">
        <f t="shared" ca="1" si="172"/>
        <v>#N/A</v>
      </c>
      <c r="AB143" s="13" t="e">
        <f t="shared" ca="1" si="172"/>
        <v>#N/A</v>
      </c>
      <c r="AC143" s="13" t="e">
        <f t="shared" ca="1" si="172"/>
        <v>#N/A</v>
      </c>
      <c r="AD143" s="13" t="e">
        <f t="shared" ca="1" si="172"/>
        <v>#N/A</v>
      </c>
      <c r="AE143" s="13" t="e">
        <f t="shared" ca="1" si="172"/>
        <v>#N/A</v>
      </c>
      <c r="AF143" s="13" t="e">
        <f t="shared" ca="1" si="172"/>
        <v>#N/A</v>
      </c>
      <c r="AG143" s="13" t="e">
        <f t="shared" ca="1" si="172"/>
        <v>#N/A</v>
      </c>
      <c r="AH143" s="13" t="e">
        <f t="shared" ca="1" si="172"/>
        <v>#N/A</v>
      </c>
      <c r="AI143" s="13" t="e">
        <f t="shared" ca="1" si="172"/>
        <v>#N/A</v>
      </c>
      <c r="AJ143" s="13" t="e">
        <f t="shared" ca="1" si="172"/>
        <v>#N/A</v>
      </c>
      <c r="AK143" s="13" t="e">
        <f t="shared" ca="1" si="172"/>
        <v>#N/A</v>
      </c>
      <c r="AL143" s="13" t="e">
        <f t="shared" ca="1" si="172"/>
        <v>#N/A</v>
      </c>
      <c r="AM143" s="13" t="e">
        <f t="shared" ca="1" si="172"/>
        <v>#N/A</v>
      </c>
      <c r="AN143" s="13" t="e">
        <f t="shared" ca="1" si="172"/>
        <v>#N/A</v>
      </c>
      <c r="AO143" s="13" t="e">
        <f t="shared" ca="1" si="172"/>
        <v>#N/A</v>
      </c>
      <c r="AP143" s="13" t="e">
        <f t="shared" ca="1" si="172"/>
        <v>#N/A</v>
      </c>
      <c r="AQ143" s="13" t="e">
        <f t="shared" ca="1" si="172"/>
        <v>#N/A</v>
      </c>
      <c r="AR143" s="13" t="e">
        <f t="shared" ca="1" si="172"/>
        <v>#N/A</v>
      </c>
      <c r="AS143" s="13" t="e">
        <f t="shared" ca="1" si="172"/>
        <v>#N/A</v>
      </c>
      <c r="AT143" s="13" t="e">
        <f t="shared" ca="1" si="172"/>
        <v>#N/A</v>
      </c>
      <c r="AU143" s="13" t="e">
        <f t="shared" ca="1" si="172"/>
        <v>#N/A</v>
      </c>
      <c r="AV143" s="13" t="e">
        <f t="shared" ca="1" si="172"/>
        <v>#N/A</v>
      </c>
      <c r="AW143" s="13" t="e">
        <f t="shared" ca="1" si="172"/>
        <v>#N/A</v>
      </c>
      <c r="AX143" s="13" t="e">
        <f t="shared" ca="1" si="172"/>
        <v>#N/A</v>
      </c>
      <c r="AY143" s="13" t="e">
        <f t="shared" ca="1" si="172"/>
        <v>#N/A</v>
      </c>
      <c r="AZ143" s="13" t="e">
        <f t="shared" ca="1" si="172"/>
        <v>#N/A</v>
      </c>
      <c r="BA143" s="13" t="e">
        <f t="shared" ca="1" si="172"/>
        <v>#N/A</v>
      </c>
      <c r="BB143" s="13" t="e">
        <f t="shared" ca="1" si="172"/>
        <v>#N/A</v>
      </c>
      <c r="BC143" s="13" t="e">
        <f t="shared" ca="1" si="172"/>
        <v>#N/A</v>
      </c>
      <c r="BD143" s="13" t="e">
        <f t="shared" ca="1" si="172"/>
        <v>#N/A</v>
      </c>
      <c r="BE143" s="13" t="e">
        <f t="shared" ca="1" si="172"/>
        <v>#N/A</v>
      </c>
      <c r="BF143" s="13" t="e">
        <f t="shared" ca="1" si="172"/>
        <v>#N/A</v>
      </c>
      <c r="BG143" s="13" t="e">
        <f t="shared" ca="1" si="172"/>
        <v>#N/A</v>
      </c>
      <c r="BH143" s="13" t="e">
        <f t="shared" ca="1" si="172"/>
        <v>#N/A</v>
      </c>
      <c r="BI143" s="13" t="e">
        <f t="shared" ca="1" si="172"/>
        <v>#N/A</v>
      </c>
      <c r="BJ143" s="13" t="e">
        <f t="shared" ca="1" si="172"/>
        <v>#N/A</v>
      </c>
      <c r="BK143" s="13" t="e">
        <f t="shared" ca="1" si="172"/>
        <v>#N/A</v>
      </c>
      <c r="BL143" s="13" t="e">
        <f t="shared" ca="1" si="172"/>
        <v>#N/A</v>
      </c>
      <c r="BM143" s="13" t="e">
        <f t="shared" ca="1" si="172"/>
        <v>#N/A</v>
      </c>
      <c r="BN143" s="13" t="e">
        <f t="shared" ca="1" si="172"/>
        <v>#N/A</v>
      </c>
      <c r="BO143" s="13" t="e">
        <f t="shared" ca="1" si="172"/>
        <v>#N/A</v>
      </c>
      <c r="BP143" s="13" t="e">
        <f t="shared" ca="1" si="172"/>
        <v>#N/A</v>
      </c>
      <c r="BQ143" s="13" t="e">
        <f t="shared" ref="BQ143:BV143" ca="1" si="173">BQ80/$D143*100000</f>
        <v>#N/A</v>
      </c>
      <c r="BR143" s="13" t="e">
        <f t="shared" ca="1" si="173"/>
        <v>#N/A</v>
      </c>
      <c r="BS143" s="13" t="e">
        <f t="shared" ca="1" si="173"/>
        <v>#N/A</v>
      </c>
      <c r="BT143" s="13" t="e">
        <f t="shared" ca="1" si="173"/>
        <v>#N/A</v>
      </c>
      <c r="BU143" s="13" t="e">
        <f t="shared" ca="1" si="173"/>
        <v>#N/A</v>
      </c>
      <c r="BV143" s="13" t="e">
        <f t="shared" ca="1" si="173"/>
        <v>#N/A</v>
      </c>
      <c r="BW143" s="13" t="e">
        <f t="shared" ref="BW143:CR143" ca="1" si="174">BW80/$D143*100000</f>
        <v>#N/A</v>
      </c>
      <c r="BX143" s="13" t="e">
        <f t="shared" ca="1" si="174"/>
        <v>#N/A</v>
      </c>
      <c r="BY143" s="13" t="e">
        <f t="shared" ca="1" si="174"/>
        <v>#N/A</v>
      </c>
      <c r="BZ143" s="13" t="e">
        <f t="shared" ca="1" si="174"/>
        <v>#N/A</v>
      </c>
      <c r="CA143" s="13" t="e">
        <f t="shared" ca="1" si="174"/>
        <v>#N/A</v>
      </c>
      <c r="CB143" s="13" t="e">
        <f t="shared" ca="1" si="174"/>
        <v>#N/A</v>
      </c>
      <c r="CC143" s="13" t="e">
        <f t="shared" ca="1" si="174"/>
        <v>#N/A</v>
      </c>
      <c r="CD143" s="13" t="e">
        <f t="shared" ca="1" si="174"/>
        <v>#N/A</v>
      </c>
      <c r="CE143" s="13" t="e">
        <f t="shared" ca="1" si="174"/>
        <v>#N/A</v>
      </c>
      <c r="CF143" s="13" t="e">
        <f t="shared" ca="1" si="174"/>
        <v>#N/A</v>
      </c>
      <c r="CG143" s="13" t="e">
        <f t="shared" ca="1" si="174"/>
        <v>#N/A</v>
      </c>
      <c r="CH143" s="13" t="e">
        <f t="shared" ca="1" si="174"/>
        <v>#N/A</v>
      </c>
      <c r="CI143" s="13" t="e">
        <f t="shared" ca="1" si="174"/>
        <v>#N/A</v>
      </c>
      <c r="CJ143" s="13" t="e">
        <f t="shared" ca="1" si="174"/>
        <v>#N/A</v>
      </c>
      <c r="CK143" s="13" t="e">
        <f t="shared" ca="1" si="174"/>
        <v>#N/A</v>
      </c>
      <c r="CL143" s="13" t="e">
        <f t="shared" ca="1" si="174"/>
        <v>#N/A</v>
      </c>
      <c r="CM143" s="13" t="e">
        <f t="shared" ca="1" si="174"/>
        <v>#N/A</v>
      </c>
      <c r="CN143" s="13" t="e">
        <f t="shared" ca="1" si="174"/>
        <v>#N/A</v>
      </c>
      <c r="CO143" s="13" t="e">
        <f t="shared" ca="1" si="174"/>
        <v>#N/A</v>
      </c>
      <c r="CP143" s="13" t="e">
        <f t="shared" ca="1" si="174"/>
        <v>#N/A</v>
      </c>
      <c r="CQ143" s="13" t="e">
        <f t="shared" ca="1" si="174"/>
        <v>#N/A</v>
      </c>
      <c r="CR143" s="13" t="e">
        <f t="shared" ca="1" si="174"/>
        <v>#N/A</v>
      </c>
    </row>
    <row r="144" spans="1:96" x14ac:dyDescent="0.25">
      <c r="B144">
        <f t="shared" si="65"/>
        <v>39</v>
      </c>
      <c r="C144">
        <f t="shared" ca="1" si="120"/>
        <v>0</v>
      </c>
      <c r="D144" s="1" t="e">
        <f t="shared" ca="1" si="120"/>
        <v>#N/A</v>
      </c>
      <c r="E144" s="13" t="e">
        <f t="shared" ref="E144:BP144" ca="1" si="175">E81/$D144*100000</f>
        <v>#N/A</v>
      </c>
      <c r="F144" s="13" t="e">
        <f t="shared" ca="1" si="175"/>
        <v>#N/A</v>
      </c>
      <c r="G144" s="13" t="e">
        <f t="shared" ca="1" si="175"/>
        <v>#N/A</v>
      </c>
      <c r="H144" s="13" t="e">
        <f t="shared" ca="1" si="175"/>
        <v>#N/A</v>
      </c>
      <c r="I144" s="13" t="e">
        <f t="shared" ca="1" si="175"/>
        <v>#N/A</v>
      </c>
      <c r="J144" s="13" t="e">
        <f t="shared" ca="1" si="175"/>
        <v>#N/A</v>
      </c>
      <c r="K144" s="13" t="e">
        <f t="shared" ca="1" si="175"/>
        <v>#N/A</v>
      </c>
      <c r="L144" s="13" t="e">
        <f t="shared" ca="1" si="175"/>
        <v>#N/A</v>
      </c>
      <c r="M144" s="13" t="e">
        <f t="shared" ca="1" si="175"/>
        <v>#N/A</v>
      </c>
      <c r="N144" s="13" t="e">
        <f t="shared" ca="1" si="175"/>
        <v>#N/A</v>
      </c>
      <c r="O144" s="13" t="e">
        <f t="shared" ca="1" si="175"/>
        <v>#N/A</v>
      </c>
      <c r="P144" s="13" t="e">
        <f t="shared" ca="1" si="175"/>
        <v>#N/A</v>
      </c>
      <c r="Q144" s="13" t="e">
        <f t="shared" ca="1" si="175"/>
        <v>#N/A</v>
      </c>
      <c r="R144" s="13" t="e">
        <f t="shared" ca="1" si="175"/>
        <v>#N/A</v>
      </c>
      <c r="S144" s="13" t="e">
        <f t="shared" ca="1" si="175"/>
        <v>#N/A</v>
      </c>
      <c r="T144" s="13" t="e">
        <f t="shared" ca="1" si="175"/>
        <v>#N/A</v>
      </c>
      <c r="U144" s="13" t="e">
        <f t="shared" ca="1" si="175"/>
        <v>#N/A</v>
      </c>
      <c r="V144" s="13" t="e">
        <f t="shared" ca="1" si="175"/>
        <v>#N/A</v>
      </c>
      <c r="W144" s="13" t="e">
        <f t="shared" ca="1" si="175"/>
        <v>#N/A</v>
      </c>
      <c r="X144" s="13" t="e">
        <f t="shared" ca="1" si="175"/>
        <v>#N/A</v>
      </c>
      <c r="Y144" s="13" t="e">
        <f t="shared" ca="1" si="175"/>
        <v>#N/A</v>
      </c>
      <c r="Z144" s="13" t="e">
        <f t="shared" ca="1" si="175"/>
        <v>#N/A</v>
      </c>
      <c r="AA144" s="13" t="e">
        <f t="shared" ca="1" si="175"/>
        <v>#N/A</v>
      </c>
      <c r="AB144" s="13" t="e">
        <f t="shared" ca="1" si="175"/>
        <v>#N/A</v>
      </c>
      <c r="AC144" s="13" t="e">
        <f t="shared" ca="1" si="175"/>
        <v>#N/A</v>
      </c>
      <c r="AD144" s="13" t="e">
        <f t="shared" ca="1" si="175"/>
        <v>#N/A</v>
      </c>
      <c r="AE144" s="13" t="e">
        <f t="shared" ca="1" si="175"/>
        <v>#N/A</v>
      </c>
      <c r="AF144" s="13" t="e">
        <f t="shared" ca="1" si="175"/>
        <v>#N/A</v>
      </c>
      <c r="AG144" s="13" t="e">
        <f t="shared" ca="1" si="175"/>
        <v>#N/A</v>
      </c>
      <c r="AH144" s="13" t="e">
        <f t="shared" ca="1" si="175"/>
        <v>#N/A</v>
      </c>
      <c r="AI144" s="13" t="e">
        <f t="shared" ca="1" si="175"/>
        <v>#N/A</v>
      </c>
      <c r="AJ144" s="13" t="e">
        <f t="shared" ca="1" si="175"/>
        <v>#N/A</v>
      </c>
      <c r="AK144" s="13" t="e">
        <f t="shared" ca="1" si="175"/>
        <v>#N/A</v>
      </c>
      <c r="AL144" s="13" t="e">
        <f t="shared" ca="1" si="175"/>
        <v>#N/A</v>
      </c>
      <c r="AM144" s="13" t="e">
        <f t="shared" ca="1" si="175"/>
        <v>#N/A</v>
      </c>
      <c r="AN144" s="13" t="e">
        <f t="shared" ca="1" si="175"/>
        <v>#N/A</v>
      </c>
      <c r="AO144" s="13" t="e">
        <f t="shared" ca="1" si="175"/>
        <v>#N/A</v>
      </c>
      <c r="AP144" s="13" t="e">
        <f t="shared" ca="1" si="175"/>
        <v>#N/A</v>
      </c>
      <c r="AQ144" s="13" t="e">
        <f t="shared" ca="1" si="175"/>
        <v>#N/A</v>
      </c>
      <c r="AR144" s="13" t="e">
        <f t="shared" ca="1" si="175"/>
        <v>#N/A</v>
      </c>
      <c r="AS144" s="13" t="e">
        <f t="shared" ca="1" si="175"/>
        <v>#N/A</v>
      </c>
      <c r="AT144" s="13" t="e">
        <f t="shared" ca="1" si="175"/>
        <v>#N/A</v>
      </c>
      <c r="AU144" s="13" t="e">
        <f t="shared" ca="1" si="175"/>
        <v>#N/A</v>
      </c>
      <c r="AV144" s="13" t="e">
        <f t="shared" ca="1" si="175"/>
        <v>#N/A</v>
      </c>
      <c r="AW144" s="13" t="e">
        <f t="shared" ca="1" si="175"/>
        <v>#N/A</v>
      </c>
      <c r="AX144" s="13" t="e">
        <f t="shared" ca="1" si="175"/>
        <v>#N/A</v>
      </c>
      <c r="AY144" s="13" t="e">
        <f t="shared" ca="1" si="175"/>
        <v>#N/A</v>
      </c>
      <c r="AZ144" s="13" t="e">
        <f t="shared" ca="1" si="175"/>
        <v>#N/A</v>
      </c>
      <c r="BA144" s="13" t="e">
        <f t="shared" ca="1" si="175"/>
        <v>#N/A</v>
      </c>
      <c r="BB144" s="13" t="e">
        <f t="shared" ca="1" si="175"/>
        <v>#N/A</v>
      </c>
      <c r="BC144" s="13" t="e">
        <f t="shared" ca="1" si="175"/>
        <v>#N/A</v>
      </c>
      <c r="BD144" s="13" t="e">
        <f t="shared" ca="1" si="175"/>
        <v>#N/A</v>
      </c>
      <c r="BE144" s="13" t="e">
        <f t="shared" ca="1" si="175"/>
        <v>#N/A</v>
      </c>
      <c r="BF144" s="13" t="e">
        <f t="shared" ca="1" si="175"/>
        <v>#N/A</v>
      </c>
      <c r="BG144" s="13" t="e">
        <f t="shared" ca="1" si="175"/>
        <v>#N/A</v>
      </c>
      <c r="BH144" s="13" t="e">
        <f t="shared" ca="1" si="175"/>
        <v>#N/A</v>
      </c>
      <c r="BI144" s="13" t="e">
        <f t="shared" ca="1" si="175"/>
        <v>#N/A</v>
      </c>
      <c r="BJ144" s="13" t="e">
        <f t="shared" ca="1" si="175"/>
        <v>#N/A</v>
      </c>
      <c r="BK144" s="13" t="e">
        <f t="shared" ca="1" si="175"/>
        <v>#N/A</v>
      </c>
      <c r="BL144" s="13" t="e">
        <f t="shared" ca="1" si="175"/>
        <v>#N/A</v>
      </c>
      <c r="BM144" s="13" t="e">
        <f t="shared" ca="1" si="175"/>
        <v>#N/A</v>
      </c>
      <c r="BN144" s="13" t="e">
        <f t="shared" ca="1" si="175"/>
        <v>#N/A</v>
      </c>
      <c r="BO144" s="13" t="e">
        <f t="shared" ca="1" si="175"/>
        <v>#N/A</v>
      </c>
      <c r="BP144" s="13" t="e">
        <f t="shared" ca="1" si="175"/>
        <v>#N/A</v>
      </c>
      <c r="BQ144" s="13" t="e">
        <f t="shared" ref="BQ144:BV144" ca="1" si="176">BQ81/$D144*100000</f>
        <v>#N/A</v>
      </c>
      <c r="BR144" s="13" t="e">
        <f t="shared" ca="1" si="176"/>
        <v>#N/A</v>
      </c>
      <c r="BS144" s="13" t="e">
        <f t="shared" ca="1" si="176"/>
        <v>#N/A</v>
      </c>
      <c r="BT144" s="13" t="e">
        <f t="shared" ca="1" si="176"/>
        <v>#N/A</v>
      </c>
      <c r="BU144" s="13" t="e">
        <f t="shared" ca="1" si="176"/>
        <v>#N/A</v>
      </c>
      <c r="BV144" s="13" t="e">
        <f t="shared" ca="1" si="176"/>
        <v>#N/A</v>
      </c>
      <c r="BW144" s="13" t="e">
        <f t="shared" ref="BW144:CR144" ca="1" si="177">BW81/$D144*100000</f>
        <v>#N/A</v>
      </c>
      <c r="BX144" s="13" t="e">
        <f t="shared" ca="1" si="177"/>
        <v>#N/A</v>
      </c>
      <c r="BY144" s="13" t="e">
        <f t="shared" ca="1" si="177"/>
        <v>#N/A</v>
      </c>
      <c r="BZ144" s="13" t="e">
        <f t="shared" ca="1" si="177"/>
        <v>#N/A</v>
      </c>
      <c r="CA144" s="13" t="e">
        <f t="shared" ca="1" si="177"/>
        <v>#N/A</v>
      </c>
      <c r="CB144" s="13" t="e">
        <f t="shared" ca="1" si="177"/>
        <v>#N/A</v>
      </c>
      <c r="CC144" s="13" t="e">
        <f t="shared" ca="1" si="177"/>
        <v>#N/A</v>
      </c>
      <c r="CD144" s="13" t="e">
        <f t="shared" ca="1" si="177"/>
        <v>#N/A</v>
      </c>
      <c r="CE144" s="13" t="e">
        <f t="shared" ca="1" si="177"/>
        <v>#N/A</v>
      </c>
      <c r="CF144" s="13" t="e">
        <f t="shared" ca="1" si="177"/>
        <v>#N/A</v>
      </c>
      <c r="CG144" s="13" t="e">
        <f t="shared" ca="1" si="177"/>
        <v>#N/A</v>
      </c>
      <c r="CH144" s="13" t="e">
        <f t="shared" ca="1" si="177"/>
        <v>#N/A</v>
      </c>
      <c r="CI144" s="13" t="e">
        <f t="shared" ca="1" si="177"/>
        <v>#N/A</v>
      </c>
      <c r="CJ144" s="13" t="e">
        <f t="shared" ca="1" si="177"/>
        <v>#N/A</v>
      </c>
      <c r="CK144" s="13" t="e">
        <f t="shared" ca="1" si="177"/>
        <v>#N/A</v>
      </c>
      <c r="CL144" s="13" t="e">
        <f t="shared" ca="1" si="177"/>
        <v>#N/A</v>
      </c>
      <c r="CM144" s="13" t="e">
        <f t="shared" ca="1" si="177"/>
        <v>#N/A</v>
      </c>
      <c r="CN144" s="13" t="e">
        <f t="shared" ca="1" si="177"/>
        <v>#N/A</v>
      </c>
      <c r="CO144" s="13" t="e">
        <f t="shared" ca="1" si="177"/>
        <v>#N/A</v>
      </c>
      <c r="CP144" s="13" t="e">
        <f t="shared" ca="1" si="177"/>
        <v>#N/A</v>
      </c>
      <c r="CQ144" s="13" t="e">
        <f t="shared" ca="1" si="177"/>
        <v>#N/A</v>
      </c>
      <c r="CR144" s="13" t="e">
        <f t="shared" ca="1" si="177"/>
        <v>#N/A</v>
      </c>
    </row>
    <row r="145" spans="2:96" x14ac:dyDescent="0.25">
      <c r="B145">
        <f t="shared" si="65"/>
        <v>40</v>
      </c>
      <c r="C145">
        <f t="shared" ca="1" si="120"/>
        <v>0</v>
      </c>
      <c r="D145" s="1" t="e">
        <f t="shared" ca="1" si="120"/>
        <v>#N/A</v>
      </c>
      <c r="E145" s="13" t="e">
        <f t="shared" ref="E145:BP145" ca="1" si="178">E82/$D145*100000</f>
        <v>#N/A</v>
      </c>
      <c r="F145" s="13" t="e">
        <f t="shared" ca="1" si="178"/>
        <v>#N/A</v>
      </c>
      <c r="G145" s="13" t="e">
        <f t="shared" ca="1" si="178"/>
        <v>#N/A</v>
      </c>
      <c r="H145" s="13" t="e">
        <f t="shared" ca="1" si="178"/>
        <v>#N/A</v>
      </c>
      <c r="I145" s="13" t="e">
        <f t="shared" ca="1" si="178"/>
        <v>#N/A</v>
      </c>
      <c r="J145" s="13" t="e">
        <f t="shared" ca="1" si="178"/>
        <v>#N/A</v>
      </c>
      <c r="K145" s="13" t="e">
        <f t="shared" ca="1" si="178"/>
        <v>#N/A</v>
      </c>
      <c r="L145" s="13" t="e">
        <f t="shared" ca="1" si="178"/>
        <v>#N/A</v>
      </c>
      <c r="M145" s="13" t="e">
        <f t="shared" ca="1" si="178"/>
        <v>#N/A</v>
      </c>
      <c r="N145" s="13" t="e">
        <f t="shared" ca="1" si="178"/>
        <v>#N/A</v>
      </c>
      <c r="O145" s="13" t="e">
        <f t="shared" ca="1" si="178"/>
        <v>#N/A</v>
      </c>
      <c r="P145" s="13" t="e">
        <f t="shared" ca="1" si="178"/>
        <v>#N/A</v>
      </c>
      <c r="Q145" s="13" t="e">
        <f t="shared" ca="1" si="178"/>
        <v>#N/A</v>
      </c>
      <c r="R145" s="13" t="e">
        <f t="shared" ca="1" si="178"/>
        <v>#N/A</v>
      </c>
      <c r="S145" s="13" t="e">
        <f t="shared" ca="1" si="178"/>
        <v>#N/A</v>
      </c>
      <c r="T145" s="13" t="e">
        <f t="shared" ca="1" si="178"/>
        <v>#N/A</v>
      </c>
      <c r="U145" s="13" t="e">
        <f t="shared" ca="1" si="178"/>
        <v>#N/A</v>
      </c>
      <c r="V145" s="13" t="e">
        <f t="shared" ca="1" si="178"/>
        <v>#N/A</v>
      </c>
      <c r="W145" s="13" t="e">
        <f t="shared" ca="1" si="178"/>
        <v>#N/A</v>
      </c>
      <c r="X145" s="13" t="e">
        <f t="shared" ca="1" si="178"/>
        <v>#N/A</v>
      </c>
      <c r="Y145" s="13" t="e">
        <f t="shared" ca="1" si="178"/>
        <v>#N/A</v>
      </c>
      <c r="Z145" s="13" t="e">
        <f t="shared" ca="1" si="178"/>
        <v>#N/A</v>
      </c>
      <c r="AA145" s="13" t="e">
        <f t="shared" ca="1" si="178"/>
        <v>#N/A</v>
      </c>
      <c r="AB145" s="13" t="e">
        <f t="shared" ca="1" si="178"/>
        <v>#N/A</v>
      </c>
      <c r="AC145" s="13" t="e">
        <f t="shared" ca="1" si="178"/>
        <v>#N/A</v>
      </c>
      <c r="AD145" s="13" t="e">
        <f t="shared" ca="1" si="178"/>
        <v>#N/A</v>
      </c>
      <c r="AE145" s="13" t="e">
        <f t="shared" ca="1" si="178"/>
        <v>#N/A</v>
      </c>
      <c r="AF145" s="13" t="e">
        <f t="shared" ca="1" si="178"/>
        <v>#N/A</v>
      </c>
      <c r="AG145" s="13" t="e">
        <f t="shared" ca="1" si="178"/>
        <v>#N/A</v>
      </c>
      <c r="AH145" s="13" t="e">
        <f t="shared" ca="1" si="178"/>
        <v>#N/A</v>
      </c>
      <c r="AI145" s="13" t="e">
        <f t="shared" ca="1" si="178"/>
        <v>#N/A</v>
      </c>
      <c r="AJ145" s="13" t="e">
        <f t="shared" ca="1" si="178"/>
        <v>#N/A</v>
      </c>
      <c r="AK145" s="13" t="e">
        <f t="shared" ca="1" si="178"/>
        <v>#N/A</v>
      </c>
      <c r="AL145" s="13" t="e">
        <f t="shared" ca="1" si="178"/>
        <v>#N/A</v>
      </c>
      <c r="AM145" s="13" t="e">
        <f t="shared" ca="1" si="178"/>
        <v>#N/A</v>
      </c>
      <c r="AN145" s="13" t="e">
        <f t="shared" ca="1" si="178"/>
        <v>#N/A</v>
      </c>
      <c r="AO145" s="13" t="e">
        <f t="shared" ca="1" si="178"/>
        <v>#N/A</v>
      </c>
      <c r="AP145" s="13" t="e">
        <f t="shared" ca="1" si="178"/>
        <v>#N/A</v>
      </c>
      <c r="AQ145" s="13" t="e">
        <f t="shared" ca="1" si="178"/>
        <v>#N/A</v>
      </c>
      <c r="AR145" s="13" t="e">
        <f t="shared" ca="1" si="178"/>
        <v>#N/A</v>
      </c>
      <c r="AS145" s="13" t="e">
        <f t="shared" ca="1" si="178"/>
        <v>#N/A</v>
      </c>
      <c r="AT145" s="13" t="e">
        <f t="shared" ca="1" si="178"/>
        <v>#N/A</v>
      </c>
      <c r="AU145" s="13" t="e">
        <f t="shared" ca="1" si="178"/>
        <v>#N/A</v>
      </c>
      <c r="AV145" s="13" t="e">
        <f t="shared" ca="1" si="178"/>
        <v>#N/A</v>
      </c>
      <c r="AW145" s="13" t="e">
        <f t="shared" ca="1" si="178"/>
        <v>#N/A</v>
      </c>
      <c r="AX145" s="13" t="e">
        <f t="shared" ca="1" si="178"/>
        <v>#N/A</v>
      </c>
      <c r="AY145" s="13" t="e">
        <f t="shared" ca="1" si="178"/>
        <v>#N/A</v>
      </c>
      <c r="AZ145" s="13" t="e">
        <f t="shared" ca="1" si="178"/>
        <v>#N/A</v>
      </c>
      <c r="BA145" s="13" t="e">
        <f t="shared" ca="1" si="178"/>
        <v>#N/A</v>
      </c>
      <c r="BB145" s="13" t="e">
        <f t="shared" ca="1" si="178"/>
        <v>#N/A</v>
      </c>
      <c r="BC145" s="13" t="e">
        <f t="shared" ca="1" si="178"/>
        <v>#N/A</v>
      </c>
      <c r="BD145" s="13" t="e">
        <f t="shared" ca="1" si="178"/>
        <v>#N/A</v>
      </c>
      <c r="BE145" s="13" t="e">
        <f t="shared" ca="1" si="178"/>
        <v>#N/A</v>
      </c>
      <c r="BF145" s="13" t="e">
        <f t="shared" ca="1" si="178"/>
        <v>#N/A</v>
      </c>
      <c r="BG145" s="13" t="e">
        <f t="shared" ca="1" si="178"/>
        <v>#N/A</v>
      </c>
      <c r="BH145" s="13" t="e">
        <f t="shared" ca="1" si="178"/>
        <v>#N/A</v>
      </c>
      <c r="BI145" s="13" t="e">
        <f t="shared" ca="1" si="178"/>
        <v>#N/A</v>
      </c>
      <c r="BJ145" s="13" t="e">
        <f t="shared" ca="1" si="178"/>
        <v>#N/A</v>
      </c>
      <c r="BK145" s="13" t="e">
        <f t="shared" ca="1" si="178"/>
        <v>#N/A</v>
      </c>
      <c r="BL145" s="13" t="e">
        <f t="shared" ca="1" si="178"/>
        <v>#N/A</v>
      </c>
      <c r="BM145" s="13" t="e">
        <f t="shared" ca="1" si="178"/>
        <v>#N/A</v>
      </c>
      <c r="BN145" s="13" t="e">
        <f t="shared" ca="1" si="178"/>
        <v>#N/A</v>
      </c>
      <c r="BO145" s="13" t="e">
        <f t="shared" ca="1" si="178"/>
        <v>#N/A</v>
      </c>
      <c r="BP145" s="13" t="e">
        <f t="shared" ca="1" si="178"/>
        <v>#N/A</v>
      </c>
      <c r="BQ145" s="13" t="e">
        <f t="shared" ref="BQ145:BV145" ca="1" si="179">BQ82/$D145*100000</f>
        <v>#N/A</v>
      </c>
      <c r="BR145" s="13" t="e">
        <f t="shared" ca="1" si="179"/>
        <v>#N/A</v>
      </c>
      <c r="BS145" s="13" t="e">
        <f t="shared" ca="1" si="179"/>
        <v>#N/A</v>
      </c>
      <c r="BT145" s="13" t="e">
        <f t="shared" ca="1" si="179"/>
        <v>#N/A</v>
      </c>
      <c r="BU145" s="13" t="e">
        <f t="shared" ca="1" si="179"/>
        <v>#N/A</v>
      </c>
      <c r="BV145" s="13" t="e">
        <f t="shared" ca="1" si="179"/>
        <v>#N/A</v>
      </c>
      <c r="BW145" s="13" t="e">
        <f t="shared" ref="BW145:CR145" ca="1" si="180">BW82/$D145*100000</f>
        <v>#N/A</v>
      </c>
      <c r="BX145" s="13" t="e">
        <f t="shared" ca="1" si="180"/>
        <v>#N/A</v>
      </c>
      <c r="BY145" s="13" t="e">
        <f t="shared" ca="1" si="180"/>
        <v>#N/A</v>
      </c>
      <c r="BZ145" s="13" t="e">
        <f t="shared" ca="1" si="180"/>
        <v>#N/A</v>
      </c>
      <c r="CA145" s="13" t="e">
        <f t="shared" ca="1" si="180"/>
        <v>#N/A</v>
      </c>
      <c r="CB145" s="13" t="e">
        <f t="shared" ca="1" si="180"/>
        <v>#N/A</v>
      </c>
      <c r="CC145" s="13" t="e">
        <f t="shared" ca="1" si="180"/>
        <v>#N/A</v>
      </c>
      <c r="CD145" s="13" t="e">
        <f t="shared" ca="1" si="180"/>
        <v>#N/A</v>
      </c>
      <c r="CE145" s="13" t="e">
        <f t="shared" ca="1" si="180"/>
        <v>#N/A</v>
      </c>
      <c r="CF145" s="13" t="e">
        <f t="shared" ca="1" si="180"/>
        <v>#N/A</v>
      </c>
      <c r="CG145" s="13" t="e">
        <f t="shared" ca="1" si="180"/>
        <v>#N/A</v>
      </c>
      <c r="CH145" s="13" t="e">
        <f t="shared" ca="1" si="180"/>
        <v>#N/A</v>
      </c>
      <c r="CI145" s="13" t="e">
        <f t="shared" ca="1" si="180"/>
        <v>#N/A</v>
      </c>
      <c r="CJ145" s="13" t="e">
        <f t="shared" ca="1" si="180"/>
        <v>#N/A</v>
      </c>
      <c r="CK145" s="13" t="e">
        <f t="shared" ca="1" si="180"/>
        <v>#N/A</v>
      </c>
      <c r="CL145" s="13" t="e">
        <f t="shared" ca="1" si="180"/>
        <v>#N/A</v>
      </c>
      <c r="CM145" s="13" t="e">
        <f t="shared" ca="1" si="180"/>
        <v>#N/A</v>
      </c>
      <c r="CN145" s="13" t="e">
        <f t="shared" ca="1" si="180"/>
        <v>#N/A</v>
      </c>
      <c r="CO145" s="13" t="e">
        <f t="shared" ca="1" si="180"/>
        <v>#N/A</v>
      </c>
      <c r="CP145" s="13" t="e">
        <f t="shared" ca="1" si="180"/>
        <v>#N/A</v>
      </c>
      <c r="CQ145" s="13" t="e">
        <f t="shared" ca="1" si="180"/>
        <v>#N/A</v>
      </c>
      <c r="CR145" s="13" t="e">
        <f t="shared" ca="1" si="180"/>
        <v>#N/A</v>
      </c>
    </row>
    <row r="146" spans="2:96" x14ac:dyDescent="0.25">
      <c r="B146">
        <f t="shared" si="65"/>
        <v>41</v>
      </c>
      <c r="C146">
        <f t="shared" ref="C146:D161" ca="1" si="181">C83</f>
        <v>0</v>
      </c>
      <c r="D146" s="1" t="e">
        <f t="shared" ca="1" si="181"/>
        <v>#N/A</v>
      </c>
      <c r="E146" s="13" t="e">
        <f t="shared" ref="E146:BP146" ca="1" si="182">E83/$D146*100000</f>
        <v>#N/A</v>
      </c>
      <c r="F146" s="13" t="e">
        <f t="shared" ca="1" si="182"/>
        <v>#N/A</v>
      </c>
      <c r="G146" s="13" t="e">
        <f t="shared" ca="1" si="182"/>
        <v>#N/A</v>
      </c>
      <c r="H146" s="13" t="e">
        <f t="shared" ca="1" si="182"/>
        <v>#N/A</v>
      </c>
      <c r="I146" s="13" t="e">
        <f t="shared" ca="1" si="182"/>
        <v>#N/A</v>
      </c>
      <c r="J146" s="13" t="e">
        <f t="shared" ca="1" si="182"/>
        <v>#N/A</v>
      </c>
      <c r="K146" s="13" t="e">
        <f t="shared" ca="1" si="182"/>
        <v>#N/A</v>
      </c>
      <c r="L146" s="13" t="e">
        <f t="shared" ca="1" si="182"/>
        <v>#N/A</v>
      </c>
      <c r="M146" s="13" t="e">
        <f t="shared" ca="1" si="182"/>
        <v>#N/A</v>
      </c>
      <c r="N146" s="13" t="e">
        <f t="shared" ca="1" si="182"/>
        <v>#N/A</v>
      </c>
      <c r="O146" s="13" t="e">
        <f t="shared" ca="1" si="182"/>
        <v>#N/A</v>
      </c>
      <c r="P146" s="13" t="e">
        <f t="shared" ca="1" si="182"/>
        <v>#N/A</v>
      </c>
      <c r="Q146" s="13" t="e">
        <f t="shared" ca="1" si="182"/>
        <v>#N/A</v>
      </c>
      <c r="R146" s="13" t="e">
        <f t="shared" ca="1" si="182"/>
        <v>#N/A</v>
      </c>
      <c r="S146" s="13" t="e">
        <f t="shared" ca="1" si="182"/>
        <v>#N/A</v>
      </c>
      <c r="T146" s="13" t="e">
        <f t="shared" ca="1" si="182"/>
        <v>#N/A</v>
      </c>
      <c r="U146" s="13" t="e">
        <f t="shared" ca="1" si="182"/>
        <v>#N/A</v>
      </c>
      <c r="V146" s="13" t="e">
        <f t="shared" ca="1" si="182"/>
        <v>#N/A</v>
      </c>
      <c r="W146" s="13" t="e">
        <f t="shared" ca="1" si="182"/>
        <v>#N/A</v>
      </c>
      <c r="X146" s="13" t="e">
        <f t="shared" ca="1" si="182"/>
        <v>#N/A</v>
      </c>
      <c r="Y146" s="13" t="e">
        <f t="shared" ca="1" si="182"/>
        <v>#N/A</v>
      </c>
      <c r="Z146" s="13" t="e">
        <f t="shared" ca="1" si="182"/>
        <v>#N/A</v>
      </c>
      <c r="AA146" s="13" t="e">
        <f t="shared" ca="1" si="182"/>
        <v>#N/A</v>
      </c>
      <c r="AB146" s="13" t="e">
        <f t="shared" ca="1" si="182"/>
        <v>#N/A</v>
      </c>
      <c r="AC146" s="13" t="e">
        <f t="shared" ca="1" si="182"/>
        <v>#N/A</v>
      </c>
      <c r="AD146" s="13" t="e">
        <f t="shared" ca="1" si="182"/>
        <v>#N/A</v>
      </c>
      <c r="AE146" s="13" t="e">
        <f t="shared" ca="1" si="182"/>
        <v>#N/A</v>
      </c>
      <c r="AF146" s="13" t="e">
        <f t="shared" ca="1" si="182"/>
        <v>#N/A</v>
      </c>
      <c r="AG146" s="13" t="e">
        <f t="shared" ca="1" si="182"/>
        <v>#N/A</v>
      </c>
      <c r="AH146" s="13" t="e">
        <f t="shared" ca="1" si="182"/>
        <v>#N/A</v>
      </c>
      <c r="AI146" s="13" t="e">
        <f t="shared" ca="1" si="182"/>
        <v>#N/A</v>
      </c>
      <c r="AJ146" s="13" t="e">
        <f t="shared" ca="1" si="182"/>
        <v>#N/A</v>
      </c>
      <c r="AK146" s="13" t="e">
        <f t="shared" ca="1" si="182"/>
        <v>#N/A</v>
      </c>
      <c r="AL146" s="13" t="e">
        <f t="shared" ca="1" si="182"/>
        <v>#N/A</v>
      </c>
      <c r="AM146" s="13" t="e">
        <f t="shared" ca="1" si="182"/>
        <v>#N/A</v>
      </c>
      <c r="AN146" s="13" t="e">
        <f t="shared" ca="1" si="182"/>
        <v>#N/A</v>
      </c>
      <c r="AO146" s="13" t="e">
        <f t="shared" ca="1" si="182"/>
        <v>#N/A</v>
      </c>
      <c r="AP146" s="13" t="e">
        <f t="shared" ca="1" si="182"/>
        <v>#N/A</v>
      </c>
      <c r="AQ146" s="13" t="e">
        <f t="shared" ca="1" si="182"/>
        <v>#N/A</v>
      </c>
      <c r="AR146" s="13" t="e">
        <f t="shared" ca="1" si="182"/>
        <v>#N/A</v>
      </c>
      <c r="AS146" s="13" t="e">
        <f t="shared" ca="1" si="182"/>
        <v>#N/A</v>
      </c>
      <c r="AT146" s="13" t="e">
        <f t="shared" ca="1" si="182"/>
        <v>#N/A</v>
      </c>
      <c r="AU146" s="13" t="e">
        <f t="shared" ca="1" si="182"/>
        <v>#N/A</v>
      </c>
      <c r="AV146" s="13" t="e">
        <f t="shared" ca="1" si="182"/>
        <v>#N/A</v>
      </c>
      <c r="AW146" s="13" t="e">
        <f t="shared" ca="1" si="182"/>
        <v>#N/A</v>
      </c>
      <c r="AX146" s="13" t="e">
        <f t="shared" ca="1" si="182"/>
        <v>#N/A</v>
      </c>
      <c r="AY146" s="13" t="e">
        <f t="shared" ca="1" si="182"/>
        <v>#N/A</v>
      </c>
      <c r="AZ146" s="13" t="e">
        <f t="shared" ca="1" si="182"/>
        <v>#N/A</v>
      </c>
      <c r="BA146" s="13" t="e">
        <f t="shared" ca="1" si="182"/>
        <v>#N/A</v>
      </c>
      <c r="BB146" s="13" t="e">
        <f t="shared" ca="1" si="182"/>
        <v>#N/A</v>
      </c>
      <c r="BC146" s="13" t="e">
        <f t="shared" ca="1" si="182"/>
        <v>#N/A</v>
      </c>
      <c r="BD146" s="13" t="e">
        <f t="shared" ca="1" si="182"/>
        <v>#N/A</v>
      </c>
      <c r="BE146" s="13" t="e">
        <f t="shared" ca="1" si="182"/>
        <v>#N/A</v>
      </c>
      <c r="BF146" s="13" t="e">
        <f t="shared" ca="1" si="182"/>
        <v>#N/A</v>
      </c>
      <c r="BG146" s="13" t="e">
        <f t="shared" ca="1" si="182"/>
        <v>#N/A</v>
      </c>
      <c r="BH146" s="13" t="e">
        <f t="shared" ca="1" si="182"/>
        <v>#N/A</v>
      </c>
      <c r="BI146" s="13" t="e">
        <f t="shared" ca="1" si="182"/>
        <v>#N/A</v>
      </c>
      <c r="BJ146" s="13" t="e">
        <f t="shared" ca="1" si="182"/>
        <v>#N/A</v>
      </c>
      <c r="BK146" s="13" t="e">
        <f t="shared" ca="1" si="182"/>
        <v>#N/A</v>
      </c>
      <c r="BL146" s="13" t="e">
        <f t="shared" ca="1" si="182"/>
        <v>#N/A</v>
      </c>
      <c r="BM146" s="13" t="e">
        <f t="shared" ca="1" si="182"/>
        <v>#N/A</v>
      </c>
      <c r="BN146" s="13" t="e">
        <f t="shared" ca="1" si="182"/>
        <v>#N/A</v>
      </c>
      <c r="BO146" s="13" t="e">
        <f t="shared" ca="1" si="182"/>
        <v>#N/A</v>
      </c>
      <c r="BP146" s="13" t="e">
        <f t="shared" ca="1" si="182"/>
        <v>#N/A</v>
      </c>
      <c r="BQ146" s="13" t="e">
        <f t="shared" ref="BQ146:BV146" ca="1" si="183">BQ83/$D146*100000</f>
        <v>#N/A</v>
      </c>
      <c r="BR146" s="13" t="e">
        <f t="shared" ca="1" si="183"/>
        <v>#N/A</v>
      </c>
      <c r="BS146" s="13" t="e">
        <f t="shared" ca="1" si="183"/>
        <v>#N/A</v>
      </c>
      <c r="BT146" s="13" t="e">
        <f t="shared" ca="1" si="183"/>
        <v>#N/A</v>
      </c>
      <c r="BU146" s="13" t="e">
        <f t="shared" ca="1" si="183"/>
        <v>#N/A</v>
      </c>
      <c r="BV146" s="13" t="e">
        <f t="shared" ca="1" si="183"/>
        <v>#N/A</v>
      </c>
      <c r="BW146" s="13" t="e">
        <f t="shared" ref="BW146:CR146" ca="1" si="184">BW83/$D146*100000</f>
        <v>#N/A</v>
      </c>
      <c r="BX146" s="13" t="e">
        <f t="shared" ca="1" si="184"/>
        <v>#N/A</v>
      </c>
      <c r="BY146" s="13" t="e">
        <f t="shared" ca="1" si="184"/>
        <v>#N/A</v>
      </c>
      <c r="BZ146" s="13" t="e">
        <f t="shared" ca="1" si="184"/>
        <v>#N/A</v>
      </c>
      <c r="CA146" s="13" t="e">
        <f t="shared" ca="1" si="184"/>
        <v>#N/A</v>
      </c>
      <c r="CB146" s="13" t="e">
        <f t="shared" ca="1" si="184"/>
        <v>#N/A</v>
      </c>
      <c r="CC146" s="13" t="e">
        <f t="shared" ca="1" si="184"/>
        <v>#N/A</v>
      </c>
      <c r="CD146" s="13" t="e">
        <f t="shared" ca="1" si="184"/>
        <v>#N/A</v>
      </c>
      <c r="CE146" s="13" t="e">
        <f t="shared" ca="1" si="184"/>
        <v>#N/A</v>
      </c>
      <c r="CF146" s="13" t="e">
        <f t="shared" ca="1" si="184"/>
        <v>#N/A</v>
      </c>
      <c r="CG146" s="13" t="e">
        <f t="shared" ca="1" si="184"/>
        <v>#N/A</v>
      </c>
      <c r="CH146" s="13" t="e">
        <f t="shared" ca="1" si="184"/>
        <v>#N/A</v>
      </c>
      <c r="CI146" s="13" t="e">
        <f t="shared" ca="1" si="184"/>
        <v>#N/A</v>
      </c>
      <c r="CJ146" s="13" t="e">
        <f t="shared" ca="1" si="184"/>
        <v>#N/A</v>
      </c>
      <c r="CK146" s="13" t="e">
        <f t="shared" ca="1" si="184"/>
        <v>#N/A</v>
      </c>
      <c r="CL146" s="13" t="e">
        <f t="shared" ca="1" si="184"/>
        <v>#N/A</v>
      </c>
      <c r="CM146" s="13" t="e">
        <f t="shared" ca="1" si="184"/>
        <v>#N/A</v>
      </c>
      <c r="CN146" s="13" t="e">
        <f t="shared" ca="1" si="184"/>
        <v>#N/A</v>
      </c>
      <c r="CO146" s="13" t="e">
        <f t="shared" ca="1" si="184"/>
        <v>#N/A</v>
      </c>
      <c r="CP146" s="13" t="e">
        <f t="shared" ca="1" si="184"/>
        <v>#N/A</v>
      </c>
      <c r="CQ146" s="13" t="e">
        <f t="shared" ca="1" si="184"/>
        <v>#N/A</v>
      </c>
      <c r="CR146" s="13" t="e">
        <f t="shared" ca="1" si="184"/>
        <v>#N/A</v>
      </c>
    </row>
    <row r="147" spans="2:96" x14ac:dyDescent="0.25">
      <c r="B147">
        <f t="shared" si="65"/>
        <v>42</v>
      </c>
      <c r="C147">
        <f t="shared" ca="1" si="181"/>
        <v>0</v>
      </c>
      <c r="D147" s="1" t="e">
        <f t="shared" ca="1" si="181"/>
        <v>#N/A</v>
      </c>
      <c r="E147" s="13" t="e">
        <f t="shared" ref="E147:BP147" ca="1" si="185">E84/$D147*100000</f>
        <v>#N/A</v>
      </c>
      <c r="F147" s="13" t="e">
        <f t="shared" ca="1" si="185"/>
        <v>#N/A</v>
      </c>
      <c r="G147" s="13" t="e">
        <f t="shared" ca="1" si="185"/>
        <v>#N/A</v>
      </c>
      <c r="H147" s="13" t="e">
        <f t="shared" ca="1" si="185"/>
        <v>#N/A</v>
      </c>
      <c r="I147" s="13" t="e">
        <f t="shared" ca="1" si="185"/>
        <v>#N/A</v>
      </c>
      <c r="J147" s="13" t="e">
        <f t="shared" ca="1" si="185"/>
        <v>#N/A</v>
      </c>
      <c r="K147" s="13" t="e">
        <f t="shared" ca="1" si="185"/>
        <v>#N/A</v>
      </c>
      <c r="L147" s="13" t="e">
        <f t="shared" ca="1" si="185"/>
        <v>#N/A</v>
      </c>
      <c r="M147" s="13" t="e">
        <f t="shared" ca="1" si="185"/>
        <v>#N/A</v>
      </c>
      <c r="N147" s="13" t="e">
        <f t="shared" ca="1" si="185"/>
        <v>#N/A</v>
      </c>
      <c r="O147" s="13" t="e">
        <f t="shared" ca="1" si="185"/>
        <v>#N/A</v>
      </c>
      <c r="P147" s="13" t="e">
        <f t="shared" ca="1" si="185"/>
        <v>#N/A</v>
      </c>
      <c r="Q147" s="13" t="e">
        <f t="shared" ca="1" si="185"/>
        <v>#N/A</v>
      </c>
      <c r="R147" s="13" t="e">
        <f t="shared" ca="1" si="185"/>
        <v>#N/A</v>
      </c>
      <c r="S147" s="13" t="e">
        <f t="shared" ca="1" si="185"/>
        <v>#N/A</v>
      </c>
      <c r="T147" s="13" t="e">
        <f t="shared" ca="1" si="185"/>
        <v>#N/A</v>
      </c>
      <c r="U147" s="13" t="e">
        <f t="shared" ca="1" si="185"/>
        <v>#N/A</v>
      </c>
      <c r="V147" s="13" t="e">
        <f t="shared" ca="1" si="185"/>
        <v>#N/A</v>
      </c>
      <c r="W147" s="13" t="e">
        <f t="shared" ca="1" si="185"/>
        <v>#N/A</v>
      </c>
      <c r="X147" s="13" t="e">
        <f t="shared" ca="1" si="185"/>
        <v>#N/A</v>
      </c>
      <c r="Y147" s="13" t="e">
        <f t="shared" ca="1" si="185"/>
        <v>#N/A</v>
      </c>
      <c r="Z147" s="13" t="e">
        <f t="shared" ca="1" si="185"/>
        <v>#N/A</v>
      </c>
      <c r="AA147" s="13" t="e">
        <f t="shared" ca="1" si="185"/>
        <v>#N/A</v>
      </c>
      <c r="AB147" s="13" t="e">
        <f t="shared" ca="1" si="185"/>
        <v>#N/A</v>
      </c>
      <c r="AC147" s="13" t="e">
        <f t="shared" ca="1" si="185"/>
        <v>#N/A</v>
      </c>
      <c r="AD147" s="13" t="e">
        <f t="shared" ca="1" si="185"/>
        <v>#N/A</v>
      </c>
      <c r="AE147" s="13" t="e">
        <f t="shared" ca="1" si="185"/>
        <v>#N/A</v>
      </c>
      <c r="AF147" s="13" t="e">
        <f t="shared" ca="1" si="185"/>
        <v>#N/A</v>
      </c>
      <c r="AG147" s="13" t="e">
        <f t="shared" ca="1" si="185"/>
        <v>#N/A</v>
      </c>
      <c r="AH147" s="13" t="e">
        <f t="shared" ca="1" si="185"/>
        <v>#N/A</v>
      </c>
      <c r="AI147" s="13" t="e">
        <f t="shared" ca="1" si="185"/>
        <v>#N/A</v>
      </c>
      <c r="AJ147" s="13" t="e">
        <f t="shared" ca="1" si="185"/>
        <v>#N/A</v>
      </c>
      <c r="AK147" s="13" t="e">
        <f t="shared" ca="1" si="185"/>
        <v>#N/A</v>
      </c>
      <c r="AL147" s="13" t="e">
        <f t="shared" ca="1" si="185"/>
        <v>#N/A</v>
      </c>
      <c r="AM147" s="13" t="e">
        <f t="shared" ca="1" si="185"/>
        <v>#N/A</v>
      </c>
      <c r="AN147" s="13" t="e">
        <f t="shared" ca="1" si="185"/>
        <v>#N/A</v>
      </c>
      <c r="AO147" s="13" t="e">
        <f t="shared" ca="1" si="185"/>
        <v>#N/A</v>
      </c>
      <c r="AP147" s="13" t="e">
        <f t="shared" ca="1" si="185"/>
        <v>#N/A</v>
      </c>
      <c r="AQ147" s="13" t="e">
        <f t="shared" ca="1" si="185"/>
        <v>#N/A</v>
      </c>
      <c r="AR147" s="13" t="e">
        <f t="shared" ca="1" si="185"/>
        <v>#N/A</v>
      </c>
      <c r="AS147" s="13" t="e">
        <f t="shared" ca="1" si="185"/>
        <v>#N/A</v>
      </c>
      <c r="AT147" s="13" t="e">
        <f t="shared" ca="1" si="185"/>
        <v>#N/A</v>
      </c>
      <c r="AU147" s="13" t="e">
        <f t="shared" ca="1" si="185"/>
        <v>#N/A</v>
      </c>
      <c r="AV147" s="13" t="e">
        <f t="shared" ca="1" si="185"/>
        <v>#N/A</v>
      </c>
      <c r="AW147" s="13" t="e">
        <f t="shared" ca="1" si="185"/>
        <v>#N/A</v>
      </c>
      <c r="AX147" s="13" t="e">
        <f t="shared" ca="1" si="185"/>
        <v>#N/A</v>
      </c>
      <c r="AY147" s="13" t="e">
        <f t="shared" ca="1" si="185"/>
        <v>#N/A</v>
      </c>
      <c r="AZ147" s="13" t="e">
        <f t="shared" ca="1" si="185"/>
        <v>#N/A</v>
      </c>
      <c r="BA147" s="13" t="e">
        <f t="shared" ca="1" si="185"/>
        <v>#N/A</v>
      </c>
      <c r="BB147" s="13" t="e">
        <f t="shared" ca="1" si="185"/>
        <v>#N/A</v>
      </c>
      <c r="BC147" s="13" t="e">
        <f t="shared" ca="1" si="185"/>
        <v>#N/A</v>
      </c>
      <c r="BD147" s="13" t="e">
        <f t="shared" ca="1" si="185"/>
        <v>#N/A</v>
      </c>
      <c r="BE147" s="13" t="e">
        <f t="shared" ca="1" si="185"/>
        <v>#N/A</v>
      </c>
      <c r="BF147" s="13" t="e">
        <f t="shared" ca="1" si="185"/>
        <v>#N/A</v>
      </c>
      <c r="BG147" s="13" t="e">
        <f t="shared" ca="1" si="185"/>
        <v>#N/A</v>
      </c>
      <c r="BH147" s="13" t="e">
        <f t="shared" ca="1" si="185"/>
        <v>#N/A</v>
      </c>
      <c r="BI147" s="13" t="e">
        <f t="shared" ca="1" si="185"/>
        <v>#N/A</v>
      </c>
      <c r="BJ147" s="13" t="e">
        <f t="shared" ca="1" si="185"/>
        <v>#N/A</v>
      </c>
      <c r="BK147" s="13" t="e">
        <f t="shared" ca="1" si="185"/>
        <v>#N/A</v>
      </c>
      <c r="BL147" s="13" t="e">
        <f t="shared" ca="1" si="185"/>
        <v>#N/A</v>
      </c>
      <c r="BM147" s="13" t="e">
        <f t="shared" ca="1" si="185"/>
        <v>#N/A</v>
      </c>
      <c r="BN147" s="13" t="e">
        <f t="shared" ca="1" si="185"/>
        <v>#N/A</v>
      </c>
      <c r="BO147" s="13" t="e">
        <f t="shared" ca="1" si="185"/>
        <v>#N/A</v>
      </c>
      <c r="BP147" s="13" t="e">
        <f t="shared" ca="1" si="185"/>
        <v>#N/A</v>
      </c>
      <c r="BQ147" s="13" t="e">
        <f t="shared" ref="BQ147:BV147" ca="1" si="186">BQ84/$D147*100000</f>
        <v>#N/A</v>
      </c>
      <c r="BR147" s="13" t="e">
        <f t="shared" ca="1" si="186"/>
        <v>#N/A</v>
      </c>
      <c r="BS147" s="13" t="e">
        <f t="shared" ca="1" si="186"/>
        <v>#N/A</v>
      </c>
      <c r="BT147" s="13" t="e">
        <f t="shared" ca="1" si="186"/>
        <v>#N/A</v>
      </c>
      <c r="BU147" s="13" t="e">
        <f t="shared" ca="1" si="186"/>
        <v>#N/A</v>
      </c>
      <c r="BV147" s="13" t="e">
        <f t="shared" ca="1" si="186"/>
        <v>#N/A</v>
      </c>
      <c r="BW147" s="13" t="e">
        <f t="shared" ref="BW147:CR147" ca="1" si="187">BW84/$D147*100000</f>
        <v>#N/A</v>
      </c>
      <c r="BX147" s="13" t="e">
        <f t="shared" ca="1" si="187"/>
        <v>#N/A</v>
      </c>
      <c r="BY147" s="13" t="e">
        <f t="shared" ca="1" si="187"/>
        <v>#N/A</v>
      </c>
      <c r="BZ147" s="13" t="e">
        <f t="shared" ca="1" si="187"/>
        <v>#N/A</v>
      </c>
      <c r="CA147" s="13" t="e">
        <f t="shared" ca="1" si="187"/>
        <v>#N/A</v>
      </c>
      <c r="CB147" s="13" t="e">
        <f t="shared" ca="1" si="187"/>
        <v>#N/A</v>
      </c>
      <c r="CC147" s="13" t="e">
        <f t="shared" ca="1" si="187"/>
        <v>#N/A</v>
      </c>
      <c r="CD147" s="13" t="e">
        <f t="shared" ca="1" si="187"/>
        <v>#N/A</v>
      </c>
      <c r="CE147" s="13" t="e">
        <f t="shared" ca="1" si="187"/>
        <v>#N/A</v>
      </c>
      <c r="CF147" s="13" t="e">
        <f t="shared" ca="1" si="187"/>
        <v>#N/A</v>
      </c>
      <c r="CG147" s="13" t="e">
        <f t="shared" ca="1" si="187"/>
        <v>#N/A</v>
      </c>
      <c r="CH147" s="13" t="e">
        <f t="shared" ca="1" si="187"/>
        <v>#N/A</v>
      </c>
      <c r="CI147" s="13" t="e">
        <f t="shared" ca="1" si="187"/>
        <v>#N/A</v>
      </c>
      <c r="CJ147" s="13" t="e">
        <f t="shared" ca="1" si="187"/>
        <v>#N/A</v>
      </c>
      <c r="CK147" s="13" t="e">
        <f t="shared" ca="1" si="187"/>
        <v>#N/A</v>
      </c>
      <c r="CL147" s="13" t="e">
        <f t="shared" ca="1" si="187"/>
        <v>#N/A</v>
      </c>
      <c r="CM147" s="13" t="e">
        <f t="shared" ca="1" si="187"/>
        <v>#N/A</v>
      </c>
      <c r="CN147" s="13" t="e">
        <f t="shared" ca="1" si="187"/>
        <v>#N/A</v>
      </c>
      <c r="CO147" s="13" t="e">
        <f t="shared" ca="1" si="187"/>
        <v>#N/A</v>
      </c>
      <c r="CP147" s="13" t="e">
        <f t="shared" ca="1" si="187"/>
        <v>#N/A</v>
      </c>
      <c r="CQ147" s="13" t="e">
        <f t="shared" ca="1" si="187"/>
        <v>#N/A</v>
      </c>
      <c r="CR147" s="13" t="e">
        <f t="shared" ca="1" si="187"/>
        <v>#N/A</v>
      </c>
    </row>
    <row r="148" spans="2:96" x14ac:dyDescent="0.25">
      <c r="B148">
        <f t="shared" si="65"/>
        <v>43</v>
      </c>
      <c r="C148">
        <f t="shared" ca="1" si="181"/>
        <v>0</v>
      </c>
      <c r="D148" s="1" t="e">
        <f t="shared" ca="1" si="181"/>
        <v>#N/A</v>
      </c>
      <c r="E148" s="13" t="e">
        <f t="shared" ref="E148:BP148" ca="1" si="188">E85/$D148*100000</f>
        <v>#N/A</v>
      </c>
      <c r="F148" s="13" t="e">
        <f t="shared" ca="1" si="188"/>
        <v>#N/A</v>
      </c>
      <c r="G148" s="13" t="e">
        <f t="shared" ca="1" si="188"/>
        <v>#N/A</v>
      </c>
      <c r="H148" s="13" t="e">
        <f t="shared" ca="1" si="188"/>
        <v>#N/A</v>
      </c>
      <c r="I148" s="13" t="e">
        <f t="shared" ca="1" si="188"/>
        <v>#N/A</v>
      </c>
      <c r="J148" s="13" t="e">
        <f t="shared" ca="1" si="188"/>
        <v>#N/A</v>
      </c>
      <c r="K148" s="13" t="e">
        <f t="shared" ca="1" si="188"/>
        <v>#N/A</v>
      </c>
      <c r="L148" s="13" t="e">
        <f t="shared" ca="1" si="188"/>
        <v>#N/A</v>
      </c>
      <c r="M148" s="13" t="e">
        <f t="shared" ca="1" si="188"/>
        <v>#N/A</v>
      </c>
      <c r="N148" s="13" t="e">
        <f t="shared" ca="1" si="188"/>
        <v>#N/A</v>
      </c>
      <c r="O148" s="13" t="e">
        <f t="shared" ca="1" si="188"/>
        <v>#N/A</v>
      </c>
      <c r="P148" s="13" t="e">
        <f t="shared" ca="1" si="188"/>
        <v>#N/A</v>
      </c>
      <c r="Q148" s="13" t="e">
        <f t="shared" ca="1" si="188"/>
        <v>#N/A</v>
      </c>
      <c r="R148" s="13" t="e">
        <f t="shared" ca="1" si="188"/>
        <v>#N/A</v>
      </c>
      <c r="S148" s="13" t="e">
        <f t="shared" ca="1" si="188"/>
        <v>#N/A</v>
      </c>
      <c r="T148" s="13" t="e">
        <f t="shared" ca="1" si="188"/>
        <v>#N/A</v>
      </c>
      <c r="U148" s="13" t="e">
        <f t="shared" ca="1" si="188"/>
        <v>#N/A</v>
      </c>
      <c r="V148" s="13" t="e">
        <f t="shared" ca="1" si="188"/>
        <v>#N/A</v>
      </c>
      <c r="W148" s="13" t="e">
        <f t="shared" ca="1" si="188"/>
        <v>#N/A</v>
      </c>
      <c r="X148" s="13" t="e">
        <f t="shared" ca="1" si="188"/>
        <v>#N/A</v>
      </c>
      <c r="Y148" s="13" t="e">
        <f t="shared" ca="1" si="188"/>
        <v>#N/A</v>
      </c>
      <c r="Z148" s="13" t="e">
        <f t="shared" ca="1" si="188"/>
        <v>#N/A</v>
      </c>
      <c r="AA148" s="13" t="e">
        <f t="shared" ca="1" si="188"/>
        <v>#N/A</v>
      </c>
      <c r="AB148" s="13" t="e">
        <f t="shared" ca="1" si="188"/>
        <v>#N/A</v>
      </c>
      <c r="AC148" s="13" t="e">
        <f t="shared" ca="1" si="188"/>
        <v>#N/A</v>
      </c>
      <c r="AD148" s="13" t="e">
        <f t="shared" ca="1" si="188"/>
        <v>#N/A</v>
      </c>
      <c r="AE148" s="13" t="e">
        <f t="shared" ca="1" si="188"/>
        <v>#N/A</v>
      </c>
      <c r="AF148" s="13" t="e">
        <f t="shared" ca="1" si="188"/>
        <v>#N/A</v>
      </c>
      <c r="AG148" s="13" t="e">
        <f t="shared" ca="1" si="188"/>
        <v>#N/A</v>
      </c>
      <c r="AH148" s="13" t="e">
        <f t="shared" ca="1" si="188"/>
        <v>#N/A</v>
      </c>
      <c r="AI148" s="13" t="e">
        <f t="shared" ca="1" si="188"/>
        <v>#N/A</v>
      </c>
      <c r="AJ148" s="13" t="e">
        <f t="shared" ca="1" si="188"/>
        <v>#N/A</v>
      </c>
      <c r="AK148" s="13" t="e">
        <f t="shared" ca="1" si="188"/>
        <v>#N/A</v>
      </c>
      <c r="AL148" s="13" t="e">
        <f t="shared" ca="1" si="188"/>
        <v>#N/A</v>
      </c>
      <c r="AM148" s="13" t="e">
        <f t="shared" ca="1" si="188"/>
        <v>#N/A</v>
      </c>
      <c r="AN148" s="13" t="e">
        <f t="shared" ca="1" si="188"/>
        <v>#N/A</v>
      </c>
      <c r="AO148" s="13" t="e">
        <f t="shared" ca="1" si="188"/>
        <v>#N/A</v>
      </c>
      <c r="AP148" s="13" t="e">
        <f t="shared" ca="1" si="188"/>
        <v>#N/A</v>
      </c>
      <c r="AQ148" s="13" t="e">
        <f t="shared" ca="1" si="188"/>
        <v>#N/A</v>
      </c>
      <c r="AR148" s="13" t="e">
        <f t="shared" ca="1" si="188"/>
        <v>#N/A</v>
      </c>
      <c r="AS148" s="13" t="e">
        <f t="shared" ca="1" si="188"/>
        <v>#N/A</v>
      </c>
      <c r="AT148" s="13" t="e">
        <f t="shared" ca="1" si="188"/>
        <v>#N/A</v>
      </c>
      <c r="AU148" s="13" t="e">
        <f t="shared" ca="1" si="188"/>
        <v>#N/A</v>
      </c>
      <c r="AV148" s="13" t="e">
        <f t="shared" ca="1" si="188"/>
        <v>#N/A</v>
      </c>
      <c r="AW148" s="13" t="e">
        <f t="shared" ca="1" si="188"/>
        <v>#N/A</v>
      </c>
      <c r="AX148" s="13" t="e">
        <f t="shared" ca="1" si="188"/>
        <v>#N/A</v>
      </c>
      <c r="AY148" s="13" t="e">
        <f t="shared" ca="1" si="188"/>
        <v>#N/A</v>
      </c>
      <c r="AZ148" s="13" t="e">
        <f t="shared" ca="1" si="188"/>
        <v>#N/A</v>
      </c>
      <c r="BA148" s="13" t="e">
        <f t="shared" ca="1" si="188"/>
        <v>#N/A</v>
      </c>
      <c r="BB148" s="13" t="e">
        <f t="shared" ca="1" si="188"/>
        <v>#N/A</v>
      </c>
      <c r="BC148" s="13" t="e">
        <f t="shared" ca="1" si="188"/>
        <v>#N/A</v>
      </c>
      <c r="BD148" s="13" t="e">
        <f t="shared" ca="1" si="188"/>
        <v>#N/A</v>
      </c>
      <c r="BE148" s="13" t="e">
        <f t="shared" ca="1" si="188"/>
        <v>#N/A</v>
      </c>
      <c r="BF148" s="13" t="e">
        <f t="shared" ca="1" si="188"/>
        <v>#N/A</v>
      </c>
      <c r="BG148" s="13" t="e">
        <f t="shared" ca="1" si="188"/>
        <v>#N/A</v>
      </c>
      <c r="BH148" s="13" t="e">
        <f t="shared" ca="1" si="188"/>
        <v>#N/A</v>
      </c>
      <c r="BI148" s="13" t="e">
        <f t="shared" ca="1" si="188"/>
        <v>#N/A</v>
      </c>
      <c r="BJ148" s="13" t="e">
        <f t="shared" ca="1" si="188"/>
        <v>#N/A</v>
      </c>
      <c r="BK148" s="13" t="e">
        <f t="shared" ca="1" si="188"/>
        <v>#N/A</v>
      </c>
      <c r="BL148" s="13" t="e">
        <f t="shared" ca="1" si="188"/>
        <v>#N/A</v>
      </c>
      <c r="BM148" s="13" t="e">
        <f t="shared" ca="1" si="188"/>
        <v>#N/A</v>
      </c>
      <c r="BN148" s="13" t="e">
        <f t="shared" ca="1" si="188"/>
        <v>#N/A</v>
      </c>
      <c r="BO148" s="13" t="e">
        <f t="shared" ca="1" si="188"/>
        <v>#N/A</v>
      </c>
      <c r="BP148" s="13" t="e">
        <f t="shared" ca="1" si="188"/>
        <v>#N/A</v>
      </c>
      <c r="BQ148" s="13" t="e">
        <f t="shared" ref="BQ148:BV148" ca="1" si="189">BQ85/$D148*100000</f>
        <v>#N/A</v>
      </c>
      <c r="BR148" s="13" t="e">
        <f t="shared" ca="1" si="189"/>
        <v>#N/A</v>
      </c>
      <c r="BS148" s="13" t="e">
        <f t="shared" ca="1" si="189"/>
        <v>#N/A</v>
      </c>
      <c r="BT148" s="13" t="e">
        <f t="shared" ca="1" si="189"/>
        <v>#N/A</v>
      </c>
      <c r="BU148" s="13" t="e">
        <f t="shared" ca="1" si="189"/>
        <v>#N/A</v>
      </c>
      <c r="BV148" s="13" t="e">
        <f t="shared" ca="1" si="189"/>
        <v>#N/A</v>
      </c>
      <c r="BW148" s="13" t="e">
        <f t="shared" ref="BW148:CR148" ca="1" si="190">BW85/$D148*100000</f>
        <v>#N/A</v>
      </c>
      <c r="BX148" s="13" t="e">
        <f t="shared" ca="1" si="190"/>
        <v>#N/A</v>
      </c>
      <c r="BY148" s="13" t="e">
        <f t="shared" ca="1" si="190"/>
        <v>#N/A</v>
      </c>
      <c r="BZ148" s="13" t="e">
        <f t="shared" ca="1" si="190"/>
        <v>#N/A</v>
      </c>
      <c r="CA148" s="13" t="e">
        <f t="shared" ca="1" si="190"/>
        <v>#N/A</v>
      </c>
      <c r="CB148" s="13" t="e">
        <f t="shared" ca="1" si="190"/>
        <v>#N/A</v>
      </c>
      <c r="CC148" s="13" t="e">
        <f t="shared" ca="1" si="190"/>
        <v>#N/A</v>
      </c>
      <c r="CD148" s="13" t="e">
        <f t="shared" ca="1" si="190"/>
        <v>#N/A</v>
      </c>
      <c r="CE148" s="13" t="e">
        <f t="shared" ca="1" si="190"/>
        <v>#N/A</v>
      </c>
      <c r="CF148" s="13" t="e">
        <f t="shared" ca="1" si="190"/>
        <v>#N/A</v>
      </c>
      <c r="CG148" s="13" t="e">
        <f t="shared" ca="1" si="190"/>
        <v>#N/A</v>
      </c>
      <c r="CH148" s="13" t="e">
        <f t="shared" ca="1" si="190"/>
        <v>#N/A</v>
      </c>
      <c r="CI148" s="13" t="e">
        <f t="shared" ca="1" si="190"/>
        <v>#N/A</v>
      </c>
      <c r="CJ148" s="13" t="e">
        <f t="shared" ca="1" si="190"/>
        <v>#N/A</v>
      </c>
      <c r="CK148" s="13" t="e">
        <f t="shared" ca="1" si="190"/>
        <v>#N/A</v>
      </c>
      <c r="CL148" s="13" t="e">
        <f t="shared" ca="1" si="190"/>
        <v>#N/A</v>
      </c>
      <c r="CM148" s="13" t="e">
        <f t="shared" ca="1" si="190"/>
        <v>#N/A</v>
      </c>
      <c r="CN148" s="13" t="e">
        <f t="shared" ca="1" si="190"/>
        <v>#N/A</v>
      </c>
      <c r="CO148" s="13" t="e">
        <f t="shared" ca="1" si="190"/>
        <v>#N/A</v>
      </c>
      <c r="CP148" s="13" t="e">
        <f t="shared" ca="1" si="190"/>
        <v>#N/A</v>
      </c>
      <c r="CQ148" s="13" t="e">
        <f t="shared" ca="1" si="190"/>
        <v>#N/A</v>
      </c>
      <c r="CR148" s="13" t="e">
        <f t="shared" ca="1" si="190"/>
        <v>#N/A</v>
      </c>
    </row>
    <row r="149" spans="2:96" x14ac:dyDescent="0.25">
      <c r="B149">
        <f t="shared" si="65"/>
        <v>44</v>
      </c>
      <c r="C149">
        <f t="shared" ca="1" si="181"/>
        <v>0</v>
      </c>
      <c r="D149" s="1" t="e">
        <f t="shared" ca="1" si="181"/>
        <v>#N/A</v>
      </c>
      <c r="E149" s="13" t="e">
        <f t="shared" ref="E149:BP149" ca="1" si="191">E86/$D149*100000</f>
        <v>#N/A</v>
      </c>
      <c r="F149" s="13" t="e">
        <f t="shared" ca="1" si="191"/>
        <v>#N/A</v>
      </c>
      <c r="G149" s="13" t="e">
        <f t="shared" ca="1" si="191"/>
        <v>#N/A</v>
      </c>
      <c r="H149" s="13" t="e">
        <f t="shared" ca="1" si="191"/>
        <v>#N/A</v>
      </c>
      <c r="I149" s="13" t="e">
        <f t="shared" ca="1" si="191"/>
        <v>#N/A</v>
      </c>
      <c r="J149" s="13" t="e">
        <f t="shared" ca="1" si="191"/>
        <v>#N/A</v>
      </c>
      <c r="K149" s="13" t="e">
        <f t="shared" ca="1" si="191"/>
        <v>#N/A</v>
      </c>
      <c r="L149" s="13" t="e">
        <f t="shared" ca="1" si="191"/>
        <v>#N/A</v>
      </c>
      <c r="M149" s="13" t="e">
        <f t="shared" ca="1" si="191"/>
        <v>#N/A</v>
      </c>
      <c r="N149" s="13" t="e">
        <f t="shared" ca="1" si="191"/>
        <v>#N/A</v>
      </c>
      <c r="O149" s="13" t="e">
        <f t="shared" ca="1" si="191"/>
        <v>#N/A</v>
      </c>
      <c r="P149" s="13" t="e">
        <f t="shared" ca="1" si="191"/>
        <v>#N/A</v>
      </c>
      <c r="Q149" s="13" t="e">
        <f t="shared" ca="1" si="191"/>
        <v>#N/A</v>
      </c>
      <c r="R149" s="13" t="e">
        <f t="shared" ca="1" si="191"/>
        <v>#N/A</v>
      </c>
      <c r="S149" s="13" t="e">
        <f t="shared" ca="1" si="191"/>
        <v>#N/A</v>
      </c>
      <c r="T149" s="13" t="e">
        <f t="shared" ca="1" si="191"/>
        <v>#N/A</v>
      </c>
      <c r="U149" s="13" t="e">
        <f t="shared" ca="1" si="191"/>
        <v>#N/A</v>
      </c>
      <c r="V149" s="13" t="e">
        <f t="shared" ca="1" si="191"/>
        <v>#N/A</v>
      </c>
      <c r="W149" s="13" t="e">
        <f t="shared" ca="1" si="191"/>
        <v>#N/A</v>
      </c>
      <c r="X149" s="13" t="e">
        <f t="shared" ca="1" si="191"/>
        <v>#N/A</v>
      </c>
      <c r="Y149" s="13" t="e">
        <f t="shared" ca="1" si="191"/>
        <v>#N/A</v>
      </c>
      <c r="Z149" s="13" t="e">
        <f t="shared" ca="1" si="191"/>
        <v>#N/A</v>
      </c>
      <c r="AA149" s="13" t="e">
        <f t="shared" ca="1" si="191"/>
        <v>#N/A</v>
      </c>
      <c r="AB149" s="13" t="e">
        <f t="shared" ca="1" si="191"/>
        <v>#N/A</v>
      </c>
      <c r="AC149" s="13" t="e">
        <f t="shared" ca="1" si="191"/>
        <v>#N/A</v>
      </c>
      <c r="AD149" s="13" t="e">
        <f t="shared" ca="1" si="191"/>
        <v>#N/A</v>
      </c>
      <c r="AE149" s="13" t="e">
        <f t="shared" ca="1" si="191"/>
        <v>#N/A</v>
      </c>
      <c r="AF149" s="13" t="e">
        <f t="shared" ca="1" si="191"/>
        <v>#N/A</v>
      </c>
      <c r="AG149" s="13" t="e">
        <f t="shared" ca="1" si="191"/>
        <v>#N/A</v>
      </c>
      <c r="AH149" s="13" t="e">
        <f t="shared" ca="1" si="191"/>
        <v>#N/A</v>
      </c>
      <c r="AI149" s="13" t="e">
        <f t="shared" ca="1" si="191"/>
        <v>#N/A</v>
      </c>
      <c r="AJ149" s="13" t="e">
        <f t="shared" ca="1" si="191"/>
        <v>#N/A</v>
      </c>
      <c r="AK149" s="13" t="e">
        <f t="shared" ca="1" si="191"/>
        <v>#N/A</v>
      </c>
      <c r="AL149" s="13" t="e">
        <f t="shared" ca="1" si="191"/>
        <v>#N/A</v>
      </c>
      <c r="AM149" s="13" t="e">
        <f t="shared" ca="1" si="191"/>
        <v>#N/A</v>
      </c>
      <c r="AN149" s="13" t="e">
        <f t="shared" ca="1" si="191"/>
        <v>#N/A</v>
      </c>
      <c r="AO149" s="13" t="e">
        <f t="shared" ca="1" si="191"/>
        <v>#N/A</v>
      </c>
      <c r="AP149" s="13" t="e">
        <f t="shared" ca="1" si="191"/>
        <v>#N/A</v>
      </c>
      <c r="AQ149" s="13" t="e">
        <f t="shared" ca="1" si="191"/>
        <v>#N/A</v>
      </c>
      <c r="AR149" s="13" t="e">
        <f t="shared" ca="1" si="191"/>
        <v>#N/A</v>
      </c>
      <c r="AS149" s="13" t="e">
        <f t="shared" ca="1" si="191"/>
        <v>#N/A</v>
      </c>
      <c r="AT149" s="13" t="e">
        <f t="shared" ca="1" si="191"/>
        <v>#N/A</v>
      </c>
      <c r="AU149" s="13" t="e">
        <f t="shared" ca="1" si="191"/>
        <v>#N/A</v>
      </c>
      <c r="AV149" s="13" t="e">
        <f t="shared" ca="1" si="191"/>
        <v>#N/A</v>
      </c>
      <c r="AW149" s="13" t="e">
        <f t="shared" ca="1" si="191"/>
        <v>#N/A</v>
      </c>
      <c r="AX149" s="13" t="e">
        <f t="shared" ca="1" si="191"/>
        <v>#N/A</v>
      </c>
      <c r="AY149" s="13" t="e">
        <f t="shared" ca="1" si="191"/>
        <v>#N/A</v>
      </c>
      <c r="AZ149" s="13" t="e">
        <f t="shared" ca="1" si="191"/>
        <v>#N/A</v>
      </c>
      <c r="BA149" s="13" t="e">
        <f t="shared" ca="1" si="191"/>
        <v>#N/A</v>
      </c>
      <c r="BB149" s="13" t="e">
        <f t="shared" ca="1" si="191"/>
        <v>#N/A</v>
      </c>
      <c r="BC149" s="13" t="e">
        <f t="shared" ca="1" si="191"/>
        <v>#N/A</v>
      </c>
      <c r="BD149" s="13" t="e">
        <f t="shared" ca="1" si="191"/>
        <v>#N/A</v>
      </c>
      <c r="BE149" s="13" t="e">
        <f t="shared" ca="1" si="191"/>
        <v>#N/A</v>
      </c>
      <c r="BF149" s="13" t="e">
        <f t="shared" ca="1" si="191"/>
        <v>#N/A</v>
      </c>
      <c r="BG149" s="13" t="e">
        <f t="shared" ca="1" si="191"/>
        <v>#N/A</v>
      </c>
      <c r="BH149" s="13" t="e">
        <f t="shared" ca="1" si="191"/>
        <v>#N/A</v>
      </c>
      <c r="BI149" s="13" t="e">
        <f t="shared" ca="1" si="191"/>
        <v>#N/A</v>
      </c>
      <c r="BJ149" s="13" t="e">
        <f t="shared" ca="1" si="191"/>
        <v>#N/A</v>
      </c>
      <c r="BK149" s="13" t="e">
        <f t="shared" ca="1" si="191"/>
        <v>#N/A</v>
      </c>
      <c r="BL149" s="13" t="e">
        <f t="shared" ca="1" si="191"/>
        <v>#N/A</v>
      </c>
      <c r="BM149" s="13" t="e">
        <f t="shared" ca="1" si="191"/>
        <v>#N/A</v>
      </c>
      <c r="BN149" s="13" t="e">
        <f t="shared" ca="1" si="191"/>
        <v>#N/A</v>
      </c>
      <c r="BO149" s="13" t="e">
        <f t="shared" ca="1" si="191"/>
        <v>#N/A</v>
      </c>
      <c r="BP149" s="13" t="e">
        <f t="shared" ca="1" si="191"/>
        <v>#N/A</v>
      </c>
      <c r="BQ149" s="13" t="e">
        <f t="shared" ref="BQ149:BV149" ca="1" si="192">BQ86/$D149*100000</f>
        <v>#N/A</v>
      </c>
      <c r="BR149" s="13" t="e">
        <f t="shared" ca="1" si="192"/>
        <v>#N/A</v>
      </c>
      <c r="BS149" s="13" t="e">
        <f t="shared" ca="1" si="192"/>
        <v>#N/A</v>
      </c>
      <c r="BT149" s="13" t="e">
        <f t="shared" ca="1" si="192"/>
        <v>#N/A</v>
      </c>
      <c r="BU149" s="13" t="e">
        <f t="shared" ca="1" si="192"/>
        <v>#N/A</v>
      </c>
      <c r="BV149" s="13" t="e">
        <f t="shared" ca="1" si="192"/>
        <v>#N/A</v>
      </c>
      <c r="BW149" s="13" t="e">
        <f t="shared" ref="BW149:CR149" ca="1" si="193">BW86/$D149*100000</f>
        <v>#N/A</v>
      </c>
      <c r="BX149" s="13" t="e">
        <f t="shared" ca="1" si="193"/>
        <v>#N/A</v>
      </c>
      <c r="BY149" s="13" t="e">
        <f t="shared" ca="1" si="193"/>
        <v>#N/A</v>
      </c>
      <c r="BZ149" s="13" t="e">
        <f t="shared" ca="1" si="193"/>
        <v>#N/A</v>
      </c>
      <c r="CA149" s="13" t="e">
        <f t="shared" ca="1" si="193"/>
        <v>#N/A</v>
      </c>
      <c r="CB149" s="13" t="e">
        <f t="shared" ca="1" si="193"/>
        <v>#N/A</v>
      </c>
      <c r="CC149" s="13" t="e">
        <f t="shared" ca="1" si="193"/>
        <v>#N/A</v>
      </c>
      <c r="CD149" s="13" t="e">
        <f t="shared" ca="1" si="193"/>
        <v>#N/A</v>
      </c>
      <c r="CE149" s="13" t="e">
        <f t="shared" ca="1" si="193"/>
        <v>#N/A</v>
      </c>
      <c r="CF149" s="13" t="e">
        <f t="shared" ca="1" si="193"/>
        <v>#N/A</v>
      </c>
      <c r="CG149" s="13" t="e">
        <f t="shared" ca="1" si="193"/>
        <v>#N/A</v>
      </c>
      <c r="CH149" s="13" t="e">
        <f t="shared" ca="1" si="193"/>
        <v>#N/A</v>
      </c>
      <c r="CI149" s="13" t="e">
        <f t="shared" ca="1" si="193"/>
        <v>#N/A</v>
      </c>
      <c r="CJ149" s="13" t="e">
        <f t="shared" ca="1" si="193"/>
        <v>#N/A</v>
      </c>
      <c r="CK149" s="13" t="e">
        <f t="shared" ca="1" si="193"/>
        <v>#N/A</v>
      </c>
      <c r="CL149" s="13" t="e">
        <f t="shared" ca="1" si="193"/>
        <v>#N/A</v>
      </c>
      <c r="CM149" s="13" t="e">
        <f t="shared" ca="1" si="193"/>
        <v>#N/A</v>
      </c>
      <c r="CN149" s="13" t="e">
        <f t="shared" ca="1" si="193"/>
        <v>#N/A</v>
      </c>
      <c r="CO149" s="13" t="e">
        <f t="shared" ca="1" si="193"/>
        <v>#N/A</v>
      </c>
      <c r="CP149" s="13" t="e">
        <f t="shared" ca="1" si="193"/>
        <v>#N/A</v>
      </c>
      <c r="CQ149" s="13" t="e">
        <f t="shared" ca="1" si="193"/>
        <v>#N/A</v>
      </c>
      <c r="CR149" s="13" t="e">
        <f t="shared" ca="1" si="193"/>
        <v>#N/A</v>
      </c>
    </row>
    <row r="150" spans="2:96" x14ac:dyDescent="0.25">
      <c r="B150">
        <f t="shared" si="65"/>
        <v>45</v>
      </c>
      <c r="C150">
        <f t="shared" ca="1" si="181"/>
        <v>0</v>
      </c>
      <c r="D150" s="1" t="e">
        <f t="shared" ca="1" si="181"/>
        <v>#N/A</v>
      </c>
      <c r="E150" s="13" t="e">
        <f t="shared" ref="E150:BP150" ca="1" si="194">E87/$D150*100000</f>
        <v>#N/A</v>
      </c>
      <c r="F150" s="13" t="e">
        <f t="shared" ca="1" si="194"/>
        <v>#N/A</v>
      </c>
      <c r="G150" s="13" t="e">
        <f t="shared" ca="1" si="194"/>
        <v>#N/A</v>
      </c>
      <c r="H150" s="13" t="e">
        <f t="shared" ca="1" si="194"/>
        <v>#N/A</v>
      </c>
      <c r="I150" s="13" t="e">
        <f t="shared" ca="1" si="194"/>
        <v>#N/A</v>
      </c>
      <c r="J150" s="13" t="e">
        <f t="shared" ca="1" si="194"/>
        <v>#N/A</v>
      </c>
      <c r="K150" s="13" t="e">
        <f t="shared" ca="1" si="194"/>
        <v>#N/A</v>
      </c>
      <c r="L150" s="13" t="e">
        <f t="shared" ca="1" si="194"/>
        <v>#N/A</v>
      </c>
      <c r="M150" s="13" t="e">
        <f t="shared" ca="1" si="194"/>
        <v>#N/A</v>
      </c>
      <c r="N150" s="13" t="e">
        <f t="shared" ca="1" si="194"/>
        <v>#N/A</v>
      </c>
      <c r="O150" s="13" t="e">
        <f t="shared" ca="1" si="194"/>
        <v>#N/A</v>
      </c>
      <c r="P150" s="13" t="e">
        <f t="shared" ca="1" si="194"/>
        <v>#N/A</v>
      </c>
      <c r="Q150" s="13" t="e">
        <f t="shared" ca="1" si="194"/>
        <v>#N/A</v>
      </c>
      <c r="R150" s="13" t="e">
        <f t="shared" ca="1" si="194"/>
        <v>#N/A</v>
      </c>
      <c r="S150" s="13" t="e">
        <f t="shared" ca="1" si="194"/>
        <v>#N/A</v>
      </c>
      <c r="T150" s="13" t="e">
        <f t="shared" ca="1" si="194"/>
        <v>#N/A</v>
      </c>
      <c r="U150" s="13" t="e">
        <f t="shared" ca="1" si="194"/>
        <v>#N/A</v>
      </c>
      <c r="V150" s="13" t="e">
        <f t="shared" ca="1" si="194"/>
        <v>#N/A</v>
      </c>
      <c r="W150" s="13" t="e">
        <f t="shared" ca="1" si="194"/>
        <v>#N/A</v>
      </c>
      <c r="X150" s="13" t="e">
        <f t="shared" ca="1" si="194"/>
        <v>#N/A</v>
      </c>
      <c r="Y150" s="13" t="e">
        <f t="shared" ca="1" si="194"/>
        <v>#N/A</v>
      </c>
      <c r="Z150" s="13" t="e">
        <f t="shared" ca="1" si="194"/>
        <v>#N/A</v>
      </c>
      <c r="AA150" s="13" t="e">
        <f t="shared" ca="1" si="194"/>
        <v>#N/A</v>
      </c>
      <c r="AB150" s="13" t="e">
        <f t="shared" ca="1" si="194"/>
        <v>#N/A</v>
      </c>
      <c r="AC150" s="13" t="e">
        <f t="shared" ca="1" si="194"/>
        <v>#N/A</v>
      </c>
      <c r="AD150" s="13" t="e">
        <f t="shared" ca="1" si="194"/>
        <v>#N/A</v>
      </c>
      <c r="AE150" s="13" t="e">
        <f t="shared" ca="1" si="194"/>
        <v>#N/A</v>
      </c>
      <c r="AF150" s="13" t="e">
        <f t="shared" ca="1" si="194"/>
        <v>#N/A</v>
      </c>
      <c r="AG150" s="13" t="e">
        <f t="shared" ca="1" si="194"/>
        <v>#N/A</v>
      </c>
      <c r="AH150" s="13" t="e">
        <f t="shared" ca="1" si="194"/>
        <v>#N/A</v>
      </c>
      <c r="AI150" s="13" t="e">
        <f t="shared" ca="1" si="194"/>
        <v>#N/A</v>
      </c>
      <c r="AJ150" s="13" t="e">
        <f t="shared" ca="1" si="194"/>
        <v>#N/A</v>
      </c>
      <c r="AK150" s="13" t="e">
        <f t="shared" ca="1" si="194"/>
        <v>#N/A</v>
      </c>
      <c r="AL150" s="13" t="e">
        <f t="shared" ca="1" si="194"/>
        <v>#N/A</v>
      </c>
      <c r="AM150" s="13" t="e">
        <f t="shared" ca="1" si="194"/>
        <v>#N/A</v>
      </c>
      <c r="AN150" s="13" t="e">
        <f t="shared" ca="1" si="194"/>
        <v>#N/A</v>
      </c>
      <c r="AO150" s="13" t="e">
        <f t="shared" ca="1" si="194"/>
        <v>#N/A</v>
      </c>
      <c r="AP150" s="13" t="e">
        <f t="shared" ca="1" si="194"/>
        <v>#N/A</v>
      </c>
      <c r="AQ150" s="13" t="e">
        <f t="shared" ca="1" si="194"/>
        <v>#N/A</v>
      </c>
      <c r="AR150" s="13" t="e">
        <f t="shared" ca="1" si="194"/>
        <v>#N/A</v>
      </c>
      <c r="AS150" s="13" t="e">
        <f t="shared" ca="1" si="194"/>
        <v>#N/A</v>
      </c>
      <c r="AT150" s="13" t="e">
        <f t="shared" ca="1" si="194"/>
        <v>#N/A</v>
      </c>
      <c r="AU150" s="13" t="e">
        <f t="shared" ca="1" si="194"/>
        <v>#N/A</v>
      </c>
      <c r="AV150" s="13" t="e">
        <f t="shared" ca="1" si="194"/>
        <v>#N/A</v>
      </c>
      <c r="AW150" s="13" t="e">
        <f t="shared" ca="1" si="194"/>
        <v>#N/A</v>
      </c>
      <c r="AX150" s="13" t="e">
        <f t="shared" ca="1" si="194"/>
        <v>#N/A</v>
      </c>
      <c r="AY150" s="13" t="e">
        <f t="shared" ca="1" si="194"/>
        <v>#N/A</v>
      </c>
      <c r="AZ150" s="13" t="e">
        <f t="shared" ca="1" si="194"/>
        <v>#N/A</v>
      </c>
      <c r="BA150" s="13" t="e">
        <f t="shared" ca="1" si="194"/>
        <v>#N/A</v>
      </c>
      <c r="BB150" s="13" t="e">
        <f t="shared" ca="1" si="194"/>
        <v>#N/A</v>
      </c>
      <c r="BC150" s="13" t="e">
        <f t="shared" ca="1" si="194"/>
        <v>#N/A</v>
      </c>
      <c r="BD150" s="13" t="e">
        <f t="shared" ca="1" si="194"/>
        <v>#N/A</v>
      </c>
      <c r="BE150" s="13" t="e">
        <f t="shared" ca="1" si="194"/>
        <v>#N/A</v>
      </c>
      <c r="BF150" s="13" t="e">
        <f t="shared" ca="1" si="194"/>
        <v>#N/A</v>
      </c>
      <c r="BG150" s="13" t="e">
        <f t="shared" ca="1" si="194"/>
        <v>#N/A</v>
      </c>
      <c r="BH150" s="13" t="e">
        <f t="shared" ca="1" si="194"/>
        <v>#N/A</v>
      </c>
      <c r="BI150" s="13" t="e">
        <f t="shared" ca="1" si="194"/>
        <v>#N/A</v>
      </c>
      <c r="BJ150" s="13" t="e">
        <f t="shared" ca="1" si="194"/>
        <v>#N/A</v>
      </c>
      <c r="BK150" s="13" t="e">
        <f t="shared" ca="1" si="194"/>
        <v>#N/A</v>
      </c>
      <c r="BL150" s="13" t="e">
        <f t="shared" ca="1" si="194"/>
        <v>#N/A</v>
      </c>
      <c r="BM150" s="13" t="e">
        <f t="shared" ca="1" si="194"/>
        <v>#N/A</v>
      </c>
      <c r="BN150" s="13" t="e">
        <f t="shared" ca="1" si="194"/>
        <v>#N/A</v>
      </c>
      <c r="BO150" s="13" t="e">
        <f t="shared" ca="1" si="194"/>
        <v>#N/A</v>
      </c>
      <c r="BP150" s="13" t="e">
        <f t="shared" ca="1" si="194"/>
        <v>#N/A</v>
      </c>
      <c r="BQ150" s="13" t="e">
        <f t="shared" ref="BQ150:BV150" ca="1" si="195">BQ87/$D150*100000</f>
        <v>#N/A</v>
      </c>
      <c r="BR150" s="13" t="e">
        <f t="shared" ca="1" si="195"/>
        <v>#N/A</v>
      </c>
      <c r="BS150" s="13" t="e">
        <f t="shared" ca="1" si="195"/>
        <v>#N/A</v>
      </c>
      <c r="BT150" s="13" t="e">
        <f t="shared" ca="1" si="195"/>
        <v>#N/A</v>
      </c>
      <c r="BU150" s="13" t="e">
        <f t="shared" ca="1" si="195"/>
        <v>#N/A</v>
      </c>
      <c r="BV150" s="13" t="e">
        <f t="shared" ca="1" si="195"/>
        <v>#N/A</v>
      </c>
      <c r="BW150" s="13" t="e">
        <f t="shared" ref="BW150:CR150" ca="1" si="196">BW87/$D150*100000</f>
        <v>#N/A</v>
      </c>
      <c r="BX150" s="13" t="e">
        <f t="shared" ca="1" si="196"/>
        <v>#N/A</v>
      </c>
      <c r="BY150" s="13" t="e">
        <f t="shared" ca="1" si="196"/>
        <v>#N/A</v>
      </c>
      <c r="BZ150" s="13" t="e">
        <f t="shared" ca="1" si="196"/>
        <v>#N/A</v>
      </c>
      <c r="CA150" s="13" t="e">
        <f t="shared" ca="1" si="196"/>
        <v>#N/A</v>
      </c>
      <c r="CB150" s="13" t="e">
        <f t="shared" ca="1" si="196"/>
        <v>#N/A</v>
      </c>
      <c r="CC150" s="13" t="e">
        <f t="shared" ca="1" si="196"/>
        <v>#N/A</v>
      </c>
      <c r="CD150" s="13" t="e">
        <f t="shared" ca="1" si="196"/>
        <v>#N/A</v>
      </c>
      <c r="CE150" s="13" t="e">
        <f t="shared" ca="1" si="196"/>
        <v>#N/A</v>
      </c>
      <c r="CF150" s="13" t="e">
        <f t="shared" ca="1" si="196"/>
        <v>#N/A</v>
      </c>
      <c r="CG150" s="13" t="e">
        <f t="shared" ca="1" si="196"/>
        <v>#N/A</v>
      </c>
      <c r="CH150" s="13" t="e">
        <f t="shared" ca="1" si="196"/>
        <v>#N/A</v>
      </c>
      <c r="CI150" s="13" t="e">
        <f t="shared" ca="1" si="196"/>
        <v>#N/A</v>
      </c>
      <c r="CJ150" s="13" t="e">
        <f t="shared" ca="1" si="196"/>
        <v>#N/A</v>
      </c>
      <c r="CK150" s="13" t="e">
        <f t="shared" ca="1" si="196"/>
        <v>#N/A</v>
      </c>
      <c r="CL150" s="13" t="e">
        <f t="shared" ca="1" si="196"/>
        <v>#N/A</v>
      </c>
      <c r="CM150" s="13" t="e">
        <f t="shared" ca="1" si="196"/>
        <v>#N/A</v>
      </c>
      <c r="CN150" s="13" t="e">
        <f t="shared" ca="1" si="196"/>
        <v>#N/A</v>
      </c>
      <c r="CO150" s="13" t="e">
        <f t="shared" ca="1" si="196"/>
        <v>#N/A</v>
      </c>
      <c r="CP150" s="13" t="e">
        <f t="shared" ca="1" si="196"/>
        <v>#N/A</v>
      </c>
      <c r="CQ150" s="13" t="e">
        <f t="shared" ca="1" si="196"/>
        <v>#N/A</v>
      </c>
      <c r="CR150" s="13" t="e">
        <f t="shared" ca="1" si="196"/>
        <v>#N/A</v>
      </c>
    </row>
    <row r="151" spans="2:96" x14ac:dyDescent="0.25">
      <c r="B151">
        <f t="shared" si="65"/>
        <v>46</v>
      </c>
      <c r="C151">
        <f t="shared" ca="1" si="181"/>
        <v>0</v>
      </c>
      <c r="D151" s="1" t="e">
        <f t="shared" ca="1" si="181"/>
        <v>#N/A</v>
      </c>
      <c r="E151" s="13" t="e">
        <f t="shared" ref="E151:BP151" ca="1" si="197">E88/$D151*100000</f>
        <v>#N/A</v>
      </c>
      <c r="F151" s="13" t="e">
        <f t="shared" ca="1" si="197"/>
        <v>#N/A</v>
      </c>
      <c r="G151" s="13" t="e">
        <f t="shared" ca="1" si="197"/>
        <v>#N/A</v>
      </c>
      <c r="H151" s="13" t="e">
        <f t="shared" ca="1" si="197"/>
        <v>#N/A</v>
      </c>
      <c r="I151" s="13" t="e">
        <f t="shared" ca="1" si="197"/>
        <v>#N/A</v>
      </c>
      <c r="J151" s="13" t="e">
        <f t="shared" ca="1" si="197"/>
        <v>#N/A</v>
      </c>
      <c r="K151" s="13" t="e">
        <f t="shared" ca="1" si="197"/>
        <v>#N/A</v>
      </c>
      <c r="L151" s="13" t="e">
        <f t="shared" ca="1" si="197"/>
        <v>#N/A</v>
      </c>
      <c r="M151" s="13" t="e">
        <f t="shared" ca="1" si="197"/>
        <v>#N/A</v>
      </c>
      <c r="N151" s="13" t="e">
        <f t="shared" ca="1" si="197"/>
        <v>#N/A</v>
      </c>
      <c r="O151" s="13" t="e">
        <f t="shared" ca="1" si="197"/>
        <v>#N/A</v>
      </c>
      <c r="P151" s="13" t="e">
        <f t="shared" ca="1" si="197"/>
        <v>#N/A</v>
      </c>
      <c r="Q151" s="13" t="e">
        <f t="shared" ca="1" si="197"/>
        <v>#N/A</v>
      </c>
      <c r="R151" s="13" t="e">
        <f t="shared" ca="1" si="197"/>
        <v>#N/A</v>
      </c>
      <c r="S151" s="13" t="e">
        <f t="shared" ca="1" si="197"/>
        <v>#N/A</v>
      </c>
      <c r="T151" s="13" t="e">
        <f t="shared" ca="1" si="197"/>
        <v>#N/A</v>
      </c>
      <c r="U151" s="13" t="e">
        <f t="shared" ca="1" si="197"/>
        <v>#N/A</v>
      </c>
      <c r="V151" s="13" t="e">
        <f t="shared" ca="1" si="197"/>
        <v>#N/A</v>
      </c>
      <c r="W151" s="13" t="e">
        <f t="shared" ca="1" si="197"/>
        <v>#N/A</v>
      </c>
      <c r="X151" s="13" t="e">
        <f t="shared" ca="1" si="197"/>
        <v>#N/A</v>
      </c>
      <c r="Y151" s="13" t="e">
        <f t="shared" ca="1" si="197"/>
        <v>#N/A</v>
      </c>
      <c r="Z151" s="13" t="e">
        <f t="shared" ca="1" si="197"/>
        <v>#N/A</v>
      </c>
      <c r="AA151" s="13" t="e">
        <f t="shared" ca="1" si="197"/>
        <v>#N/A</v>
      </c>
      <c r="AB151" s="13" t="e">
        <f t="shared" ca="1" si="197"/>
        <v>#N/A</v>
      </c>
      <c r="AC151" s="13" t="e">
        <f t="shared" ca="1" si="197"/>
        <v>#N/A</v>
      </c>
      <c r="AD151" s="13" t="e">
        <f t="shared" ca="1" si="197"/>
        <v>#N/A</v>
      </c>
      <c r="AE151" s="13" t="e">
        <f t="shared" ca="1" si="197"/>
        <v>#N/A</v>
      </c>
      <c r="AF151" s="13" t="e">
        <f t="shared" ca="1" si="197"/>
        <v>#N/A</v>
      </c>
      <c r="AG151" s="13" t="e">
        <f t="shared" ca="1" si="197"/>
        <v>#N/A</v>
      </c>
      <c r="AH151" s="13" t="e">
        <f t="shared" ca="1" si="197"/>
        <v>#N/A</v>
      </c>
      <c r="AI151" s="13" t="e">
        <f t="shared" ca="1" si="197"/>
        <v>#N/A</v>
      </c>
      <c r="AJ151" s="13" t="e">
        <f t="shared" ca="1" si="197"/>
        <v>#N/A</v>
      </c>
      <c r="AK151" s="13" t="e">
        <f t="shared" ca="1" si="197"/>
        <v>#N/A</v>
      </c>
      <c r="AL151" s="13" t="e">
        <f t="shared" ca="1" si="197"/>
        <v>#N/A</v>
      </c>
      <c r="AM151" s="13" t="e">
        <f t="shared" ca="1" si="197"/>
        <v>#N/A</v>
      </c>
      <c r="AN151" s="13" t="e">
        <f t="shared" ca="1" si="197"/>
        <v>#N/A</v>
      </c>
      <c r="AO151" s="13" t="e">
        <f t="shared" ca="1" si="197"/>
        <v>#N/A</v>
      </c>
      <c r="AP151" s="13" t="e">
        <f t="shared" ca="1" si="197"/>
        <v>#N/A</v>
      </c>
      <c r="AQ151" s="13" t="e">
        <f t="shared" ca="1" si="197"/>
        <v>#N/A</v>
      </c>
      <c r="AR151" s="13" t="e">
        <f t="shared" ca="1" si="197"/>
        <v>#N/A</v>
      </c>
      <c r="AS151" s="13" t="e">
        <f t="shared" ca="1" si="197"/>
        <v>#N/A</v>
      </c>
      <c r="AT151" s="13" t="e">
        <f t="shared" ca="1" si="197"/>
        <v>#N/A</v>
      </c>
      <c r="AU151" s="13" t="e">
        <f t="shared" ca="1" si="197"/>
        <v>#N/A</v>
      </c>
      <c r="AV151" s="13" t="e">
        <f t="shared" ca="1" si="197"/>
        <v>#N/A</v>
      </c>
      <c r="AW151" s="13" t="e">
        <f t="shared" ca="1" si="197"/>
        <v>#N/A</v>
      </c>
      <c r="AX151" s="13" t="e">
        <f t="shared" ca="1" si="197"/>
        <v>#N/A</v>
      </c>
      <c r="AY151" s="13" t="e">
        <f t="shared" ca="1" si="197"/>
        <v>#N/A</v>
      </c>
      <c r="AZ151" s="13" t="e">
        <f t="shared" ca="1" si="197"/>
        <v>#N/A</v>
      </c>
      <c r="BA151" s="13" t="e">
        <f t="shared" ca="1" si="197"/>
        <v>#N/A</v>
      </c>
      <c r="BB151" s="13" t="e">
        <f t="shared" ca="1" si="197"/>
        <v>#N/A</v>
      </c>
      <c r="BC151" s="13" t="e">
        <f t="shared" ca="1" si="197"/>
        <v>#N/A</v>
      </c>
      <c r="BD151" s="13" t="e">
        <f t="shared" ca="1" si="197"/>
        <v>#N/A</v>
      </c>
      <c r="BE151" s="13" t="e">
        <f t="shared" ca="1" si="197"/>
        <v>#N/A</v>
      </c>
      <c r="BF151" s="13" t="e">
        <f t="shared" ca="1" si="197"/>
        <v>#N/A</v>
      </c>
      <c r="BG151" s="13" t="e">
        <f t="shared" ca="1" si="197"/>
        <v>#N/A</v>
      </c>
      <c r="BH151" s="13" t="e">
        <f t="shared" ca="1" si="197"/>
        <v>#N/A</v>
      </c>
      <c r="BI151" s="13" t="e">
        <f t="shared" ca="1" si="197"/>
        <v>#N/A</v>
      </c>
      <c r="BJ151" s="13" t="e">
        <f t="shared" ca="1" si="197"/>
        <v>#N/A</v>
      </c>
      <c r="BK151" s="13" t="e">
        <f t="shared" ca="1" si="197"/>
        <v>#N/A</v>
      </c>
      <c r="BL151" s="13" t="e">
        <f t="shared" ca="1" si="197"/>
        <v>#N/A</v>
      </c>
      <c r="BM151" s="13" t="e">
        <f t="shared" ca="1" si="197"/>
        <v>#N/A</v>
      </c>
      <c r="BN151" s="13" t="e">
        <f t="shared" ca="1" si="197"/>
        <v>#N/A</v>
      </c>
      <c r="BO151" s="13" t="e">
        <f t="shared" ca="1" si="197"/>
        <v>#N/A</v>
      </c>
      <c r="BP151" s="13" t="e">
        <f t="shared" ca="1" si="197"/>
        <v>#N/A</v>
      </c>
      <c r="BQ151" s="13" t="e">
        <f t="shared" ref="BQ151:BV151" ca="1" si="198">BQ88/$D151*100000</f>
        <v>#N/A</v>
      </c>
      <c r="BR151" s="13" t="e">
        <f t="shared" ca="1" si="198"/>
        <v>#N/A</v>
      </c>
      <c r="BS151" s="13" t="e">
        <f t="shared" ca="1" si="198"/>
        <v>#N/A</v>
      </c>
      <c r="BT151" s="13" t="e">
        <f t="shared" ca="1" si="198"/>
        <v>#N/A</v>
      </c>
      <c r="BU151" s="13" t="e">
        <f t="shared" ca="1" si="198"/>
        <v>#N/A</v>
      </c>
      <c r="BV151" s="13" t="e">
        <f t="shared" ca="1" si="198"/>
        <v>#N/A</v>
      </c>
      <c r="BW151" s="13" t="e">
        <f t="shared" ref="BW151:CR151" ca="1" si="199">BW88/$D151*100000</f>
        <v>#N/A</v>
      </c>
      <c r="BX151" s="13" t="e">
        <f t="shared" ca="1" si="199"/>
        <v>#N/A</v>
      </c>
      <c r="BY151" s="13" t="e">
        <f t="shared" ca="1" si="199"/>
        <v>#N/A</v>
      </c>
      <c r="BZ151" s="13" t="e">
        <f t="shared" ca="1" si="199"/>
        <v>#N/A</v>
      </c>
      <c r="CA151" s="13" t="e">
        <f t="shared" ca="1" si="199"/>
        <v>#N/A</v>
      </c>
      <c r="CB151" s="13" t="e">
        <f t="shared" ca="1" si="199"/>
        <v>#N/A</v>
      </c>
      <c r="CC151" s="13" t="e">
        <f t="shared" ca="1" si="199"/>
        <v>#N/A</v>
      </c>
      <c r="CD151" s="13" t="e">
        <f t="shared" ca="1" si="199"/>
        <v>#N/A</v>
      </c>
      <c r="CE151" s="13" t="e">
        <f t="shared" ca="1" si="199"/>
        <v>#N/A</v>
      </c>
      <c r="CF151" s="13" t="e">
        <f t="shared" ca="1" si="199"/>
        <v>#N/A</v>
      </c>
      <c r="CG151" s="13" t="e">
        <f t="shared" ca="1" si="199"/>
        <v>#N/A</v>
      </c>
      <c r="CH151" s="13" t="e">
        <f t="shared" ca="1" si="199"/>
        <v>#N/A</v>
      </c>
      <c r="CI151" s="13" t="e">
        <f t="shared" ca="1" si="199"/>
        <v>#N/A</v>
      </c>
      <c r="CJ151" s="13" t="e">
        <f t="shared" ca="1" si="199"/>
        <v>#N/A</v>
      </c>
      <c r="CK151" s="13" t="e">
        <f t="shared" ca="1" si="199"/>
        <v>#N/A</v>
      </c>
      <c r="CL151" s="13" t="e">
        <f t="shared" ca="1" si="199"/>
        <v>#N/A</v>
      </c>
      <c r="CM151" s="13" t="e">
        <f t="shared" ca="1" si="199"/>
        <v>#N/A</v>
      </c>
      <c r="CN151" s="13" t="e">
        <f t="shared" ca="1" si="199"/>
        <v>#N/A</v>
      </c>
      <c r="CO151" s="13" t="e">
        <f t="shared" ca="1" si="199"/>
        <v>#N/A</v>
      </c>
      <c r="CP151" s="13" t="e">
        <f t="shared" ca="1" si="199"/>
        <v>#N/A</v>
      </c>
      <c r="CQ151" s="13" t="e">
        <f t="shared" ca="1" si="199"/>
        <v>#N/A</v>
      </c>
      <c r="CR151" s="13" t="e">
        <f t="shared" ca="1" si="199"/>
        <v>#N/A</v>
      </c>
    </row>
    <row r="152" spans="2:96" x14ac:dyDescent="0.25">
      <c r="B152">
        <f t="shared" si="65"/>
        <v>47</v>
      </c>
      <c r="C152">
        <f t="shared" ca="1" si="181"/>
        <v>0</v>
      </c>
      <c r="D152" s="1" t="e">
        <f t="shared" ca="1" si="181"/>
        <v>#N/A</v>
      </c>
      <c r="E152" s="13" t="e">
        <f t="shared" ref="E152:BP152" ca="1" si="200">E89/$D152*100000</f>
        <v>#N/A</v>
      </c>
      <c r="F152" s="13" t="e">
        <f t="shared" ca="1" si="200"/>
        <v>#N/A</v>
      </c>
      <c r="G152" s="13" t="e">
        <f t="shared" ca="1" si="200"/>
        <v>#N/A</v>
      </c>
      <c r="H152" s="13" t="e">
        <f t="shared" ca="1" si="200"/>
        <v>#N/A</v>
      </c>
      <c r="I152" s="13" t="e">
        <f t="shared" ca="1" si="200"/>
        <v>#N/A</v>
      </c>
      <c r="J152" s="13" t="e">
        <f t="shared" ca="1" si="200"/>
        <v>#N/A</v>
      </c>
      <c r="K152" s="13" t="e">
        <f t="shared" ca="1" si="200"/>
        <v>#N/A</v>
      </c>
      <c r="L152" s="13" t="e">
        <f t="shared" ca="1" si="200"/>
        <v>#N/A</v>
      </c>
      <c r="M152" s="13" t="e">
        <f t="shared" ca="1" si="200"/>
        <v>#N/A</v>
      </c>
      <c r="N152" s="13" t="e">
        <f t="shared" ca="1" si="200"/>
        <v>#N/A</v>
      </c>
      <c r="O152" s="13" t="e">
        <f t="shared" ca="1" si="200"/>
        <v>#N/A</v>
      </c>
      <c r="P152" s="13" t="e">
        <f t="shared" ca="1" si="200"/>
        <v>#N/A</v>
      </c>
      <c r="Q152" s="13" t="e">
        <f t="shared" ca="1" si="200"/>
        <v>#N/A</v>
      </c>
      <c r="R152" s="13" t="e">
        <f t="shared" ca="1" si="200"/>
        <v>#N/A</v>
      </c>
      <c r="S152" s="13" t="e">
        <f t="shared" ca="1" si="200"/>
        <v>#N/A</v>
      </c>
      <c r="T152" s="13" t="e">
        <f t="shared" ca="1" si="200"/>
        <v>#N/A</v>
      </c>
      <c r="U152" s="13" t="e">
        <f t="shared" ca="1" si="200"/>
        <v>#N/A</v>
      </c>
      <c r="V152" s="13" t="e">
        <f t="shared" ca="1" si="200"/>
        <v>#N/A</v>
      </c>
      <c r="W152" s="13" t="e">
        <f t="shared" ca="1" si="200"/>
        <v>#N/A</v>
      </c>
      <c r="X152" s="13" t="e">
        <f t="shared" ca="1" si="200"/>
        <v>#N/A</v>
      </c>
      <c r="Y152" s="13" t="e">
        <f t="shared" ca="1" si="200"/>
        <v>#N/A</v>
      </c>
      <c r="Z152" s="13" t="e">
        <f t="shared" ca="1" si="200"/>
        <v>#N/A</v>
      </c>
      <c r="AA152" s="13" t="e">
        <f t="shared" ca="1" si="200"/>
        <v>#N/A</v>
      </c>
      <c r="AB152" s="13" t="e">
        <f t="shared" ca="1" si="200"/>
        <v>#N/A</v>
      </c>
      <c r="AC152" s="13" t="e">
        <f t="shared" ca="1" si="200"/>
        <v>#N/A</v>
      </c>
      <c r="AD152" s="13" t="e">
        <f t="shared" ca="1" si="200"/>
        <v>#N/A</v>
      </c>
      <c r="AE152" s="13" t="e">
        <f t="shared" ca="1" si="200"/>
        <v>#N/A</v>
      </c>
      <c r="AF152" s="13" t="e">
        <f t="shared" ca="1" si="200"/>
        <v>#N/A</v>
      </c>
      <c r="AG152" s="13" t="e">
        <f t="shared" ca="1" si="200"/>
        <v>#N/A</v>
      </c>
      <c r="AH152" s="13" t="e">
        <f t="shared" ca="1" si="200"/>
        <v>#N/A</v>
      </c>
      <c r="AI152" s="13" t="e">
        <f t="shared" ca="1" si="200"/>
        <v>#N/A</v>
      </c>
      <c r="AJ152" s="13" t="e">
        <f t="shared" ca="1" si="200"/>
        <v>#N/A</v>
      </c>
      <c r="AK152" s="13" t="e">
        <f t="shared" ca="1" si="200"/>
        <v>#N/A</v>
      </c>
      <c r="AL152" s="13" t="e">
        <f t="shared" ca="1" si="200"/>
        <v>#N/A</v>
      </c>
      <c r="AM152" s="13" t="e">
        <f t="shared" ca="1" si="200"/>
        <v>#N/A</v>
      </c>
      <c r="AN152" s="13" t="e">
        <f t="shared" ca="1" si="200"/>
        <v>#N/A</v>
      </c>
      <c r="AO152" s="13" t="e">
        <f t="shared" ca="1" si="200"/>
        <v>#N/A</v>
      </c>
      <c r="AP152" s="13" t="e">
        <f t="shared" ca="1" si="200"/>
        <v>#N/A</v>
      </c>
      <c r="AQ152" s="13" t="e">
        <f t="shared" ca="1" si="200"/>
        <v>#N/A</v>
      </c>
      <c r="AR152" s="13" t="e">
        <f t="shared" ca="1" si="200"/>
        <v>#N/A</v>
      </c>
      <c r="AS152" s="13" t="e">
        <f t="shared" ca="1" si="200"/>
        <v>#N/A</v>
      </c>
      <c r="AT152" s="13" t="e">
        <f t="shared" ca="1" si="200"/>
        <v>#N/A</v>
      </c>
      <c r="AU152" s="13" t="e">
        <f t="shared" ca="1" si="200"/>
        <v>#N/A</v>
      </c>
      <c r="AV152" s="13" t="e">
        <f t="shared" ca="1" si="200"/>
        <v>#N/A</v>
      </c>
      <c r="AW152" s="13" t="e">
        <f t="shared" ca="1" si="200"/>
        <v>#N/A</v>
      </c>
      <c r="AX152" s="13" t="e">
        <f t="shared" ca="1" si="200"/>
        <v>#N/A</v>
      </c>
      <c r="AY152" s="13" t="e">
        <f t="shared" ca="1" si="200"/>
        <v>#N/A</v>
      </c>
      <c r="AZ152" s="13" t="e">
        <f t="shared" ca="1" si="200"/>
        <v>#N/A</v>
      </c>
      <c r="BA152" s="13" t="e">
        <f t="shared" ca="1" si="200"/>
        <v>#N/A</v>
      </c>
      <c r="BB152" s="13" t="e">
        <f t="shared" ca="1" si="200"/>
        <v>#N/A</v>
      </c>
      <c r="BC152" s="13" t="e">
        <f t="shared" ca="1" si="200"/>
        <v>#N/A</v>
      </c>
      <c r="BD152" s="13" t="e">
        <f t="shared" ca="1" si="200"/>
        <v>#N/A</v>
      </c>
      <c r="BE152" s="13" t="e">
        <f t="shared" ca="1" si="200"/>
        <v>#N/A</v>
      </c>
      <c r="BF152" s="13" t="e">
        <f t="shared" ca="1" si="200"/>
        <v>#N/A</v>
      </c>
      <c r="BG152" s="13" t="e">
        <f t="shared" ca="1" si="200"/>
        <v>#N/A</v>
      </c>
      <c r="BH152" s="13" t="e">
        <f t="shared" ca="1" si="200"/>
        <v>#N/A</v>
      </c>
      <c r="BI152" s="13" t="e">
        <f t="shared" ca="1" si="200"/>
        <v>#N/A</v>
      </c>
      <c r="BJ152" s="13" t="e">
        <f t="shared" ca="1" si="200"/>
        <v>#N/A</v>
      </c>
      <c r="BK152" s="13" t="e">
        <f t="shared" ca="1" si="200"/>
        <v>#N/A</v>
      </c>
      <c r="BL152" s="13" t="e">
        <f t="shared" ca="1" si="200"/>
        <v>#N/A</v>
      </c>
      <c r="BM152" s="13" t="e">
        <f t="shared" ca="1" si="200"/>
        <v>#N/A</v>
      </c>
      <c r="BN152" s="13" t="e">
        <f t="shared" ca="1" si="200"/>
        <v>#N/A</v>
      </c>
      <c r="BO152" s="13" t="e">
        <f t="shared" ca="1" si="200"/>
        <v>#N/A</v>
      </c>
      <c r="BP152" s="13" t="e">
        <f t="shared" ca="1" si="200"/>
        <v>#N/A</v>
      </c>
      <c r="BQ152" s="13" t="e">
        <f t="shared" ref="BQ152:BV152" ca="1" si="201">BQ89/$D152*100000</f>
        <v>#N/A</v>
      </c>
      <c r="BR152" s="13" t="e">
        <f t="shared" ca="1" si="201"/>
        <v>#N/A</v>
      </c>
      <c r="BS152" s="13" t="e">
        <f t="shared" ca="1" si="201"/>
        <v>#N/A</v>
      </c>
      <c r="BT152" s="13" t="e">
        <f t="shared" ca="1" si="201"/>
        <v>#N/A</v>
      </c>
      <c r="BU152" s="13" t="e">
        <f t="shared" ca="1" si="201"/>
        <v>#N/A</v>
      </c>
      <c r="BV152" s="13" t="e">
        <f t="shared" ca="1" si="201"/>
        <v>#N/A</v>
      </c>
      <c r="BW152" s="13" t="e">
        <f t="shared" ref="BW152:CR152" ca="1" si="202">BW89/$D152*100000</f>
        <v>#N/A</v>
      </c>
      <c r="BX152" s="13" t="e">
        <f t="shared" ca="1" si="202"/>
        <v>#N/A</v>
      </c>
      <c r="BY152" s="13" t="e">
        <f t="shared" ca="1" si="202"/>
        <v>#N/A</v>
      </c>
      <c r="BZ152" s="13" t="e">
        <f t="shared" ca="1" si="202"/>
        <v>#N/A</v>
      </c>
      <c r="CA152" s="13" t="e">
        <f t="shared" ca="1" si="202"/>
        <v>#N/A</v>
      </c>
      <c r="CB152" s="13" t="e">
        <f t="shared" ca="1" si="202"/>
        <v>#N/A</v>
      </c>
      <c r="CC152" s="13" t="e">
        <f t="shared" ca="1" si="202"/>
        <v>#N/A</v>
      </c>
      <c r="CD152" s="13" t="e">
        <f t="shared" ca="1" si="202"/>
        <v>#N/A</v>
      </c>
      <c r="CE152" s="13" t="e">
        <f t="shared" ca="1" si="202"/>
        <v>#N/A</v>
      </c>
      <c r="CF152" s="13" t="e">
        <f t="shared" ca="1" si="202"/>
        <v>#N/A</v>
      </c>
      <c r="CG152" s="13" t="e">
        <f t="shared" ca="1" si="202"/>
        <v>#N/A</v>
      </c>
      <c r="CH152" s="13" t="e">
        <f t="shared" ca="1" si="202"/>
        <v>#N/A</v>
      </c>
      <c r="CI152" s="13" t="e">
        <f t="shared" ca="1" si="202"/>
        <v>#N/A</v>
      </c>
      <c r="CJ152" s="13" t="e">
        <f t="shared" ca="1" si="202"/>
        <v>#N/A</v>
      </c>
      <c r="CK152" s="13" t="e">
        <f t="shared" ca="1" si="202"/>
        <v>#N/A</v>
      </c>
      <c r="CL152" s="13" t="e">
        <f t="shared" ca="1" si="202"/>
        <v>#N/A</v>
      </c>
      <c r="CM152" s="13" t="e">
        <f t="shared" ca="1" si="202"/>
        <v>#N/A</v>
      </c>
      <c r="CN152" s="13" t="e">
        <f t="shared" ca="1" si="202"/>
        <v>#N/A</v>
      </c>
      <c r="CO152" s="13" t="e">
        <f t="shared" ca="1" si="202"/>
        <v>#N/A</v>
      </c>
      <c r="CP152" s="13" t="e">
        <f t="shared" ca="1" si="202"/>
        <v>#N/A</v>
      </c>
      <c r="CQ152" s="13" t="e">
        <f t="shared" ca="1" si="202"/>
        <v>#N/A</v>
      </c>
      <c r="CR152" s="13" t="e">
        <f t="shared" ca="1" si="202"/>
        <v>#N/A</v>
      </c>
    </row>
    <row r="153" spans="2:96" x14ac:dyDescent="0.25">
      <c r="B153">
        <f t="shared" si="65"/>
        <v>48</v>
      </c>
      <c r="C153">
        <f t="shared" ca="1" si="181"/>
        <v>0</v>
      </c>
      <c r="D153" s="1" t="e">
        <f t="shared" ca="1" si="181"/>
        <v>#N/A</v>
      </c>
      <c r="E153" s="13" t="e">
        <f t="shared" ref="E153:BP153" ca="1" si="203">E90/$D153*100000</f>
        <v>#N/A</v>
      </c>
      <c r="F153" s="13" t="e">
        <f t="shared" ca="1" si="203"/>
        <v>#N/A</v>
      </c>
      <c r="G153" s="13" t="e">
        <f t="shared" ca="1" si="203"/>
        <v>#N/A</v>
      </c>
      <c r="H153" s="13" t="e">
        <f t="shared" ca="1" si="203"/>
        <v>#N/A</v>
      </c>
      <c r="I153" s="13" t="e">
        <f t="shared" ca="1" si="203"/>
        <v>#N/A</v>
      </c>
      <c r="J153" s="13" t="e">
        <f t="shared" ca="1" si="203"/>
        <v>#N/A</v>
      </c>
      <c r="K153" s="13" t="e">
        <f t="shared" ca="1" si="203"/>
        <v>#N/A</v>
      </c>
      <c r="L153" s="13" t="e">
        <f t="shared" ca="1" si="203"/>
        <v>#N/A</v>
      </c>
      <c r="M153" s="13" t="e">
        <f t="shared" ca="1" si="203"/>
        <v>#N/A</v>
      </c>
      <c r="N153" s="13" t="e">
        <f t="shared" ca="1" si="203"/>
        <v>#N/A</v>
      </c>
      <c r="O153" s="13" t="e">
        <f t="shared" ca="1" si="203"/>
        <v>#N/A</v>
      </c>
      <c r="P153" s="13" t="e">
        <f t="shared" ca="1" si="203"/>
        <v>#N/A</v>
      </c>
      <c r="Q153" s="13" t="e">
        <f t="shared" ca="1" si="203"/>
        <v>#N/A</v>
      </c>
      <c r="R153" s="13" t="e">
        <f t="shared" ca="1" si="203"/>
        <v>#N/A</v>
      </c>
      <c r="S153" s="13" t="e">
        <f t="shared" ca="1" si="203"/>
        <v>#N/A</v>
      </c>
      <c r="T153" s="13" t="e">
        <f t="shared" ca="1" si="203"/>
        <v>#N/A</v>
      </c>
      <c r="U153" s="13" t="e">
        <f t="shared" ca="1" si="203"/>
        <v>#N/A</v>
      </c>
      <c r="V153" s="13" t="e">
        <f t="shared" ca="1" si="203"/>
        <v>#N/A</v>
      </c>
      <c r="W153" s="13" t="e">
        <f t="shared" ca="1" si="203"/>
        <v>#N/A</v>
      </c>
      <c r="X153" s="13" t="e">
        <f t="shared" ca="1" si="203"/>
        <v>#N/A</v>
      </c>
      <c r="Y153" s="13" t="e">
        <f t="shared" ca="1" si="203"/>
        <v>#N/A</v>
      </c>
      <c r="Z153" s="13" t="e">
        <f t="shared" ca="1" si="203"/>
        <v>#N/A</v>
      </c>
      <c r="AA153" s="13" t="e">
        <f t="shared" ca="1" si="203"/>
        <v>#N/A</v>
      </c>
      <c r="AB153" s="13" t="e">
        <f t="shared" ca="1" si="203"/>
        <v>#N/A</v>
      </c>
      <c r="AC153" s="13" t="e">
        <f t="shared" ca="1" si="203"/>
        <v>#N/A</v>
      </c>
      <c r="AD153" s="13" t="e">
        <f t="shared" ca="1" si="203"/>
        <v>#N/A</v>
      </c>
      <c r="AE153" s="13" t="e">
        <f t="shared" ca="1" si="203"/>
        <v>#N/A</v>
      </c>
      <c r="AF153" s="13" t="e">
        <f t="shared" ca="1" si="203"/>
        <v>#N/A</v>
      </c>
      <c r="AG153" s="13" t="e">
        <f t="shared" ca="1" si="203"/>
        <v>#N/A</v>
      </c>
      <c r="AH153" s="13" t="e">
        <f t="shared" ca="1" si="203"/>
        <v>#N/A</v>
      </c>
      <c r="AI153" s="13" t="e">
        <f t="shared" ca="1" si="203"/>
        <v>#N/A</v>
      </c>
      <c r="AJ153" s="13" t="e">
        <f t="shared" ca="1" si="203"/>
        <v>#N/A</v>
      </c>
      <c r="AK153" s="13" t="e">
        <f t="shared" ca="1" si="203"/>
        <v>#N/A</v>
      </c>
      <c r="AL153" s="13" t="e">
        <f t="shared" ca="1" si="203"/>
        <v>#N/A</v>
      </c>
      <c r="AM153" s="13" t="e">
        <f t="shared" ca="1" si="203"/>
        <v>#N/A</v>
      </c>
      <c r="AN153" s="13" t="e">
        <f t="shared" ca="1" si="203"/>
        <v>#N/A</v>
      </c>
      <c r="AO153" s="13" t="e">
        <f t="shared" ca="1" si="203"/>
        <v>#N/A</v>
      </c>
      <c r="AP153" s="13" t="e">
        <f t="shared" ca="1" si="203"/>
        <v>#N/A</v>
      </c>
      <c r="AQ153" s="13" t="e">
        <f t="shared" ca="1" si="203"/>
        <v>#N/A</v>
      </c>
      <c r="AR153" s="13" t="e">
        <f t="shared" ca="1" si="203"/>
        <v>#N/A</v>
      </c>
      <c r="AS153" s="13" t="e">
        <f t="shared" ca="1" si="203"/>
        <v>#N/A</v>
      </c>
      <c r="AT153" s="13" t="e">
        <f t="shared" ca="1" si="203"/>
        <v>#N/A</v>
      </c>
      <c r="AU153" s="13" t="e">
        <f t="shared" ca="1" si="203"/>
        <v>#N/A</v>
      </c>
      <c r="AV153" s="13" t="e">
        <f t="shared" ca="1" si="203"/>
        <v>#N/A</v>
      </c>
      <c r="AW153" s="13" t="e">
        <f t="shared" ca="1" si="203"/>
        <v>#N/A</v>
      </c>
      <c r="AX153" s="13" t="e">
        <f t="shared" ca="1" si="203"/>
        <v>#N/A</v>
      </c>
      <c r="AY153" s="13" t="e">
        <f t="shared" ca="1" si="203"/>
        <v>#N/A</v>
      </c>
      <c r="AZ153" s="13" t="e">
        <f t="shared" ca="1" si="203"/>
        <v>#N/A</v>
      </c>
      <c r="BA153" s="13" t="e">
        <f t="shared" ca="1" si="203"/>
        <v>#N/A</v>
      </c>
      <c r="BB153" s="13" t="e">
        <f t="shared" ca="1" si="203"/>
        <v>#N/A</v>
      </c>
      <c r="BC153" s="13" t="e">
        <f t="shared" ca="1" si="203"/>
        <v>#N/A</v>
      </c>
      <c r="BD153" s="13" t="e">
        <f t="shared" ca="1" si="203"/>
        <v>#N/A</v>
      </c>
      <c r="BE153" s="13" t="e">
        <f t="shared" ca="1" si="203"/>
        <v>#N/A</v>
      </c>
      <c r="BF153" s="13" t="e">
        <f t="shared" ca="1" si="203"/>
        <v>#N/A</v>
      </c>
      <c r="BG153" s="13" t="e">
        <f t="shared" ca="1" si="203"/>
        <v>#N/A</v>
      </c>
      <c r="BH153" s="13" t="e">
        <f t="shared" ca="1" si="203"/>
        <v>#N/A</v>
      </c>
      <c r="BI153" s="13" t="e">
        <f t="shared" ca="1" si="203"/>
        <v>#N/A</v>
      </c>
      <c r="BJ153" s="13" t="e">
        <f t="shared" ca="1" si="203"/>
        <v>#N/A</v>
      </c>
      <c r="BK153" s="13" t="e">
        <f t="shared" ca="1" si="203"/>
        <v>#N/A</v>
      </c>
      <c r="BL153" s="13" t="e">
        <f t="shared" ca="1" si="203"/>
        <v>#N/A</v>
      </c>
      <c r="BM153" s="13" t="e">
        <f t="shared" ca="1" si="203"/>
        <v>#N/A</v>
      </c>
      <c r="BN153" s="13" t="e">
        <f t="shared" ca="1" si="203"/>
        <v>#N/A</v>
      </c>
      <c r="BO153" s="13" t="e">
        <f t="shared" ca="1" si="203"/>
        <v>#N/A</v>
      </c>
      <c r="BP153" s="13" t="e">
        <f t="shared" ca="1" si="203"/>
        <v>#N/A</v>
      </c>
      <c r="BQ153" s="13" t="e">
        <f t="shared" ref="BQ153:BV153" ca="1" si="204">BQ90/$D153*100000</f>
        <v>#N/A</v>
      </c>
      <c r="BR153" s="13" t="e">
        <f t="shared" ca="1" si="204"/>
        <v>#N/A</v>
      </c>
      <c r="BS153" s="13" t="e">
        <f t="shared" ca="1" si="204"/>
        <v>#N/A</v>
      </c>
      <c r="BT153" s="13" t="e">
        <f t="shared" ca="1" si="204"/>
        <v>#N/A</v>
      </c>
      <c r="BU153" s="13" t="e">
        <f t="shared" ca="1" si="204"/>
        <v>#N/A</v>
      </c>
      <c r="BV153" s="13" t="e">
        <f t="shared" ca="1" si="204"/>
        <v>#N/A</v>
      </c>
      <c r="BW153" s="13" t="e">
        <f t="shared" ref="BW153:CR153" ca="1" si="205">BW90/$D153*100000</f>
        <v>#N/A</v>
      </c>
      <c r="BX153" s="13" t="e">
        <f t="shared" ca="1" si="205"/>
        <v>#N/A</v>
      </c>
      <c r="BY153" s="13" t="e">
        <f t="shared" ca="1" si="205"/>
        <v>#N/A</v>
      </c>
      <c r="BZ153" s="13" t="e">
        <f t="shared" ca="1" si="205"/>
        <v>#N/A</v>
      </c>
      <c r="CA153" s="13" t="e">
        <f t="shared" ca="1" si="205"/>
        <v>#N/A</v>
      </c>
      <c r="CB153" s="13" t="e">
        <f t="shared" ca="1" si="205"/>
        <v>#N/A</v>
      </c>
      <c r="CC153" s="13" t="e">
        <f t="shared" ca="1" si="205"/>
        <v>#N/A</v>
      </c>
      <c r="CD153" s="13" t="e">
        <f t="shared" ca="1" si="205"/>
        <v>#N/A</v>
      </c>
      <c r="CE153" s="13" t="e">
        <f t="shared" ca="1" si="205"/>
        <v>#N/A</v>
      </c>
      <c r="CF153" s="13" t="e">
        <f t="shared" ca="1" si="205"/>
        <v>#N/A</v>
      </c>
      <c r="CG153" s="13" t="e">
        <f t="shared" ca="1" si="205"/>
        <v>#N/A</v>
      </c>
      <c r="CH153" s="13" t="e">
        <f t="shared" ca="1" si="205"/>
        <v>#N/A</v>
      </c>
      <c r="CI153" s="13" t="e">
        <f t="shared" ca="1" si="205"/>
        <v>#N/A</v>
      </c>
      <c r="CJ153" s="13" t="e">
        <f t="shared" ca="1" si="205"/>
        <v>#N/A</v>
      </c>
      <c r="CK153" s="13" t="e">
        <f t="shared" ca="1" si="205"/>
        <v>#N/A</v>
      </c>
      <c r="CL153" s="13" t="e">
        <f t="shared" ca="1" si="205"/>
        <v>#N/A</v>
      </c>
      <c r="CM153" s="13" t="e">
        <f t="shared" ca="1" si="205"/>
        <v>#N/A</v>
      </c>
      <c r="CN153" s="13" t="e">
        <f t="shared" ca="1" si="205"/>
        <v>#N/A</v>
      </c>
      <c r="CO153" s="13" t="e">
        <f t="shared" ca="1" si="205"/>
        <v>#N/A</v>
      </c>
      <c r="CP153" s="13" t="e">
        <f t="shared" ca="1" si="205"/>
        <v>#N/A</v>
      </c>
      <c r="CQ153" s="13" t="e">
        <f t="shared" ca="1" si="205"/>
        <v>#N/A</v>
      </c>
      <c r="CR153" s="13" t="e">
        <f t="shared" ca="1" si="205"/>
        <v>#N/A</v>
      </c>
    </row>
    <row r="154" spans="2:96" x14ac:dyDescent="0.25">
      <c r="B154">
        <f t="shared" si="65"/>
        <v>49</v>
      </c>
      <c r="C154">
        <f t="shared" ca="1" si="181"/>
        <v>0</v>
      </c>
      <c r="D154" s="1" t="e">
        <f t="shared" ca="1" si="181"/>
        <v>#N/A</v>
      </c>
      <c r="E154" s="13" t="e">
        <f t="shared" ref="E154:BP154" ca="1" si="206">E91/$D154*100000</f>
        <v>#N/A</v>
      </c>
      <c r="F154" s="13" t="e">
        <f t="shared" ca="1" si="206"/>
        <v>#N/A</v>
      </c>
      <c r="G154" s="13" t="e">
        <f t="shared" ca="1" si="206"/>
        <v>#N/A</v>
      </c>
      <c r="H154" s="13" t="e">
        <f t="shared" ca="1" si="206"/>
        <v>#N/A</v>
      </c>
      <c r="I154" s="13" t="e">
        <f t="shared" ca="1" si="206"/>
        <v>#N/A</v>
      </c>
      <c r="J154" s="13" t="e">
        <f t="shared" ca="1" si="206"/>
        <v>#N/A</v>
      </c>
      <c r="K154" s="13" t="e">
        <f t="shared" ca="1" si="206"/>
        <v>#N/A</v>
      </c>
      <c r="L154" s="13" t="e">
        <f t="shared" ca="1" si="206"/>
        <v>#N/A</v>
      </c>
      <c r="M154" s="13" t="e">
        <f t="shared" ca="1" si="206"/>
        <v>#N/A</v>
      </c>
      <c r="N154" s="13" t="e">
        <f t="shared" ca="1" si="206"/>
        <v>#N/A</v>
      </c>
      <c r="O154" s="13" t="e">
        <f t="shared" ca="1" si="206"/>
        <v>#N/A</v>
      </c>
      <c r="P154" s="13" t="e">
        <f t="shared" ca="1" si="206"/>
        <v>#N/A</v>
      </c>
      <c r="Q154" s="13" t="e">
        <f t="shared" ca="1" si="206"/>
        <v>#N/A</v>
      </c>
      <c r="R154" s="13" t="e">
        <f t="shared" ca="1" si="206"/>
        <v>#N/A</v>
      </c>
      <c r="S154" s="13" t="e">
        <f t="shared" ca="1" si="206"/>
        <v>#N/A</v>
      </c>
      <c r="T154" s="13" t="e">
        <f t="shared" ca="1" si="206"/>
        <v>#N/A</v>
      </c>
      <c r="U154" s="13" t="e">
        <f t="shared" ca="1" si="206"/>
        <v>#N/A</v>
      </c>
      <c r="V154" s="13" t="e">
        <f t="shared" ca="1" si="206"/>
        <v>#N/A</v>
      </c>
      <c r="W154" s="13" t="e">
        <f t="shared" ca="1" si="206"/>
        <v>#N/A</v>
      </c>
      <c r="X154" s="13" t="e">
        <f t="shared" ca="1" si="206"/>
        <v>#N/A</v>
      </c>
      <c r="Y154" s="13" t="e">
        <f t="shared" ca="1" si="206"/>
        <v>#N/A</v>
      </c>
      <c r="Z154" s="13" t="e">
        <f t="shared" ca="1" si="206"/>
        <v>#N/A</v>
      </c>
      <c r="AA154" s="13" t="e">
        <f t="shared" ca="1" si="206"/>
        <v>#N/A</v>
      </c>
      <c r="AB154" s="13" t="e">
        <f t="shared" ca="1" si="206"/>
        <v>#N/A</v>
      </c>
      <c r="AC154" s="13" t="e">
        <f t="shared" ca="1" si="206"/>
        <v>#N/A</v>
      </c>
      <c r="AD154" s="13" t="e">
        <f t="shared" ca="1" si="206"/>
        <v>#N/A</v>
      </c>
      <c r="AE154" s="13" t="e">
        <f t="shared" ca="1" si="206"/>
        <v>#N/A</v>
      </c>
      <c r="AF154" s="13" t="e">
        <f t="shared" ca="1" si="206"/>
        <v>#N/A</v>
      </c>
      <c r="AG154" s="13" t="e">
        <f t="shared" ca="1" si="206"/>
        <v>#N/A</v>
      </c>
      <c r="AH154" s="13" t="e">
        <f t="shared" ca="1" si="206"/>
        <v>#N/A</v>
      </c>
      <c r="AI154" s="13" t="e">
        <f t="shared" ca="1" si="206"/>
        <v>#N/A</v>
      </c>
      <c r="AJ154" s="13" t="e">
        <f t="shared" ca="1" si="206"/>
        <v>#N/A</v>
      </c>
      <c r="AK154" s="13" t="e">
        <f t="shared" ca="1" si="206"/>
        <v>#N/A</v>
      </c>
      <c r="AL154" s="13" t="e">
        <f t="shared" ca="1" si="206"/>
        <v>#N/A</v>
      </c>
      <c r="AM154" s="13" t="e">
        <f t="shared" ca="1" si="206"/>
        <v>#N/A</v>
      </c>
      <c r="AN154" s="13" t="e">
        <f t="shared" ca="1" si="206"/>
        <v>#N/A</v>
      </c>
      <c r="AO154" s="13" t="e">
        <f t="shared" ca="1" si="206"/>
        <v>#N/A</v>
      </c>
      <c r="AP154" s="13" t="e">
        <f t="shared" ca="1" si="206"/>
        <v>#N/A</v>
      </c>
      <c r="AQ154" s="13" t="e">
        <f t="shared" ca="1" si="206"/>
        <v>#N/A</v>
      </c>
      <c r="AR154" s="13" t="e">
        <f t="shared" ca="1" si="206"/>
        <v>#N/A</v>
      </c>
      <c r="AS154" s="13" t="e">
        <f t="shared" ca="1" si="206"/>
        <v>#N/A</v>
      </c>
      <c r="AT154" s="13" t="e">
        <f t="shared" ca="1" si="206"/>
        <v>#N/A</v>
      </c>
      <c r="AU154" s="13" t="e">
        <f t="shared" ca="1" si="206"/>
        <v>#N/A</v>
      </c>
      <c r="AV154" s="13" t="e">
        <f t="shared" ca="1" si="206"/>
        <v>#N/A</v>
      </c>
      <c r="AW154" s="13" t="e">
        <f t="shared" ca="1" si="206"/>
        <v>#N/A</v>
      </c>
      <c r="AX154" s="13" t="e">
        <f t="shared" ca="1" si="206"/>
        <v>#N/A</v>
      </c>
      <c r="AY154" s="13" t="e">
        <f t="shared" ca="1" si="206"/>
        <v>#N/A</v>
      </c>
      <c r="AZ154" s="13" t="e">
        <f t="shared" ca="1" si="206"/>
        <v>#N/A</v>
      </c>
      <c r="BA154" s="13" t="e">
        <f t="shared" ca="1" si="206"/>
        <v>#N/A</v>
      </c>
      <c r="BB154" s="13" t="e">
        <f t="shared" ca="1" si="206"/>
        <v>#N/A</v>
      </c>
      <c r="BC154" s="13" t="e">
        <f t="shared" ca="1" si="206"/>
        <v>#N/A</v>
      </c>
      <c r="BD154" s="13" t="e">
        <f t="shared" ca="1" si="206"/>
        <v>#N/A</v>
      </c>
      <c r="BE154" s="13" t="e">
        <f t="shared" ca="1" si="206"/>
        <v>#N/A</v>
      </c>
      <c r="BF154" s="13" t="e">
        <f t="shared" ca="1" si="206"/>
        <v>#N/A</v>
      </c>
      <c r="BG154" s="13" t="e">
        <f t="shared" ca="1" si="206"/>
        <v>#N/A</v>
      </c>
      <c r="BH154" s="13" t="e">
        <f t="shared" ca="1" si="206"/>
        <v>#N/A</v>
      </c>
      <c r="BI154" s="13" t="e">
        <f t="shared" ca="1" si="206"/>
        <v>#N/A</v>
      </c>
      <c r="BJ154" s="13" t="e">
        <f t="shared" ca="1" si="206"/>
        <v>#N/A</v>
      </c>
      <c r="BK154" s="13" t="e">
        <f t="shared" ca="1" si="206"/>
        <v>#N/A</v>
      </c>
      <c r="BL154" s="13" t="e">
        <f t="shared" ca="1" si="206"/>
        <v>#N/A</v>
      </c>
      <c r="BM154" s="13" t="e">
        <f t="shared" ca="1" si="206"/>
        <v>#N/A</v>
      </c>
      <c r="BN154" s="13" t="e">
        <f t="shared" ca="1" si="206"/>
        <v>#N/A</v>
      </c>
      <c r="BO154" s="13" t="e">
        <f t="shared" ca="1" si="206"/>
        <v>#N/A</v>
      </c>
      <c r="BP154" s="13" t="e">
        <f t="shared" ca="1" si="206"/>
        <v>#N/A</v>
      </c>
      <c r="BQ154" s="13" t="e">
        <f t="shared" ref="BQ154:BV154" ca="1" si="207">BQ91/$D154*100000</f>
        <v>#N/A</v>
      </c>
      <c r="BR154" s="13" t="e">
        <f t="shared" ca="1" si="207"/>
        <v>#N/A</v>
      </c>
      <c r="BS154" s="13" t="e">
        <f t="shared" ca="1" si="207"/>
        <v>#N/A</v>
      </c>
      <c r="BT154" s="13" t="e">
        <f t="shared" ca="1" si="207"/>
        <v>#N/A</v>
      </c>
      <c r="BU154" s="13" t="e">
        <f t="shared" ca="1" si="207"/>
        <v>#N/A</v>
      </c>
      <c r="BV154" s="13" t="e">
        <f t="shared" ca="1" si="207"/>
        <v>#N/A</v>
      </c>
      <c r="BW154" s="13" t="e">
        <f t="shared" ref="BW154:CR154" ca="1" si="208">BW91/$D154*100000</f>
        <v>#N/A</v>
      </c>
      <c r="BX154" s="13" t="e">
        <f t="shared" ca="1" si="208"/>
        <v>#N/A</v>
      </c>
      <c r="BY154" s="13" t="e">
        <f t="shared" ca="1" si="208"/>
        <v>#N/A</v>
      </c>
      <c r="BZ154" s="13" t="e">
        <f t="shared" ca="1" si="208"/>
        <v>#N/A</v>
      </c>
      <c r="CA154" s="13" t="e">
        <f t="shared" ca="1" si="208"/>
        <v>#N/A</v>
      </c>
      <c r="CB154" s="13" t="e">
        <f t="shared" ca="1" si="208"/>
        <v>#N/A</v>
      </c>
      <c r="CC154" s="13" t="e">
        <f t="shared" ca="1" si="208"/>
        <v>#N/A</v>
      </c>
      <c r="CD154" s="13" t="e">
        <f t="shared" ca="1" si="208"/>
        <v>#N/A</v>
      </c>
      <c r="CE154" s="13" t="e">
        <f t="shared" ca="1" si="208"/>
        <v>#N/A</v>
      </c>
      <c r="CF154" s="13" t="e">
        <f t="shared" ca="1" si="208"/>
        <v>#N/A</v>
      </c>
      <c r="CG154" s="13" t="e">
        <f t="shared" ca="1" si="208"/>
        <v>#N/A</v>
      </c>
      <c r="CH154" s="13" t="e">
        <f t="shared" ca="1" si="208"/>
        <v>#N/A</v>
      </c>
      <c r="CI154" s="13" t="e">
        <f t="shared" ca="1" si="208"/>
        <v>#N/A</v>
      </c>
      <c r="CJ154" s="13" t="e">
        <f t="shared" ca="1" si="208"/>
        <v>#N/A</v>
      </c>
      <c r="CK154" s="13" t="e">
        <f t="shared" ca="1" si="208"/>
        <v>#N/A</v>
      </c>
      <c r="CL154" s="13" t="e">
        <f t="shared" ca="1" si="208"/>
        <v>#N/A</v>
      </c>
      <c r="CM154" s="13" t="e">
        <f t="shared" ca="1" si="208"/>
        <v>#N/A</v>
      </c>
      <c r="CN154" s="13" t="e">
        <f t="shared" ca="1" si="208"/>
        <v>#N/A</v>
      </c>
      <c r="CO154" s="13" t="e">
        <f t="shared" ca="1" si="208"/>
        <v>#N/A</v>
      </c>
      <c r="CP154" s="13" t="e">
        <f t="shared" ca="1" si="208"/>
        <v>#N/A</v>
      </c>
      <c r="CQ154" s="13" t="e">
        <f t="shared" ca="1" si="208"/>
        <v>#N/A</v>
      </c>
      <c r="CR154" s="13" t="e">
        <f t="shared" ca="1" si="208"/>
        <v>#N/A</v>
      </c>
    </row>
    <row r="155" spans="2:96" x14ac:dyDescent="0.25">
      <c r="B155">
        <f t="shared" si="65"/>
        <v>50</v>
      </c>
      <c r="C155">
        <f t="shared" ca="1" si="181"/>
        <v>0</v>
      </c>
      <c r="D155" s="1" t="e">
        <f t="shared" ca="1" si="181"/>
        <v>#N/A</v>
      </c>
      <c r="E155" s="13" t="e">
        <f t="shared" ref="E155:BP155" ca="1" si="209">E92/$D155*100000</f>
        <v>#N/A</v>
      </c>
      <c r="F155" s="13" t="e">
        <f t="shared" ca="1" si="209"/>
        <v>#N/A</v>
      </c>
      <c r="G155" s="13" t="e">
        <f t="shared" ca="1" si="209"/>
        <v>#N/A</v>
      </c>
      <c r="H155" s="13" t="e">
        <f t="shared" ca="1" si="209"/>
        <v>#N/A</v>
      </c>
      <c r="I155" s="13" t="e">
        <f t="shared" ca="1" si="209"/>
        <v>#N/A</v>
      </c>
      <c r="J155" s="13" t="e">
        <f t="shared" ca="1" si="209"/>
        <v>#N/A</v>
      </c>
      <c r="K155" s="13" t="e">
        <f t="shared" ca="1" si="209"/>
        <v>#N/A</v>
      </c>
      <c r="L155" s="13" t="e">
        <f t="shared" ca="1" si="209"/>
        <v>#N/A</v>
      </c>
      <c r="M155" s="13" t="e">
        <f t="shared" ca="1" si="209"/>
        <v>#N/A</v>
      </c>
      <c r="N155" s="13" t="e">
        <f t="shared" ca="1" si="209"/>
        <v>#N/A</v>
      </c>
      <c r="O155" s="13" t="e">
        <f t="shared" ca="1" si="209"/>
        <v>#N/A</v>
      </c>
      <c r="P155" s="13" t="e">
        <f t="shared" ca="1" si="209"/>
        <v>#N/A</v>
      </c>
      <c r="Q155" s="13" t="e">
        <f t="shared" ca="1" si="209"/>
        <v>#N/A</v>
      </c>
      <c r="R155" s="13" t="e">
        <f t="shared" ca="1" si="209"/>
        <v>#N/A</v>
      </c>
      <c r="S155" s="13" t="e">
        <f t="shared" ca="1" si="209"/>
        <v>#N/A</v>
      </c>
      <c r="T155" s="13" t="e">
        <f t="shared" ca="1" si="209"/>
        <v>#N/A</v>
      </c>
      <c r="U155" s="13" t="e">
        <f t="shared" ca="1" si="209"/>
        <v>#N/A</v>
      </c>
      <c r="V155" s="13" t="e">
        <f t="shared" ca="1" si="209"/>
        <v>#N/A</v>
      </c>
      <c r="W155" s="13" t="e">
        <f t="shared" ca="1" si="209"/>
        <v>#N/A</v>
      </c>
      <c r="X155" s="13" t="e">
        <f t="shared" ca="1" si="209"/>
        <v>#N/A</v>
      </c>
      <c r="Y155" s="13" t="e">
        <f t="shared" ca="1" si="209"/>
        <v>#N/A</v>
      </c>
      <c r="Z155" s="13" t="e">
        <f t="shared" ca="1" si="209"/>
        <v>#N/A</v>
      </c>
      <c r="AA155" s="13" t="e">
        <f t="shared" ca="1" si="209"/>
        <v>#N/A</v>
      </c>
      <c r="AB155" s="13" t="e">
        <f t="shared" ca="1" si="209"/>
        <v>#N/A</v>
      </c>
      <c r="AC155" s="13" t="e">
        <f t="shared" ca="1" si="209"/>
        <v>#N/A</v>
      </c>
      <c r="AD155" s="13" t="e">
        <f t="shared" ca="1" si="209"/>
        <v>#N/A</v>
      </c>
      <c r="AE155" s="13" t="e">
        <f t="shared" ca="1" si="209"/>
        <v>#N/A</v>
      </c>
      <c r="AF155" s="13" t="e">
        <f t="shared" ca="1" si="209"/>
        <v>#N/A</v>
      </c>
      <c r="AG155" s="13" t="e">
        <f t="shared" ca="1" si="209"/>
        <v>#N/A</v>
      </c>
      <c r="AH155" s="13" t="e">
        <f t="shared" ca="1" si="209"/>
        <v>#N/A</v>
      </c>
      <c r="AI155" s="13" t="e">
        <f t="shared" ca="1" si="209"/>
        <v>#N/A</v>
      </c>
      <c r="AJ155" s="13" t="e">
        <f t="shared" ca="1" si="209"/>
        <v>#N/A</v>
      </c>
      <c r="AK155" s="13" t="e">
        <f t="shared" ca="1" si="209"/>
        <v>#N/A</v>
      </c>
      <c r="AL155" s="13" t="e">
        <f t="shared" ca="1" si="209"/>
        <v>#N/A</v>
      </c>
      <c r="AM155" s="13" t="e">
        <f t="shared" ca="1" si="209"/>
        <v>#N/A</v>
      </c>
      <c r="AN155" s="13" t="e">
        <f t="shared" ca="1" si="209"/>
        <v>#N/A</v>
      </c>
      <c r="AO155" s="13" t="e">
        <f t="shared" ca="1" si="209"/>
        <v>#N/A</v>
      </c>
      <c r="AP155" s="13" t="e">
        <f t="shared" ca="1" si="209"/>
        <v>#N/A</v>
      </c>
      <c r="AQ155" s="13" t="e">
        <f t="shared" ca="1" si="209"/>
        <v>#N/A</v>
      </c>
      <c r="AR155" s="13" t="e">
        <f t="shared" ca="1" si="209"/>
        <v>#N/A</v>
      </c>
      <c r="AS155" s="13" t="e">
        <f t="shared" ca="1" si="209"/>
        <v>#N/A</v>
      </c>
      <c r="AT155" s="13" t="e">
        <f t="shared" ca="1" si="209"/>
        <v>#N/A</v>
      </c>
      <c r="AU155" s="13" t="e">
        <f t="shared" ca="1" si="209"/>
        <v>#N/A</v>
      </c>
      <c r="AV155" s="13" t="e">
        <f t="shared" ca="1" si="209"/>
        <v>#N/A</v>
      </c>
      <c r="AW155" s="13" t="e">
        <f t="shared" ca="1" si="209"/>
        <v>#N/A</v>
      </c>
      <c r="AX155" s="13" t="e">
        <f t="shared" ca="1" si="209"/>
        <v>#N/A</v>
      </c>
      <c r="AY155" s="13" t="e">
        <f t="shared" ca="1" si="209"/>
        <v>#N/A</v>
      </c>
      <c r="AZ155" s="13" t="e">
        <f t="shared" ca="1" si="209"/>
        <v>#N/A</v>
      </c>
      <c r="BA155" s="13" t="e">
        <f t="shared" ca="1" si="209"/>
        <v>#N/A</v>
      </c>
      <c r="BB155" s="13" t="e">
        <f t="shared" ca="1" si="209"/>
        <v>#N/A</v>
      </c>
      <c r="BC155" s="13" t="e">
        <f t="shared" ca="1" si="209"/>
        <v>#N/A</v>
      </c>
      <c r="BD155" s="13" t="e">
        <f t="shared" ca="1" si="209"/>
        <v>#N/A</v>
      </c>
      <c r="BE155" s="13" t="e">
        <f t="shared" ca="1" si="209"/>
        <v>#N/A</v>
      </c>
      <c r="BF155" s="13" t="e">
        <f t="shared" ca="1" si="209"/>
        <v>#N/A</v>
      </c>
      <c r="BG155" s="13" t="e">
        <f t="shared" ca="1" si="209"/>
        <v>#N/A</v>
      </c>
      <c r="BH155" s="13" t="e">
        <f t="shared" ca="1" si="209"/>
        <v>#N/A</v>
      </c>
      <c r="BI155" s="13" t="e">
        <f t="shared" ca="1" si="209"/>
        <v>#N/A</v>
      </c>
      <c r="BJ155" s="13" t="e">
        <f t="shared" ca="1" si="209"/>
        <v>#N/A</v>
      </c>
      <c r="BK155" s="13" t="e">
        <f t="shared" ca="1" si="209"/>
        <v>#N/A</v>
      </c>
      <c r="BL155" s="13" t="e">
        <f t="shared" ca="1" si="209"/>
        <v>#N/A</v>
      </c>
      <c r="BM155" s="13" t="e">
        <f t="shared" ca="1" si="209"/>
        <v>#N/A</v>
      </c>
      <c r="BN155" s="13" t="e">
        <f t="shared" ca="1" si="209"/>
        <v>#N/A</v>
      </c>
      <c r="BO155" s="13" t="e">
        <f t="shared" ca="1" si="209"/>
        <v>#N/A</v>
      </c>
      <c r="BP155" s="13" t="e">
        <f t="shared" ca="1" si="209"/>
        <v>#N/A</v>
      </c>
      <c r="BQ155" s="13" t="e">
        <f t="shared" ref="BQ155:BV155" ca="1" si="210">BQ92/$D155*100000</f>
        <v>#N/A</v>
      </c>
      <c r="BR155" s="13" t="e">
        <f t="shared" ca="1" si="210"/>
        <v>#N/A</v>
      </c>
      <c r="BS155" s="13" t="e">
        <f t="shared" ca="1" si="210"/>
        <v>#N/A</v>
      </c>
      <c r="BT155" s="13" t="e">
        <f t="shared" ca="1" si="210"/>
        <v>#N/A</v>
      </c>
      <c r="BU155" s="13" t="e">
        <f t="shared" ca="1" si="210"/>
        <v>#N/A</v>
      </c>
      <c r="BV155" s="13" t="e">
        <f t="shared" ca="1" si="210"/>
        <v>#N/A</v>
      </c>
      <c r="BW155" s="13" t="e">
        <f t="shared" ref="BW155:CR155" ca="1" si="211">BW92/$D155*100000</f>
        <v>#N/A</v>
      </c>
      <c r="BX155" s="13" t="e">
        <f t="shared" ca="1" si="211"/>
        <v>#N/A</v>
      </c>
      <c r="BY155" s="13" t="e">
        <f t="shared" ca="1" si="211"/>
        <v>#N/A</v>
      </c>
      <c r="BZ155" s="13" t="e">
        <f t="shared" ca="1" si="211"/>
        <v>#N/A</v>
      </c>
      <c r="CA155" s="13" t="e">
        <f t="shared" ca="1" si="211"/>
        <v>#N/A</v>
      </c>
      <c r="CB155" s="13" t="e">
        <f t="shared" ca="1" si="211"/>
        <v>#N/A</v>
      </c>
      <c r="CC155" s="13" t="e">
        <f t="shared" ca="1" si="211"/>
        <v>#N/A</v>
      </c>
      <c r="CD155" s="13" t="e">
        <f t="shared" ca="1" si="211"/>
        <v>#N/A</v>
      </c>
      <c r="CE155" s="13" t="e">
        <f t="shared" ca="1" si="211"/>
        <v>#N/A</v>
      </c>
      <c r="CF155" s="13" t="e">
        <f t="shared" ca="1" si="211"/>
        <v>#N/A</v>
      </c>
      <c r="CG155" s="13" t="e">
        <f t="shared" ca="1" si="211"/>
        <v>#N/A</v>
      </c>
      <c r="CH155" s="13" t="e">
        <f t="shared" ca="1" si="211"/>
        <v>#N/A</v>
      </c>
      <c r="CI155" s="13" t="e">
        <f t="shared" ca="1" si="211"/>
        <v>#N/A</v>
      </c>
      <c r="CJ155" s="13" t="e">
        <f t="shared" ca="1" si="211"/>
        <v>#N/A</v>
      </c>
      <c r="CK155" s="13" t="e">
        <f t="shared" ca="1" si="211"/>
        <v>#N/A</v>
      </c>
      <c r="CL155" s="13" t="e">
        <f t="shared" ca="1" si="211"/>
        <v>#N/A</v>
      </c>
      <c r="CM155" s="13" t="e">
        <f t="shared" ca="1" si="211"/>
        <v>#N/A</v>
      </c>
      <c r="CN155" s="13" t="e">
        <f t="shared" ca="1" si="211"/>
        <v>#N/A</v>
      </c>
      <c r="CO155" s="13" t="e">
        <f t="shared" ca="1" si="211"/>
        <v>#N/A</v>
      </c>
      <c r="CP155" s="13" t="e">
        <f t="shared" ca="1" si="211"/>
        <v>#N/A</v>
      </c>
      <c r="CQ155" s="13" t="e">
        <f t="shared" ca="1" si="211"/>
        <v>#N/A</v>
      </c>
      <c r="CR155" s="13" t="e">
        <f t="shared" ca="1" si="211"/>
        <v>#N/A</v>
      </c>
    </row>
    <row r="156" spans="2:96" x14ac:dyDescent="0.25">
      <c r="B156">
        <f t="shared" si="65"/>
        <v>51</v>
      </c>
      <c r="C156">
        <f t="shared" ca="1" si="181"/>
        <v>0</v>
      </c>
      <c r="D156" s="1" t="e">
        <f t="shared" ca="1" si="181"/>
        <v>#N/A</v>
      </c>
      <c r="E156" s="13" t="e">
        <f t="shared" ref="E156:BP156" ca="1" si="212">E93/$D156*100000</f>
        <v>#N/A</v>
      </c>
      <c r="F156" s="13" t="e">
        <f t="shared" ca="1" si="212"/>
        <v>#N/A</v>
      </c>
      <c r="G156" s="13" t="e">
        <f t="shared" ca="1" si="212"/>
        <v>#N/A</v>
      </c>
      <c r="H156" s="13" t="e">
        <f t="shared" ca="1" si="212"/>
        <v>#N/A</v>
      </c>
      <c r="I156" s="13" t="e">
        <f t="shared" ca="1" si="212"/>
        <v>#N/A</v>
      </c>
      <c r="J156" s="13" t="e">
        <f t="shared" ca="1" si="212"/>
        <v>#N/A</v>
      </c>
      <c r="K156" s="13" t="e">
        <f t="shared" ca="1" si="212"/>
        <v>#N/A</v>
      </c>
      <c r="L156" s="13" t="e">
        <f t="shared" ca="1" si="212"/>
        <v>#N/A</v>
      </c>
      <c r="M156" s="13" t="e">
        <f t="shared" ca="1" si="212"/>
        <v>#N/A</v>
      </c>
      <c r="N156" s="13" t="e">
        <f t="shared" ca="1" si="212"/>
        <v>#N/A</v>
      </c>
      <c r="O156" s="13" t="e">
        <f t="shared" ca="1" si="212"/>
        <v>#N/A</v>
      </c>
      <c r="P156" s="13" t="e">
        <f t="shared" ca="1" si="212"/>
        <v>#N/A</v>
      </c>
      <c r="Q156" s="13" t="e">
        <f t="shared" ca="1" si="212"/>
        <v>#N/A</v>
      </c>
      <c r="R156" s="13" t="e">
        <f t="shared" ca="1" si="212"/>
        <v>#N/A</v>
      </c>
      <c r="S156" s="13" t="e">
        <f t="shared" ca="1" si="212"/>
        <v>#N/A</v>
      </c>
      <c r="T156" s="13" t="e">
        <f t="shared" ca="1" si="212"/>
        <v>#N/A</v>
      </c>
      <c r="U156" s="13" t="e">
        <f t="shared" ca="1" si="212"/>
        <v>#N/A</v>
      </c>
      <c r="V156" s="13" t="e">
        <f t="shared" ca="1" si="212"/>
        <v>#N/A</v>
      </c>
      <c r="W156" s="13" t="e">
        <f t="shared" ca="1" si="212"/>
        <v>#N/A</v>
      </c>
      <c r="X156" s="13" t="e">
        <f t="shared" ca="1" si="212"/>
        <v>#N/A</v>
      </c>
      <c r="Y156" s="13" t="e">
        <f t="shared" ca="1" si="212"/>
        <v>#N/A</v>
      </c>
      <c r="Z156" s="13" t="e">
        <f t="shared" ca="1" si="212"/>
        <v>#N/A</v>
      </c>
      <c r="AA156" s="13" t="e">
        <f t="shared" ca="1" si="212"/>
        <v>#N/A</v>
      </c>
      <c r="AB156" s="13" t="e">
        <f t="shared" ca="1" si="212"/>
        <v>#N/A</v>
      </c>
      <c r="AC156" s="13" t="e">
        <f t="shared" ca="1" si="212"/>
        <v>#N/A</v>
      </c>
      <c r="AD156" s="13" t="e">
        <f t="shared" ca="1" si="212"/>
        <v>#N/A</v>
      </c>
      <c r="AE156" s="13" t="e">
        <f t="shared" ca="1" si="212"/>
        <v>#N/A</v>
      </c>
      <c r="AF156" s="13" t="e">
        <f t="shared" ca="1" si="212"/>
        <v>#N/A</v>
      </c>
      <c r="AG156" s="13" t="e">
        <f t="shared" ca="1" si="212"/>
        <v>#N/A</v>
      </c>
      <c r="AH156" s="13" t="e">
        <f t="shared" ca="1" si="212"/>
        <v>#N/A</v>
      </c>
      <c r="AI156" s="13" t="e">
        <f t="shared" ca="1" si="212"/>
        <v>#N/A</v>
      </c>
      <c r="AJ156" s="13" t="e">
        <f t="shared" ca="1" si="212"/>
        <v>#N/A</v>
      </c>
      <c r="AK156" s="13" t="e">
        <f t="shared" ca="1" si="212"/>
        <v>#N/A</v>
      </c>
      <c r="AL156" s="13" t="e">
        <f t="shared" ca="1" si="212"/>
        <v>#N/A</v>
      </c>
      <c r="AM156" s="13" t="e">
        <f t="shared" ca="1" si="212"/>
        <v>#N/A</v>
      </c>
      <c r="AN156" s="13" t="e">
        <f t="shared" ca="1" si="212"/>
        <v>#N/A</v>
      </c>
      <c r="AO156" s="13" t="e">
        <f t="shared" ca="1" si="212"/>
        <v>#N/A</v>
      </c>
      <c r="AP156" s="13" t="e">
        <f t="shared" ca="1" si="212"/>
        <v>#N/A</v>
      </c>
      <c r="AQ156" s="13" t="e">
        <f t="shared" ca="1" si="212"/>
        <v>#N/A</v>
      </c>
      <c r="AR156" s="13" t="e">
        <f t="shared" ca="1" si="212"/>
        <v>#N/A</v>
      </c>
      <c r="AS156" s="13" t="e">
        <f t="shared" ca="1" si="212"/>
        <v>#N/A</v>
      </c>
      <c r="AT156" s="13" t="e">
        <f t="shared" ca="1" si="212"/>
        <v>#N/A</v>
      </c>
      <c r="AU156" s="13" t="e">
        <f t="shared" ca="1" si="212"/>
        <v>#N/A</v>
      </c>
      <c r="AV156" s="13" t="e">
        <f t="shared" ca="1" si="212"/>
        <v>#N/A</v>
      </c>
      <c r="AW156" s="13" t="e">
        <f t="shared" ca="1" si="212"/>
        <v>#N/A</v>
      </c>
      <c r="AX156" s="13" t="e">
        <f t="shared" ca="1" si="212"/>
        <v>#N/A</v>
      </c>
      <c r="AY156" s="13" t="e">
        <f t="shared" ca="1" si="212"/>
        <v>#N/A</v>
      </c>
      <c r="AZ156" s="13" t="e">
        <f t="shared" ca="1" si="212"/>
        <v>#N/A</v>
      </c>
      <c r="BA156" s="13" t="e">
        <f t="shared" ca="1" si="212"/>
        <v>#N/A</v>
      </c>
      <c r="BB156" s="13" t="e">
        <f t="shared" ca="1" si="212"/>
        <v>#N/A</v>
      </c>
      <c r="BC156" s="13" t="e">
        <f t="shared" ca="1" si="212"/>
        <v>#N/A</v>
      </c>
      <c r="BD156" s="13" t="e">
        <f t="shared" ca="1" si="212"/>
        <v>#N/A</v>
      </c>
      <c r="BE156" s="13" t="e">
        <f t="shared" ca="1" si="212"/>
        <v>#N/A</v>
      </c>
      <c r="BF156" s="13" t="e">
        <f t="shared" ca="1" si="212"/>
        <v>#N/A</v>
      </c>
      <c r="BG156" s="13" t="e">
        <f t="shared" ca="1" si="212"/>
        <v>#N/A</v>
      </c>
      <c r="BH156" s="13" t="e">
        <f t="shared" ca="1" si="212"/>
        <v>#N/A</v>
      </c>
      <c r="BI156" s="13" t="e">
        <f t="shared" ca="1" si="212"/>
        <v>#N/A</v>
      </c>
      <c r="BJ156" s="13" t="e">
        <f t="shared" ca="1" si="212"/>
        <v>#N/A</v>
      </c>
      <c r="BK156" s="13" t="e">
        <f t="shared" ca="1" si="212"/>
        <v>#N/A</v>
      </c>
      <c r="BL156" s="13" t="e">
        <f t="shared" ca="1" si="212"/>
        <v>#N/A</v>
      </c>
      <c r="BM156" s="13" t="e">
        <f t="shared" ca="1" si="212"/>
        <v>#N/A</v>
      </c>
      <c r="BN156" s="13" t="e">
        <f t="shared" ca="1" si="212"/>
        <v>#N/A</v>
      </c>
      <c r="BO156" s="13" t="e">
        <f t="shared" ca="1" si="212"/>
        <v>#N/A</v>
      </c>
      <c r="BP156" s="13" t="e">
        <f t="shared" ca="1" si="212"/>
        <v>#N/A</v>
      </c>
      <c r="BQ156" s="13" t="e">
        <f t="shared" ref="BQ156:BV156" ca="1" si="213">BQ93/$D156*100000</f>
        <v>#N/A</v>
      </c>
      <c r="BR156" s="13" t="e">
        <f t="shared" ca="1" si="213"/>
        <v>#N/A</v>
      </c>
      <c r="BS156" s="13" t="e">
        <f t="shared" ca="1" si="213"/>
        <v>#N/A</v>
      </c>
      <c r="BT156" s="13" t="e">
        <f t="shared" ca="1" si="213"/>
        <v>#N/A</v>
      </c>
      <c r="BU156" s="13" t="e">
        <f t="shared" ca="1" si="213"/>
        <v>#N/A</v>
      </c>
      <c r="BV156" s="13" t="e">
        <f t="shared" ca="1" si="213"/>
        <v>#N/A</v>
      </c>
      <c r="BW156" s="13" t="e">
        <f t="shared" ref="BW156:CR156" ca="1" si="214">BW93/$D156*100000</f>
        <v>#N/A</v>
      </c>
      <c r="BX156" s="13" t="e">
        <f t="shared" ca="1" si="214"/>
        <v>#N/A</v>
      </c>
      <c r="BY156" s="13" t="e">
        <f t="shared" ca="1" si="214"/>
        <v>#N/A</v>
      </c>
      <c r="BZ156" s="13" t="e">
        <f t="shared" ca="1" si="214"/>
        <v>#N/A</v>
      </c>
      <c r="CA156" s="13" t="e">
        <f t="shared" ca="1" si="214"/>
        <v>#N/A</v>
      </c>
      <c r="CB156" s="13" t="e">
        <f t="shared" ca="1" si="214"/>
        <v>#N/A</v>
      </c>
      <c r="CC156" s="13" t="e">
        <f t="shared" ca="1" si="214"/>
        <v>#N/A</v>
      </c>
      <c r="CD156" s="13" t="e">
        <f t="shared" ca="1" si="214"/>
        <v>#N/A</v>
      </c>
      <c r="CE156" s="13" t="e">
        <f t="shared" ca="1" si="214"/>
        <v>#N/A</v>
      </c>
      <c r="CF156" s="13" t="e">
        <f t="shared" ca="1" si="214"/>
        <v>#N/A</v>
      </c>
      <c r="CG156" s="13" t="e">
        <f t="shared" ca="1" si="214"/>
        <v>#N/A</v>
      </c>
      <c r="CH156" s="13" t="e">
        <f t="shared" ca="1" si="214"/>
        <v>#N/A</v>
      </c>
      <c r="CI156" s="13" t="e">
        <f t="shared" ca="1" si="214"/>
        <v>#N/A</v>
      </c>
      <c r="CJ156" s="13" t="e">
        <f t="shared" ca="1" si="214"/>
        <v>#N/A</v>
      </c>
      <c r="CK156" s="13" t="e">
        <f t="shared" ca="1" si="214"/>
        <v>#N/A</v>
      </c>
      <c r="CL156" s="13" t="e">
        <f t="shared" ca="1" si="214"/>
        <v>#N/A</v>
      </c>
      <c r="CM156" s="13" t="e">
        <f t="shared" ca="1" si="214"/>
        <v>#N/A</v>
      </c>
      <c r="CN156" s="13" t="e">
        <f t="shared" ca="1" si="214"/>
        <v>#N/A</v>
      </c>
      <c r="CO156" s="13" t="e">
        <f t="shared" ca="1" si="214"/>
        <v>#N/A</v>
      </c>
      <c r="CP156" s="13" t="e">
        <f t="shared" ca="1" si="214"/>
        <v>#N/A</v>
      </c>
      <c r="CQ156" s="13" t="e">
        <f t="shared" ca="1" si="214"/>
        <v>#N/A</v>
      </c>
      <c r="CR156" s="13" t="e">
        <f t="shared" ca="1" si="214"/>
        <v>#N/A</v>
      </c>
    </row>
    <row r="157" spans="2:96" x14ac:dyDescent="0.25">
      <c r="B157">
        <f t="shared" si="65"/>
        <v>52</v>
      </c>
      <c r="C157">
        <f t="shared" ca="1" si="181"/>
        <v>0</v>
      </c>
      <c r="D157" s="1" t="e">
        <f t="shared" ca="1" si="181"/>
        <v>#N/A</v>
      </c>
      <c r="E157" s="13" t="e">
        <f t="shared" ref="E157:BP157" ca="1" si="215">E94/$D157*100000</f>
        <v>#N/A</v>
      </c>
      <c r="F157" s="13" t="e">
        <f t="shared" ca="1" si="215"/>
        <v>#N/A</v>
      </c>
      <c r="G157" s="13" t="e">
        <f t="shared" ca="1" si="215"/>
        <v>#N/A</v>
      </c>
      <c r="H157" s="13" t="e">
        <f t="shared" ca="1" si="215"/>
        <v>#N/A</v>
      </c>
      <c r="I157" s="13" t="e">
        <f t="shared" ca="1" si="215"/>
        <v>#N/A</v>
      </c>
      <c r="J157" s="13" t="e">
        <f t="shared" ca="1" si="215"/>
        <v>#N/A</v>
      </c>
      <c r="K157" s="13" t="e">
        <f t="shared" ca="1" si="215"/>
        <v>#N/A</v>
      </c>
      <c r="L157" s="13" t="e">
        <f t="shared" ca="1" si="215"/>
        <v>#N/A</v>
      </c>
      <c r="M157" s="13" t="e">
        <f t="shared" ca="1" si="215"/>
        <v>#N/A</v>
      </c>
      <c r="N157" s="13" t="e">
        <f t="shared" ca="1" si="215"/>
        <v>#N/A</v>
      </c>
      <c r="O157" s="13" t="e">
        <f t="shared" ca="1" si="215"/>
        <v>#N/A</v>
      </c>
      <c r="P157" s="13" t="e">
        <f t="shared" ca="1" si="215"/>
        <v>#N/A</v>
      </c>
      <c r="Q157" s="13" t="e">
        <f t="shared" ca="1" si="215"/>
        <v>#N/A</v>
      </c>
      <c r="R157" s="13" t="e">
        <f t="shared" ca="1" si="215"/>
        <v>#N/A</v>
      </c>
      <c r="S157" s="13" t="e">
        <f t="shared" ca="1" si="215"/>
        <v>#N/A</v>
      </c>
      <c r="T157" s="13" t="e">
        <f t="shared" ca="1" si="215"/>
        <v>#N/A</v>
      </c>
      <c r="U157" s="13" t="e">
        <f t="shared" ca="1" si="215"/>
        <v>#N/A</v>
      </c>
      <c r="V157" s="13" t="e">
        <f t="shared" ca="1" si="215"/>
        <v>#N/A</v>
      </c>
      <c r="W157" s="13" t="e">
        <f t="shared" ca="1" si="215"/>
        <v>#N/A</v>
      </c>
      <c r="X157" s="13" t="e">
        <f t="shared" ca="1" si="215"/>
        <v>#N/A</v>
      </c>
      <c r="Y157" s="13" t="e">
        <f t="shared" ca="1" si="215"/>
        <v>#N/A</v>
      </c>
      <c r="Z157" s="13" t="e">
        <f t="shared" ca="1" si="215"/>
        <v>#N/A</v>
      </c>
      <c r="AA157" s="13" t="e">
        <f t="shared" ca="1" si="215"/>
        <v>#N/A</v>
      </c>
      <c r="AB157" s="13" t="e">
        <f t="shared" ca="1" si="215"/>
        <v>#N/A</v>
      </c>
      <c r="AC157" s="13" t="e">
        <f t="shared" ca="1" si="215"/>
        <v>#N/A</v>
      </c>
      <c r="AD157" s="13" t="e">
        <f t="shared" ca="1" si="215"/>
        <v>#N/A</v>
      </c>
      <c r="AE157" s="13" t="e">
        <f t="shared" ca="1" si="215"/>
        <v>#N/A</v>
      </c>
      <c r="AF157" s="13" t="e">
        <f t="shared" ca="1" si="215"/>
        <v>#N/A</v>
      </c>
      <c r="AG157" s="13" t="e">
        <f t="shared" ca="1" si="215"/>
        <v>#N/A</v>
      </c>
      <c r="AH157" s="13" t="e">
        <f t="shared" ca="1" si="215"/>
        <v>#N/A</v>
      </c>
      <c r="AI157" s="13" t="e">
        <f t="shared" ca="1" si="215"/>
        <v>#N/A</v>
      </c>
      <c r="AJ157" s="13" t="e">
        <f t="shared" ca="1" si="215"/>
        <v>#N/A</v>
      </c>
      <c r="AK157" s="13" t="e">
        <f t="shared" ca="1" si="215"/>
        <v>#N/A</v>
      </c>
      <c r="AL157" s="13" t="e">
        <f t="shared" ca="1" si="215"/>
        <v>#N/A</v>
      </c>
      <c r="AM157" s="13" t="e">
        <f t="shared" ca="1" si="215"/>
        <v>#N/A</v>
      </c>
      <c r="AN157" s="13" t="e">
        <f t="shared" ca="1" si="215"/>
        <v>#N/A</v>
      </c>
      <c r="AO157" s="13" t="e">
        <f t="shared" ca="1" si="215"/>
        <v>#N/A</v>
      </c>
      <c r="AP157" s="13" t="e">
        <f t="shared" ca="1" si="215"/>
        <v>#N/A</v>
      </c>
      <c r="AQ157" s="13" t="e">
        <f t="shared" ca="1" si="215"/>
        <v>#N/A</v>
      </c>
      <c r="AR157" s="13" t="e">
        <f t="shared" ca="1" si="215"/>
        <v>#N/A</v>
      </c>
      <c r="AS157" s="13" t="e">
        <f t="shared" ca="1" si="215"/>
        <v>#N/A</v>
      </c>
      <c r="AT157" s="13" t="e">
        <f t="shared" ca="1" si="215"/>
        <v>#N/A</v>
      </c>
      <c r="AU157" s="13" t="e">
        <f t="shared" ca="1" si="215"/>
        <v>#N/A</v>
      </c>
      <c r="AV157" s="13" t="e">
        <f t="shared" ca="1" si="215"/>
        <v>#N/A</v>
      </c>
      <c r="AW157" s="13" t="e">
        <f t="shared" ca="1" si="215"/>
        <v>#N/A</v>
      </c>
      <c r="AX157" s="13" t="e">
        <f t="shared" ca="1" si="215"/>
        <v>#N/A</v>
      </c>
      <c r="AY157" s="13" t="e">
        <f t="shared" ca="1" si="215"/>
        <v>#N/A</v>
      </c>
      <c r="AZ157" s="13" t="e">
        <f t="shared" ca="1" si="215"/>
        <v>#N/A</v>
      </c>
      <c r="BA157" s="13" t="e">
        <f t="shared" ca="1" si="215"/>
        <v>#N/A</v>
      </c>
      <c r="BB157" s="13" t="e">
        <f t="shared" ca="1" si="215"/>
        <v>#N/A</v>
      </c>
      <c r="BC157" s="13" t="e">
        <f t="shared" ca="1" si="215"/>
        <v>#N/A</v>
      </c>
      <c r="BD157" s="13" t="e">
        <f t="shared" ca="1" si="215"/>
        <v>#N/A</v>
      </c>
      <c r="BE157" s="13" t="e">
        <f t="shared" ca="1" si="215"/>
        <v>#N/A</v>
      </c>
      <c r="BF157" s="13" t="e">
        <f t="shared" ca="1" si="215"/>
        <v>#N/A</v>
      </c>
      <c r="BG157" s="13" t="e">
        <f t="shared" ca="1" si="215"/>
        <v>#N/A</v>
      </c>
      <c r="BH157" s="13" t="e">
        <f t="shared" ca="1" si="215"/>
        <v>#N/A</v>
      </c>
      <c r="BI157" s="13" t="e">
        <f t="shared" ca="1" si="215"/>
        <v>#N/A</v>
      </c>
      <c r="BJ157" s="13" t="e">
        <f t="shared" ca="1" si="215"/>
        <v>#N/A</v>
      </c>
      <c r="BK157" s="13" t="e">
        <f t="shared" ca="1" si="215"/>
        <v>#N/A</v>
      </c>
      <c r="BL157" s="13" t="e">
        <f t="shared" ca="1" si="215"/>
        <v>#N/A</v>
      </c>
      <c r="BM157" s="13" t="e">
        <f t="shared" ca="1" si="215"/>
        <v>#N/A</v>
      </c>
      <c r="BN157" s="13" t="e">
        <f t="shared" ca="1" si="215"/>
        <v>#N/A</v>
      </c>
      <c r="BO157" s="13" t="e">
        <f t="shared" ca="1" si="215"/>
        <v>#N/A</v>
      </c>
      <c r="BP157" s="13" t="e">
        <f t="shared" ca="1" si="215"/>
        <v>#N/A</v>
      </c>
      <c r="BQ157" s="13" t="e">
        <f t="shared" ref="BQ157:BV157" ca="1" si="216">BQ94/$D157*100000</f>
        <v>#N/A</v>
      </c>
      <c r="BR157" s="13" t="e">
        <f t="shared" ca="1" si="216"/>
        <v>#N/A</v>
      </c>
      <c r="BS157" s="13" t="e">
        <f t="shared" ca="1" si="216"/>
        <v>#N/A</v>
      </c>
      <c r="BT157" s="13" t="e">
        <f t="shared" ca="1" si="216"/>
        <v>#N/A</v>
      </c>
      <c r="BU157" s="13" t="e">
        <f t="shared" ca="1" si="216"/>
        <v>#N/A</v>
      </c>
      <c r="BV157" s="13" t="e">
        <f t="shared" ca="1" si="216"/>
        <v>#N/A</v>
      </c>
      <c r="BW157" s="13" t="e">
        <f t="shared" ref="BW157:CR157" ca="1" si="217">BW94/$D157*100000</f>
        <v>#N/A</v>
      </c>
      <c r="BX157" s="13" t="e">
        <f t="shared" ca="1" si="217"/>
        <v>#N/A</v>
      </c>
      <c r="BY157" s="13" t="e">
        <f t="shared" ca="1" si="217"/>
        <v>#N/A</v>
      </c>
      <c r="BZ157" s="13" t="e">
        <f t="shared" ca="1" si="217"/>
        <v>#N/A</v>
      </c>
      <c r="CA157" s="13" t="e">
        <f t="shared" ca="1" si="217"/>
        <v>#N/A</v>
      </c>
      <c r="CB157" s="13" t="e">
        <f t="shared" ca="1" si="217"/>
        <v>#N/A</v>
      </c>
      <c r="CC157" s="13" t="e">
        <f t="shared" ca="1" si="217"/>
        <v>#N/A</v>
      </c>
      <c r="CD157" s="13" t="e">
        <f t="shared" ca="1" si="217"/>
        <v>#N/A</v>
      </c>
      <c r="CE157" s="13" t="e">
        <f t="shared" ca="1" si="217"/>
        <v>#N/A</v>
      </c>
      <c r="CF157" s="13" t="e">
        <f t="shared" ca="1" si="217"/>
        <v>#N/A</v>
      </c>
      <c r="CG157" s="13" t="e">
        <f t="shared" ca="1" si="217"/>
        <v>#N/A</v>
      </c>
      <c r="CH157" s="13" t="e">
        <f t="shared" ca="1" si="217"/>
        <v>#N/A</v>
      </c>
      <c r="CI157" s="13" t="e">
        <f t="shared" ca="1" si="217"/>
        <v>#N/A</v>
      </c>
      <c r="CJ157" s="13" t="e">
        <f t="shared" ca="1" si="217"/>
        <v>#N/A</v>
      </c>
      <c r="CK157" s="13" t="e">
        <f t="shared" ca="1" si="217"/>
        <v>#N/A</v>
      </c>
      <c r="CL157" s="13" t="e">
        <f t="shared" ca="1" si="217"/>
        <v>#N/A</v>
      </c>
      <c r="CM157" s="13" t="e">
        <f t="shared" ca="1" si="217"/>
        <v>#N/A</v>
      </c>
      <c r="CN157" s="13" t="e">
        <f t="shared" ca="1" si="217"/>
        <v>#N/A</v>
      </c>
      <c r="CO157" s="13" t="e">
        <f t="shared" ca="1" si="217"/>
        <v>#N/A</v>
      </c>
      <c r="CP157" s="13" t="e">
        <f t="shared" ca="1" si="217"/>
        <v>#N/A</v>
      </c>
      <c r="CQ157" s="13" t="e">
        <f t="shared" ca="1" si="217"/>
        <v>#N/A</v>
      </c>
      <c r="CR157" s="13" t="e">
        <f t="shared" ca="1" si="217"/>
        <v>#N/A</v>
      </c>
    </row>
    <row r="158" spans="2:96" x14ac:dyDescent="0.25">
      <c r="B158">
        <f t="shared" si="65"/>
        <v>53</v>
      </c>
      <c r="C158">
        <f t="shared" ca="1" si="181"/>
        <v>0</v>
      </c>
      <c r="D158" s="1" t="e">
        <f t="shared" ca="1" si="181"/>
        <v>#N/A</v>
      </c>
      <c r="E158" s="13" t="e">
        <f t="shared" ref="E158:BP158" ca="1" si="218">E95/$D158*100000</f>
        <v>#N/A</v>
      </c>
      <c r="F158" s="13" t="e">
        <f t="shared" ca="1" si="218"/>
        <v>#N/A</v>
      </c>
      <c r="G158" s="13" t="e">
        <f t="shared" ca="1" si="218"/>
        <v>#N/A</v>
      </c>
      <c r="H158" s="13" t="e">
        <f t="shared" ca="1" si="218"/>
        <v>#N/A</v>
      </c>
      <c r="I158" s="13" t="e">
        <f t="shared" ca="1" si="218"/>
        <v>#N/A</v>
      </c>
      <c r="J158" s="13" t="e">
        <f t="shared" ca="1" si="218"/>
        <v>#N/A</v>
      </c>
      <c r="K158" s="13" t="e">
        <f t="shared" ca="1" si="218"/>
        <v>#N/A</v>
      </c>
      <c r="L158" s="13" t="e">
        <f t="shared" ca="1" si="218"/>
        <v>#N/A</v>
      </c>
      <c r="M158" s="13" t="e">
        <f t="shared" ca="1" si="218"/>
        <v>#N/A</v>
      </c>
      <c r="N158" s="13" t="e">
        <f t="shared" ca="1" si="218"/>
        <v>#N/A</v>
      </c>
      <c r="O158" s="13" t="e">
        <f t="shared" ca="1" si="218"/>
        <v>#N/A</v>
      </c>
      <c r="P158" s="13" t="e">
        <f t="shared" ca="1" si="218"/>
        <v>#N/A</v>
      </c>
      <c r="Q158" s="13" t="e">
        <f t="shared" ca="1" si="218"/>
        <v>#N/A</v>
      </c>
      <c r="R158" s="13" t="e">
        <f t="shared" ca="1" si="218"/>
        <v>#N/A</v>
      </c>
      <c r="S158" s="13" t="e">
        <f t="shared" ca="1" si="218"/>
        <v>#N/A</v>
      </c>
      <c r="T158" s="13" t="e">
        <f t="shared" ca="1" si="218"/>
        <v>#N/A</v>
      </c>
      <c r="U158" s="13" t="e">
        <f t="shared" ca="1" si="218"/>
        <v>#N/A</v>
      </c>
      <c r="V158" s="13" t="e">
        <f t="shared" ca="1" si="218"/>
        <v>#N/A</v>
      </c>
      <c r="W158" s="13" t="e">
        <f t="shared" ca="1" si="218"/>
        <v>#N/A</v>
      </c>
      <c r="X158" s="13" t="e">
        <f t="shared" ca="1" si="218"/>
        <v>#N/A</v>
      </c>
      <c r="Y158" s="13" t="e">
        <f t="shared" ca="1" si="218"/>
        <v>#N/A</v>
      </c>
      <c r="Z158" s="13" t="e">
        <f t="shared" ca="1" si="218"/>
        <v>#N/A</v>
      </c>
      <c r="AA158" s="13" t="e">
        <f t="shared" ca="1" si="218"/>
        <v>#N/A</v>
      </c>
      <c r="AB158" s="13" t="e">
        <f t="shared" ca="1" si="218"/>
        <v>#N/A</v>
      </c>
      <c r="AC158" s="13" t="e">
        <f t="shared" ca="1" si="218"/>
        <v>#N/A</v>
      </c>
      <c r="AD158" s="13" t="e">
        <f t="shared" ca="1" si="218"/>
        <v>#N/A</v>
      </c>
      <c r="AE158" s="13" t="e">
        <f t="shared" ca="1" si="218"/>
        <v>#N/A</v>
      </c>
      <c r="AF158" s="13" t="e">
        <f t="shared" ca="1" si="218"/>
        <v>#N/A</v>
      </c>
      <c r="AG158" s="13" t="e">
        <f t="shared" ca="1" si="218"/>
        <v>#N/A</v>
      </c>
      <c r="AH158" s="13" t="e">
        <f t="shared" ca="1" si="218"/>
        <v>#N/A</v>
      </c>
      <c r="AI158" s="13" t="e">
        <f t="shared" ca="1" si="218"/>
        <v>#N/A</v>
      </c>
      <c r="AJ158" s="13" t="e">
        <f t="shared" ca="1" si="218"/>
        <v>#N/A</v>
      </c>
      <c r="AK158" s="13" t="e">
        <f t="shared" ca="1" si="218"/>
        <v>#N/A</v>
      </c>
      <c r="AL158" s="13" t="e">
        <f t="shared" ca="1" si="218"/>
        <v>#N/A</v>
      </c>
      <c r="AM158" s="13" t="e">
        <f t="shared" ca="1" si="218"/>
        <v>#N/A</v>
      </c>
      <c r="AN158" s="13" t="e">
        <f t="shared" ca="1" si="218"/>
        <v>#N/A</v>
      </c>
      <c r="AO158" s="13" t="e">
        <f t="shared" ca="1" si="218"/>
        <v>#N/A</v>
      </c>
      <c r="AP158" s="13" t="e">
        <f t="shared" ca="1" si="218"/>
        <v>#N/A</v>
      </c>
      <c r="AQ158" s="13" t="e">
        <f t="shared" ca="1" si="218"/>
        <v>#N/A</v>
      </c>
      <c r="AR158" s="13" t="e">
        <f t="shared" ca="1" si="218"/>
        <v>#N/A</v>
      </c>
      <c r="AS158" s="13" t="e">
        <f t="shared" ca="1" si="218"/>
        <v>#N/A</v>
      </c>
      <c r="AT158" s="13" t="e">
        <f t="shared" ca="1" si="218"/>
        <v>#N/A</v>
      </c>
      <c r="AU158" s="13" t="e">
        <f t="shared" ca="1" si="218"/>
        <v>#N/A</v>
      </c>
      <c r="AV158" s="13" t="e">
        <f t="shared" ca="1" si="218"/>
        <v>#N/A</v>
      </c>
      <c r="AW158" s="13" t="e">
        <f t="shared" ca="1" si="218"/>
        <v>#N/A</v>
      </c>
      <c r="AX158" s="13" t="e">
        <f t="shared" ca="1" si="218"/>
        <v>#N/A</v>
      </c>
      <c r="AY158" s="13" t="e">
        <f t="shared" ca="1" si="218"/>
        <v>#N/A</v>
      </c>
      <c r="AZ158" s="13" t="e">
        <f t="shared" ca="1" si="218"/>
        <v>#N/A</v>
      </c>
      <c r="BA158" s="13" t="e">
        <f t="shared" ca="1" si="218"/>
        <v>#N/A</v>
      </c>
      <c r="BB158" s="13" t="e">
        <f t="shared" ca="1" si="218"/>
        <v>#N/A</v>
      </c>
      <c r="BC158" s="13" t="e">
        <f t="shared" ca="1" si="218"/>
        <v>#N/A</v>
      </c>
      <c r="BD158" s="13" t="e">
        <f t="shared" ca="1" si="218"/>
        <v>#N/A</v>
      </c>
      <c r="BE158" s="13" t="e">
        <f t="shared" ca="1" si="218"/>
        <v>#N/A</v>
      </c>
      <c r="BF158" s="13" t="e">
        <f t="shared" ca="1" si="218"/>
        <v>#N/A</v>
      </c>
      <c r="BG158" s="13" t="e">
        <f t="shared" ca="1" si="218"/>
        <v>#N/A</v>
      </c>
      <c r="BH158" s="13" t="e">
        <f t="shared" ca="1" si="218"/>
        <v>#N/A</v>
      </c>
      <c r="BI158" s="13" t="e">
        <f t="shared" ca="1" si="218"/>
        <v>#N/A</v>
      </c>
      <c r="BJ158" s="13" t="e">
        <f t="shared" ca="1" si="218"/>
        <v>#N/A</v>
      </c>
      <c r="BK158" s="13" t="e">
        <f t="shared" ca="1" si="218"/>
        <v>#N/A</v>
      </c>
      <c r="BL158" s="13" t="e">
        <f t="shared" ca="1" si="218"/>
        <v>#N/A</v>
      </c>
      <c r="BM158" s="13" t="e">
        <f t="shared" ca="1" si="218"/>
        <v>#N/A</v>
      </c>
      <c r="BN158" s="13" t="e">
        <f t="shared" ca="1" si="218"/>
        <v>#N/A</v>
      </c>
      <c r="BO158" s="13" t="e">
        <f t="shared" ca="1" si="218"/>
        <v>#N/A</v>
      </c>
      <c r="BP158" s="13" t="e">
        <f t="shared" ca="1" si="218"/>
        <v>#N/A</v>
      </c>
      <c r="BQ158" s="13" t="e">
        <f t="shared" ref="BQ158:BV158" ca="1" si="219">BQ95/$D158*100000</f>
        <v>#N/A</v>
      </c>
      <c r="BR158" s="13" t="e">
        <f t="shared" ca="1" si="219"/>
        <v>#N/A</v>
      </c>
      <c r="BS158" s="13" t="e">
        <f t="shared" ca="1" si="219"/>
        <v>#N/A</v>
      </c>
      <c r="BT158" s="13" t="e">
        <f t="shared" ca="1" si="219"/>
        <v>#N/A</v>
      </c>
      <c r="BU158" s="13" t="e">
        <f t="shared" ca="1" si="219"/>
        <v>#N/A</v>
      </c>
      <c r="BV158" s="13" t="e">
        <f t="shared" ca="1" si="219"/>
        <v>#N/A</v>
      </c>
      <c r="BW158" s="13" t="e">
        <f t="shared" ref="BW158:CR158" ca="1" si="220">BW95/$D158*100000</f>
        <v>#N/A</v>
      </c>
      <c r="BX158" s="13" t="e">
        <f t="shared" ca="1" si="220"/>
        <v>#N/A</v>
      </c>
      <c r="BY158" s="13" t="e">
        <f t="shared" ca="1" si="220"/>
        <v>#N/A</v>
      </c>
      <c r="BZ158" s="13" t="e">
        <f t="shared" ca="1" si="220"/>
        <v>#N/A</v>
      </c>
      <c r="CA158" s="13" t="e">
        <f t="shared" ca="1" si="220"/>
        <v>#N/A</v>
      </c>
      <c r="CB158" s="13" t="e">
        <f t="shared" ca="1" si="220"/>
        <v>#N/A</v>
      </c>
      <c r="CC158" s="13" t="e">
        <f t="shared" ca="1" si="220"/>
        <v>#N/A</v>
      </c>
      <c r="CD158" s="13" t="e">
        <f t="shared" ca="1" si="220"/>
        <v>#N/A</v>
      </c>
      <c r="CE158" s="13" t="e">
        <f t="shared" ca="1" si="220"/>
        <v>#N/A</v>
      </c>
      <c r="CF158" s="13" t="e">
        <f t="shared" ca="1" si="220"/>
        <v>#N/A</v>
      </c>
      <c r="CG158" s="13" t="e">
        <f t="shared" ca="1" si="220"/>
        <v>#N/A</v>
      </c>
      <c r="CH158" s="13" t="e">
        <f t="shared" ca="1" si="220"/>
        <v>#N/A</v>
      </c>
      <c r="CI158" s="13" t="e">
        <f t="shared" ca="1" si="220"/>
        <v>#N/A</v>
      </c>
      <c r="CJ158" s="13" t="e">
        <f t="shared" ca="1" si="220"/>
        <v>#N/A</v>
      </c>
      <c r="CK158" s="13" t="e">
        <f t="shared" ca="1" si="220"/>
        <v>#N/A</v>
      </c>
      <c r="CL158" s="13" t="e">
        <f t="shared" ca="1" si="220"/>
        <v>#N/A</v>
      </c>
      <c r="CM158" s="13" t="e">
        <f t="shared" ca="1" si="220"/>
        <v>#N/A</v>
      </c>
      <c r="CN158" s="13" t="e">
        <f t="shared" ca="1" si="220"/>
        <v>#N/A</v>
      </c>
      <c r="CO158" s="13" t="e">
        <f t="shared" ca="1" si="220"/>
        <v>#N/A</v>
      </c>
      <c r="CP158" s="13" t="e">
        <f t="shared" ca="1" si="220"/>
        <v>#N/A</v>
      </c>
      <c r="CQ158" s="13" t="e">
        <f t="shared" ca="1" si="220"/>
        <v>#N/A</v>
      </c>
      <c r="CR158" s="13" t="e">
        <f t="shared" ca="1" si="220"/>
        <v>#N/A</v>
      </c>
    </row>
    <row r="159" spans="2:96" x14ac:dyDescent="0.25">
      <c r="B159">
        <f t="shared" si="65"/>
        <v>54</v>
      </c>
      <c r="C159">
        <f t="shared" ca="1" si="181"/>
        <v>0</v>
      </c>
      <c r="D159" s="1" t="e">
        <f t="shared" ca="1" si="181"/>
        <v>#N/A</v>
      </c>
      <c r="E159" s="13" t="e">
        <f t="shared" ref="E159:BP159" ca="1" si="221">E96/$D159*100000</f>
        <v>#N/A</v>
      </c>
      <c r="F159" s="13" t="e">
        <f t="shared" ca="1" si="221"/>
        <v>#N/A</v>
      </c>
      <c r="G159" s="13" t="e">
        <f t="shared" ca="1" si="221"/>
        <v>#N/A</v>
      </c>
      <c r="H159" s="13" t="e">
        <f t="shared" ca="1" si="221"/>
        <v>#N/A</v>
      </c>
      <c r="I159" s="13" t="e">
        <f t="shared" ca="1" si="221"/>
        <v>#N/A</v>
      </c>
      <c r="J159" s="13" t="e">
        <f t="shared" ca="1" si="221"/>
        <v>#N/A</v>
      </c>
      <c r="K159" s="13" t="e">
        <f t="shared" ca="1" si="221"/>
        <v>#N/A</v>
      </c>
      <c r="L159" s="13" t="e">
        <f t="shared" ca="1" si="221"/>
        <v>#N/A</v>
      </c>
      <c r="M159" s="13" t="e">
        <f t="shared" ca="1" si="221"/>
        <v>#N/A</v>
      </c>
      <c r="N159" s="13" t="e">
        <f t="shared" ca="1" si="221"/>
        <v>#N/A</v>
      </c>
      <c r="O159" s="13" t="e">
        <f t="shared" ca="1" si="221"/>
        <v>#N/A</v>
      </c>
      <c r="P159" s="13" t="e">
        <f t="shared" ca="1" si="221"/>
        <v>#N/A</v>
      </c>
      <c r="Q159" s="13" t="e">
        <f t="shared" ca="1" si="221"/>
        <v>#N/A</v>
      </c>
      <c r="R159" s="13" t="e">
        <f t="shared" ca="1" si="221"/>
        <v>#N/A</v>
      </c>
      <c r="S159" s="13" t="e">
        <f t="shared" ca="1" si="221"/>
        <v>#N/A</v>
      </c>
      <c r="T159" s="13" t="e">
        <f t="shared" ca="1" si="221"/>
        <v>#N/A</v>
      </c>
      <c r="U159" s="13" t="e">
        <f t="shared" ca="1" si="221"/>
        <v>#N/A</v>
      </c>
      <c r="V159" s="13" t="e">
        <f t="shared" ca="1" si="221"/>
        <v>#N/A</v>
      </c>
      <c r="W159" s="13" t="e">
        <f t="shared" ca="1" si="221"/>
        <v>#N/A</v>
      </c>
      <c r="X159" s="13" t="e">
        <f t="shared" ca="1" si="221"/>
        <v>#N/A</v>
      </c>
      <c r="Y159" s="13" t="e">
        <f t="shared" ca="1" si="221"/>
        <v>#N/A</v>
      </c>
      <c r="Z159" s="13" t="e">
        <f t="shared" ca="1" si="221"/>
        <v>#N/A</v>
      </c>
      <c r="AA159" s="13" t="e">
        <f t="shared" ca="1" si="221"/>
        <v>#N/A</v>
      </c>
      <c r="AB159" s="13" t="e">
        <f t="shared" ca="1" si="221"/>
        <v>#N/A</v>
      </c>
      <c r="AC159" s="13" t="e">
        <f t="shared" ca="1" si="221"/>
        <v>#N/A</v>
      </c>
      <c r="AD159" s="13" t="e">
        <f t="shared" ca="1" si="221"/>
        <v>#N/A</v>
      </c>
      <c r="AE159" s="13" t="e">
        <f t="shared" ca="1" si="221"/>
        <v>#N/A</v>
      </c>
      <c r="AF159" s="13" t="e">
        <f t="shared" ca="1" si="221"/>
        <v>#N/A</v>
      </c>
      <c r="AG159" s="13" t="e">
        <f t="shared" ca="1" si="221"/>
        <v>#N/A</v>
      </c>
      <c r="AH159" s="13" t="e">
        <f t="shared" ca="1" si="221"/>
        <v>#N/A</v>
      </c>
      <c r="AI159" s="13" t="e">
        <f t="shared" ca="1" si="221"/>
        <v>#N/A</v>
      </c>
      <c r="AJ159" s="13" t="e">
        <f t="shared" ca="1" si="221"/>
        <v>#N/A</v>
      </c>
      <c r="AK159" s="13" t="e">
        <f t="shared" ca="1" si="221"/>
        <v>#N/A</v>
      </c>
      <c r="AL159" s="13" t="e">
        <f t="shared" ca="1" si="221"/>
        <v>#N/A</v>
      </c>
      <c r="AM159" s="13" t="e">
        <f t="shared" ca="1" si="221"/>
        <v>#N/A</v>
      </c>
      <c r="AN159" s="13" t="e">
        <f t="shared" ca="1" si="221"/>
        <v>#N/A</v>
      </c>
      <c r="AO159" s="13" t="e">
        <f t="shared" ca="1" si="221"/>
        <v>#N/A</v>
      </c>
      <c r="AP159" s="13" t="e">
        <f t="shared" ca="1" si="221"/>
        <v>#N/A</v>
      </c>
      <c r="AQ159" s="13" t="e">
        <f t="shared" ca="1" si="221"/>
        <v>#N/A</v>
      </c>
      <c r="AR159" s="13" t="e">
        <f t="shared" ca="1" si="221"/>
        <v>#N/A</v>
      </c>
      <c r="AS159" s="13" t="e">
        <f t="shared" ca="1" si="221"/>
        <v>#N/A</v>
      </c>
      <c r="AT159" s="13" t="e">
        <f t="shared" ca="1" si="221"/>
        <v>#N/A</v>
      </c>
      <c r="AU159" s="13" t="e">
        <f t="shared" ca="1" si="221"/>
        <v>#N/A</v>
      </c>
      <c r="AV159" s="13" t="e">
        <f t="shared" ca="1" si="221"/>
        <v>#N/A</v>
      </c>
      <c r="AW159" s="13" t="e">
        <f t="shared" ca="1" si="221"/>
        <v>#N/A</v>
      </c>
      <c r="AX159" s="13" t="e">
        <f t="shared" ca="1" si="221"/>
        <v>#N/A</v>
      </c>
      <c r="AY159" s="13" t="e">
        <f t="shared" ca="1" si="221"/>
        <v>#N/A</v>
      </c>
      <c r="AZ159" s="13" t="e">
        <f t="shared" ca="1" si="221"/>
        <v>#N/A</v>
      </c>
      <c r="BA159" s="13" t="e">
        <f t="shared" ca="1" si="221"/>
        <v>#N/A</v>
      </c>
      <c r="BB159" s="13" t="e">
        <f t="shared" ca="1" si="221"/>
        <v>#N/A</v>
      </c>
      <c r="BC159" s="13" t="e">
        <f t="shared" ca="1" si="221"/>
        <v>#N/A</v>
      </c>
      <c r="BD159" s="13" t="e">
        <f t="shared" ca="1" si="221"/>
        <v>#N/A</v>
      </c>
      <c r="BE159" s="13" t="e">
        <f t="shared" ca="1" si="221"/>
        <v>#N/A</v>
      </c>
      <c r="BF159" s="13" t="e">
        <f t="shared" ca="1" si="221"/>
        <v>#N/A</v>
      </c>
      <c r="BG159" s="13" t="e">
        <f t="shared" ca="1" si="221"/>
        <v>#N/A</v>
      </c>
      <c r="BH159" s="13" t="e">
        <f t="shared" ca="1" si="221"/>
        <v>#N/A</v>
      </c>
      <c r="BI159" s="13" t="e">
        <f t="shared" ca="1" si="221"/>
        <v>#N/A</v>
      </c>
      <c r="BJ159" s="13" t="e">
        <f t="shared" ca="1" si="221"/>
        <v>#N/A</v>
      </c>
      <c r="BK159" s="13" t="e">
        <f t="shared" ca="1" si="221"/>
        <v>#N/A</v>
      </c>
      <c r="BL159" s="13" t="e">
        <f t="shared" ca="1" si="221"/>
        <v>#N/A</v>
      </c>
      <c r="BM159" s="13" t="e">
        <f t="shared" ca="1" si="221"/>
        <v>#N/A</v>
      </c>
      <c r="BN159" s="13" t="e">
        <f t="shared" ca="1" si="221"/>
        <v>#N/A</v>
      </c>
      <c r="BO159" s="13" t="e">
        <f t="shared" ca="1" si="221"/>
        <v>#N/A</v>
      </c>
      <c r="BP159" s="13" t="e">
        <f t="shared" ca="1" si="221"/>
        <v>#N/A</v>
      </c>
      <c r="BQ159" s="13" t="e">
        <f t="shared" ref="BQ159:BV159" ca="1" si="222">BQ96/$D159*100000</f>
        <v>#N/A</v>
      </c>
      <c r="BR159" s="13" t="e">
        <f t="shared" ca="1" si="222"/>
        <v>#N/A</v>
      </c>
      <c r="BS159" s="13" t="e">
        <f t="shared" ca="1" si="222"/>
        <v>#N/A</v>
      </c>
      <c r="BT159" s="13" t="e">
        <f t="shared" ca="1" si="222"/>
        <v>#N/A</v>
      </c>
      <c r="BU159" s="13" t="e">
        <f t="shared" ca="1" si="222"/>
        <v>#N/A</v>
      </c>
      <c r="BV159" s="13" t="e">
        <f t="shared" ca="1" si="222"/>
        <v>#N/A</v>
      </c>
      <c r="BW159" s="13" t="e">
        <f t="shared" ref="BW159:CR159" ca="1" si="223">BW96/$D159*100000</f>
        <v>#N/A</v>
      </c>
      <c r="BX159" s="13" t="e">
        <f t="shared" ca="1" si="223"/>
        <v>#N/A</v>
      </c>
      <c r="BY159" s="13" t="e">
        <f t="shared" ca="1" si="223"/>
        <v>#N/A</v>
      </c>
      <c r="BZ159" s="13" t="e">
        <f t="shared" ca="1" si="223"/>
        <v>#N/A</v>
      </c>
      <c r="CA159" s="13" t="e">
        <f t="shared" ca="1" si="223"/>
        <v>#N/A</v>
      </c>
      <c r="CB159" s="13" t="e">
        <f t="shared" ca="1" si="223"/>
        <v>#N/A</v>
      </c>
      <c r="CC159" s="13" t="e">
        <f t="shared" ca="1" si="223"/>
        <v>#N/A</v>
      </c>
      <c r="CD159" s="13" t="e">
        <f t="shared" ca="1" si="223"/>
        <v>#N/A</v>
      </c>
      <c r="CE159" s="13" t="e">
        <f t="shared" ca="1" si="223"/>
        <v>#N/A</v>
      </c>
      <c r="CF159" s="13" t="e">
        <f t="shared" ca="1" si="223"/>
        <v>#N/A</v>
      </c>
      <c r="CG159" s="13" t="e">
        <f t="shared" ca="1" si="223"/>
        <v>#N/A</v>
      </c>
      <c r="CH159" s="13" t="e">
        <f t="shared" ca="1" si="223"/>
        <v>#N/A</v>
      </c>
      <c r="CI159" s="13" t="e">
        <f t="shared" ca="1" si="223"/>
        <v>#N/A</v>
      </c>
      <c r="CJ159" s="13" t="e">
        <f t="shared" ca="1" si="223"/>
        <v>#N/A</v>
      </c>
      <c r="CK159" s="13" t="e">
        <f t="shared" ca="1" si="223"/>
        <v>#N/A</v>
      </c>
      <c r="CL159" s="13" t="e">
        <f t="shared" ca="1" si="223"/>
        <v>#N/A</v>
      </c>
      <c r="CM159" s="13" t="e">
        <f t="shared" ca="1" si="223"/>
        <v>#N/A</v>
      </c>
      <c r="CN159" s="13" t="e">
        <f t="shared" ca="1" si="223"/>
        <v>#N/A</v>
      </c>
      <c r="CO159" s="13" t="e">
        <f t="shared" ca="1" si="223"/>
        <v>#N/A</v>
      </c>
      <c r="CP159" s="13" t="e">
        <f t="shared" ca="1" si="223"/>
        <v>#N/A</v>
      </c>
      <c r="CQ159" s="13" t="e">
        <f t="shared" ca="1" si="223"/>
        <v>#N/A</v>
      </c>
      <c r="CR159" s="13" t="e">
        <f t="shared" ca="1" si="223"/>
        <v>#N/A</v>
      </c>
    </row>
    <row r="160" spans="2:96" x14ac:dyDescent="0.25">
      <c r="B160">
        <f t="shared" si="65"/>
        <v>55</v>
      </c>
      <c r="C160">
        <f t="shared" ca="1" si="181"/>
        <v>0</v>
      </c>
      <c r="D160" s="1" t="e">
        <f t="shared" ca="1" si="181"/>
        <v>#N/A</v>
      </c>
      <c r="E160" s="13" t="e">
        <f t="shared" ref="E160:BP160" ca="1" si="224">E97/$D160*100000</f>
        <v>#N/A</v>
      </c>
      <c r="F160" s="13" t="e">
        <f t="shared" ca="1" si="224"/>
        <v>#N/A</v>
      </c>
      <c r="G160" s="13" t="e">
        <f t="shared" ca="1" si="224"/>
        <v>#N/A</v>
      </c>
      <c r="H160" s="13" t="e">
        <f t="shared" ca="1" si="224"/>
        <v>#N/A</v>
      </c>
      <c r="I160" s="13" t="e">
        <f t="shared" ca="1" si="224"/>
        <v>#N/A</v>
      </c>
      <c r="J160" s="13" t="e">
        <f t="shared" ca="1" si="224"/>
        <v>#N/A</v>
      </c>
      <c r="K160" s="13" t="e">
        <f t="shared" ca="1" si="224"/>
        <v>#N/A</v>
      </c>
      <c r="L160" s="13" t="e">
        <f t="shared" ca="1" si="224"/>
        <v>#N/A</v>
      </c>
      <c r="M160" s="13" t="e">
        <f t="shared" ca="1" si="224"/>
        <v>#N/A</v>
      </c>
      <c r="N160" s="13" t="e">
        <f t="shared" ca="1" si="224"/>
        <v>#N/A</v>
      </c>
      <c r="O160" s="13" t="e">
        <f t="shared" ca="1" si="224"/>
        <v>#N/A</v>
      </c>
      <c r="P160" s="13" t="e">
        <f t="shared" ca="1" si="224"/>
        <v>#N/A</v>
      </c>
      <c r="Q160" s="13" t="e">
        <f t="shared" ca="1" si="224"/>
        <v>#N/A</v>
      </c>
      <c r="R160" s="13" t="e">
        <f t="shared" ca="1" si="224"/>
        <v>#N/A</v>
      </c>
      <c r="S160" s="13" t="e">
        <f t="shared" ca="1" si="224"/>
        <v>#N/A</v>
      </c>
      <c r="T160" s="13" t="e">
        <f t="shared" ca="1" si="224"/>
        <v>#N/A</v>
      </c>
      <c r="U160" s="13" t="e">
        <f t="shared" ca="1" si="224"/>
        <v>#N/A</v>
      </c>
      <c r="V160" s="13" t="e">
        <f t="shared" ca="1" si="224"/>
        <v>#N/A</v>
      </c>
      <c r="W160" s="13" t="e">
        <f t="shared" ca="1" si="224"/>
        <v>#N/A</v>
      </c>
      <c r="X160" s="13" t="e">
        <f t="shared" ca="1" si="224"/>
        <v>#N/A</v>
      </c>
      <c r="Y160" s="13" t="e">
        <f t="shared" ca="1" si="224"/>
        <v>#N/A</v>
      </c>
      <c r="Z160" s="13" t="e">
        <f t="shared" ca="1" si="224"/>
        <v>#N/A</v>
      </c>
      <c r="AA160" s="13" t="e">
        <f t="shared" ca="1" si="224"/>
        <v>#N/A</v>
      </c>
      <c r="AB160" s="13" t="e">
        <f t="shared" ca="1" si="224"/>
        <v>#N/A</v>
      </c>
      <c r="AC160" s="13" t="e">
        <f t="shared" ca="1" si="224"/>
        <v>#N/A</v>
      </c>
      <c r="AD160" s="13" t="e">
        <f t="shared" ca="1" si="224"/>
        <v>#N/A</v>
      </c>
      <c r="AE160" s="13" t="e">
        <f t="shared" ca="1" si="224"/>
        <v>#N/A</v>
      </c>
      <c r="AF160" s="13" t="e">
        <f t="shared" ca="1" si="224"/>
        <v>#N/A</v>
      </c>
      <c r="AG160" s="13" t="e">
        <f t="shared" ca="1" si="224"/>
        <v>#N/A</v>
      </c>
      <c r="AH160" s="13" t="e">
        <f t="shared" ca="1" si="224"/>
        <v>#N/A</v>
      </c>
      <c r="AI160" s="13" t="e">
        <f t="shared" ca="1" si="224"/>
        <v>#N/A</v>
      </c>
      <c r="AJ160" s="13" t="e">
        <f t="shared" ca="1" si="224"/>
        <v>#N/A</v>
      </c>
      <c r="AK160" s="13" t="e">
        <f t="shared" ca="1" si="224"/>
        <v>#N/A</v>
      </c>
      <c r="AL160" s="13" t="e">
        <f t="shared" ca="1" si="224"/>
        <v>#N/A</v>
      </c>
      <c r="AM160" s="13" t="e">
        <f t="shared" ca="1" si="224"/>
        <v>#N/A</v>
      </c>
      <c r="AN160" s="13" t="e">
        <f t="shared" ca="1" si="224"/>
        <v>#N/A</v>
      </c>
      <c r="AO160" s="13" t="e">
        <f t="shared" ca="1" si="224"/>
        <v>#N/A</v>
      </c>
      <c r="AP160" s="13" t="e">
        <f t="shared" ca="1" si="224"/>
        <v>#N/A</v>
      </c>
      <c r="AQ160" s="13" t="e">
        <f t="shared" ca="1" si="224"/>
        <v>#N/A</v>
      </c>
      <c r="AR160" s="13" t="e">
        <f t="shared" ca="1" si="224"/>
        <v>#N/A</v>
      </c>
      <c r="AS160" s="13" t="e">
        <f t="shared" ca="1" si="224"/>
        <v>#N/A</v>
      </c>
      <c r="AT160" s="13" t="e">
        <f t="shared" ca="1" si="224"/>
        <v>#N/A</v>
      </c>
      <c r="AU160" s="13" t="e">
        <f t="shared" ca="1" si="224"/>
        <v>#N/A</v>
      </c>
      <c r="AV160" s="13" t="e">
        <f t="shared" ca="1" si="224"/>
        <v>#N/A</v>
      </c>
      <c r="AW160" s="13" t="e">
        <f t="shared" ca="1" si="224"/>
        <v>#N/A</v>
      </c>
      <c r="AX160" s="13" t="e">
        <f t="shared" ca="1" si="224"/>
        <v>#N/A</v>
      </c>
      <c r="AY160" s="13" t="e">
        <f t="shared" ca="1" si="224"/>
        <v>#N/A</v>
      </c>
      <c r="AZ160" s="13" t="e">
        <f t="shared" ca="1" si="224"/>
        <v>#N/A</v>
      </c>
      <c r="BA160" s="13" t="e">
        <f t="shared" ca="1" si="224"/>
        <v>#N/A</v>
      </c>
      <c r="BB160" s="13" t="e">
        <f t="shared" ca="1" si="224"/>
        <v>#N/A</v>
      </c>
      <c r="BC160" s="13" t="e">
        <f t="shared" ca="1" si="224"/>
        <v>#N/A</v>
      </c>
      <c r="BD160" s="13" t="e">
        <f t="shared" ca="1" si="224"/>
        <v>#N/A</v>
      </c>
      <c r="BE160" s="13" t="e">
        <f t="shared" ca="1" si="224"/>
        <v>#N/A</v>
      </c>
      <c r="BF160" s="13" t="e">
        <f t="shared" ca="1" si="224"/>
        <v>#N/A</v>
      </c>
      <c r="BG160" s="13" t="e">
        <f t="shared" ca="1" si="224"/>
        <v>#N/A</v>
      </c>
      <c r="BH160" s="13" t="e">
        <f t="shared" ca="1" si="224"/>
        <v>#N/A</v>
      </c>
      <c r="BI160" s="13" t="e">
        <f t="shared" ca="1" si="224"/>
        <v>#N/A</v>
      </c>
      <c r="BJ160" s="13" t="e">
        <f t="shared" ca="1" si="224"/>
        <v>#N/A</v>
      </c>
      <c r="BK160" s="13" t="e">
        <f t="shared" ca="1" si="224"/>
        <v>#N/A</v>
      </c>
      <c r="BL160" s="13" t="e">
        <f t="shared" ca="1" si="224"/>
        <v>#N/A</v>
      </c>
      <c r="BM160" s="13" t="e">
        <f t="shared" ca="1" si="224"/>
        <v>#N/A</v>
      </c>
      <c r="BN160" s="13" t="e">
        <f t="shared" ca="1" si="224"/>
        <v>#N/A</v>
      </c>
      <c r="BO160" s="13" t="e">
        <f t="shared" ca="1" si="224"/>
        <v>#N/A</v>
      </c>
      <c r="BP160" s="13" t="e">
        <f t="shared" ca="1" si="224"/>
        <v>#N/A</v>
      </c>
      <c r="BQ160" s="13" t="e">
        <f t="shared" ref="BQ160:BV160" ca="1" si="225">BQ97/$D160*100000</f>
        <v>#N/A</v>
      </c>
      <c r="BR160" s="13" t="e">
        <f t="shared" ca="1" si="225"/>
        <v>#N/A</v>
      </c>
      <c r="BS160" s="13" t="e">
        <f t="shared" ca="1" si="225"/>
        <v>#N/A</v>
      </c>
      <c r="BT160" s="13" t="e">
        <f t="shared" ca="1" si="225"/>
        <v>#N/A</v>
      </c>
      <c r="BU160" s="13" t="e">
        <f t="shared" ca="1" si="225"/>
        <v>#N/A</v>
      </c>
      <c r="BV160" s="13" t="e">
        <f t="shared" ca="1" si="225"/>
        <v>#N/A</v>
      </c>
      <c r="BW160" s="13" t="e">
        <f t="shared" ref="BW160:CR160" ca="1" si="226">BW97/$D160*100000</f>
        <v>#N/A</v>
      </c>
      <c r="BX160" s="13" t="e">
        <f t="shared" ca="1" si="226"/>
        <v>#N/A</v>
      </c>
      <c r="BY160" s="13" t="e">
        <f t="shared" ca="1" si="226"/>
        <v>#N/A</v>
      </c>
      <c r="BZ160" s="13" t="e">
        <f t="shared" ca="1" si="226"/>
        <v>#N/A</v>
      </c>
      <c r="CA160" s="13" t="e">
        <f t="shared" ca="1" si="226"/>
        <v>#N/A</v>
      </c>
      <c r="CB160" s="13" t="e">
        <f t="shared" ca="1" si="226"/>
        <v>#N/A</v>
      </c>
      <c r="CC160" s="13" t="e">
        <f t="shared" ca="1" si="226"/>
        <v>#N/A</v>
      </c>
      <c r="CD160" s="13" t="e">
        <f t="shared" ca="1" si="226"/>
        <v>#N/A</v>
      </c>
      <c r="CE160" s="13" t="e">
        <f t="shared" ca="1" si="226"/>
        <v>#N/A</v>
      </c>
      <c r="CF160" s="13" t="e">
        <f t="shared" ca="1" si="226"/>
        <v>#N/A</v>
      </c>
      <c r="CG160" s="13" t="e">
        <f t="shared" ca="1" si="226"/>
        <v>#N/A</v>
      </c>
      <c r="CH160" s="13" t="e">
        <f t="shared" ca="1" si="226"/>
        <v>#N/A</v>
      </c>
      <c r="CI160" s="13" t="e">
        <f t="shared" ca="1" si="226"/>
        <v>#N/A</v>
      </c>
      <c r="CJ160" s="13" t="e">
        <f t="shared" ca="1" si="226"/>
        <v>#N/A</v>
      </c>
      <c r="CK160" s="13" t="e">
        <f t="shared" ca="1" si="226"/>
        <v>#N/A</v>
      </c>
      <c r="CL160" s="13" t="e">
        <f t="shared" ca="1" si="226"/>
        <v>#N/A</v>
      </c>
      <c r="CM160" s="13" t="e">
        <f t="shared" ca="1" si="226"/>
        <v>#N/A</v>
      </c>
      <c r="CN160" s="13" t="e">
        <f t="shared" ca="1" si="226"/>
        <v>#N/A</v>
      </c>
      <c r="CO160" s="13" t="e">
        <f t="shared" ca="1" si="226"/>
        <v>#N/A</v>
      </c>
      <c r="CP160" s="13" t="e">
        <f t="shared" ca="1" si="226"/>
        <v>#N/A</v>
      </c>
      <c r="CQ160" s="13" t="e">
        <f t="shared" ca="1" si="226"/>
        <v>#N/A</v>
      </c>
      <c r="CR160" s="13" t="e">
        <f t="shared" ca="1" si="226"/>
        <v>#N/A</v>
      </c>
    </row>
    <row r="161" spans="2:96" x14ac:dyDescent="0.25">
      <c r="B161">
        <f t="shared" si="65"/>
        <v>56</v>
      </c>
      <c r="C161">
        <f t="shared" ca="1" si="181"/>
        <v>0</v>
      </c>
      <c r="D161" s="1" t="e">
        <f t="shared" ca="1" si="181"/>
        <v>#N/A</v>
      </c>
      <c r="E161" s="13" t="e">
        <f t="shared" ref="E161:BP161" ca="1" si="227">E98/$D161*100000</f>
        <v>#N/A</v>
      </c>
      <c r="F161" s="13" t="e">
        <f t="shared" ca="1" si="227"/>
        <v>#N/A</v>
      </c>
      <c r="G161" s="13" t="e">
        <f t="shared" ca="1" si="227"/>
        <v>#N/A</v>
      </c>
      <c r="H161" s="13" t="e">
        <f t="shared" ca="1" si="227"/>
        <v>#N/A</v>
      </c>
      <c r="I161" s="13" t="e">
        <f t="shared" ca="1" si="227"/>
        <v>#N/A</v>
      </c>
      <c r="J161" s="13" t="e">
        <f t="shared" ca="1" si="227"/>
        <v>#N/A</v>
      </c>
      <c r="K161" s="13" t="e">
        <f t="shared" ca="1" si="227"/>
        <v>#N/A</v>
      </c>
      <c r="L161" s="13" t="e">
        <f t="shared" ca="1" si="227"/>
        <v>#N/A</v>
      </c>
      <c r="M161" s="13" t="e">
        <f t="shared" ca="1" si="227"/>
        <v>#N/A</v>
      </c>
      <c r="N161" s="13" t="e">
        <f t="shared" ca="1" si="227"/>
        <v>#N/A</v>
      </c>
      <c r="O161" s="13" t="e">
        <f t="shared" ca="1" si="227"/>
        <v>#N/A</v>
      </c>
      <c r="P161" s="13" t="e">
        <f t="shared" ca="1" si="227"/>
        <v>#N/A</v>
      </c>
      <c r="Q161" s="13" t="e">
        <f t="shared" ca="1" si="227"/>
        <v>#N/A</v>
      </c>
      <c r="R161" s="13" t="e">
        <f t="shared" ca="1" si="227"/>
        <v>#N/A</v>
      </c>
      <c r="S161" s="13" t="e">
        <f t="shared" ca="1" si="227"/>
        <v>#N/A</v>
      </c>
      <c r="T161" s="13" t="e">
        <f t="shared" ca="1" si="227"/>
        <v>#N/A</v>
      </c>
      <c r="U161" s="13" t="e">
        <f t="shared" ca="1" si="227"/>
        <v>#N/A</v>
      </c>
      <c r="V161" s="13" t="e">
        <f t="shared" ca="1" si="227"/>
        <v>#N/A</v>
      </c>
      <c r="W161" s="13" t="e">
        <f t="shared" ca="1" si="227"/>
        <v>#N/A</v>
      </c>
      <c r="X161" s="13" t="e">
        <f t="shared" ca="1" si="227"/>
        <v>#N/A</v>
      </c>
      <c r="Y161" s="13" t="e">
        <f t="shared" ca="1" si="227"/>
        <v>#N/A</v>
      </c>
      <c r="Z161" s="13" t="e">
        <f t="shared" ca="1" si="227"/>
        <v>#N/A</v>
      </c>
      <c r="AA161" s="13" t="e">
        <f t="shared" ca="1" si="227"/>
        <v>#N/A</v>
      </c>
      <c r="AB161" s="13" t="e">
        <f t="shared" ca="1" si="227"/>
        <v>#N/A</v>
      </c>
      <c r="AC161" s="13" t="e">
        <f t="shared" ca="1" si="227"/>
        <v>#N/A</v>
      </c>
      <c r="AD161" s="13" t="e">
        <f t="shared" ca="1" si="227"/>
        <v>#N/A</v>
      </c>
      <c r="AE161" s="13" t="e">
        <f t="shared" ca="1" si="227"/>
        <v>#N/A</v>
      </c>
      <c r="AF161" s="13" t="e">
        <f t="shared" ca="1" si="227"/>
        <v>#N/A</v>
      </c>
      <c r="AG161" s="13" t="e">
        <f t="shared" ca="1" si="227"/>
        <v>#N/A</v>
      </c>
      <c r="AH161" s="13" t="e">
        <f t="shared" ca="1" si="227"/>
        <v>#N/A</v>
      </c>
      <c r="AI161" s="13" t="e">
        <f t="shared" ca="1" si="227"/>
        <v>#N/A</v>
      </c>
      <c r="AJ161" s="13" t="e">
        <f t="shared" ca="1" si="227"/>
        <v>#N/A</v>
      </c>
      <c r="AK161" s="13" t="e">
        <f t="shared" ca="1" si="227"/>
        <v>#N/A</v>
      </c>
      <c r="AL161" s="13" t="e">
        <f t="shared" ca="1" si="227"/>
        <v>#N/A</v>
      </c>
      <c r="AM161" s="13" t="e">
        <f t="shared" ca="1" si="227"/>
        <v>#N/A</v>
      </c>
      <c r="AN161" s="13" t="e">
        <f t="shared" ca="1" si="227"/>
        <v>#N/A</v>
      </c>
      <c r="AO161" s="13" t="e">
        <f t="shared" ca="1" si="227"/>
        <v>#N/A</v>
      </c>
      <c r="AP161" s="13" t="e">
        <f t="shared" ca="1" si="227"/>
        <v>#N/A</v>
      </c>
      <c r="AQ161" s="13" t="e">
        <f t="shared" ca="1" si="227"/>
        <v>#N/A</v>
      </c>
      <c r="AR161" s="13" t="e">
        <f t="shared" ca="1" si="227"/>
        <v>#N/A</v>
      </c>
      <c r="AS161" s="13" t="e">
        <f t="shared" ca="1" si="227"/>
        <v>#N/A</v>
      </c>
      <c r="AT161" s="13" t="e">
        <f t="shared" ca="1" si="227"/>
        <v>#N/A</v>
      </c>
      <c r="AU161" s="13" t="e">
        <f t="shared" ca="1" si="227"/>
        <v>#N/A</v>
      </c>
      <c r="AV161" s="13" t="e">
        <f t="shared" ca="1" si="227"/>
        <v>#N/A</v>
      </c>
      <c r="AW161" s="13" t="e">
        <f t="shared" ca="1" si="227"/>
        <v>#N/A</v>
      </c>
      <c r="AX161" s="13" t="e">
        <f t="shared" ca="1" si="227"/>
        <v>#N/A</v>
      </c>
      <c r="AY161" s="13" t="e">
        <f t="shared" ca="1" si="227"/>
        <v>#N/A</v>
      </c>
      <c r="AZ161" s="13" t="e">
        <f t="shared" ca="1" si="227"/>
        <v>#N/A</v>
      </c>
      <c r="BA161" s="13" t="e">
        <f t="shared" ca="1" si="227"/>
        <v>#N/A</v>
      </c>
      <c r="BB161" s="13" t="e">
        <f t="shared" ca="1" si="227"/>
        <v>#N/A</v>
      </c>
      <c r="BC161" s="13" t="e">
        <f t="shared" ca="1" si="227"/>
        <v>#N/A</v>
      </c>
      <c r="BD161" s="13" t="e">
        <f t="shared" ca="1" si="227"/>
        <v>#N/A</v>
      </c>
      <c r="BE161" s="13" t="e">
        <f t="shared" ca="1" si="227"/>
        <v>#N/A</v>
      </c>
      <c r="BF161" s="13" t="e">
        <f t="shared" ca="1" si="227"/>
        <v>#N/A</v>
      </c>
      <c r="BG161" s="13" t="e">
        <f t="shared" ca="1" si="227"/>
        <v>#N/A</v>
      </c>
      <c r="BH161" s="13" t="e">
        <f t="shared" ca="1" si="227"/>
        <v>#N/A</v>
      </c>
      <c r="BI161" s="13" t="e">
        <f t="shared" ca="1" si="227"/>
        <v>#N/A</v>
      </c>
      <c r="BJ161" s="13" t="e">
        <f t="shared" ca="1" si="227"/>
        <v>#N/A</v>
      </c>
      <c r="BK161" s="13" t="e">
        <f t="shared" ca="1" si="227"/>
        <v>#N/A</v>
      </c>
      <c r="BL161" s="13" t="e">
        <f t="shared" ca="1" si="227"/>
        <v>#N/A</v>
      </c>
      <c r="BM161" s="13" t="e">
        <f t="shared" ca="1" si="227"/>
        <v>#N/A</v>
      </c>
      <c r="BN161" s="13" t="e">
        <f t="shared" ca="1" si="227"/>
        <v>#N/A</v>
      </c>
      <c r="BO161" s="13" t="e">
        <f t="shared" ca="1" si="227"/>
        <v>#N/A</v>
      </c>
      <c r="BP161" s="13" t="e">
        <f t="shared" ca="1" si="227"/>
        <v>#N/A</v>
      </c>
      <c r="BQ161" s="13" t="e">
        <f t="shared" ref="BQ161:BV161" ca="1" si="228">BQ98/$D161*100000</f>
        <v>#N/A</v>
      </c>
      <c r="BR161" s="13" t="e">
        <f t="shared" ca="1" si="228"/>
        <v>#N/A</v>
      </c>
      <c r="BS161" s="13" t="e">
        <f t="shared" ca="1" si="228"/>
        <v>#N/A</v>
      </c>
      <c r="BT161" s="13" t="e">
        <f t="shared" ca="1" si="228"/>
        <v>#N/A</v>
      </c>
      <c r="BU161" s="13" t="e">
        <f t="shared" ca="1" si="228"/>
        <v>#N/A</v>
      </c>
      <c r="BV161" s="13" t="e">
        <f t="shared" ca="1" si="228"/>
        <v>#N/A</v>
      </c>
      <c r="BW161" s="13" t="e">
        <f t="shared" ref="BW161:CR161" ca="1" si="229">BW98/$D161*100000</f>
        <v>#N/A</v>
      </c>
      <c r="BX161" s="13" t="e">
        <f t="shared" ca="1" si="229"/>
        <v>#N/A</v>
      </c>
      <c r="BY161" s="13" t="e">
        <f t="shared" ca="1" si="229"/>
        <v>#N/A</v>
      </c>
      <c r="BZ161" s="13" t="e">
        <f t="shared" ca="1" si="229"/>
        <v>#N/A</v>
      </c>
      <c r="CA161" s="13" t="e">
        <f t="shared" ca="1" si="229"/>
        <v>#N/A</v>
      </c>
      <c r="CB161" s="13" t="e">
        <f t="shared" ca="1" si="229"/>
        <v>#N/A</v>
      </c>
      <c r="CC161" s="13" t="e">
        <f t="shared" ca="1" si="229"/>
        <v>#N/A</v>
      </c>
      <c r="CD161" s="13" t="e">
        <f t="shared" ca="1" si="229"/>
        <v>#N/A</v>
      </c>
      <c r="CE161" s="13" t="e">
        <f t="shared" ca="1" si="229"/>
        <v>#N/A</v>
      </c>
      <c r="CF161" s="13" t="e">
        <f t="shared" ca="1" si="229"/>
        <v>#N/A</v>
      </c>
      <c r="CG161" s="13" t="e">
        <f t="shared" ca="1" si="229"/>
        <v>#N/A</v>
      </c>
      <c r="CH161" s="13" t="e">
        <f t="shared" ca="1" si="229"/>
        <v>#N/A</v>
      </c>
      <c r="CI161" s="13" t="e">
        <f t="shared" ca="1" si="229"/>
        <v>#N/A</v>
      </c>
      <c r="CJ161" s="13" t="e">
        <f t="shared" ca="1" si="229"/>
        <v>#N/A</v>
      </c>
      <c r="CK161" s="13" t="e">
        <f t="shared" ca="1" si="229"/>
        <v>#N/A</v>
      </c>
      <c r="CL161" s="13" t="e">
        <f t="shared" ca="1" si="229"/>
        <v>#N/A</v>
      </c>
      <c r="CM161" s="13" t="e">
        <f t="shared" ca="1" si="229"/>
        <v>#N/A</v>
      </c>
      <c r="CN161" s="13" t="e">
        <f t="shared" ca="1" si="229"/>
        <v>#N/A</v>
      </c>
      <c r="CO161" s="13" t="e">
        <f t="shared" ca="1" si="229"/>
        <v>#N/A</v>
      </c>
      <c r="CP161" s="13" t="e">
        <f t="shared" ca="1" si="229"/>
        <v>#N/A</v>
      </c>
      <c r="CQ161" s="13" t="e">
        <f t="shared" ca="1" si="229"/>
        <v>#N/A</v>
      </c>
      <c r="CR161" s="13" t="e">
        <f t="shared" ca="1" si="229"/>
        <v>#N/A</v>
      </c>
    </row>
    <row r="162" spans="2:96" x14ac:dyDescent="0.25">
      <c r="B162">
        <f t="shared" si="65"/>
        <v>57</v>
      </c>
      <c r="C162">
        <f t="shared" ref="C162:D162" ca="1" si="230">C102</f>
        <v>0</v>
      </c>
      <c r="D162" s="1" t="e">
        <f t="shared" ca="1" si="230"/>
        <v>#N/A</v>
      </c>
      <c r="E162" s="13" t="e">
        <f t="shared" ref="E162:BP162" ca="1" si="231">E102/$D162*100000</f>
        <v>#N/A</v>
      </c>
      <c r="F162" s="13" t="e">
        <f t="shared" ca="1" si="231"/>
        <v>#N/A</v>
      </c>
      <c r="G162" s="13" t="e">
        <f t="shared" ca="1" si="231"/>
        <v>#N/A</v>
      </c>
      <c r="H162" s="13" t="e">
        <f t="shared" ca="1" si="231"/>
        <v>#N/A</v>
      </c>
      <c r="I162" s="13" t="e">
        <f t="shared" ca="1" si="231"/>
        <v>#N/A</v>
      </c>
      <c r="J162" s="13" t="e">
        <f t="shared" ca="1" si="231"/>
        <v>#N/A</v>
      </c>
      <c r="K162" s="13" t="e">
        <f t="shared" ca="1" si="231"/>
        <v>#N/A</v>
      </c>
      <c r="L162" s="13" t="e">
        <f t="shared" ca="1" si="231"/>
        <v>#N/A</v>
      </c>
      <c r="M162" s="13" t="e">
        <f t="shared" ca="1" si="231"/>
        <v>#N/A</v>
      </c>
      <c r="N162" s="13" t="e">
        <f t="shared" ca="1" si="231"/>
        <v>#N/A</v>
      </c>
      <c r="O162" s="13" t="e">
        <f t="shared" ca="1" si="231"/>
        <v>#N/A</v>
      </c>
      <c r="P162" s="13" t="e">
        <f t="shared" ca="1" si="231"/>
        <v>#N/A</v>
      </c>
      <c r="Q162" s="13" t="e">
        <f t="shared" ca="1" si="231"/>
        <v>#N/A</v>
      </c>
      <c r="R162" s="13" t="e">
        <f t="shared" ca="1" si="231"/>
        <v>#N/A</v>
      </c>
      <c r="S162" s="13" t="e">
        <f t="shared" ca="1" si="231"/>
        <v>#N/A</v>
      </c>
      <c r="T162" s="13" t="e">
        <f t="shared" ca="1" si="231"/>
        <v>#N/A</v>
      </c>
      <c r="U162" s="13" t="e">
        <f t="shared" ca="1" si="231"/>
        <v>#N/A</v>
      </c>
      <c r="V162" s="13" t="e">
        <f t="shared" ca="1" si="231"/>
        <v>#N/A</v>
      </c>
      <c r="W162" s="13" t="e">
        <f t="shared" ca="1" si="231"/>
        <v>#N/A</v>
      </c>
      <c r="X162" s="13" t="e">
        <f t="shared" ca="1" si="231"/>
        <v>#N/A</v>
      </c>
      <c r="Y162" s="13" t="e">
        <f t="shared" ca="1" si="231"/>
        <v>#N/A</v>
      </c>
      <c r="Z162" s="13" t="e">
        <f t="shared" ca="1" si="231"/>
        <v>#N/A</v>
      </c>
      <c r="AA162" s="13" t="e">
        <f t="shared" ca="1" si="231"/>
        <v>#N/A</v>
      </c>
      <c r="AB162" s="13" t="e">
        <f t="shared" ca="1" si="231"/>
        <v>#N/A</v>
      </c>
      <c r="AC162" s="13" t="e">
        <f t="shared" ca="1" si="231"/>
        <v>#N/A</v>
      </c>
      <c r="AD162" s="13" t="e">
        <f t="shared" ca="1" si="231"/>
        <v>#N/A</v>
      </c>
      <c r="AE162" s="13" t="e">
        <f t="shared" ca="1" si="231"/>
        <v>#N/A</v>
      </c>
      <c r="AF162" s="13" t="e">
        <f t="shared" ca="1" si="231"/>
        <v>#N/A</v>
      </c>
      <c r="AG162" s="13" t="e">
        <f t="shared" ca="1" si="231"/>
        <v>#N/A</v>
      </c>
      <c r="AH162" s="13" t="e">
        <f t="shared" ca="1" si="231"/>
        <v>#N/A</v>
      </c>
      <c r="AI162" s="13" t="e">
        <f t="shared" ca="1" si="231"/>
        <v>#N/A</v>
      </c>
      <c r="AJ162" s="13" t="e">
        <f t="shared" ca="1" si="231"/>
        <v>#N/A</v>
      </c>
      <c r="AK162" s="13" t="e">
        <f t="shared" ca="1" si="231"/>
        <v>#N/A</v>
      </c>
      <c r="AL162" s="13" t="e">
        <f t="shared" ca="1" si="231"/>
        <v>#N/A</v>
      </c>
      <c r="AM162" s="13" t="e">
        <f t="shared" ca="1" si="231"/>
        <v>#N/A</v>
      </c>
      <c r="AN162" s="13" t="e">
        <f t="shared" ca="1" si="231"/>
        <v>#N/A</v>
      </c>
      <c r="AO162" s="13" t="e">
        <f t="shared" ca="1" si="231"/>
        <v>#N/A</v>
      </c>
      <c r="AP162" s="13" t="e">
        <f t="shared" ca="1" si="231"/>
        <v>#N/A</v>
      </c>
      <c r="AQ162" s="13" t="e">
        <f t="shared" ca="1" si="231"/>
        <v>#N/A</v>
      </c>
      <c r="AR162" s="13" t="e">
        <f t="shared" ca="1" si="231"/>
        <v>#N/A</v>
      </c>
      <c r="AS162" s="13" t="e">
        <f t="shared" ca="1" si="231"/>
        <v>#N/A</v>
      </c>
      <c r="AT162" s="13" t="e">
        <f t="shared" ca="1" si="231"/>
        <v>#N/A</v>
      </c>
      <c r="AU162" s="13" t="e">
        <f t="shared" ca="1" si="231"/>
        <v>#N/A</v>
      </c>
      <c r="AV162" s="13" t="e">
        <f t="shared" ca="1" si="231"/>
        <v>#N/A</v>
      </c>
      <c r="AW162" s="13" t="e">
        <f t="shared" ca="1" si="231"/>
        <v>#N/A</v>
      </c>
      <c r="AX162" s="13" t="e">
        <f t="shared" ca="1" si="231"/>
        <v>#N/A</v>
      </c>
      <c r="AY162" s="13" t="e">
        <f t="shared" ca="1" si="231"/>
        <v>#N/A</v>
      </c>
      <c r="AZ162" s="13" t="e">
        <f t="shared" ca="1" si="231"/>
        <v>#N/A</v>
      </c>
      <c r="BA162" s="13" t="e">
        <f t="shared" ca="1" si="231"/>
        <v>#N/A</v>
      </c>
      <c r="BB162" s="13" t="e">
        <f t="shared" ca="1" si="231"/>
        <v>#N/A</v>
      </c>
      <c r="BC162" s="13" t="e">
        <f t="shared" ca="1" si="231"/>
        <v>#N/A</v>
      </c>
      <c r="BD162" s="13" t="e">
        <f t="shared" ca="1" si="231"/>
        <v>#N/A</v>
      </c>
      <c r="BE162" s="13" t="e">
        <f t="shared" ca="1" si="231"/>
        <v>#N/A</v>
      </c>
      <c r="BF162" s="13" t="e">
        <f t="shared" ca="1" si="231"/>
        <v>#N/A</v>
      </c>
      <c r="BG162" s="13" t="e">
        <f t="shared" ca="1" si="231"/>
        <v>#N/A</v>
      </c>
      <c r="BH162" s="13" t="e">
        <f t="shared" ca="1" si="231"/>
        <v>#N/A</v>
      </c>
      <c r="BI162" s="13" t="e">
        <f t="shared" ca="1" si="231"/>
        <v>#N/A</v>
      </c>
      <c r="BJ162" s="13" t="e">
        <f t="shared" ca="1" si="231"/>
        <v>#N/A</v>
      </c>
      <c r="BK162" s="13" t="e">
        <f t="shared" ca="1" si="231"/>
        <v>#N/A</v>
      </c>
      <c r="BL162" s="13" t="e">
        <f t="shared" ca="1" si="231"/>
        <v>#N/A</v>
      </c>
      <c r="BM162" s="13" t="e">
        <f t="shared" ca="1" si="231"/>
        <v>#N/A</v>
      </c>
      <c r="BN162" s="13" t="e">
        <f t="shared" ca="1" si="231"/>
        <v>#N/A</v>
      </c>
      <c r="BO162" s="13" t="e">
        <f t="shared" ca="1" si="231"/>
        <v>#N/A</v>
      </c>
      <c r="BP162" s="13" t="e">
        <f t="shared" ca="1" si="231"/>
        <v>#N/A</v>
      </c>
      <c r="BQ162" s="13" t="e">
        <f t="shared" ref="BQ162:BV162" ca="1" si="232">BQ102/$D162*100000</f>
        <v>#N/A</v>
      </c>
      <c r="BR162" s="13" t="e">
        <f t="shared" ca="1" si="232"/>
        <v>#N/A</v>
      </c>
      <c r="BS162" s="13" t="e">
        <f t="shared" ca="1" si="232"/>
        <v>#N/A</v>
      </c>
      <c r="BT162" s="13" t="e">
        <f t="shared" ca="1" si="232"/>
        <v>#N/A</v>
      </c>
      <c r="BU162" s="13" t="e">
        <f t="shared" ca="1" si="232"/>
        <v>#N/A</v>
      </c>
      <c r="BV162" s="13" t="e">
        <f t="shared" ca="1" si="232"/>
        <v>#N/A</v>
      </c>
      <c r="BW162" s="13" t="e">
        <f t="shared" ref="BW162:CR162" ca="1" si="233">BW102/$D162*100000</f>
        <v>#N/A</v>
      </c>
      <c r="BX162" s="13" t="e">
        <f t="shared" ca="1" si="233"/>
        <v>#N/A</v>
      </c>
      <c r="BY162" s="13" t="e">
        <f t="shared" ca="1" si="233"/>
        <v>#N/A</v>
      </c>
      <c r="BZ162" s="13" t="e">
        <f t="shared" ca="1" si="233"/>
        <v>#N/A</v>
      </c>
      <c r="CA162" s="13" t="e">
        <f t="shared" ca="1" si="233"/>
        <v>#N/A</v>
      </c>
      <c r="CB162" s="13" t="e">
        <f t="shared" ca="1" si="233"/>
        <v>#N/A</v>
      </c>
      <c r="CC162" s="13" t="e">
        <f t="shared" ca="1" si="233"/>
        <v>#N/A</v>
      </c>
      <c r="CD162" s="13" t="e">
        <f t="shared" ca="1" si="233"/>
        <v>#N/A</v>
      </c>
      <c r="CE162" s="13" t="e">
        <f t="shared" ca="1" si="233"/>
        <v>#N/A</v>
      </c>
      <c r="CF162" s="13" t="e">
        <f t="shared" ca="1" si="233"/>
        <v>#N/A</v>
      </c>
      <c r="CG162" s="13" t="e">
        <f t="shared" ca="1" si="233"/>
        <v>#N/A</v>
      </c>
      <c r="CH162" s="13" t="e">
        <f t="shared" ca="1" si="233"/>
        <v>#N/A</v>
      </c>
      <c r="CI162" s="13" t="e">
        <f t="shared" ca="1" si="233"/>
        <v>#N/A</v>
      </c>
      <c r="CJ162" s="13" t="e">
        <f t="shared" ca="1" si="233"/>
        <v>#N/A</v>
      </c>
      <c r="CK162" s="13" t="e">
        <f t="shared" ca="1" si="233"/>
        <v>#N/A</v>
      </c>
      <c r="CL162" s="13" t="e">
        <f t="shared" ca="1" si="233"/>
        <v>#N/A</v>
      </c>
      <c r="CM162" s="13" t="e">
        <f t="shared" ca="1" si="233"/>
        <v>#N/A</v>
      </c>
      <c r="CN162" s="13" t="e">
        <f t="shared" ca="1" si="233"/>
        <v>#N/A</v>
      </c>
      <c r="CO162" s="13" t="e">
        <f t="shared" ca="1" si="233"/>
        <v>#N/A</v>
      </c>
      <c r="CP162" s="13" t="e">
        <f t="shared" ca="1" si="233"/>
        <v>#N/A</v>
      </c>
      <c r="CQ162" s="13" t="e">
        <f t="shared" ca="1" si="233"/>
        <v>#N/A</v>
      </c>
      <c r="CR162" s="13" t="e">
        <f t="shared" ca="1" si="233"/>
        <v>#N/A</v>
      </c>
    </row>
    <row r="164" spans="2:96" x14ac:dyDescent="0.25">
      <c r="E164">
        <v>9</v>
      </c>
      <c r="F164">
        <f>E164+1</f>
        <v>10</v>
      </c>
      <c r="G164">
        <f t="shared" ref="G164:BR164" si="234">F164+1</f>
        <v>11</v>
      </c>
      <c r="H164">
        <f t="shared" si="234"/>
        <v>12</v>
      </c>
      <c r="I164">
        <f t="shared" si="234"/>
        <v>13</v>
      </c>
      <c r="J164">
        <f t="shared" si="234"/>
        <v>14</v>
      </c>
      <c r="K164">
        <f t="shared" si="234"/>
        <v>15</v>
      </c>
      <c r="L164">
        <f t="shared" si="234"/>
        <v>16</v>
      </c>
      <c r="M164">
        <f t="shared" si="234"/>
        <v>17</v>
      </c>
      <c r="N164">
        <f t="shared" si="234"/>
        <v>18</v>
      </c>
      <c r="O164">
        <f t="shared" si="234"/>
        <v>19</v>
      </c>
      <c r="P164">
        <f t="shared" si="234"/>
        <v>20</v>
      </c>
      <c r="Q164">
        <f t="shared" si="234"/>
        <v>21</v>
      </c>
      <c r="R164">
        <f t="shared" si="234"/>
        <v>22</v>
      </c>
      <c r="S164">
        <f t="shared" si="234"/>
        <v>23</v>
      </c>
      <c r="T164">
        <f t="shared" si="234"/>
        <v>24</v>
      </c>
      <c r="U164">
        <f t="shared" si="234"/>
        <v>25</v>
      </c>
      <c r="V164">
        <f t="shared" si="234"/>
        <v>26</v>
      </c>
      <c r="W164">
        <f t="shared" si="234"/>
        <v>27</v>
      </c>
      <c r="X164">
        <f t="shared" si="234"/>
        <v>28</v>
      </c>
      <c r="Y164">
        <f t="shared" si="234"/>
        <v>29</v>
      </c>
      <c r="Z164">
        <f t="shared" si="234"/>
        <v>30</v>
      </c>
      <c r="AA164">
        <f t="shared" si="234"/>
        <v>31</v>
      </c>
      <c r="AB164">
        <f t="shared" si="234"/>
        <v>32</v>
      </c>
      <c r="AC164">
        <f t="shared" si="234"/>
        <v>33</v>
      </c>
      <c r="AD164">
        <f t="shared" si="234"/>
        <v>34</v>
      </c>
      <c r="AE164">
        <f t="shared" si="234"/>
        <v>35</v>
      </c>
      <c r="AF164">
        <f t="shared" si="234"/>
        <v>36</v>
      </c>
      <c r="AG164">
        <f t="shared" si="234"/>
        <v>37</v>
      </c>
      <c r="AH164">
        <f t="shared" si="234"/>
        <v>38</v>
      </c>
      <c r="AI164">
        <f t="shared" si="234"/>
        <v>39</v>
      </c>
      <c r="AJ164">
        <f t="shared" si="234"/>
        <v>40</v>
      </c>
      <c r="AK164">
        <f t="shared" si="234"/>
        <v>41</v>
      </c>
      <c r="AL164">
        <f t="shared" si="234"/>
        <v>42</v>
      </c>
      <c r="AM164">
        <f t="shared" si="234"/>
        <v>43</v>
      </c>
      <c r="AN164">
        <f t="shared" si="234"/>
        <v>44</v>
      </c>
      <c r="AO164">
        <f t="shared" si="234"/>
        <v>45</v>
      </c>
      <c r="AP164">
        <f t="shared" si="234"/>
        <v>46</v>
      </c>
      <c r="AQ164">
        <f t="shared" si="234"/>
        <v>47</v>
      </c>
      <c r="AR164">
        <f t="shared" si="234"/>
        <v>48</v>
      </c>
      <c r="AS164">
        <f t="shared" si="234"/>
        <v>49</v>
      </c>
      <c r="AT164">
        <f t="shared" si="234"/>
        <v>50</v>
      </c>
      <c r="AU164">
        <f t="shared" si="234"/>
        <v>51</v>
      </c>
      <c r="AV164">
        <f t="shared" si="234"/>
        <v>52</v>
      </c>
      <c r="AW164">
        <f t="shared" si="234"/>
        <v>53</v>
      </c>
      <c r="AX164">
        <f t="shared" si="234"/>
        <v>54</v>
      </c>
      <c r="AY164">
        <f t="shared" si="234"/>
        <v>55</v>
      </c>
      <c r="AZ164">
        <f t="shared" si="234"/>
        <v>56</v>
      </c>
      <c r="BA164">
        <f t="shared" si="234"/>
        <v>57</v>
      </c>
      <c r="BB164">
        <f t="shared" si="234"/>
        <v>58</v>
      </c>
      <c r="BC164">
        <f t="shared" si="234"/>
        <v>59</v>
      </c>
      <c r="BD164">
        <f t="shared" si="234"/>
        <v>60</v>
      </c>
      <c r="BE164">
        <f t="shared" si="234"/>
        <v>61</v>
      </c>
      <c r="BF164">
        <f t="shared" si="234"/>
        <v>62</v>
      </c>
      <c r="BG164">
        <f t="shared" si="234"/>
        <v>63</v>
      </c>
      <c r="BH164">
        <f t="shared" si="234"/>
        <v>64</v>
      </c>
      <c r="BI164">
        <f t="shared" si="234"/>
        <v>65</v>
      </c>
      <c r="BJ164">
        <f t="shared" si="234"/>
        <v>66</v>
      </c>
      <c r="BK164">
        <f t="shared" si="234"/>
        <v>67</v>
      </c>
      <c r="BL164">
        <f t="shared" si="234"/>
        <v>68</v>
      </c>
      <c r="BM164">
        <f t="shared" si="234"/>
        <v>69</v>
      </c>
      <c r="BN164">
        <f t="shared" si="234"/>
        <v>70</v>
      </c>
      <c r="BO164">
        <f t="shared" si="234"/>
        <v>71</v>
      </c>
      <c r="BP164">
        <f t="shared" si="234"/>
        <v>72</v>
      </c>
      <c r="BQ164">
        <f t="shared" si="234"/>
        <v>73</v>
      </c>
      <c r="BR164">
        <f t="shared" si="234"/>
        <v>74</v>
      </c>
      <c r="BS164">
        <f t="shared" ref="BS164:BV164" si="235">BR164+1</f>
        <v>75</v>
      </c>
      <c r="BT164">
        <f t="shared" si="235"/>
        <v>76</v>
      </c>
      <c r="BU164">
        <f t="shared" si="235"/>
        <v>77</v>
      </c>
      <c r="BV164">
        <f t="shared" si="235"/>
        <v>78</v>
      </c>
      <c r="BW164">
        <f t="shared" ref="BW164" si="236">BV164+1</f>
        <v>79</v>
      </c>
      <c r="BX164">
        <f t="shared" ref="BX164" si="237">BW164+1</f>
        <v>80</v>
      </c>
      <c r="BY164">
        <f t="shared" ref="BY164" si="238">BX164+1</f>
        <v>81</v>
      </c>
      <c r="BZ164">
        <f t="shared" ref="BZ164" si="239">BY164+1</f>
        <v>82</v>
      </c>
      <c r="CA164">
        <f t="shared" ref="CA164" si="240">BZ164+1</f>
        <v>83</v>
      </c>
      <c r="CB164">
        <f t="shared" ref="CB164" si="241">CA164+1</f>
        <v>84</v>
      </c>
      <c r="CC164">
        <f t="shared" ref="CC164" si="242">CB164+1</f>
        <v>85</v>
      </c>
      <c r="CD164">
        <f t="shared" ref="CD164" si="243">CC164+1</f>
        <v>86</v>
      </c>
      <c r="CE164">
        <f t="shared" ref="CE164" si="244">CD164+1</f>
        <v>87</v>
      </c>
      <c r="CF164">
        <f t="shared" ref="CF164" si="245">CE164+1</f>
        <v>88</v>
      </c>
      <c r="CG164">
        <f t="shared" ref="CG164" si="246">CF164+1</f>
        <v>89</v>
      </c>
      <c r="CH164">
        <f t="shared" ref="CH164" si="247">CG164+1</f>
        <v>90</v>
      </c>
      <c r="CI164">
        <f t="shared" ref="CI164" si="248">CH164+1</f>
        <v>91</v>
      </c>
      <c r="CJ164">
        <f t="shared" ref="CJ164" si="249">CI164+1</f>
        <v>92</v>
      </c>
      <c r="CK164">
        <f t="shared" ref="CK164" si="250">CJ164+1</f>
        <v>93</v>
      </c>
      <c r="CL164">
        <f t="shared" ref="CL164" si="251">CK164+1</f>
        <v>94</v>
      </c>
      <c r="CM164">
        <f t="shared" ref="CM164" si="252">CL164+1</f>
        <v>95</v>
      </c>
      <c r="CN164">
        <f t="shared" ref="CN164" si="253">CM164+1</f>
        <v>96</v>
      </c>
      <c r="CO164">
        <f t="shared" ref="CO164" si="254">CN164+1</f>
        <v>97</v>
      </c>
      <c r="CP164">
        <f t="shared" ref="CP164" si="255">CO164+1</f>
        <v>98</v>
      </c>
      <c r="CQ164">
        <f t="shared" ref="CQ164" si="256">CP164+1</f>
        <v>99</v>
      </c>
      <c r="CR164">
        <f t="shared" ref="CR164" si="257">CQ164+1</f>
        <v>100</v>
      </c>
    </row>
    <row r="165" spans="2:96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2:96" x14ac:dyDescent="0.25">
      <c r="B166">
        <v>1</v>
      </c>
      <c r="C166" t="str" cm="1">
        <f t="array" aca="1" ref="C166" ca="1">INDIRECT(ADDRESS($B166+1,1,1,1,"Confirmed Trend"))</f>
        <v>Austria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t="e" cm="1">
        <f t="array" aca="1" ref="AV166" ca="1">IF(INDIRECT(ADDRESS($B166+1,AV$164,1,1,"Confirmed Trend"))=0,#N/A,INDIRECT(ADDRESS($B166+1,AV$164,1,1,"Confirmed Trend")))</f>
        <v>#N/A</v>
      </c>
      <c r="AW166" s="14" t="e" cm="1">
        <f t="array" aca="1" ref="AW166" ca="1">IF(INDIRECT(ADDRESS($B166+1,AW$164,1,1,"Confirmed Trend"))=0,#N/A,INDIRECT(ADDRESS($B166+1,AW$164,1,1,"Confirmed Trend")))</f>
        <v>#N/A</v>
      </c>
      <c r="AX166" s="14" cm="1">
        <f t="array" aca="1" ref="AX166" ca="1">IF(INDIRECT(ADDRESS($B166+1,AX$164,1,1,"Confirmed Trend"))=0,#N/A,INDIRECT(ADDRESS($B166+1,AX$164,1,1,"Confirmed Trend")))</f>
        <v>0.34800202549999998</v>
      </c>
      <c r="AY166" s="14" cm="1">
        <f t="array" aca="1" ref="AY166" ca="1">IF(INDIRECT(ADDRESS($B166+1,AY$164,1,1,"Confirmed Trend"))=0,#N/A,INDIRECT(ADDRESS($B166+1,AY$164,1,1,"Confirmed Trend")))</f>
        <v>0.3677823999</v>
      </c>
      <c r="AZ166" s="14" cm="1">
        <f t="array" aca="1" ref="AZ166" ca="1">IF(INDIRECT(ADDRESS($B166+1,AZ$164,1,1,"Confirmed Trend"))=0,#N/A,INDIRECT(ADDRESS($B166+1,AZ$164,1,1,"Confirmed Trend")))</f>
        <v>0.36292533300000002</v>
      </c>
      <c r="BA166" s="14" cm="1">
        <f t="array" aca="1" ref="BA166" ca="1">IF(INDIRECT(ADDRESS($B166+1,BA$164,1,1,"Confirmed Trend"))=0,#N/A,INDIRECT(ADDRESS($B166+1,BA$164,1,1,"Confirmed Trend")))</f>
        <v>0.35147031379999999</v>
      </c>
      <c r="BB166" s="14" cm="1">
        <f t="array" aca="1" ref="BB166" ca="1">IF(INDIRECT(ADDRESS($B166+1,BB$164,1,1,"Confirmed Trend"))=0,#N/A,INDIRECT(ADDRESS($B166+1,BB$164,1,1,"Confirmed Trend")))</f>
        <v>0.33688312009999999</v>
      </c>
      <c r="BC166" s="14" cm="1">
        <f t="array" aca="1" ref="BC166" ca="1">IF(INDIRECT(ADDRESS($B166+1,BC$164,1,1,"Confirmed Trend"))=0,#N/A,INDIRECT(ADDRESS($B166+1,BC$164,1,1,"Confirmed Trend")))</f>
        <v>0.32338581659999999</v>
      </c>
      <c r="BD166" s="14" cm="1">
        <f t="array" aca="1" ref="BD166" ca="1">IF(INDIRECT(ADDRESS($B166+1,BD$164,1,1,"Confirmed Trend"))=0,#N/A,INDIRECT(ADDRESS($B166+1,BD$164,1,1,"Confirmed Trend")))</f>
        <v>0.35291814960000001</v>
      </c>
      <c r="BE166" s="14" cm="1">
        <f t="array" aca="1" ref="BE166" ca="1">IF(INDIRECT(ADDRESS($B166+1,BE$164,1,1,"Confirmed Trend"))=0,#N/A,INDIRECT(ADDRESS($B166+1,BE$164,1,1,"Confirmed Trend")))</f>
        <v>0.36813369880000002</v>
      </c>
      <c r="BF166" s="14" cm="1">
        <f t="array" aca="1" ref="BF166" ca="1">IF(INDIRECT(ADDRESS($B166+1,BF$164,1,1,"Confirmed Trend"))=0,#N/A,INDIRECT(ADDRESS($B166+1,BF$164,1,1,"Confirmed Trend")))</f>
        <v>0.37857731509999998</v>
      </c>
      <c r="BG166" s="14" cm="1">
        <f t="array" aca="1" ref="BG166" ca="1">IF(INDIRECT(ADDRESS($B166+1,BG$164,1,1,"Confirmed Trend"))=0,#N/A,INDIRECT(ADDRESS($B166+1,BG$164,1,1,"Confirmed Trend")))</f>
        <v>0.36482849899999997</v>
      </c>
      <c r="BH166" s="14" cm="1">
        <f t="array" aca="1" ref="BH166" ca="1">IF(INDIRECT(ADDRESS($B166+1,BH$164,1,1,"Confirmed Trend"))=0,#N/A,INDIRECT(ADDRESS($B166+1,BH$164,1,1,"Confirmed Trend")))</f>
        <v>0.32166784199999998</v>
      </c>
      <c r="BI166" s="14" cm="1">
        <f t="array" aca="1" ref="BI166" ca="1">IF(INDIRECT(ADDRESS($B166+1,BI$164,1,1,"Confirmed Trend"))=0,#N/A,INDIRECT(ADDRESS($B166+1,BI$164,1,1,"Confirmed Trend")))</f>
        <v>0.28600843129999998</v>
      </c>
      <c r="BJ166" s="14" cm="1">
        <f t="array" aca="1" ref="BJ166" ca="1">IF(INDIRECT(ADDRESS($B166+1,BJ$164,1,1,"Confirmed Trend"))=0,#N/A,INDIRECT(ADDRESS($B166+1,BJ$164,1,1,"Confirmed Trend")))</f>
        <v>0.25389974119999997</v>
      </c>
      <c r="BK166" s="14" cm="1">
        <f t="array" aca="1" ref="BK166" ca="1">IF(INDIRECT(ADDRESS($B166+1,BK$164,1,1,"Confirmed Trend"))=0,#N/A,INDIRECT(ADDRESS($B166+1,BK$164,1,1,"Confirmed Trend")))</f>
        <v>0.2430144997</v>
      </c>
      <c r="BL166" s="14" cm="1">
        <f t="array" aca="1" ref="BL166" ca="1">IF(INDIRECT(ADDRESS($B166+1,BL$164,1,1,"Confirmed Trend"))=0,#N/A,INDIRECT(ADDRESS($B166+1,BL$164,1,1,"Confirmed Trend")))</f>
        <v>0.22442679709999999</v>
      </c>
      <c r="BM166" s="14" cm="1">
        <f t="array" aca="1" ref="BM166" ca="1">IF(INDIRECT(ADDRESS($B166+1,BM$164,1,1,"Confirmed Trend"))=0,#N/A,INDIRECT(ADDRESS($B166+1,BM$164,1,1,"Confirmed Trend")))</f>
        <v>0.21763384720000001</v>
      </c>
      <c r="BN166" s="14" cm="1">
        <f t="array" aca="1" ref="BN166" ca="1">IF(INDIRECT(ADDRESS($B166+1,BN$164,1,1,"Confirmed Trend"))=0,#N/A,INDIRECT(ADDRESS($B166+1,BN$164,1,1,"Confirmed Trend")))</f>
        <v>0.21481597290000001</v>
      </c>
      <c r="BO166" s="14" cm="1">
        <f t="array" aca="1" ref="BO166" ca="1">IF(INDIRECT(ADDRESS($B166+1,BO$164,1,1,"Confirmed Trend"))=0,#N/A,INDIRECT(ADDRESS($B166+1,BO$164,1,1,"Confirmed Trend")))</f>
        <v>0.2186972355</v>
      </c>
      <c r="BP166" s="14" cm="1">
        <f t="array" aca="1" ref="BP166" ca="1">IF(INDIRECT(ADDRESS($B166+1,BP$164,1,1,"Confirmed Trend"))=0,#N/A,INDIRECT(ADDRESS($B166+1,BP$164,1,1,"Confirmed Trend")))</f>
        <v>0.20762651330000001</v>
      </c>
      <c r="BQ166" s="14" cm="1">
        <f t="array" aca="1" ref="BQ166" ca="1">IF(INDIRECT(ADDRESS($B166+1,BQ$164,1,1,"Confirmed Trend"))=0,#N/A,INDIRECT(ADDRESS($B166+1,BQ$164,1,1,"Confirmed Trend")))</f>
        <v>0.19277865129999999</v>
      </c>
      <c r="BR166" s="14" cm="1">
        <f t="array" aca="1" ref="BR166" ca="1">IF(INDIRECT(ADDRESS($B166+1,BR$164,1,1,"Confirmed Trend"))=0,#N/A,INDIRECT(ADDRESS($B166+1,BR$164,1,1,"Confirmed Trend")))</f>
        <v>0.16689808610000001</v>
      </c>
      <c r="BS166" s="14" cm="1">
        <f t="array" aca="1" ref="BS166" ca="1">IF(INDIRECT(ADDRESS($B166+1,BS$164,1,1,"Confirmed Trend"))=0,#N/A,INDIRECT(ADDRESS($B166+1,BS$164,1,1,"Confirmed Trend")))</f>
        <v>0.1438759916</v>
      </c>
      <c r="BT166" s="14" cm="1">
        <f t="array" aca="1" ref="BT166" ca="1">IF(INDIRECT(ADDRESS($B166+1,BT$164,1,1,"Confirmed Trend"))=0,#N/A,INDIRECT(ADDRESS($B166+1,BT$164,1,1,"Confirmed Trend")))</f>
        <v>0.12655609979999999</v>
      </c>
      <c r="BU166" s="14" cm="1">
        <f t="array" aca="1" ref="BU166" ca="1">IF(INDIRECT(ADDRESS($B166+1,BU$164,1,1,"Confirmed Trend"))=0,#N/A,INDIRECT(ADDRESS($B166+1,BU$164,1,1,"Confirmed Trend")))</f>
        <v>0.1067545295</v>
      </c>
      <c r="BV166" s="14" cm="1">
        <f t="array" aca="1" ref="BV166" ca="1">IF(INDIRECT(ADDRESS($B166+1,BV$164,1,1,"Confirmed Trend"))=0,#N/A,INDIRECT(ADDRESS($B166+1,BV$164,1,1,"Confirmed Trend")))</f>
        <v>9.13097462E-2</v>
      </c>
      <c r="BW166" s="14" cm="1">
        <f t="array" aca="1" ref="BW166" ca="1">IF(INDIRECT(ADDRESS($B166+1,BW$164,1,1,"Confirmed Trend"))=0,#N/A,INDIRECT(ADDRESS($B166+1,BW$164,1,1,"Confirmed Trend")))</f>
        <v>7.5095961000000003E-2</v>
      </c>
      <c r="BX166" s="14" cm="1">
        <f t="array" aca="1" ref="BX166" ca="1">IF(INDIRECT(ADDRESS($B166+1,BX$164,1,1,"Confirmed Trend"))=0,#N/A,INDIRECT(ADDRESS($B166+1,BX$164,1,1,"Confirmed Trend")))</f>
        <v>6.6868236600000006E-2</v>
      </c>
      <c r="BY166" s="14" cm="1">
        <f t="array" aca="1" ref="BY166" ca="1">IF(INDIRECT(ADDRESS($B166+1,BY$164,1,1,"Confirmed Trend"))=0,#N/A,INDIRECT(ADDRESS($B166+1,BY$164,1,1,"Confirmed Trend")))</f>
        <v>5.7511943400000001E-2</v>
      </c>
      <c r="BZ166" s="14" cm="1">
        <f t="array" aca="1" ref="BZ166" ca="1">IF(INDIRECT(ADDRESS($B166+1,BZ$164,1,1,"Confirmed Trend"))=0,#N/A,INDIRECT(ADDRESS($B166+1,BZ$164,1,1,"Confirmed Trend")))</f>
        <v>4.7631435299999997E-2</v>
      </c>
      <c r="CA166" s="14" cm="1">
        <f t="array" aca="1" ref="CA166" ca="1">IF(INDIRECT(ADDRESS($B166+1,CA$164,1,1,"Confirmed Trend"))=0,#N/A,INDIRECT(ADDRESS($B166+1,CA$164,1,1,"Confirmed Trend")))</f>
        <v>3.7549410700000001E-2</v>
      </c>
      <c r="CB166" s="14" cm="1">
        <f t="array" aca="1" ref="CB166" ca="1">IF(INDIRECT(ADDRESS($B166+1,CB$164,1,1,"Confirmed Trend"))=0,#N/A,INDIRECT(ADDRESS($B166+1,CB$164,1,1,"Confirmed Trend")))</f>
        <v>3.0643938400000001E-2</v>
      </c>
      <c r="CC166" s="14" cm="1">
        <f t="array" aca="1" ref="CC166" ca="1">IF(INDIRECT(ADDRESS($B166+1,CC$164,1,1,"Confirmed Trend"))=0,#N/A,INDIRECT(ADDRESS($B166+1,CC$164,1,1,"Confirmed Trend")))</f>
        <v>2.6107232399999999E-2</v>
      </c>
      <c r="CD166" s="14" cm="1">
        <f t="array" aca="1" ref="CD166" ca="1">IF(INDIRECT(ADDRESS($B166+1,CD$164,1,1,"Confirmed Trend"))=0,#N/A,INDIRECT(ADDRESS($B166+1,CD$164,1,1,"Confirmed Trend")))</f>
        <v>2.4117744699999999E-2</v>
      </c>
      <c r="CE166" s="14" cm="1">
        <f t="array" aca="1" ref="CE166" ca="1">IF(INDIRECT(ADDRESS($B166+1,CE$164,1,1,"Confirmed Trend"))=0,#N/A,INDIRECT(ADDRESS($B166+1,CE$164,1,1,"Confirmed Trend")))</f>
        <v>2.3674970900000002E-2</v>
      </c>
      <c r="CF166" s="14" cm="1">
        <f t="array" aca="1" ref="CF166" ca="1">IF(INDIRECT(ADDRESS($B166+1,CF$164,1,1,"Confirmed Trend"))=0,#N/A,INDIRECT(ADDRESS($B166+1,CF$164,1,1,"Confirmed Trend")))</f>
        <v>2.4107890999999999E-2</v>
      </c>
      <c r="CG166" s="14" cm="1">
        <f t="array" aca="1" ref="CG166" ca="1">IF(INDIRECT(ADDRESS($B166+1,CG$164,1,1,"Confirmed Trend"))=0,#N/A,INDIRECT(ADDRESS($B166+1,CG$164,1,1,"Confirmed Trend")))</f>
        <v>2.36054791E-2</v>
      </c>
      <c r="CH166" s="14" cm="1">
        <f t="array" aca="1" ref="CH166" ca="1">IF(INDIRECT(ADDRESS($B166+1,CH$164,1,1,"Confirmed Trend"))=0,#N/A,INDIRECT(ADDRESS($B166+1,CH$164,1,1,"Confirmed Trend")))</f>
        <v>2.1895590699999998E-2</v>
      </c>
      <c r="CI166" s="14" cm="1">
        <f t="array" aca="1" ref="CI166" ca="1">IF(INDIRECT(ADDRESS($B166+1,CI$164,1,1,"Confirmed Trend"))=0,#N/A,INDIRECT(ADDRESS($B166+1,CI$164,1,1,"Confirmed Trend")))</f>
        <v>1.8580652600000001E-2</v>
      </c>
      <c r="CJ166" s="14" cm="1">
        <f t="array" aca="1" ref="CJ166" ca="1">IF(INDIRECT(ADDRESS($B166+1,CJ$164,1,1,"Confirmed Trend"))=0,#N/A,INDIRECT(ADDRESS($B166+1,CJ$164,1,1,"Confirmed Trend")))</f>
        <v>1.51945664E-2</v>
      </c>
      <c r="CK166" s="14" cm="1">
        <f t="array" aca="1" ref="CK166" ca="1">IF(INDIRECT(ADDRESS($B166+1,CK$164,1,1,"Confirmed Trend"))=0,#N/A,INDIRECT(ADDRESS($B166+1,CK$164,1,1,"Confirmed Trend")))</f>
        <v>1.2080755300000001E-2</v>
      </c>
      <c r="CL166" s="14" cm="1">
        <f t="array" aca="1" ref="CL166" ca="1">IF(INDIRECT(ADDRESS($B166+1,CL$164,1,1,"Confirmed Trend"))=0,#N/A,INDIRECT(ADDRESS($B166+1,CL$164,1,1,"Confirmed Trend")))</f>
        <v>1.03218259E-2</v>
      </c>
      <c r="CM166" s="14" cm="1">
        <f t="array" aca="1" ref="CM166" ca="1">IF(INDIRECT(ADDRESS($B166+1,CM$164,1,1,"Confirmed Trend"))=0,#N/A,INDIRECT(ADDRESS($B166+1,CM$164,1,1,"Confirmed Trend")))</f>
        <v>9.5240137000000002E-3</v>
      </c>
      <c r="CN166" s="14" t="e" cm="1">
        <f t="array" aca="1" ref="CN166" ca="1">IF(INDIRECT(ADDRESS($B166+1,CN$164,1,1,"Confirmed Trend"))=0,#N/A,INDIRECT(ADDRESS($B166+1,CN$164,1,1,"Confirmed Trend")))</f>
        <v>#N/A</v>
      </c>
      <c r="CO166" s="14" t="e" cm="1">
        <f t="array" aca="1" ref="CO166" ca="1">IF(INDIRECT(ADDRESS($B166+1,CO$164,1,1,"Confirmed Trend"))=0,#N/A,INDIRECT(ADDRESS($B166+1,CO$164,1,1,"Confirmed Trend")))</f>
        <v>#N/A</v>
      </c>
      <c r="CP166" s="14" t="e" cm="1">
        <f t="array" aca="1" ref="CP166" ca="1">IF(INDIRECT(ADDRESS($B166+1,CP$164,1,1,"Confirmed Trend"))=0,#N/A,INDIRECT(ADDRESS($B166+1,CP$164,1,1,"Confirmed Trend")))</f>
        <v>#N/A</v>
      </c>
      <c r="CQ166" s="14" t="e" cm="1">
        <f t="array" aca="1" ref="CQ166" ca="1">IF(INDIRECT(ADDRESS($B166+1,CQ$164,1,1,"Confirmed Trend"))=0,#N/A,INDIRECT(ADDRESS($B166+1,CQ$164,1,1,"Confirmed Trend")))</f>
        <v>#N/A</v>
      </c>
      <c r="CR166" s="14" t="e" cm="1">
        <f t="array" aca="1" ref="CR166" ca="1">IF(INDIRECT(ADDRESS($B166+1,CR$164,1,1,"Confirmed Trend"))=0,#N/A,INDIRECT(ADDRESS($B166+1,CR$164,1,1,"Confirmed Trend")))</f>
        <v>#N/A</v>
      </c>
    </row>
    <row r="167" spans="2:96" x14ac:dyDescent="0.25">
      <c r="B167">
        <f>B166+1</f>
        <v>2</v>
      </c>
      <c r="C167" t="str" cm="1">
        <f t="array" aca="1" ref="C167" ca="1">INDIRECT(ADDRESS($B167+1,1,1,1,"Confirmed Trend"))</f>
        <v>Belgium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cm="1">
        <f t="array" aca="1" ref="AZ167" ca="1">IF(INDIRECT(ADDRESS($B167+1,AZ$164,1,1,"Confirmed Trend"))=0,#N/A,INDIRECT(ADDRESS($B167+1,AZ$164,1,1,"Confirmed Trend")))</f>
        <v>0.63061443279999996</v>
      </c>
      <c r="BA167" s="14" cm="1">
        <f t="array" aca="1" ref="BA167" ca="1">IF(INDIRECT(ADDRESS($B167+1,BA$164,1,1,"Confirmed Trend"))=0,#N/A,INDIRECT(ADDRESS($B167+1,BA$164,1,1,"Confirmed Trend")))</f>
        <v>0.40340599780000003</v>
      </c>
      <c r="BB167" s="14" cm="1">
        <f t="array" aca="1" ref="BB167" ca="1">IF(INDIRECT(ADDRESS($B167+1,BB$164,1,1,"Confirmed Trend"))=0,#N/A,INDIRECT(ADDRESS($B167+1,BB$164,1,1,"Confirmed Trend")))</f>
        <v>0.25743342969999999</v>
      </c>
      <c r="BC167" s="14" cm="1">
        <f t="array" aca="1" ref="BC167" ca="1">IF(INDIRECT(ADDRESS($B167+1,BC$164,1,1,"Confirmed Trend"))=0,#N/A,INDIRECT(ADDRESS($B167+1,BC$164,1,1,"Confirmed Trend")))</f>
        <v>0.2078878988</v>
      </c>
      <c r="BD167" s="14" cm="1">
        <f t="array" aca="1" ref="BD167" ca="1">IF(INDIRECT(ADDRESS($B167+1,BD$164,1,1,"Confirmed Trend"))=0,#N/A,INDIRECT(ADDRESS($B167+1,BD$164,1,1,"Confirmed Trend")))</f>
        <v>0.21143601540000001</v>
      </c>
      <c r="BE167" s="14" cm="1">
        <f t="array" aca="1" ref="BE167" ca="1">IF(INDIRECT(ADDRESS($B167+1,BE$164,1,1,"Confirmed Trend"))=0,#N/A,INDIRECT(ADDRESS($B167+1,BE$164,1,1,"Confirmed Trend")))</f>
        <v>0.24284388130000001</v>
      </c>
      <c r="BF167" s="14" cm="1">
        <f t="array" aca="1" ref="BF167" ca="1">IF(INDIRECT(ADDRESS($B167+1,BF$164,1,1,"Confirmed Trend"))=0,#N/A,INDIRECT(ADDRESS($B167+1,BF$164,1,1,"Confirmed Trend")))</f>
        <v>0.2701211288</v>
      </c>
      <c r="BG167" s="14" cm="1">
        <f t="array" aca="1" ref="BG167" ca="1">IF(INDIRECT(ADDRESS($B167+1,BG$164,1,1,"Confirmed Trend"))=0,#N/A,INDIRECT(ADDRESS($B167+1,BG$164,1,1,"Confirmed Trend")))</f>
        <v>0.2683207869</v>
      </c>
      <c r="BH167" s="14" cm="1">
        <f t="array" aca="1" ref="BH167" ca="1">IF(INDIRECT(ADDRESS($B167+1,BH$164,1,1,"Confirmed Trend"))=0,#N/A,INDIRECT(ADDRESS($B167+1,BH$164,1,1,"Confirmed Trend")))</f>
        <v>0.24901927409999999</v>
      </c>
      <c r="BI167" s="14" cm="1">
        <f t="array" aca="1" ref="BI167" ca="1">IF(INDIRECT(ADDRESS($B167+1,BI$164,1,1,"Confirmed Trend"))=0,#N/A,INDIRECT(ADDRESS($B167+1,BI$164,1,1,"Confirmed Trend")))</f>
        <v>0.22449233939999999</v>
      </c>
      <c r="BJ167" s="14" cm="1">
        <f t="array" aca="1" ref="BJ167" ca="1">IF(INDIRECT(ADDRESS($B167+1,BJ$164,1,1,"Confirmed Trend"))=0,#N/A,INDIRECT(ADDRESS($B167+1,BJ$164,1,1,"Confirmed Trend")))</f>
        <v>0.20665202290000001</v>
      </c>
      <c r="BK167" s="14" cm="1">
        <f t="array" aca="1" ref="BK167" ca="1">IF(INDIRECT(ADDRESS($B167+1,BK$164,1,1,"Confirmed Trend"))=0,#N/A,INDIRECT(ADDRESS($B167+1,BK$164,1,1,"Confirmed Trend")))</f>
        <v>0.20427459049999999</v>
      </c>
      <c r="BL167" s="14" cm="1">
        <f t="array" aca="1" ref="BL167" ca="1">IF(INDIRECT(ADDRESS($B167+1,BL$164,1,1,"Confirmed Trend"))=0,#N/A,INDIRECT(ADDRESS($B167+1,BL$164,1,1,"Confirmed Trend")))</f>
        <v>0.2115636809</v>
      </c>
      <c r="BM167" s="14" cm="1">
        <f t="array" aca="1" ref="BM167" ca="1">IF(INDIRECT(ADDRESS($B167+1,BM$164,1,1,"Confirmed Trend"))=0,#N/A,INDIRECT(ADDRESS($B167+1,BM$164,1,1,"Confirmed Trend")))</f>
        <v>0.22302539630000001</v>
      </c>
      <c r="BN167" s="14" cm="1">
        <f t="array" aca="1" ref="BN167" ca="1">IF(INDIRECT(ADDRESS($B167+1,BN$164,1,1,"Confirmed Trend"))=0,#N/A,INDIRECT(ADDRESS($B167+1,BN$164,1,1,"Confirmed Trend")))</f>
        <v>0.2180729085</v>
      </c>
      <c r="BO167" s="14" cm="1">
        <f t="array" aca="1" ref="BO167" ca="1">IF(INDIRECT(ADDRESS($B167+1,BO$164,1,1,"Confirmed Trend"))=0,#N/A,INDIRECT(ADDRESS($B167+1,BO$164,1,1,"Confirmed Trend")))</f>
        <v>0.19815144670000001</v>
      </c>
      <c r="BP167" s="14" cm="1">
        <f t="array" aca="1" ref="BP167" ca="1">IF(INDIRECT(ADDRESS($B167+1,BP$164,1,1,"Confirmed Trend"))=0,#N/A,INDIRECT(ADDRESS($B167+1,BP$164,1,1,"Confirmed Trend")))</f>
        <v>0.1718372413</v>
      </c>
      <c r="BQ167" s="14" cm="1">
        <f t="array" aca="1" ref="BQ167" ca="1">IF(INDIRECT(ADDRESS($B167+1,BQ$164,1,1,"Confirmed Trend"))=0,#N/A,INDIRECT(ADDRESS($B167+1,BQ$164,1,1,"Confirmed Trend")))</f>
        <v>0.1618753933</v>
      </c>
      <c r="BR167" s="14" cm="1">
        <f t="array" aca="1" ref="BR167" ca="1">IF(INDIRECT(ADDRESS($B167+1,BR$164,1,1,"Confirmed Trend"))=0,#N/A,INDIRECT(ADDRESS($B167+1,BR$164,1,1,"Confirmed Trend")))</f>
        <v>0.16675712670000001</v>
      </c>
      <c r="BS167" s="14" cm="1">
        <f t="array" aca="1" ref="BS167" ca="1">IF(INDIRECT(ADDRESS($B167+1,BS$164,1,1,"Confirmed Trend"))=0,#N/A,INDIRECT(ADDRESS($B167+1,BS$164,1,1,"Confirmed Trend")))</f>
        <v>0.18694740949999999</v>
      </c>
      <c r="BT167" s="14" cm="1">
        <f t="array" aca="1" ref="BT167" ca="1">IF(INDIRECT(ADDRESS($B167+1,BT$164,1,1,"Confirmed Trend"))=0,#N/A,INDIRECT(ADDRESS($B167+1,BT$164,1,1,"Confirmed Trend")))</f>
        <v>0.20447698280000001</v>
      </c>
      <c r="BU167" s="14" cm="1">
        <f t="array" aca="1" ref="BU167" ca="1">IF(INDIRECT(ADDRESS($B167+1,BU$164,1,1,"Confirmed Trend"))=0,#N/A,INDIRECT(ADDRESS($B167+1,BU$164,1,1,"Confirmed Trend")))</f>
        <v>0.19859718479999999</v>
      </c>
      <c r="BV167" s="14" cm="1">
        <f t="array" aca="1" ref="BV167" ca="1">IF(INDIRECT(ADDRESS($B167+1,BV$164,1,1,"Confirmed Trend"))=0,#N/A,INDIRECT(ADDRESS($B167+1,BV$164,1,1,"Confirmed Trend")))</f>
        <v>0.17775043330000001</v>
      </c>
      <c r="BW167" s="14" cm="1">
        <f t="array" aca="1" ref="BW167" ca="1">IF(INDIRECT(ADDRESS($B167+1,BW$164,1,1,"Confirmed Trend"))=0,#N/A,INDIRECT(ADDRESS($B167+1,BW$164,1,1,"Confirmed Trend")))</f>
        <v>0.1428052538</v>
      </c>
      <c r="BX167" s="14" cm="1">
        <f t="array" aca="1" ref="BX167" ca="1">IF(INDIRECT(ADDRESS($B167+1,BX$164,1,1,"Confirmed Trend"))=0,#N/A,INDIRECT(ADDRESS($B167+1,BX$164,1,1,"Confirmed Trend")))</f>
        <v>0.1147550016</v>
      </c>
      <c r="BY167" s="14" cm="1">
        <f t="array" aca="1" ref="BY167" ca="1">IF(INDIRECT(ADDRESS($B167+1,BY$164,1,1,"Confirmed Trend"))=0,#N/A,INDIRECT(ADDRESS($B167+1,BY$164,1,1,"Confirmed Trend")))</f>
        <v>9.6581010300000006E-2</v>
      </c>
      <c r="BZ167" s="14" cm="1">
        <f t="array" aca="1" ref="BZ167" ca="1">IF(INDIRECT(ADDRESS($B167+1,BZ$164,1,1,"Confirmed Trend"))=0,#N/A,INDIRECT(ADDRESS($B167+1,BZ$164,1,1,"Confirmed Trend")))</f>
        <v>9.2296328900000002E-2</v>
      </c>
      <c r="CA167" s="14" cm="1">
        <f t="array" aca="1" ref="CA167" ca="1">IF(INDIRECT(ADDRESS($B167+1,CA$164,1,1,"Confirmed Trend"))=0,#N/A,INDIRECT(ADDRESS($B167+1,CA$164,1,1,"Confirmed Trend")))</f>
        <v>9.1751014399999997E-2</v>
      </c>
      <c r="CB167" s="14" cm="1">
        <f t="array" aca="1" ref="CB167" ca="1">IF(INDIRECT(ADDRESS($B167+1,CB$164,1,1,"Confirmed Trend"))=0,#N/A,INDIRECT(ADDRESS($B167+1,CB$164,1,1,"Confirmed Trend")))</f>
        <v>8.7822836700000004E-2</v>
      </c>
      <c r="CC167" s="14" cm="1">
        <f t="array" aca="1" ref="CC167" ca="1">IF(INDIRECT(ADDRESS($B167+1,CC$164,1,1,"Confirmed Trend"))=0,#N/A,INDIRECT(ADDRESS($B167+1,CC$164,1,1,"Confirmed Trend")))</f>
        <v>8.00213075E-2</v>
      </c>
      <c r="CD167" s="14" cm="1">
        <f t="array" aca="1" ref="CD167" ca="1">IF(INDIRECT(ADDRESS($B167+1,CD$164,1,1,"Confirmed Trend"))=0,#N/A,INDIRECT(ADDRESS($B167+1,CD$164,1,1,"Confirmed Trend")))</f>
        <v>7.0611398399999997E-2</v>
      </c>
      <c r="CE167" s="14" cm="1">
        <f t="array" aca="1" ref="CE167" ca="1">IF(INDIRECT(ADDRESS($B167+1,CE$164,1,1,"Confirmed Trend"))=0,#N/A,INDIRECT(ADDRESS($B167+1,CE$164,1,1,"Confirmed Trend")))</f>
        <v>6.4861559799999996E-2</v>
      </c>
      <c r="CF167" s="14" cm="1">
        <f t="array" aca="1" ref="CF167" ca="1">IF(INDIRECT(ADDRESS($B167+1,CF$164,1,1,"Confirmed Trend"))=0,#N/A,INDIRECT(ADDRESS($B167+1,CF$164,1,1,"Confirmed Trend")))</f>
        <v>6.2299188899999997E-2</v>
      </c>
      <c r="CG167" s="14" cm="1">
        <f t="array" aca="1" ref="CG167" ca="1">IF(INDIRECT(ADDRESS($B167+1,CG$164,1,1,"Confirmed Trend"))=0,#N/A,INDIRECT(ADDRESS($B167+1,CG$164,1,1,"Confirmed Trend")))</f>
        <v>6.1709797599999998E-2</v>
      </c>
      <c r="CH167" s="14" cm="1">
        <f t="array" aca="1" ref="CH167" ca="1">IF(INDIRECT(ADDRESS($B167+1,CH$164,1,1,"Confirmed Trend"))=0,#N/A,INDIRECT(ADDRESS($B167+1,CH$164,1,1,"Confirmed Trend")))</f>
        <v>6.1544232499999997E-2</v>
      </c>
      <c r="CI167" s="14" cm="1">
        <f t="array" aca="1" ref="CI167" ca="1">IF(INDIRECT(ADDRESS($B167+1,CI$164,1,1,"Confirmed Trend"))=0,#N/A,INDIRECT(ADDRESS($B167+1,CI$164,1,1,"Confirmed Trend")))</f>
        <v>5.7458143500000003E-2</v>
      </c>
      <c r="CJ167" s="14" cm="1">
        <f t="array" aca="1" ref="CJ167" ca="1">IF(INDIRECT(ADDRESS($B167+1,CJ$164,1,1,"Confirmed Trend"))=0,#N/A,INDIRECT(ADDRESS($B167+1,CJ$164,1,1,"Confirmed Trend")))</f>
        <v>5.03669941E-2</v>
      </c>
      <c r="CK167" s="14" cm="1">
        <f t="array" aca="1" ref="CK167" ca="1">IF(INDIRECT(ADDRESS($B167+1,CK$164,1,1,"Confirmed Trend"))=0,#N/A,INDIRECT(ADDRESS($B167+1,CK$164,1,1,"Confirmed Trend")))</f>
        <v>4.57565609E-2</v>
      </c>
      <c r="CL167" s="14" cm="1">
        <f t="array" aca="1" ref="CL167" ca="1">IF(INDIRECT(ADDRESS($B167+1,CL$164,1,1,"Confirmed Trend"))=0,#N/A,INDIRECT(ADDRESS($B167+1,CL$164,1,1,"Confirmed Trend")))</f>
        <v>4.2218460300000003E-2</v>
      </c>
      <c r="CM167" s="14" cm="1">
        <f t="array" aca="1" ref="CM167" ca="1">IF(INDIRECT(ADDRESS($B167+1,CM$164,1,1,"Confirmed Trend"))=0,#N/A,INDIRECT(ADDRESS($B167+1,CM$164,1,1,"Confirmed Trend")))</f>
        <v>4.3196810799999999E-2</v>
      </c>
      <c r="CN167" s="14" t="e" cm="1">
        <f t="array" aca="1" ref="CN167" ca="1">IF(INDIRECT(ADDRESS($B167+1,CN$164,1,1,"Confirmed Trend"))=0,#N/A,INDIRECT(ADDRESS($B167+1,CN$164,1,1,"Confirmed Trend")))</f>
        <v>#N/A</v>
      </c>
      <c r="CO167" s="14" t="e" cm="1">
        <f t="array" aca="1" ref="CO167" ca="1">IF(INDIRECT(ADDRESS($B167+1,CO$164,1,1,"Confirmed Trend"))=0,#N/A,INDIRECT(ADDRESS($B167+1,CO$164,1,1,"Confirmed Trend")))</f>
        <v>#N/A</v>
      </c>
      <c r="CP167" s="14" t="e" cm="1">
        <f t="array" aca="1" ref="CP167" ca="1">IF(INDIRECT(ADDRESS($B167+1,CP$164,1,1,"Confirmed Trend"))=0,#N/A,INDIRECT(ADDRESS($B167+1,CP$164,1,1,"Confirmed Trend")))</f>
        <v>#N/A</v>
      </c>
      <c r="CQ167" s="14" t="e" cm="1">
        <f t="array" aca="1" ref="CQ167" ca="1">IF(INDIRECT(ADDRESS($B167+1,CQ$164,1,1,"Confirmed Trend"))=0,#N/A,INDIRECT(ADDRESS($B167+1,CQ$164,1,1,"Confirmed Trend")))</f>
        <v>#N/A</v>
      </c>
      <c r="CR167" s="14" t="e" cm="1">
        <f t="array" aca="1" ref="CR167" ca="1">IF(INDIRECT(ADDRESS($B167+1,CR$164,1,1,"Confirmed Trend"))=0,#N/A,INDIRECT(ADDRESS($B167+1,CR$164,1,1,"Confirmed Trend")))</f>
        <v>#N/A</v>
      </c>
    </row>
    <row r="168" spans="2:96" x14ac:dyDescent="0.25">
      <c r="B168">
        <f t="shared" ref="B168:B225" si="258">B167+1</f>
        <v>3</v>
      </c>
      <c r="C168" t="str" cm="1">
        <f t="array" aca="1" ref="C168" ca="1">INDIRECT(ADDRESS($B168+1,1,1,1,"Confirmed Trend"))</f>
        <v>Canada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cm="1">
        <f t="array" aca="1" ref="AR168" ca="1">IF(INDIRECT(ADDRESS($B168+1,AR$164,1,1,"Confirmed Trend"))=0,#N/A,INDIRECT(ADDRESS($B168+1,AR$164,1,1,"Confirmed Trend")))</f>
        <v>0.15140606679999999</v>
      </c>
      <c r="AS168" s="14" cm="1">
        <f t="array" aca="1" ref="AS168" ca="1">IF(INDIRECT(ADDRESS($B168+1,AS$164,1,1,"Confirmed Trend"))=0,#N/A,INDIRECT(ADDRESS($B168+1,AS$164,1,1,"Confirmed Trend")))</f>
        <v>0.1850562415</v>
      </c>
      <c r="AT168" s="14" cm="1">
        <f t="array" aca="1" ref="AT168" ca="1">IF(INDIRECT(ADDRESS($B168+1,AT$164,1,1,"Confirmed Trend"))=0,#N/A,INDIRECT(ADDRESS($B168+1,AT$164,1,1,"Confirmed Trend")))</f>
        <v>0.20048048060000001</v>
      </c>
      <c r="AU168" s="14" cm="1">
        <f t="array" aca="1" ref="AU168" ca="1">IF(INDIRECT(ADDRESS($B168+1,AU$164,1,1,"Confirmed Trend"))=0,#N/A,INDIRECT(ADDRESS($B168+1,AU$164,1,1,"Confirmed Trend")))</f>
        <v>0.1763489329</v>
      </c>
      <c r="AV168" s="14" cm="1">
        <f t="array" aca="1" ref="AV168" ca="1">IF(INDIRECT(ADDRESS($B168+1,AV$164,1,1,"Confirmed Trend"))=0,#N/A,INDIRECT(ADDRESS($B168+1,AV$164,1,1,"Confirmed Trend")))</f>
        <v>0.14589019049999999</v>
      </c>
      <c r="AW168" s="14" cm="1">
        <f t="array" aca="1" ref="AW168" ca="1">IF(INDIRECT(ADDRESS($B168+1,AW$164,1,1,"Confirmed Trend"))=0,#N/A,INDIRECT(ADDRESS($B168+1,AW$164,1,1,"Confirmed Trend")))</f>
        <v>0.13781630559999999</v>
      </c>
      <c r="AX168" s="14" cm="1">
        <f t="array" aca="1" ref="AX168" ca="1">IF(INDIRECT(ADDRESS($B168+1,AX$164,1,1,"Confirmed Trend"))=0,#N/A,INDIRECT(ADDRESS($B168+1,AX$164,1,1,"Confirmed Trend")))</f>
        <v>0.1465968761</v>
      </c>
      <c r="AY168" s="14" cm="1">
        <f t="array" aca="1" ref="AY168" ca="1">IF(INDIRECT(ADDRESS($B168+1,AY$164,1,1,"Confirmed Trend"))=0,#N/A,INDIRECT(ADDRESS($B168+1,AY$164,1,1,"Confirmed Trend")))</f>
        <v>0.16712800620000001</v>
      </c>
      <c r="AZ168" s="14" cm="1">
        <f t="array" aca="1" ref="AZ168" ca="1">IF(INDIRECT(ADDRESS($B168+1,AZ$164,1,1,"Confirmed Trend"))=0,#N/A,INDIRECT(ADDRESS($B168+1,AZ$164,1,1,"Confirmed Trend")))</f>
        <v>0.18170385650000001</v>
      </c>
      <c r="BA168" s="14" cm="1">
        <f t="array" aca="1" ref="BA168" ca="1">IF(INDIRECT(ADDRESS($B168+1,BA$164,1,1,"Confirmed Trend"))=0,#N/A,INDIRECT(ADDRESS($B168+1,BA$164,1,1,"Confirmed Trend")))</f>
        <v>0.16605471629999999</v>
      </c>
      <c r="BB168" s="14" cm="1">
        <f t="array" aca="1" ref="BB168" ca="1">IF(INDIRECT(ADDRESS($B168+1,BB$164,1,1,"Confirmed Trend"))=0,#N/A,INDIRECT(ADDRESS($B168+1,BB$164,1,1,"Confirmed Trend")))</f>
        <v>0.17184176600000001</v>
      </c>
      <c r="BC168" s="14" cm="1">
        <f t="array" aca="1" ref="BC168" ca="1">IF(INDIRECT(ADDRESS($B168+1,BC$164,1,1,"Confirmed Trend"))=0,#N/A,INDIRECT(ADDRESS($B168+1,BC$164,1,1,"Confirmed Trend")))</f>
        <v>0.16155366139999999</v>
      </c>
      <c r="BD168" s="14" cm="1">
        <f t="array" aca="1" ref="BD168" ca="1">IF(INDIRECT(ADDRESS($B168+1,BD$164,1,1,"Confirmed Trend"))=0,#N/A,INDIRECT(ADDRESS($B168+1,BD$164,1,1,"Confirmed Trend")))</f>
        <v>0.2085501589</v>
      </c>
      <c r="BE168" s="14" cm="1">
        <f t="array" aca="1" ref="BE168" ca="1">IF(INDIRECT(ADDRESS($B168+1,BE$164,1,1,"Confirmed Trend"))=0,#N/A,INDIRECT(ADDRESS($B168+1,BE$164,1,1,"Confirmed Trend")))</f>
        <v>0.23027433420000001</v>
      </c>
      <c r="BF168" s="14" cm="1">
        <f t="array" aca="1" ref="BF168" ca="1">IF(INDIRECT(ADDRESS($B168+1,BF$164,1,1,"Confirmed Trend"))=0,#N/A,INDIRECT(ADDRESS($B168+1,BF$164,1,1,"Confirmed Trend")))</f>
        <v>0.24633237459999999</v>
      </c>
      <c r="BG168" s="14" cm="1">
        <f t="array" aca="1" ref="BG168" ca="1">IF(INDIRECT(ADDRESS($B168+1,BG$164,1,1,"Confirmed Trend"))=0,#N/A,INDIRECT(ADDRESS($B168+1,BG$164,1,1,"Confirmed Trend")))</f>
        <v>0.29652201369999998</v>
      </c>
      <c r="BH168" s="14" cm="1">
        <f t="array" aca="1" ref="BH168" ca="1">IF(INDIRECT(ADDRESS($B168+1,BH$164,1,1,"Confirmed Trend"))=0,#N/A,INDIRECT(ADDRESS($B168+1,BH$164,1,1,"Confirmed Trend")))</f>
        <v>0.28464799909999999</v>
      </c>
      <c r="BI168" s="14" cm="1">
        <f t="array" aca="1" ref="BI168" ca="1">IF(INDIRECT(ADDRESS($B168+1,BI$164,1,1,"Confirmed Trend"))=0,#N/A,INDIRECT(ADDRESS($B168+1,BI$164,1,1,"Confirmed Trend")))</f>
        <v>0.32018916330000002</v>
      </c>
      <c r="BJ168" s="14" cm="1">
        <f t="array" aca="1" ref="BJ168" ca="1">IF(INDIRECT(ADDRESS($B168+1,BJ$164,1,1,"Confirmed Trend"))=0,#N/A,INDIRECT(ADDRESS($B168+1,BJ$164,1,1,"Confirmed Trend")))</f>
        <v>0.31572953599999998</v>
      </c>
      <c r="BK168" s="14" cm="1">
        <f t="array" aca="1" ref="BK168" ca="1">IF(INDIRECT(ADDRESS($B168+1,BK$164,1,1,"Confirmed Trend"))=0,#N/A,INDIRECT(ADDRESS($B168+1,BK$164,1,1,"Confirmed Trend")))</f>
        <v>0.28908151319999997</v>
      </c>
      <c r="BL168" s="14" cm="1">
        <f t="array" aca="1" ref="BL168" ca="1">IF(INDIRECT(ADDRESS($B168+1,BL$164,1,1,"Confirmed Trend"))=0,#N/A,INDIRECT(ADDRESS($B168+1,BL$164,1,1,"Confirmed Trend")))</f>
        <v>0.27466665759999997</v>
      </c>
      <c r="BM168" s="14" cm="1">
        <f t="array" aca="1" ref="BM168" ca="1">IF(INDIRECT(ADDRESS($B168+1,BM$164,1,1,"Confirmed Trend"))=0,#N/A,INDIRECT(ADDRESS($B168+1,BM$164,1,1,"Confirmed Trend")))</f>
        <v>0.2431048163</v>
      </c>
      <c r="BN168" s="14" cm="1">
        <f t="array" aca="1" ref="BN168" ca="1">IF(INDIRECT(ADDRESS($B168+1,BN$164,1,1,"Confirmed Trend"))=0,#N/A,INDIRECT(ADDRESS($B168+1,BN$164,1,1,"Confirmed Trend")))</f>
        <v>0.25910972650000003</v>
      </c>
      <c r="BO168" s="14" cm="1">
        <f t="array" aca="1" ref="BO168" ca="1">IF(INDIRECT(ADDRESS($B168+1,BO$164,1,1,"Confirmed Trend"))=0,#N/A,INDIRECT(ADDRESS($B168+1,BO$164,1,1,"Confirmed Trend")))</f>
        <v>0.27700985839999998</v>
      </c>
      <c r="BP168" s="14" cm="1">
        <f t="array" aca="1" ref="BP168" ca="1">IF(INDIRECT(ADDRESS($B168+1,BP$164,1,1,"Confirmed Trend"))=0,#N/A,INDIRECT(ADDRESS($B168+1,BP$164,1,1,"Confirmed Trend")))</f>
        <v>0.28242810480000002</v>
      </c>
      <c r="BQ168" s="14" cm="1">
        <f t="array" aca="1" ref="BQ168" ca="1">IF(INDIRECT(ADDRESS($B168+1,BQ$164,1,1,"Confirmed Trend"))=0,#N/A,INDIRECT(ADDRESS($B168+1,BQ$164,1,1,"Confirmed Trend")))</f>
        <v>0.28743445940000001</v>
      </c>
      <c r="BR168" s="14" cm="1">
        <f t="array" aca="1" ref="BR168" ca="1">IF(INDIRECT(ADDRESS($B168+1,BR$164,1,1,"Confirmed Trend"))=0,#N/A,INDIRECT(ADDRESS($B168+1,BR$164,1,1,"Confirmed Trend")))</f>
        <v>0.25588432989999998</v>
      </c>
      <c r="BS168" s="14" cm="1">
        <f t="array" aca="1" ref="BS168" ca="1">IF(INDIRECT(ADDRESS($B168+1,BS$164,1,1,"Confirmed Trend"))=0,#N/A,INDIRECT(ADDRESS($B168+1,BS$164,1,1,"Confirmed Trend")))</f>
        <v>0.2262092101</v>
      </c>
      <c r="BT168" s="14" cm="1">
        <f t="array" aca="1" ref="BT168" ca="1">IF(INDIRECT(ADDRESS($B168+1,BT$164,1,1,"Confirmed Trend"))=0,#N/A,INDIRECT(ADDRESS($B168+1,BT$164,1,1,"Confirmed Trend")))</f>
        <v>0.19502578249999999</v>
      </c>
      <c r="BU168" s="14" cm="1">
        <f t="array" aca="1" ref="BU168" ca="1">IF(INDIRECT(ADDRESS($B168+1,BU$164,1,1,"Confirmed Trend"))=0,#N/A,INDIRECT(ADDRESS($B168+1,BU$164,1,1,"Confirmed Trend")))</f>
        <v>0.17607067530000001</v>
      </c>
      <c r="BV168" s="14" cm="1">
        <f t="array" aca="1" ref="BV168" ca="1">IF(INDIRECT(ADDRESS($B168+1,BV$164,1,1,"Confirmed Trend"))=0,#N/A,INDIRECT(ADDRESS($B168+1,BV$164,1,1,"Confirmed Trend")))</f>
        <v>0.1673662407</v>
      </c>
      <c r="BW168" s="14" cm="1">
        <f t="array" aca="1" ref="BW168" ca="1">IF(INDIRECT(ADDRESS($B168+1,BW$164,1,1,"Confirmed Trend"))=0,#N/A,INDIRECT(ADDRESS($B168+1,BW$164,1,1,"Confirmed Trend")))</f>
        <v>0.15575927070000001</v>
      </c>
      <c r="BX168" s="14" cm="1">
        <f t="array" aca="1" ref="BX168" ca="1">IF(INDIRECT(ADDRESS($B168+1,BX$164,1,1,"Confirmed Trend"))=0,#N/A,INDIRECT(ADDRESS($B168+1,BX$164,1,1,"Confirmed Trend")))</f>
        <v>0.15470491250000001</v>
      </c>
      <c r="BY168" s="14" cm="1">
        <f t="array" aca="1" ref="BY168" ca="1">IF(INDIRECT(ADDRESS($B168+1,BY$164,1,1,"Confirmed Trend"))=0,#N/A,INDIRECT(ADDRESS($B168+1,BY$164,1,1,"Confirmed Trend")))</f>
        <v>0.14686338900000001</v>
      </c>
      <c r="BZ168" s="14" cm="1">
        <f t="array" aca="1" ref="BZ168" ca="1">IF(INDIRECT(ADDRESS($B168+1,BZ$164,1,1,"Confirmed Trend"))=0,#N/A,INDIRECT(ADDRESS($B168+1,BZ$164,1,1,"Confirmed Trend")))</f>
        <v>0.1340345416</v>
      </c>
      <c r="CA168" s="14" cm="1">
        <f t="array" aca="1" ref="CA168" ca="1">IF(INDIRECT(ADDRESS($B168+1,CA$164,1,1,"Confirmed Trend"))=0,#N/A,INDIRECT(ADDRESS($B168+1,CA$164,1,1,"Confirmed Trend")))</f>
        <v>0.12756107780000001</v>
      </c>
      <c r="CB168" s="14" cm="1">
        <f t="array" aca="1" ref="CB168" ca="1">IF(INDIRECT(ADDRESS($B168+1,CB$164,1,1,"Confirmed Trend"))=0,#N/A,INDIRECT(ADDRESS($B168+1,CB$164,1,1,"Confirmed Trend")))</f>
        <v>0.11452142210000001</v>
      </c>
      <c r="CC168" s="14" cm="1">
        <f t="array" aca="1" ref="CC168" ca="1">IF(INDIRECT(ADDRESS($B168+1,CC$164,1,1,"Confirmed Trend"))=0,#N/A,INDIRECT(ADDRESS($B168+1,CC$164,1,1,"Confirmed Trend")))</f>
        <v>0.1082819953</v>
      </c>
      <c r="CD168" s="14" cm="1">
        <f t="array" aca="1" ref="CD168" ca="1">IF(INDIRECT(ADDRESS($B168+1,CD$164,1,1,"Confirmed Trend"))=0,#N/A,INDIRECT(ADDRESS($B168+1,CD$164,1,1,"Confirmed Trend")))</f>
        <v>9.9297885700000005E-2</v>
      </c>
      <c r="CE168" s="14" cm="1">
        <f t="array" aca="1" ref="CE168" ca="1">IF(INDIRECT(ADDRESS($B168+1,CE$164,1,1,"Confirmed Trend"))=0,#N/A,INDIRECT(ADDRESS($B168+1,CE$164,1,1,"Confirmed Trend")))</f>
        <v>8.7961256900000007E-2</v>
      </c>
      <c r="CF168" s="14" cm="1">
        <f t="array" aca="1" ref="CF168" ca="1">IF(INDIRECT(ADDRESS($B168+1,CF$164,1,1,"Confirmed Trend"))=0,#N/A,INDIRECT(ADDRESS($B168+1,CF$164,1,1,"Confirmed Trend")))</f>
        <v>8.1059577899999999E-2</v>
      </c>
      <c r="CG168" s="14" cm="1">
        <f t="array" aca="1" ref="CG168" ca="1">IF(INDIRECT(ADDRESS($B168+1,CG$164,1,1,"Confirmed Trend"))=0,#N/A,INDIRECT(ADDRESS($B168+1,CG$164,1,1,"Confirmed Trend")))</f>
        <v>7.1019721499999994E-2</v>
      </c>
      <c r="CH168" s="14" cm="1">
        <f t="array" aca="1" ref="CH168" ca="1">IF(INDIRECT(ADDRESS($B168+1,CH$164,1,1,"Confirmed Trend"))=0,#N/A,INDIRECT(ADDRESS($B168+1,CH$164,1,1,"Confirmed Trend")))</f>
        <v>6.7931476300000002E-2</v>
      </c>
      <c r="CI168" s="14" cm="1">
        <f t="array" aca="1" ref="CI168" ca="1">IF(INDIRECT(ADDRESS($B168+1,CI$164,1,1,"Confirmed Trend"))=0,#N/A,INDIRECT(ADDRESS($B168+1,CI$164,1,1,"Confirmed Trend")))</f>
        <v>6.1823697099999998E-2</v>
      </c>
      <c r="CJ168" s="14" cm="1">
        <f t="array" aca="1" ref="CJ168" ca="1">IF(INDIRECT(ADDRESS($B168+1,CJ$164,1,1,"Confirmed Trend"))=0,#N/A,INDIRECT(ADDRESS($B168+1,CJ$164,1,1,"Confirmed Trend")))</f>
        <v>5.6364884400000002E-2</v>
      </c>
      <c r="CK168" s="14" cm="1">
        <f t="array" aca="1" ref="CK168" ca="1">IF(INDIRECT(ADDRESS($B168+1,CK$164,1,1,"Confirmed Trend"))=0,#N/A,INDIRECT(ADDRESS($B168+1,CK$164,1,1,"Confirmed Trend")))</f>
        <v>5.2197984000000003E-2</v>
      </c>
      <c r="CL168" s="14" cm="1">
        <f t="array" aca="1" ref="CL168" ca="1">IF(INDIRECT(ADDRESS($B168+1,CL$164,1,1,"Confirmed Trend"))=0,#N/A,INDIRECT(ADDRESS($B168+1,CL$164,1,1,"Confirmed Trend")))</f>
        <v>5.4230049699999998E-2</v>
      </c>
      <c r="CM168" s="14" cm="1">
        <f t="array" aca="1" ref="CM168" ca="1">IF(INDIRECT(ADDRESS($B168+1,CM$164,1,1,"Confirmed Trend"))=0,#N/A,INDIRECT(ADDRESS($B168+1,CM$164,1,1,"Confirmed Trend")))</f>
        <v>5.8014429200000002E-2</v>
      </c>
      <c r="CN168" s="14" t="e" cm="1">
        <f t="array" aca="1" ref="CN168" ca="1">IF(INDIRECT(ADDRESS($B168+1,CN$164,1,1,"Confirmed Trend"))=0,#N/A,INDIRECT(ADDRESS($B168+1,CN$164,1,1,"Confirmed Trend")))</f>
        <v>#N/A</v>
      </c>
      <c r="CO168" s="14" t="e" cm="1">
        <f t="array" aca="1" ref="CO168" ca="1">IF(INDIRECT(ADDRESS($B168+1,CO$164,1,1,"Confirmed Trend"))=0,#N/A,INDIRECT(ADDRESS($B168+1,CO$164,1,1,"Confirmed Trend")))</f>
        <v>#N/A</v>
      </c>
      <c r="CP168" s="14" t="e" cm="1">
        <f t="array" aca="1" ref="CP168" ca="1">IF(INDIRECT(ADDRESS($B168+1,CP$164,1,1,"Confirmed Trend"))=0,#N/A,INDIRECT(ADDRESS($B168+1,CP$164,1,1,"Confirmed Trend")))</f>
        <v>#N/A</v>
      </c>
      <c r="CQ168" s="14" t="e" cm="1">
        <f t="array" aca="1" ref="CQ168" ca="1">IF(INDIRECT(ADDRESS($B168+1,CQ$164,1,1,"Confirmed Trend"))=0,#N/A,INDIRECT(ADDRESS($B168+1,CQ$164,1,1,"Confirmed Trend")))</f>
        <v>#N/A</v>
      </c>
      <c r="CR168" s="14" t="e" cm="1">
        <f t="array" aca="1" ref="CR168" ca="1">IF(INDIRECT(ADDRESS($B168+1,CR$164,1,1,"Confirmed Trend"))=0,#N/A,INDIRECT(ADDRESS($B168+1,CR$164,1,1,"Confirmed Trend")))</f>
        <v>#N/A</v>
      </c>
    </row>
    <row r="169" spans="2:96" x14ac:dyDescent="0.25">
      <c r="B169">
        <f t="shared" si="258"/>
        <v>4</v>
      </c>
      <c r="C169" t="str" cm="1">
        <f t="array" aca="1" ref="C169" ca="1">INDIRECT(ADDRESS($B169+1,1,1,1,"Confirmed Trend"))</f>
        <v>China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cm="1">
        <f t="array" aca="1" ref="K169" ca="1">IF(INDIRECT(ADDRESS($B169+1,K$164,1,1,"Confirmed Trend"))=0,#N/A,INDIRECT(ADDRESS($B169+1,K$164,1,1,"Confirmed Trend")))</f>
        <v>0.4920083106</v>
      </c>
      <c r="L169" s="14" cm="1">
        <f t="array" aca="1" ref="L169" ca="1">IF(INDIRECT(ADDRESS($B169+1,L$164,1,1,"Confirmed Trend"))=0,#N/A,INDIRECT(ADDRESS($B169+1,L$164,1,1,"Confirmed Trend")))</f>
        <v>0.48589147529999999</v>
      </c>
      <c r="M169" s="14" cm="1">
        <f t="array" aca="1" ref="M169" ca="1">IF(INDIRECT(ADDRESS($B169+1,M$164,1,1,"Confirmed Trend"))=0,#N/A,INDIRECT(ADDRESS($B169+1,M$164,1,1,"Confirmed Trend")))</f>
        <v>0.45523269360000002</v>
      </c>
      <c r="N169" s="14" cm="1">
        <f t="array" aca="1" ref="N169" ca="1">IF(INDIRECT(ADDRESS($B169+1,N$164,1,1,"Confirmed Trend"))=0,#N/A,INDIRECT(ADDRESS($B169+1,N$164,1,1,"Confirmed Trend")))</f>
        <v>0.39430669210000002</v>
      </c>
      <c r="O169" s="14" cm="1">
        <f t="array" aca="1" ref="O169" ca="1">IF(INDIRECT(ADDRESS($B169+1,O$164,1,1,"Confirmed Trend"))=0,#N/A,INDIRECT(ADDRESS($B169+1,O$164,1,1,"Confirmed Trend")))</f>
        <v>0.29952479659999998</v>
      </c>
      <c r="P169" s="14" cm="1">
        <f t="array" aca="1" ref="P169" ca="1">IF(INDIRECT(ADDRESS($B169+1,P$164,1,1,"Confirmed Trend"))=0,#N/A,INDIRECT(ADDRESS($B169+1,P$164,1,1,"Confirmed Trend")))</f>
        <v>0.27563149780000001</v>
      </c>
      <c r="Q169" s="14" cm="1">
        <f t="array" aca="1" ref="Q169" ca="1">IF(INDIRECT(ADDRESS($B169+1,Q$164,1,1,"Confirmed Trend"))=0,#N/A,INDIRECT(ADDRESS($B169+1,Q$164,1,1,"Confirmed Trend")))</f>
        <v>0.25033039029999998</v>
      </c>
      <c r="R169" s="14" cm="1">
        <f t="array" aca="1" ref="R169" ca="1">IF(INDIRECT(ADDRESS($B169+1,R$164,1,1,"Confirmed Trend"))=0,#N/A,INDIRECT(ADDRESS($B169+1,R$164,1,1,"Confirmed Trend")))</f>
        <v>0.25731829299999998</v>
      </c>
      <c r="S169" s="14" cm="1">
        <f t="array" aca="1" ref="S169" ca="1">IF(INDIRECT(ADDRESS($B169+1,S$164,1,1,"Confirmed Trend"))=0,#N/A,INDIRECT(ADDRESS($B169+1,S$164,1,1,"Confirmed Trend")))</f>
        <v>0.24144365239999999</v>
      </c>
      <c r="T169" s="14" cm="1">
        <f t="array" aca="1" ref="T169" ca="1">IF(INDIRECT(ADDRESS($B169+1,T$164,1,1,"Confirmed Trend"))=0,#N/A,INDIRECT(ADDRESS($B169+1,T$164,1,1,"Confirmed Trend")))</f>
        <v>0.20846983290000001</v>
      </c>
      <c r="U169" s="14" cm="1">
        <f t="array" aca="1" ref="U169" ca="1">IF(INDIRECT(ADDRESS($B169+1,U$164,1,1,"Confirmed Trend"))=0,#N/A,INDIRECT(ADDRESS($B169+1,U$164,1,1,"Confirmed Trend")))</f>
        <v>0.17561046759999999</v>
      </c>
      <c r="V169" s="14" cm="1">
        <f t="array" aca="1" ref="V169" ca="1">IF(INDIRECT(ADDRESS($B169+1,V$164,1,1,"Confirmed Trend"))=0,#N/A,INDIRECT(ADDRESS($B169+1,V$164,1,1,"Confirmed Trend")))</f>
        <v>0.14023560869999999</v>
      </c>
      <c r="W169" s="14" cm="1">
        <f t="array" aca="1" ref="W169" ca="1">IF(INDIRECT(ADDRESS($B169+1,W$164,1,1,"Confirmed Trend"))=0,#N/A,INDIRECT(ADDRESS($B169+1,W$164,1,1,"Confirmed Trend")))</f>
        <v>0.1181086084</v>
      </c>
      <c r="X169" s="14" cm="1">
        <f t="array" aca="1" ref="X169" ca="1">IF(INDIRECT(ADDRESS($B169+1,X$164,1,1,"Confirmed Trend"))=0,#N/A,INDIRECT(ADDRESS($B169+1,X$164,1,1,"Confirmed Trend")))</f>
        <v>9.8457642499999998E-2</v>
      </c>
      <c r="Y169" s="14" cm="1">
        <f t="array" aca="1" ref="Y169" ca="1">IF(INDIRECT(ADDRESS($B169+1,Y$164,1,1,"Confirmed Trend"))=0,#N/A,INDIRECT(ADDRESS($B169+1,Y$164,1,1,"Confirmed Trend")))</f>
        <v>8.2613205800000006E-2</v>
      </c>
      <c r="Z169" s="14" cm="1">
        <f t="array" aca="1" ref="Z169" ca="1">IF(INDIRECT(ADDRESS($B169+1,Z$164,1,1,"Confirmed Trend"))=0,#N/A,INDIRECT(ADDRESS($B169+1,Z$164,1,1,"Confirmed Trend")))</f>
        <v>6.6847480799999998E-2</v>
      </c>
      <c r="AA169" s="14" cm="1">
        <f t="array" aca="1" ref="AA169" ca="1">IF(INDIRECT(ADDRESS($B169+1,AA$164,1,1,"Confirmed Trend"))=0,#N/A,INDIRECT(ADDRESS($B169+1,AA$164,1,1,"Confirmed Trend")))</f>
        <v>7.70524073E-2</v>
      </c>
      <c r="AB169" s="14" cm="1">
        <f t="array" aca="1" ref="AB169" ca="1">IF(INDIRECT(ADDRESS($B169+1,AB$164,1,1,"Confirmed Trend"))=0,#N/A,INDIRECT(ADDRESS($B169+1,AB$164,1,1,"Confirmed Trend")))</f>
        <v>9.48954308E-2</v>
      </c>
      <c r="AC169" s="14" cm="1">
        <f t="array" aca="1" ref="AC169" ca="1">IF(INDIRECT(ADDRESS($B169+1,AC$164,1,1,"Confirmed Trend"))=0,#N/A,INDIRECT(ADDRESS($B169+1,AC$164,1,1,"Confirmed Trend")))</f>
        <v>0.1136294031</v>
      </c>
      <c r="AD169" s="14" cm="1">
        <f t="array" aca="1" ref="AD169" ca="1">IF(INDIRECT(ADDRESS($B169+1,AD$164,1,1,"Confirmed Trend"))=0,#N/A,INDIRECT(ADDRESS($B169+1,AD$164,1,1,"Confirmed Trend")))</f>
        <v>0.11778470520000001</v>
      </c>
      <c r="AE169" s="14" cm="1">
        <f t="array" aca="1" ref="AE169" ca="1">IF(INDIRECT(ADDRESS($B169+1,AE$164,1,1,"Confirmed Trend"))=0,#N/A,INDIRECT(ADDRESS($B169+1,AE$164,1,1,"Confirmed Trend")))</f>
        <v>9.1264405100000001E-2</v>
      </c>
      <c r="AF169" s="14" cm="1">
        <f t="array" aca="1" ref="AF169" ca="1">IF(INDIRECT(ADDRESS($B169+1,AF$164,1,1,"Confirmed Trend"))=0,#N/A,INDIRECT(ADDRESS($B169+1,AF$164,1,1,"Confirmed Trend")))</f>
        <v>6.1542317800000003E-2</v>
      </c>
      <c r="AG169" s="14" cm="1">
        <f t="array" aca="1" ref="AG169" ca="1">IF(INDIRECT(ADDRESS($B169+1,AG$164,1,1,"Confirmed Trend"))=0,#N/A,INDIRECT(ADDRESS($B169+1,AG$164,1,1,"Confirmed Trend")))</f>
        <v>3.25359073E-2</v>
      </c>
      <c r="AH169" s="14" cm="1">
        <f t="array" aca="1" ref="AH169" ca="1">IF(INDIRECT(ADDRESS($B169+1,AH$164,1,1,"Confirmed Trend"))=0,#N/A,INDIRECT(ADDRESS($B169+1,AH$164,1,1,"Confirmed Trend")))</f>
        <v>2.1946457199999998E-2</v>
      </c>
      <c r="AI169" s="14" cm="1">
        <f t="array" aca="1" ref="AI169" ca="1">IF(INDIRECT(ADDRESS($B169+1,AI$164,1,1,"Confirmed Trend"))=0,#N/A,INDIRECT(ADDRESS($B169+1,AI$164,1,1,"Confirmed Trend")))</f>
        <v>1.6034773400000001E-2</v>
      </c>
      <c r="AJ169" s="14" cm="1">
        <f t="array" aca="1" ref="AJ169" ca="1">IF(INDIRECT(ADDRESS($B169+1,AJ$164,1,1,"Confirmed Trend"))=0,#N/A,INDIRECT(ADDRESS($B169+1,AJ$164,1,1,"Confirmed Trend")))</f>
        <v>1.18414408E-2</v>
      </c>
      <c r="AK169" s="14" cm="1">
        <f t="array" aca="1" ref="AK169" ca="1">IF(INDIRECT(ADDRESS($B169+1,AK$164,1,1,"Confirmed Trend"))=0,#N/A,INDIRECT(ADDRESS($B169+1,AK$164,1,1,"Confirmed Trend")))</f>
        <v>9.2587250000000006E-3</v>
      </c>
      <c r="AL169" s="14" cm="1">
        <f t="array" aca="1" ref="AL169" ca="1">IF(INDIRECT(ADDRESS($B169+1,AL$164,1,1,"Confirmed Trend"))=0,#N/A,INDIRECT(ADDRESS($B169+1,AL$164,1,1,"Confirmed Trend")))</f>
        <v>8.1150318000000003E-3</v>
      </c>
      <c r="AM169" s="14" cm="1">
        <f t="array" aca="1" ref="AM169" ca="1">IF(INDIRECT(ADDRESS($B169+1,AM$164,1,1,"Confirmed Trend"))=0,#N/A,INDIRECT(ADDRESS($B169+1,AM$164,1,1,"Confirmed Trend")))</f>
        <v>7.4318568E-3</v>
      </c>
      <c r="AN169" s="14" cm="1">
        <f t="array" aca="1" ref="AN169" ca="1">IF(INDIRECT(ADDRESS($B169+1,AN$164,1,1,"Confirmed Trend"))=0,#N/A,INDIRECT(ADDRESS($B169+1,AN$164,1,1,"Confirmed Trend")))</f>
        <v>6.0221820000000001E-3</v>
      </c>
      <c r="AO169" s="14" cm="1">
        <f t="array" aca="1" ref="AO169" ca="1">IF(INDIRECT(ADDRESS($B169+1,AO$164,1,1,"Confirmed Trend"))=0,#N/A,INDIRECT(ADDRESS($B169+1,AO$164,1,1,"Confirmed Trend")))</f>
        <v>5.3441820999999999E-3</v>
      </c>
      <c r="AP169" s="14" cm="1">
        <f t="array" aca="1" ref="AP169" ca="1">IF(INDIRECT(ADDRESS($B169+1,AP$164,1,1,"Confirmed Trend"))=0,#N/A,INDIRECT(ADDRESS($B169+1,AP$164,1,1,"Confirmed Trend")))</f>
        <v>4.7548783000000002E-3</v>
      </c>
      <c r="AQ169" s="14" cm="1">
        <f t="array" aca="1" ref="AQ169" ca="1">IF(INDIRECT(ADDRESS($B169+1,AQ$164,1,1,"Confirmed Trend"))=0,#N/A,INDIRECT(ADDRESS($B169+1,AQ$164,1,1,"Confirmed Trend")))</f>
        <v>5.2034725000000004E-3</v>
      </c>
      <c r="AR169" s="14" cm="1">
        <f t="array" aca="1" ref="AR169" ca="1">IF(INDIRECT(ADDRESS($B169+1,AR$164,1,1,"Confirmed Trend"))=0,#N/A,INDIRECT(ADDRESS($B169+1,AR$164,1,1,"Confirmed Trend")))</f>
        <v>5.3765578E-3</v>
      </c>
      <c r="AS169" s="14" cm="1">
        <f t="array" aca="1" ref="AS169" ca="1">IF(INDIRECT(ADDRESS($B169+1,AS$164,1,1,"Confirmed Trend"))=0,#N/A,INDIRECT(ADDRESS($B169+1,AS$164,1,1,"Confirmed Trend")))</f>
        <v>5.1871987999999999E-3</v>
      </c>
      <c r="AT169" s="14" cm="1">
        <f t="array" aca="1" ref="AT169" ca="1">IF(INDIRECT(ADDRESS($B169+1,AT$164,1,1,"Confirmed Trend"))=0,#N/A,INDIRECT(ADDRESS($B169+1,AT$164,1,1,"Confirmed Trend")))</f>
        <v>4.8804870999999998E-3</v>
      </c>
      <c r="AU169" s="14" cm="1">
        <f t="array" aca="1" ref="AU169" ca="1">IF(INDIRECT(ADDRESS($B169+1,AU$164,1,1,"Confirmed Trend"))=0,#N/A,INDIRECT(ADDRESS($B169+1,AU$164,1,1,"Confirmed Trend")))</f>
        <v>4.0897260000000001E-3</v>
      </c>
      <c r="AV169" s="14" cm="1">
        <f t="array" aca="1" ref="AV169" ca="1">IF(INDIRECT(ADDRESS($B169+1,AV$164,1,1,"Confirmed Trend"))=0,#N/A,INDIRECT(ADDRESS($B169+1,AV$164,1,1,"Confirmed Trend")))</f>
        <v>3.1003719000000001E-3</v>
      </c>
      <c r="AW169" s="14" cm="1">
        <f t="array" aca="1" ref="AW169" ca="1">IF(INDIRECT(ADDRESS($B169+1,AW$164,1,1,"Confirmed Trend"))=0,#N/A,INDIRECT(ADDRESS($B169+1,AW$164,1,1,"Confirmed Trend")))</f>
        <v>2.2778988999999999E-3</v>
      </c>
      <c r="AX169" s="14" cm="1">
        <f t="array" aca="1" ref="AX169" ca="1">IF(INDIRECT(ADDRESS($B169+1,AX$164,1,1,"Confirmed Trend"))=0,#N/A,INDIRECT(ADDRESS($B169+1,AX$164,1,1,"Confirmed Trend")))</f>
        <v>1.7306236999999999E-3</v>
      </c>
      <c r="AY169" s="14" cm="1">
        <f t="array" aca="1" ref="AY169" ca="1">IF(INDIRECT(ADDRESS($B169+1,AY$164,1,1,"Confirmed Trend"))=0,#N/A,INDIRECT(ADDRESS($B169+1,AY$164,1,1,"Confirmed Trend")))</f>
        <v>1.5537938E-3</v>
      </c>
      <c r="AZ169" s="14" cm="1">
        <f t="array" aca="1" ref="AZ169" ca="1">IF(INDIRECT(ADDRESS($B169+1,AZ$164,1,1,"Confirmed Trend"))=0,#N/A,INDIRECT(ADDRESS($B169+1,AZ$164,1,1,"Confirmed Trend")))</f>
        <v>1.3127983000000001E-3</v>
      </c>
      <c r="BA169" s="14" cm="1">
        <f t="array" aca="1" ref="BA169" ca="1">IF(INDIRECT(ADDRESS($B169+1,BA$164,1,1,"Confirmed Trend"))=0,#N/A,INDIRECT(ADDRESS($B169+1,BA$164,1,1,"Confirmed Trend")))</f>
        <v>9.8875250000000003E-4</v>
      </c>
      <c r="BB169" s="14" cm="1">
        <f t="array" aca="1" ref="BB169" ca="1">IF(INDIRECT(ADDRESS($B169+1,BB$164,1,1,"Confirmed Trend"))=0,#N/A,INDIRECT(ADDRESS($B169+1,BB$164,1,1,"Confirmed Trend")))</f>
        <v>6.9247079999999999E-4</v>
      </c>
      <c r="BC169" s="14" cm="1">
        <f t="array" aca="1" ref="BC169" ca="1">IF(INDIRECT(ADDRESS($B169+1,BC$164,1,1,"Confirmed Trend"))=0,#N/A,INDIRECT(ADDRESS($B169+1,BC$164,1,1,"Confirmed Trend")))</f>
        <v>4.7122279999999998E-4</v>
      </c>
      <c r="BD169" s="14" cm="1">
        <f t="array" aca="1" ref="BD169" ca="1">IF(INDIRECT(ADDRESS($B169+1,BD$164,1,1,"Confirmed Trend"))=0,#N/A,INDIRECT(ADDRESS($B169+1,BD$164,1,1,"Confirmed Trend")))</f>
        <v>3.5554940000000001E-4</v>
      </c>
      <c r="BE169" s="14" cm="1">
        <f t="array" aca="1" ref="BE169" ca="1">IF(INDIRECT(ADDRESS($B169+1,BE$164,1,1,"Confirmed Trend"))=0,#N/A,INDIRECT(ADDRESS($B169+1,BE$164,1,1,"Confirmed Trend")))</f>
        <v>2.9257060000000001E-4</v>
      </c>
      <c r="BF169" s="14" cm="1">
        <f t="array" aca="1" ref="BF169" ca="1">IF(INDIRECT(ADDRESS($B169+1,BF$164,1,1,"Confirmed Trend"))=0,#N/A,INDIRECT(ADDRESS($B169+1,BF$164,1,1,"Confirmed Trend")))</f>
        <v>2.6465990000000002E-4</v>
      </c>
      <c r="BG169" s="14" cm="1">
        <f t="array" aca="1" ref="BG169" ca="1">IF(INDIRECT(ADDRESS($B169+1,BG$164,1,1,"Confirmed Trend"))=0,#N/A,INDIRECT(ADDRESS($B169+1,BG$164,1,1,"Confirmed Trend")))</f>
        <v>2.8104649999999997E-4</v>
      </c>
      <c r="BH169" s="14" cm="1">
        <f t="array" aca="1" ref="BH169" ca="1">IF(INDIRECT(ADDRESS($B169+1,BH$164,1,1,"Confirmed Trend"))=0,#N/A,INDIRECT(ADDRESS($B169+1,BH$164,1,1,"Confirmed Trend")))</f>
        <v>3.0464089999999999E-4</v>
      </c>
      <c r="BI169" s="14" cm="1">
        <f t="array" aca="1" ref="BI169" ca="1">IF(INDIRECT(ADDRESS($B169+1,BI$164,1,1,"Confirmed Trend"))=0,#N/A,INDIRECT(ADDRESS($B169+1,BI$164,1,1,"Confirmed Trend")))</f>
        <v>3.4879259999999999E-4</v>
      </c>
      <c r="BJ169" s="14" cm="1">
        <f t="array" aca="1" ref="BJ169" ca="1">IF(INDIRECT(ADDRESS($B169+1,BJ$164,1,1,"Confirmed Trend"))=0,#N/A,INDIRECT(ADDRESS($B169+1,BJ$164,1,1,"Confirmed Trend")))</f>
        <v>4.0214489999999999E-4</v>
      </c>
      <c r="BK169" s="14" cm="1">
        <f t="array" aca="1" ref="BK169" ca="1">IF(INDIRECT(ADDRESS($B169+1,BK$164,1,1,"Confirmed Trend"))=0,#N/A,INDIRECT(ADDRESS($B169+1,BK$164,1,1,"Confirmed Trend")))</f>
        <v>5.0884349999999999E-4</v>
      </c>
      <c r="BL169" s="14" cm="1">
        <f t="array" aca="1" ref="BL169" ca="1">IF(INDIRECT(ADDRESS($B169+1,BL$164,1,1,"Confirmed Trend"))=0,#N/A,INDIRECT(ADDRESS($B169+1,BL$164,1,1,"Confirmed Trend")))</f>
        <v>6.3392519999999999E-4</v>
      </c>
      <c r="BM169" s="14" cm="1">
        <f t="array" aca="1" ref="BM169" ca="1">IF(INDIRECT(ADDRESS($B169+1,BM$164,1,1,"Confirmed Trend"))=0,#N/A,INDIRECT(ADDRESS($B169+1,BM$164,1,1,"Confirmed Trend")))</f>
        <v>8.1830309999999997E-4</v>
      </c>
      <c r="BN169" s="14" cm="1">
        <f t="array" aca="1" ref="BN169" ca="1">IF(INDIRECT(ADDRESS($B169+1,BN$164,1,1,"Confirmed Trend"))=0,#N/A,INDIRECT(ADDRESS($B169+1,BN$164,1,1,"Confirmed Trend")))</f>
        <v>9.4598459999999996E-4</v>
      </c>
      <c r="BO169" s="14" cm="1">
        <f t="array" aca="1" ref="BO169" ca="1">IF(INDIRECT(ADDRESS($B169+1,BO$164,1,1,"Confirmed Trend"))=0,#N/A,INDIRECT(ADDRESS($B169+1,BO$164,1,1,"Confirmed Trend")))</f>
        <v>1.0414587999999999E-3</v>
      </c>
      <c r="BP169" s="14" cm="1">
        <f t="array" aca="1" ref="BP169" ca="1">IF(INDIRECT(ADDRESS($B169+1,BP$164,1,1,"Confirmed Trend"))=0,#N/A,INDIRECT(ADDRESS($B169+1,BP$164,1,1,"Confirmed Trend")))</f>
        <v>1.0641118E-3</v>
      </c>
      <c r="BQ169" s="14" cm="1">
        <f t="array" aca="1" ref="BQ169" ca="1">IF(INDIRECT(ADDRESS($B169+1,BQ$164,1,1,"Confirmed Trend"))=0,#N/A,INDIRECT(ADDRESS($B169+1,BQ$164,1,1,"Confirmed Trend")))</f>
        <v>1.0680037999999999E-3</v>
      </c>
      <c r="BR169" s="14" cm="1">
        <f t="array" aca="1" ref="BR169" ca="1">IF(INDIRECT(ADDRESS($B169+1,BR$164,1,1,"Confirmed Trend"))=0,#N/A,INDIRECT(ADDRESS($B169+1,BR$164,1,1,"Confirmed Trend")))</f>
        <v>1.1260945E-3</v>
      </c>
      <c r="BS169" s="14" cm="1">
        <f t="array" aca="1" ref="BS169" ca="1">IF(INDIRECT(ADDRESS($B169+1,BS$164,1,1,"Confirmed Trend"))=0,#N/A,INDIRECT(ADDRESS($B169+1,BS$164,1,1,"Confirmed Trend")))</f>
        <v>1.177761E-3</v>
      </c>
      <c r="BT169" s="14" cm="1">
        <f t="array" aca="1" ref="BT169" ca="1">IF(INDIRECT(ADDRESS($B169+1,BT$164,1,1,"Confirmed Trend"))=0,#N/A,INDIRECT(ADDRESS($B169+1,BT$164,1,1,"Confirmed Trend")))</f>
        <v>1.2926903999999999E-3</v>
      </c>
      <c r="BU169" s="14" cm="1">
        <f t="array" aca="1" ref="BU169" ca="1">IF(INDIRECT(ADDRESS($B169+1,BU$164,1,1,"Confirmed Trend"))=0,#N/A,INDIRECT(ADDRESS($B169+1,BU$164,1,1,"Confirmed Trend")))</f>
        <v>1.3084722E-3</v>
      </c>
      <c r="BV169" s="14" cm="1">
        <f t="array" aca="1" ref="BV169" ca="1">IF(INDIRECT(ADDRESS($B169+1,BV$164,1,1,"Confirmed Trend"))=0,#N/A,INDIRECT(ADDRESS($B169+1,BV$164,1,1,"Confirmed Trend")))</f>
        <v>1.2804521000000001E-3</v>
      </c>
      <c r="BW169" s="14" cm="1">
        <f t="array" aca="1" ref="BW169" ca="1">IF(INDIRECT(ADDRESS($B169+1,BW$164,1,1,"Confirmed Trend"))=0,#N/A,INDIRECT(ADDRESS($B169+1,BW$164,1,1,"Confirmed Trend")))</f>
        <v>1.1783226000000001E-3</v>
      </c>
      <c r="BX169" s="14" cm="1">
        <f t="array" aca="1" ref="BX169" ca="1">IF(INDIRECT(ADDRESS($B169+1,BX$164,1,1,"Confirmed Trend"))=0,#N/A,INDIRECT(ADDRESS($B169+1,BX$164,1,1,"Confirmed Trend")))</f>
        <v>1.0693434000000001E-3</v>
      </c>
      <c r="BY169" s="14" cm="1">
        <f t="array" aca="1" ref="BY169" ca="1">IF(INDIRECT(ADDRESS($B169+1,BY$164,1,1,"Confirmed Trend"))=0,#N/A,INDIRECT(ADDRESS($B169+1,BY$164,1,1,"Confirmed Trend")))</f>
        <v>9.982242000000001E-4</v>
      </c>
      <c r="BZ169" s="14" cm="1">
        <f t="array" aca="1" ref="BZ169" ca="1">IF(INDIRECT(ADDRESS($B169+1,BZ$164,1,1,"Confirmed Trend"))=0,#N/A,INDIRECT(ADDRESS($B169+1,BZ$164,1,1,"Confirmed Trend")))</f>
        <v>8.980228E-4</v>
      </c>
      <c r="CA169" s="14" cm="1">
        <f t="array" aca="1" ref="CA169" ca="1">IF(INDIRECT(ADDRESS($B169+1,CA$164,1,1,"Confirmed Trend"))=0,#N/A,INDIRECT(ADDRESS($B169+1,CA$164,1,1,"Confirmed Trend")))</f>
        <v>8.2745099999999999E-4</v>
      </c>
      <c r="CB169" s="14" cm="1">
        <f t="array" aca="1" ref="CB169" ca="1">IF(INDIRECT(ADDRESS($B169+1,CB$164,1,1,"Confirmed Trend"))=0,#N/A,INDIRECT(ADDRESS($B169+1,CB$164,1,1,"Confirmed Trend")))</f>
        <v>7.459109E-4</v>
      </c>
      <c r="CC169" s="14" cm="1">
        <f t="array" aca="1" ref="CC169" ca="1">IF(INDIRECT(ADDRESS($B169+1,CC$164,1,1,"Confirmed Trend"))=0,#N/A,INDIRECT(ADDRESS($B169+1,CC$164,1,1,"Confirmed Trend")))</f>
        <v>6.8771420000000004E-4</v>
      </c>
      <c r="CD169" s="14" cm="1">
        <f t="array" aca="1" ref="CD169" ca="1">IF(INDIRECT(ADDRESS($B169+1,CD$164,1,1,"Confirmed Trend"))=0,#N/A,INDIRECT(ADDRESS($B169+1,CD$164,1,1,"Confirmed Trend")))</f>
        <v>7.1241000000000002E-4</v>
      </c>
      <c r="CE169" s="14" cm="1">
        <f t="array" aca="1" ref="CE169" ca="1">IF(INDIRECT(ADDRESS($B169+1,CE$164,1,1,"Confirmed Trend"))=0,#N/A,INDIRECT(ADDRESS($B169+1,CE$164,1,1,"Confirmed Trend")))</f>
        <v>7.6026900000000005E-4</v>
      </c>
      <c r="CF169" s="14" cm="1">
        <f t="array" aca="1" ref="CF169" ca="1">IF(INDIRECT(ADDRESS($B169+1,CF$164,1,1,"Confirmed Trend"))=0,#N/A,INDIRECT(ADDRESS($B169+1,CF$164,1,1,"Confirmed Trend")))</f>
        <v>8.2924120000000005E-4</v>
      </c>
      <c r="CG169" s="14" cm="1">
        <f t="array" aca="1" ref="CG169" ca="1">IF(INDIRECT(ADDRESS($B169+1,CG$164,1,1,"Confirmed Trend"))=0,#N/A,INDIRECT(ADDRESS($B169+1,CG$164,1,1,"Confirmed Trend")))</f>
        <v>8.58824E-4</v>
      </c>
      <c r="CH169" s="14" cm="1">
        <f t="array" aca="1" ref="CH169" ca="1">IF(INDIRECT(ADDRESS($B169+1,CH$164,1,1,"Confirmed Trend"))=0,#N/A,INDIRECT(ADDRESS($B169+1,CH$164,1,1,"Confirmed Trend")))</f>
        <v>9.0231239999999998E-4</v>
      </c>
      <c r="CI169" s="14" cm="1">
        <f t="array" aca="1" ref="CI169" ca="1">IF(INDIRECT(ADDRESS($B169+1,CI$164,1,1,"Confirmed Trend"))=0,#N/A,INDIRECT(ADDRESS($B169+1,CI$164,1,1,"Confirmed Trend")))</f>
        <v>9.5571610000000004E-4</v>
      </c>
      <c r="CJ169" s="14" cm="1">
        <f t="array" aca="1" ref="CJ169" ca="1">IF(INDIRECT(ADDRESS($B169+1,CJ$164,1,1,"Confirmed Trend"))=0,#N/A,INDIRECT(ADDRESS($B169+1,CJ$164,1,1,"Confirmed Trend")))</f>
        <v>1.0240340000000001E-3</v>
      </c>
      <c r="CK169" s="14" cm="1">
        <f t="array" aca="1" ref="CK169" ca="1">IF(INDIRECT(ADDRESS($B169+1,CK$164,1,1,"Confirmed Trend"))=0,#N/A,INDIRECT(ADDRESS($B169+1,CK$164,1,1,"Confirmed Trend")))</f>
        <v>1.0402183E-3</v>
      </c>
      <c r="CL169" s="14" cm="1">
        <f t="array" aca="1" ref="CL169" ca="1">IF(INDIRECT(ADDRESS($B169+1,CL$164,1,1,"Confirmed Trend"))=0,#N/A,INDIRECT(ADDRESS($B169+1,CL$164,1,1,"Confirmed Trend")))</f>
        <v>9.7813349999999991E-4</v>
      </c>
      <c r="CM169" s="14" cm="1">
        <f t="array" aca="1" ref="CM169" ca="1">IF(INDIRECT(ADDRESS($B169+1,CM$164,1,1,"Confirmed Trend"))=0,#N/A,INDIRECT(ADDRESS($B169+1,CM$164,1,1,"Confirmed Trend")))</f>
        <v>1.1589510999999999E-3</v>
      </c>
      <c r="CN169" s="14" t="e" cm="1">
        <f t="array" aca="1" ref="CN169" ca="1">IF(INDIRECT(ADDRESS($B169+1,CN$164,1,1,"Confirmed Trend"))=0,#N/A,INDIRECT(ADDRESS($B169+1,CN$164,1,1,"Confirmed Trend")))</f>
        <v>#N/A</v>
      </c>
      <c r="CO169" s="14" t="e" cm="1">
        <f t="array" aca="1" ref="CO169" ca="1">IF(INDIRECT(ADDRESS($B169+1,CO$164,1,1,"Confirmed Trend"))=0,#N/A,INDIRECT(ADDRESS($B169+1,CO$164,1,1,"Confirmed Trend")))</f>
        <v>#N/A</v>
      </c>
      <c r="CP169" s="14" t="e" cm="1">
        <f t="array" aca="1" ref="CP169" ca="1">IF(INDIRECT(ADDRESS($B169+1,CP$164,1,1,"Confirmed Trend"))=0,#N/A,INDIRECT(ADDRESS($B169+1,CP$164,1,1,"Confirmed Trend")))</f>
        <v>#N/A</v>
      </c>
      <c r="CQ169" s="14" t="e" cm="1">
        <f t="array" aca="1" ref="CQ169" ca="1">IF(INDIRECT(ADDRESS($B169+1,CQ$164,1,1,"Confirmed Trend"))=0,#N/A,INDIRECT(ADDRESS($B169+1,CQ$164,1,1,"Confirmed Trend")))</f>
        <v>#N/A</v>
      </c>
      <c r="CR169" s="14" t="e" cm="1">
        <f t="array" aca="1" ref="CR169" ca="1">IF(INDIRECT(ADDRESS($B169+1,CR$164,1,1,"Confirmed Trend"))=0,#N/A,INDIRECT(ADDRESS($B169+1,CR$164,1,1,"Confirmed Trend")))</f>
        <v>#N/A</v>
      </c>
    </row>
    <row r="170" spans="2:96" x14ac:dyDescent="0.25">
      <c r="B170">
        <f t="shared" si="258"/>
        <v>5</v>
      </c>
      <c r="C170" t="str" cm="1">
        <f t="array" aca="1" ref="C170" ca="1">INDIRECT(ADDRESS($B170+1,1,1,1,"Confirmed Trend"))</f>
        <v>Finland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cm="1">
        <f t="array" aca="1" ref="BA170" ca="1">IF(INDIRECT(ADDRESS($B170+1,BA$164,1,1,"Confirmed Trend"))=0,#N/A,INDIRECT(ADDRESS($B170+1,BA$164,1,1,"Confirmed Trend")))</f>
        <v>0.25491098280000002</v>
      </c>
      <c r="BB170" s="14" cm="1">
        <f t="array" aca="1" ref="BB170" ca="1">IF(INDIRECT(ADDRESS($B170+1,BB$164,1,1,"Confirmed Trend"))=0,#N/A,INDIRECT(ADDRESS($B170+1,BB$164,1,1,"Confirmed Trend")))</f>
        <v>0.29407059720000001</v>
      </c>
      <c r="BC170" s="14" cm="1">
        <f t="array" aca="1" ref="BC170" ca="1">IF(INDIRECT(ADDRESS($B170+1,BC$164,1,1,"Confirmed Trend"))=0,#N/A,INDIRECT(ADDRESS($B170+1,BC$164,1,1,"Confirmed Trend")))</f>
        <v>0.37878989289999998</v>
      </c>
      <c r="BD170" s="14" cm="1">
        <f t="array" aca="1" ref="BD170" ca="1">IF(INDIRECT(ADDRESS($B170+1,BD$164,1,1,"Confirmed Trend"))=0,#N/A,INDIRECT(ADDRESS($B170+1,BD$164,1,1,"Confirmed Trend")))</f>
        <v>0.45309207439999999</v>
      </c>
      <c r="BE170" s="14" cm="1">
        <f t="array" aca="1" ref="BE170" ca="1">IF(INDIRECT(ADDRESS($B170+1,BE$164,1,1,"Confirmed Trend"))=0,#N/A,INDIRECT(ADDRESS($B170+1,BE$164,1,1,"Confirmed Trend")))</f>
        <v>0.51273029049999996</v>
      </c>
      <c r="BF170" s="14" cm="1">
        <f t="array" aca="1" ref="BF170" ca="1">IF(INDIRECT(ADDRESS($B170+1,BF$164,1,1,"Confirmed Trend"))=0,#N/A,INDIRECT(ADDRESS($B170+1,BF$164,1,1,"Confirmed Trend")))</f>
        <v>0.48302584570000001</v>
      </c>
      <c r="BG170" s="14" cm="1">
        <f t="array" aca="1" ref="BG170" ca="1">IF(INDIRECT(ADDRESS($B170+1,BG$164,1,1,"Confirmed Trend"))=0,#N/A,INDIRECT(ADDRESS($B170+1,BG$164,1,1,"Confirmed Trend")))</f>
        <v>0.37948791999999998</v>
      </c>
      <c r="BH170" s="14" cm="1">
        <f t="array" aca="1" ref="BH170" ca="1">IF(INDIRECT(ADDRESS($B170+1,BH$164,1,1,"Confirmed Trend"))=0,#N/A,INDIRECT(ADDRESS($B170+1,BH$164,1,1,"Confirmed Trend")))</f>
        <v>0.27262885139999998</v>
      </c>
      <c r="BI170" s="14" cm="1">
        <f t="array" aca="1" ref="BI170" ca="1">IF(INDIRECT(ADDRESS($B170+1,BI$164,1,1,"Confirmed Trend"))=0,#N/A,INDIRECT(ADDRESS($B170+1,BI$164,1,1,"Confirmed Trend")))</f>
        <v>0.176804929</v>
      </c>
      <c r="BJ170" s="14" cm="1">
        <f t="array" aca="1" ref="BJ170" ca="1">IF(INDIRECT(ADDRESS($B170+1,BJ$164,1,1,"Confirmed Trend"))=0,#N/A,INDIRECT(ADDRESS($B170+1,BJ$164,1,1,"Confirmed Trend")))</f>
        <v>0.14083437700000001</v>
      </c>
      <c r="BK170" s="14" cm="1">
        <f t="array" aca="1" ref="BK170" ca="1">IF(INDIRECT(ADDRESS($B170+1,BK$164,1,1,"Confirmed Trend"))=0,#N/A,INDIRECT(ADDRESS($B170+1,BK$164,1,1,"Confirmed Trend")))</f>
        <v>0.1228880639</v>
      </c>
      <c r="BL170" s="14" cm="1">
        <f t="array" aca="1" ref="BL170" ca="1">IF(INDIRECT(ADDRESS($B170+1,BL$164,1,1,"Confirmed Trend"))=0,#N/A,INDIRECT(ADDRESS($B170+1,BL$164,1,1,"Confirmed Trend")))</f>
        <v>0.13002905849999999</v>
      </c>
      <c r="BM170" s="14" cm="1">
        <f t="array" aca="1" ref="BM170" ca="1">IF(INDIRECT(ADDRESS($B170+1,BM$164,1,1,"Confirmed Trend"))=0,#N/A,INDIRECT(ADDRESS($B170+1,BM$164,1,1,"Confirmed Trend")))</f>
        <v>0.1438666468</v>
      </c>
      <c r="BN170" s="14" cm="1">
        <f t="array" aca="1" ref="BN170" ca="1">IF(INDIRECT(ADDRESS($B170+1,BN$164,1,1,"Confirmed Trend"))=0,#N/A,INDIRECT(ADDRESS($B170+1,BN$164,1,1,"Confirmed Trend")))</f>
        <v>0.15004671280000001</v>
      </c>
      <c r="BO170" s="14" cm="1">
        <f t="array" aca="1" ref="BO170" ca="1">IF(INDIRECT(ADDRESS($B170+1,BO$164,1,1,"Confirmed Trend"))=0,#N/A,INDIRECT(ADDRESS($B170+1,BO$164,1,1,"Confirmed Trend")))</f>
        <v>0.15600660820000001</v>
      </c>
      <c r="BP170" s="14" cm="1">
        <f t="array" aca="1" ref="BP170" ca="1">IF(INDIRECT(ADDRESS($B170+1,BP$164,1,1,"Confirmed Trend"))=0,#N/A,INDIRECT(ADDRESS($B170+1,BP$164,1,1,"Confirmed Trend")))</f>
        <v>0.14646562299999999</v>
      </c>
      <c r="BQ170" s="14" cm="1">
        <f t="array" aca="1" ref="BQ170" ca="1">IF(INDIRECT(ADDRESS($B170+1,BQ$164,1,1,"Confirmed Trend"))=0,#N/A,INDIRECT(ADDRESS($B170+1,BQ$164,1,1,"Confirmed Trend")))</f>
        <v>0.1324703002</v>
      </c>
      <c r="BR170" s="14" cm="1">
        <f t="array" aca="1" ref="BR170" ca="1">IF(INDIRECT(ADDRESS($B170+1,BR$164,1,1,"Confirmed Trend"))=0,#N/A,INDIRECT(ADDRESS($B170+1,BR$164,1,1,"Confirmed Trend")))</f>
        <v>0.11705919670000001</v>
      </c>
      <c r="BS170" s="14" cm="1">
        <f t="array" aca="1" ref="BS170" ca="1">IF(INDIRECT(ADDRESS($B170+1,BS$164,1,1,"Confirmed Trend"))=0,#N/A,INDIRECT(ADDRESS($B170+1,BS$164,1,1,"Confirmed Trend")))</f>
        <v>0.1057227334</v>
      </c>
      <c r="BT170" s="14" cm="1">
        <f t="array" aca="1" ref="BT170" ca="1">IF(INDIRECT(ADDRESS($B170+1,BT$164,1,1,"Confirmed Trend"))=0,#N/A,INDIRECT(ADDRESS($B170+1,BT$164,1,1,"Confirmed Trend")))</f>
        <v>9.8027312899999997E-2</v>
      </c>
      <c r="BU170" s="14" cm="1">
        <f t="array" aca="1" ref="BU170" ca="1">IF(INDIRECT(ADDRESS($B170+1,BU$164,1,1,"Confirmed Trend"))=0,#N/A,INDIRECT(ADDRESS($B170+1,BU$164,1,1,"Confirmed Trend")))</f>
        <v>9.3400188199999998E-2</v>
      </c>
      <c r="BV170" s="14" cm="1">
        <f t="array" aca="1" ref="BV170" ca="1">IF(INDIRECT(ADDRESS($B170+1,BV$164,1,1,"Confirmed Trend"))=0,#N/A,INDIRECT(ADDRESS($B170+1,BV$164,1,1,"Confirmed Trend")))</f>
        <v>8.6364779000000003E-2</v>
      </c>
      <c r="BW170" s="14" cm="1">
        <f t="array" aca="1" ref="BW170" ca="1">IF(INDIRECT(ADDRESS($B170+1,BW$164,1,1,"Confirmed Trend"))=0,#N/A,INDIRECT(ADDRESS($B170+1,BW$164,1,1,"Confirmed Trend")))</f>
        <v>7.4230361600000003E-2</v>
      </c>
      <c r="BX170" s="14" cm="1">
        <f t="array" aca="1" ref="BX170" ca="1">IF(INDIRECT(ADDRESS($B170+1,BX$164,1,1,"Confirmed Trend"))=0,#N/A,INDIRECT(ADDRESS($B170+1,BX$164,1,1,"Confirmed Trend")))</f>
        <v>6.1759802000000003E-2</v>
      </c>
      <c r="BY170" s="14" cm="1">
        <f t="array" aca="1" ref="BY170" ca="1">IF(INDIRECT(ADDRESS($B170+1,BY$164,1,1,"Confirmed Trend"))=0,#N/A,INDIRECT(ADDRESS($B170+1,BY$164,1,1,"Confirmed Trend")))</f>
        <v>5.0568994899999997E-2</v>
      </c>
      <c r="BZ170" s="14" cm="1">
        <f t="array" aca="1" ref="BZ170" ca="1">IF(INDIRECT(ADDRESS($B170+1,BZ$164,1,1,"Confirmed Trend"))=0,#N/A,INDIRECT(ADDRESS($B170+1,BZ$164,1,1,"Confirmed Trend")))</f>
        <v>5.7503080599999999E-2</v>
      </c>
      <c r="CA170" s="14" cm="1">
        <f t="array" aca="1" ref="CA170" ca="1">IF(INDIRECT(ADDRESS($B170+1,CA$164,1,1,"Confirmed Trend"))=0,#N/A,INDIRECT(ADDRESS($B170+1,CA$164,1,1,"Confirmed Trend")))</f>
        <v>6.5012658299999998E-2</v>
      </c>
      <c r="CB170" s="14" cm="1">
        <f t="array" aca="1" ref="CB170" ca="1">IF(INDIRECT(ADDRESS($B170+1,CB$164,1,1,"Confirmed Trend"))=0,#N/A,INDIRECT(ADDRESS($B170+1,CB$164,1,1,"Confirmed Trend")))</f>
        <v>8.1055387300000004E-2</v>
      </c>
      <c r="CC170" s="14" cm="1">
        <f t="array" aca="1" ref="CC170" ca="1">IF(INDIRECT(ADDRESS($B170+1,CC$164,1,1,"Confirmed Trend"))=0,#N/A,INDIRECT(ADDRESS($B170+1,CC$164,1,1,"Confirmed Trend")))</f>
        <v>8.7774273599999994E-2</v>
      </c>
      <c r="CD170" s="14" cm="1">
        <f t="array" aca="1" ref="CD170" ca="1">IF(INDIRECT(ADDRESS($B170+1,CD$164,1,1,"Confirmed Trend"))=0,#N/A,INDIRECT(ADDRESS($B170+1,CD$164,1,1,"Confirmed Trend")))</f>
        <v>8.5815498599999998E-2</v>
      </c>
      <c r="CE170" s="14" cm="1">
        <f t="array" aca="1" ref="CE170" ca="1">IF(INDIRECT(ADDRESS($B170+1,CE$164,1,1,"Confirmed Trend"))=0,#N/A,INDIRECT(ADDRESS($B170+1,CE$164,1,1,"Confirmed Trend")))</f>
        <v>8.0756882099999996E-2</v>
      </c>
      <c r="CF170" s="14" cm="1">
        <f t="array" aca="1" ref="CF170" ca="1">IF(INDIRECT(ADDRESS($B170+1,CF$164,1,1,"Confirmed Trend"))=0,#N/A,INDIRECT(ADDRESS($B170+1,CF$164,1,1,"Confirmed Trend")))</f>
        <v>7.05412604E-2</v>
      </c>
      <c r="CG170" s="14" cm="1">
        <f t="array" aca="1" ref="CG170" ca="1">IF(INDIRECT(ADDRESS($B170+1,CG$164,1,1,"Confirmed Trend"))=0,#N/A,INDIRECT(ADDRESS($B170+1,CG$164,1,1,"Confirmed Trend")))</f>
        <v>6.6014289899999995E-2</v>
      </c>
      <c r="CH170" s="14" cm="1">
        <f t="array" aca="1" ref="CH170" ca="1">IF(INDIRECT(ADDRESS($B170+1,CH$164,1,1,"Confirmed Trend"))=0,#N/A,INDIRECT(ADDRESS($B170+1,CH$164,1,1,"Confirmed Trend")))</f>
        <v>5.5370983700000001E-2</v>
      </c>
      <c r="CI170" s="14" cm="1">
        <f t="array" aca="1" ref="CI170" ca="1">IF(INDIRECT(ADDRESS($B170+1,CI$164,1,1,"Confirmed Trend"))=0,#N/A,INDIRECT(ADDRESS($B170+1,CI$164,1,1,"Confirmed Trend")))</f>
        <v>4.8486583899999998E-2</v>
      </c>
      <c r="CJ170" s="14" cm="1">
        <f t="array" aca="1" ref="CJ170" ca="1">IF(INDIRECT(ADDRESS($B170+1,CJ$164,1,1,"Confirmed Trend"))=0,#N/A,INDIRECT(ADDRESS($B170+1,CJ$164,1,1,"Confirmed Trend")))</f>
        <v>4.0077510199999999E-2</v>
      </c>
      <c r="CK170" s="14" cm="1">
        <f t="array" aca="1" ref="CK170" ca="1">IF(INDIRECT(ADDRESS($B170+1,CK$164,1,1,"Confirmed Trend"))=0,#N/A,INDIRECT(ADDRESS($B170+1,CK$164,1,1,"Confirmed Trend")))</f>
        <v>3.3954113299999998E-2</v>
      </c>
      <c r="CL170" s="14" cm="1">
        <f t="array" aca="1" ref="CL170" ca="1">IF(INDIRECT(ADDRESS($B170+1,CL$164,1,1,"Confirmed Trend"))=0,#N/A,INDIRECT(ADDRESS($B170+1,CL$164,1,1,"Confirmed Trend")))</f>
        <v>3.0887744599999999E-2</v>
      </c>
      <c r="CM170" s="14" cm="1">
        <f t="array" aca="1" ref="CM170" ca="1">IF(INDIRECT(ADDRESS($B170+1,CM$164,1,1,"Confirmed Trend"))=0,#N/A,INDIRECT(ADDRESS($B170+1,CM$164,1,1,"Confirmed Trend")))</f>
        <v>3.07557665E-2</v>
      </c>
      <c r="CN170" s="14" t="e" cm="1">
        <f t="array" aca="1" ref="CN170" ca="1">IF(INDIRECT(ADDRESS($B170+1,CN$164,1,1,"Confirmed Trend"))=0,#N/A,INDIRECT(ADDRESS($B170+1,CN$164,1,1,"Confirmed Trend")))</f>
        <v>#N/A</v>
      </c>
      <c r="CO170" s="14" t="e" cm="1">
        <f t="array" aca="1" ref="CO170" ca="1">IF(INDIRECT(ADDRESS($B170+1,CO$164,1,1,"Confirmed Trend"))=0,#N/A,INDIRECT(ADDRESS($B170+1,CO$164,1,1,"Confirmed Trend")))</f>
        <v>#N/A</v>
      </c>
      <c r="CP170" s="14" t="e" cm="1">
        <f t="array" aca="1" ref="CP170" ca="1">IF(INDIRECT(ADDRESS($B170+1,CP$164,1,1,"Confirmed Trend"))=0,#N/A,INDIRECT(ADDRESS($B170+1,CP$164,1,1,"Confirmed Trend")))</f>
        <v>#N/A</v>
      </c>
      <c r="CQ170" s="14" t="e" cm="1">
        <f t="array" aca="1" ref="CQ170" ca="1">IF(INDIRECT(ADDRESS($B170+1,CQ$164,1,1,"Confirmed Trend"))=0,#N/A,INDIRECT(ADDRESS($B170+1,CQ$164,1,1,"Confirmed Trend")))</f>
        <v>#N/A</v>
      </c>
      <c r="CR170" s="14" t="e" cm="1">
        <f t="array" aca="1" ref="CR170" ca="1">IF(INDIRECT(ADDRESS($B170+1,CR$164,1,1,"Confirmed Trend"))=0,#N/A,INDIRECT(ADDRESS($B170+1,CR$164,1,1,"Confirmed Trend")))</f>
        <v>#N/A</v>
      </c>
    </row>
    <row r="171" spans="2:96" x14ac:dyDescent="0.25">
      <c r="B171">
        <f t="shared" si="258"/>
        <v>6</v>
      </c>
      <c r="C171" t="str" cm="1">
        <f t="array" aca="1" ref="C171" ca="1">INDIRECT(ADDRESS($B171+1,1,1,1,"Confirmed Trend"))</f>
        <v>France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cm="1">
        <f t="array" aca="1" ref="AA171" ca="1">IF(INDIRECT(ADDRESS($B171+1,AA$164,1,1,"Confirmed Trend"))=0,#N/A,INDIRECT(ADDRESS($B171+1,AA$164,1,1,"Confirmed Trend")))</f>
        <v>1.7173656799999999E-2</v>
      </c>
      <c r="AB171" s="14" cm="1">
        <f t="array" aca="1" ref="AB171" ca="1">IF(INDIRECT(ADDRESS($B171+1,AB$164,1,1,"Confirmed Trend"))=0,#N/A,INDIRECT(ADDRESS($B171+1,AB$164,1,1,"Confirmed Trend")))</f>
        <v>1.25810895E-2</v>
      </c>
      <c r="AC171" s="14" cm="1">
        <f t="array" aca="1" ref="AC171" ca="1">IF(INDIRECT(ADDRESS($B171+1,AC$164,1,1,"Confirmed Trend"))=0,#N/A,INDIRECT(ADDRESS($B171+1,AC$164,1,1,"Confirmed Trend")))</f>
        <v>1.2424742500000001E-2</v>
      </c>
      <c r="AD171" s="14" cm="1">
        <f t="array" aca="1" ref="AD171" ca="1">IF(INDIRECT(ADDRESS($B171+1,AD$164,1,1,"Confirmed Trend"))=0,#N/A,INDIRECT(ADDRESS($B171+1,AD$164,1,1,"Confirmed Trend")))</f>
        <v>1.2673690899999999E-2</v>
      </c>
      <c r="AE171" s="14" cm="1">
        <f t="array" aca="1" ref="AE171" ca="1">IF(INDIRECT(ADDRESS($B171+1,AE$164,1,1,"Confirmed Trend"))=0,#N/A,INDIRECT(ADDRESS($B171+1,AE$164,1,1,"Confirmed Trend")))</f>
        <v>1.33120635E-2</v>
      </c>
      <c r="AF171" s="14" cm="1">
        <f t="array" aca="1" ref="AF171" ca="1">IF(INDIRECT(ADDRESS($B171+1,AF$164,1,1,"Confirmed Trend"))=0,#N/A,INDIRECT(ADDRESS($B171+1,AF$164,1,1,"Confirmed Trend")))</f>
        <v>1.43234551E-2</v>
      </c>
      <c r="AG171" s="14" cm="1">
        <f t="array" aca="1" ref="AG171" ca="1">IF(INDIRECT(ADDRESS($B171+1,AG$164,1,1,"Confirmed Trend"))=0,#N/A,INDIRECT(ADDRESS($B171+1,AG$164,1,1,"Confirmed Trend")))</f>
        <v>1.5307567500000001E-2</v>
      </c>
      <c r="AH171" s="14" cm="1">
        <f t="array" aca="1" ref="AH171" ca="1">IF(INDIRECT(ADDRESS($B171+1,AH$164,1,1,"Confirmed Trend"))=0,#N/A,INDIRECT(ADDRESS($B171+1,AH$164,1,1,"Confirmed Trend")))</f>
        <v>1.5862616E-2</v>
      </c>
      <c r="AI171" s="14" cm="1">
        <f t="array" aca="1" ref="AI171" ca="1">IF(INDIRECT(ADDRESS($B171+1,AI$164,1,1,"Confirmed Trend"))=0,#N/A,INDIRECT(ADDRESS($B171+1,AI$164,1,1,"Confirmed Trend")))</f>
        <v>1.6005082300000001E-2</v>
      </c>
      <c r="AJ171" s="14" cm="1">
        <f t="array" aca="1" ref="AJ171" ca="1">IF(INDIRECT(ADDRESS($B171+1,AJ$164,1,1,"Confirmed Trend"))=0,#N/A,INDIRECT(ADDRESS($B171+1,AJ$164,1,1,"Confirmed Trend")))</f>
        <v>1.5752878000000001E-2</v>
      </c>
      <c r="AK171" s="14" cm="1">
        <f t="array" aca="1" ref="AK171" ca="1">IF(INDIRECT(ADDRESS($B171+1,AK$164,1,1,"Confirmed Trend"))=0,#N/A,INDIRECT(ADDRESS($B171+1,AK$164,1,1,"Confirmed Trend")))</f>
        <v>1.5508500999999999E-2</v>
      </c>
      <c r="AL171" s="14" cm="1">
        <f t="array" aca="1" ref="AL171" ca="1">IF(INDIRECT(ADDRESS($B171+1,AL$164,1,1,"Confirmed Trend"))=0,#N/A,INDIRECT(ADDRESS($B171+1,AL$164,1,1,"Confirmed Trend")))</f>
        <v>1.5271592400000001E-2</v>
      </c>
      <c r="AM171" s="14" cm="1">
        <f t="array" aca="1" ref="AM171" ca="1">IF(INDIRECT(ADDRESS($B171+1,AM$164,1,1,"Confirmed Trend"))=0,#N/A,INDIRECT(ADDRESS($B171+1,AM$164,1,1,"Confirmed Trend")))</f>
        <v>1.5041815E-2</v>
      </c>
      <c r="AN171" s="14" cm="1">
        <f t="array" aca="1" ref="AN171" ca="1">IF(INDIRECT(ADDRESS($B171+1,AN$164,1,1,"Confirmed Trend"))=0,#N/A,INDIRECT(ADDRESS($B171+1,AN$164,1,1,"Confirmed Trend")))</f>
        <v>3.7032991600000002E-2</v>
      </c>
      <c r="AO171" s="14" cm="1">
        <f t="array" aca="1" ref="AO171" ca="1">IF(INDIRECT(ADDRESS($B171+1,AO$164,1,1,"Confirmed Trend"))=0,#N/A,INDIRECT(ADDRESS($B171+1,AO$164,1,1,"Confirmed Trend")))</f>
        <v>0.14873008879999999</v>
      </c>
      <c r="AP171" s="14" cm="1">
        <f t="array" aca="1" ref="AP171" ca="1">IF(INDIRECT(ADDRESS($B171+1,AP$164,1,1,"Confirmed Trend"))=0,#N/A,INDIRECT(ADDRESS($B171+1,AP$164,1,1,"Confirmed Trend")))</f>
        <v>0.2900441393</v>
      </c>
      <c r="AQ171" s="14" cm="1">
        <f t="array" aca="1" ref="AQ171" ca="1">IF(INDIRECT(ADDRESS($B171+1,AQ$164,1,1,"Confirmed Trend"))=0,#N/A,INDIRECT(ADDRESS($B171+1,AQ$164,1,1,"Confirmed Trend")))</f>
        <v>0.47318933969999999</v>
      </c>
      <c r="AR171" s="14" cm="1">
        <f t="array" aca="1" ref="AR171" ca="1">IF(INDIRECT(ADDRESS($B171+1,AR$164,1,1,"Confirmed Trend"))=0,#N/A,INDIRECT(ADDRESS($B171+1,AR$164,1,1,"Confirmed Trend")))</f>
        <v>0.5821734945</v>
      </c>
      <c r="AS171" s="14" cm="1">
        <f t="array" aca="1" ref="AS171" ca="1">IF(INDIRECT(ADDRESS($B171+1,AS$164,1,1,"Confirmed Trend"))=0,#N/A,INDIRECT(ADDRESS($B171+1,AS$164,1,1,"Confirmed Trend")))</f>
        <v>0.56601534740000004</v>
      </c>
      <c r="AT171" s="14" cm="1">
        <f t="array" aca="1" ref="AT171" ca="1">IF(INDIRECT(ADDRESS($B171+1,AT$164,1,1,"Confirmed Trend"))=0,#N/A,INDIRECT(ADDRESS($B171+1,AT$164,1,1,"Confirmed Trend")))</f>
        <v>0.46814927499999998</v>
      </c>
      <c r="AU171" s="14" cm="1">
        <f t="array" aca="1" ref="AU171" ca="1">IF(INDIRECT(ADDRESS($B171+1,AU$164,1,1,"Confirmed Trend"))=0,#N/A,INDIRECT(ADDRESS($B171+1,AU$164,1,1,"Confirmed Trend")))</f>
        <v>0.36652812769999998</v>
      </c>
      <c r="AV171" s="14" cm="1">
        <f t="array" aca="1" ref="AV171" ca="1">IF(INDIRECT(ADDRESS($B171+1,AV$164,1,1,"Confirmed Trend"))=0,#N/A,INDIRECT(ADDRESS($B171+1,AV$164,1,1,"Confirmed Trend")))</f>
        <v>0.31798054269999998</v>
      </c>
      <c r="AW171" s="14" cm="1">
        <f t="array" aca="1" ref="AW171" ca="1">IF(INDIRECT(ADDRESS($B171+1,AW$164,1,1,"Confirmed Trend"))=0,#N/A,INDIRECT(ADDRESS($B171+1,AW$164,1,1,"Confirmed Trend")))</f>
        <v>0.32941603949999998</v>
      </c>
      <c r="AX171" s="14" cm="1">
        <f t="array" aca="1" ref="AX171" ca="1">IF(INDIRECT(ADDRESS($B171+1,AX$164,1,1,"Confirmed Trend"))=0,#N/A,INDIRECT(ADDRESS($B171+1,AX$164,1,1,"Confirmed Trend")))</f>
        <v>0.39338657760000001</v>
      </c>
      <c r="AY171" s="14" cm="1">
        <f t="array" aca="1" ref="AY171" ca="1">IF(INDIRECT(ADDRESS($B171+1,AY$164,1,1,"Confirmed Trend"))=0,#N/A,INDIRECT(ADDRESS($B171+1,AY$164,1,1,"Confirmed Trend")))</f>
        <v>0.4152522803</v>
      </c>
      <c r="AZ171" s="14" cm="1">
        <f t="array" aca="1" ref="AZ171" ca="1">IF(INDIRECT(ADDRESS($B171+1,AZ$164,1,1,"Confirmed Trend"))=0,#N/A,INDIRECT(ADDRESS($B171+1,AZ$164,1,1,"Confirmed Trend")))</f>
        <v>0.39547260169999998</v>
      </c>
      <c r="BA171" s="14" cm="1">
        <f t="array" aca="1" ref="BA171" ca="1">IF(INDIRECT(ADDRESS($B171+1,BA$164,1,1,"Confirmed Trend"))=0,#N/A,INDIRECT(ADDRESS($B171+1,BA$164,1,1,"Confirmed Trend")))</f>
        <v>0.3303518252</v>
      </c>
      <c r="BB171" s="14" cm="1">
        <f t="array" aca="1" ref="BB171" ca="1">IF(INDIRECT(ADDRESS($B171+1,BB$164,1,1,"Confirmed Trend"))=0,#N/A,INDIRECT(ADDRESS($B171+1,BB$164,1,1,"Confirmed Trend")))</f>
        <v>0.27768437219999997</v>
      </c>
      <c r="BC171" s="14" cm="1">
        <f t="array" aca="1" ref="BC171" ca="1">IF(INDIRECT(ADDRESS($B171+1,BC$164,1,1,"Confirmed Trend"))=0,#N/A,INDIRECT(ADDRESS($B171+1,BC$164,1,1,"Confirmed Trend")))</f>
        <v>0.26727353729999997</v>
      </c>
      <c r="BD171" s="14" cm="1">
        <f t="array" aca="1" ref="BD171" ca="1">IF(INDIRECT(ADDRESS($B171+1,BD$164,1,1,"Confirmed Trend"))=0,#N/A,INDIRECT(ADDRESS($B171+1,BD$164,1,1,"Confirmed Trend")))</f>
        <v>0.28352753400000003</v>
      </c>
      <c r="BE171" s="14" cm="1">
        <f t="array" aca="1" ref="BE171" ca="1">IF(INDIRECT(ADDRESS($B171+1,BE$164,1,1,"Confirmed Trend"))=0,#N/A,INDIRECT(ADDRESS($B171+1,BE$164,1,1,"Confirmed Trend")))</f>
        <v>0.28127566469999998</v>
      </c>
      <c r="BF171" s="14" cm="1">
        <f t="array" aca="1" ref="BF171" ca="1">IF(INDIRECT(ADDRESS($B171+1,BF$164,1,1,"Confirmed Trend"))=0,#N/A,INDIRECT(ADDRESS($B171+1,BF$164,1,1,"Confirmed Trend")))</f>
        <v>0.2439622736</v>
      </c>
      <c r="BG171" s="14" cm="1">
        <f t="array" aca="1" ref="BG171" ca="1">IF(INDIRECT(ADDRESS($B171+1,BG$164,1,1,"Confirmed Trend"))=0,#N/A,INDIRECT(ADDRESS($B171+1,BG$164,1,1,"Confirmed Trend")))</f>
        <v>0.22027201499999999</v>
      </c>
      <c r="BH171" s="14" cm="1">
        <f t="array" aca="1" ref="BH171" ca="1">IF(INDIRECT(ADDRESS($B171+1,BH$164,1,1,"Confirmed Trend"))=0,#N/A,INDIRECT(ADDRESS($B171+1,BH$164,1,1,"Confirmed Trend")))</f>
        <v>0.2048723643</v>
      </c>
      <c r="BI171" s="14" cm="1">
        <f t="array" aca="1" ref="BI171" ca="1">IF(INDIRECT(ADDRESS($B171+1,BI$164,1,1,"Confirmed Trend"))=0,#N/A,INDIRECT(ADDRESS($B171+1,BI$164,1,1,"Confirmed Trend")))</f>
        <v>0.20400655400000001</v>
      </c>
      <c r="BJ171" s="14" cm="1">
        <f t="array" aca="1" ref="BJ171" ca="1">IF(INDIRECT(ADDRESS($B171+1,BJ$164,1,1,"Confirmed Trend"))=0,#N/A,INDIRECT(ADDRESS($B171+1,BJ$164,1,1,"Confirmed Trend")))</f>
        <v>0.2154894597</v>
      </c>
      <c r="BK171" s="14" cm="1">
        <f t="array" aca="1" ref="BK171" ca="1">IF(INDIRECT(ADDRESS($B171+1,BK$164,1,1,"Confirmed Trend"))=0,#N/A,INDIRECT(ADDRESS($B171+1,BK$164,1,1,"Confirmed Trend")))</f>
        <v>0.2016266598</v>
      </c>
      <c r="BL171" s="14" cm="1">
        <f t="array" aca="1" ref="BL171" ca="1">IF(INDIRECT(ADDRESS($B171+1,BL$164,1,1,"Confirmed Trend"))=0,#N/A,INDIRECT(ADDRESS($B171+1,BL$164,1,1,"Confirmed Trend")))</f>
        <v>0.19076305700000001</v>
      </c>
      <c r="BM171" s="14" cm="1">
        <f t="array" aca="1" ref="BM171" ca="1">IF(INDIRECT(ADDRESS($B171+1,BM$164,1,1,"Confirmed Trend"))=0,#N/A,INDIRECT(ADDRESS($B171+1,BM$164,1,1,"Confirmed Trend")))</f>
        <v>0.16459604899999999</v>
      </c>
      <c r="BN171" s="14" cm="1">
        <f t="array" aca="1" ref="BN171" ca="1">IF(INDIRECT(ADDRESS($B171+1,BN$164,1,1,"Confirmed Trend"))=0,#N/A,INDIRECT(ADDRESS($B171+1,BN$164,1,1,"Confirmed Trend")))</f>
        <v>0.16141461139999999</v>
      </c>
      <c r="BO171" s="14" cm="1">
        <f t="array" aca="1" ref="BO171" ca="1">IF(INDIRECT(ADDRESS($B171+1,BO$164,1,1,"Confirmed Trend"))=0,#N/A,INDIRECT(ADDRESS($B171+1,BO$164,1,1,"Confirmed Trend")))</f>
        <v>0.15646377210000001</v>
      </c>
      <c r="BP171" s="14" cm="1">
        <f t="array" aca="1" ref="BP171" ca="1">IF(INDIRECT(ADDRESS($B171+1,BP$164,1,1,"Confirmed Trend"))=0,#N/A,INDIRECT(ADDRESS($B171+1,BP$164,1,1,"Confirmed Trend")))</f>
        <v>0.15579636720000001</v>
      </c>
      <c r="BQ171" s="14" cm="1">
        <f t="array" aca="1" ref="BQ171" ca="1">IF(INDIRECT(ADDRESS($B171+1,BQ$164,1,1,"Confirmed Trend"))=0,#N/A,INDIRECT(ADDRESS($B171+1,BQ$164,1,1,"Confirmed Trend")))</f>
        <v>0.1562262549</v>
      </c>
      <c r="BR171" s="14" cm="1">
        <f t="array" aca="1" ref="BR171" ca="1">IF(INDIRECT(ADDRESS($B171+1,BR$164,1,1,"Confirmed Trend"))=0,#N/A,INDIRECT(ADDRESS($B171+1,BR$164,1,1,"Confirmed Trend")))</f>
        <v>0.1487816501</v>
      </c>
      <c r="BS171" s="14" cm="1">
        <f t="array" aca="1" ref="BS171" ca="1">IF(INDIRECT(ADDRESS($B171+1,BS$164,1,1,"Confirmed Trend"))=0,#N/A,INDIRECT(ADDRESS($B171+1,BS$164,1,1,"Confirmed Trend")))</f>
        <v>0.14413575689999999</v>
      </c>
      <c r="BT171" s="14" cm="1">
        <f t="array" aca="1" ref="BT171" ca="1">IF(INDIRECT(ADDRESS($B171+1,BT$164,1,1,"Confirmed Trend"))=0,#N/A,INDIRECT(ADDRESS($B171+1,BT$164,1,1,"Confirmed Trend")))</f>
        <v>0.1321291101</v>
      </c>
      <c r="BU171" s="14" cm="1">
        <f t="array" aca="1" ref="BU171" ca="1">IF(INDIRECT(ADDRESS($B171+1,BU$164,1,1,"Confirmed Trend"))=0,#N/A,INDIRECT(ADDRESS($B171+1,BU$164,1,1,"Confirmed Trend")))</f>
        <v>0.1237461338</v>
      </c>
      <c r="BV171" s="14" cm="1">
        <f t="array" aca="1" ref="BV171" ca="1">IF(INDIRECT(ADDRESS($B171+1,BV$164,1,1,"Confirmed Trend"))=0,#N/A,INDIRECT(ADDRESS($B171+1,BV$164,1,1,"Confirmed Trend")))</f>
        <v>0.1187796906</v>
      </c>
      <c r="BW171" s="14" cm="1">
        <f t="array" aca="1" ref="BW171" ca="1">IF(INDIRECT(ADDRESS($B171+1,BW$164,1,1,"Confirmed Trend"))=0,#N/A,INDIRECT(ADDRESS($B171+1,BW$164,1,1,"Confirmed Trend")))</f>
        <v>0.1142378262</v>
      </c>
      <c r="BX171" s="14" cm="1">
        <f t="array" aca="1" ref="BX171" ca="1">IF(INDIRECT(ADDRESS($B171+1,BX$164,1,1,"Confirmed Trend"))=0,#N/A,INDIRECT(ADDRESS($B171+1,BX$164,1,1,"Confirmed Trend")))</f>
        <v>0.11025066829999999</v>
      </c>
      <c r="BY171" s="14" cm="1">
        <f t="array" aca="1" ref="BY171" ca="1">IF(INDIRECT(ADDRESS($B171+1,BY$164,1,1,"Confirmed Trend"))=0,#N/A,INDIRECT(ADDRESS($B171+1,BY$164,1,1,"Confirmed Trend")))</f>
        <v>0.1021042174</v>
      </c>
      <c r="BZ171" s="14" cm="1">
        <f t="array" aca="1" ref="BZ171" ca="1">IF(INDIRECT(ADDRESS($B171+1,BZ$164,1,1,"Confirmed Trend"))=0,#N/A,INDIRECT(ADDRESS($B171+1,BZ$164,1,1,"Confirmed Trend")))</f>
        <v>8.8402824199999994E-2</v>
      </c>
      <c r="CA171" s="14" cm="1">
        <f t="array" aca="1" ref="CA171" ca="1">IF(INDIRECT(ADDRESS($B171+1,CA$164,1,1,"Confirmed Trend"))=0,#N/A,INDIRECT(ADDRESS($B171+1,CA$164,1,1,"Confirmed Trend")))</f>
        <v>7.2639517799999997E-2</v>
      </c>
      <c r="CB171" s="14" cm="1">
        <f t="array" aca="1" ref="CB171" ca="1">IF(INDIRECT(ADDRESS($B171+1,CB$164,1,1,"Confirmed Trend"))=0,#N/A,INDIRECT(ADDRESS($B171+1,CB$164,1,1,"Confirmed Trend")))</f>
        <v>6.13656801E-2</v>
      </c>
      <c r="CC171" s="14" cm="1">
        <f t="array" aca="1" ref="CC171" ca="1">IF(INDIRECT(ADDRESS($B171+1,CC$164,1,1,"Confirmed Trend"))=0,#N/A,INDIRECT(ADDRESS($B171+1,CC$164,1,1,"Confirmed Trend")))</f>
        <v>5.4422984899999999E-2</v>
      </c>
      <c r="CD171" s="14" cm="1">
        <f t="array" aca="1" ref="CD171" ca="1">IF(INDIRECT(ADDRESS($B171+1,CD$164,1,1,"Confirmed Trend"))=0,#N/A,INDIRECT(ADDRESS($B171+1,CD$164,1,1,"Confirmed Trend")))</f>
        <v>5.1312598199999997E-2</v>
      </c>
      <c r="CE171" s="14" cm="1">
        <f t="array" aca="1" ref="CE171" ca="1">IF(INDIRECT(ADDRESS($B171+1,CE$164,1,1,"Confirmed Trend"))=0,#N/A,INDIRECT(ADDRESS($B171+1,CE$164,1,1,"Confirmed Trend")))</f>
        <v>4.9244895599999998E-2</v>
      </c>
      <c r="CF171" s="14" cm="1">
        <f t="array" aca="1" ref="CF171" ca="1">IF(INDIRECT(ADDRESS($B171+1,CF$164,1,1,"Confirmed Trend"))=0,#N/A,INDIRECT(ADDRESS($B171+1,CF$164,1,1,"Confirmed Trend")))</f>
        <v>4.9575087300000001E-2</v>
      </c>
      <c r="CG171" s="14" cm="1">
        <f t="array" aca="1" ref="CG171" ca="1">IF(INDIRECT(ADDRESS($B171+1,CG$164,1,1,"Confirmed Trend"))=0,#N/A,INDIRECT(ADDRESS($B171+1,CG$164,1,1,"Confirmed Trend")))</f>
        <v>4.9708973699999999E-2</v>
      </c>
      <c r="CH171" s="14" cm="1">
        <f t="array" aca="1" ref="CH171" ca="1">IF(INDIRECT(ADDRESS($B171+1,CH$164,1,1,"Confirmed Trend"))=0,#N/A,INDIRECT(ADDRESS($B171+1,CH$164,1,1,"Confirmed Trend")))</f>
        <v>6.7888427400000007E-2</v>
      </c>
      <c r="CI171" s="14" cm="1">
        <f t="array" aca="1" ref="CI171" ca="1">IF(INDIRECT(ADDRESS($B171+1,CI$164,1,1,"Confirmed Trend"))=0,#N/A,INDIRECT(ADDRESS($B171+1,CI$164,1,1,"Confirmed Trend")))</f>
        <v>8.2641621799999995E-2</v>
      </c>
      <c r="CJ171" s="14" cm="1">
        <f t="array" aca="1" ref="CJ171" ca="1">IF(INDIRECT(ADDRESS($B171+1,CJ$164,1,1,"Confirmed Trend"))=0,#N/A,INDIRECT(ADDRESS($B171+1,CJ$164,1,1,"Confirmed Trend")))</f>
        <v>9.7013129000000003E-2</v>
      </c>
      <c r="CK171" s="14" cm="1">
        <f t="array" aca="1" ref="CK171" ca="1">IF(INDIRECT(ADDRESS($B171+1,CK$164,1,1,"Confirmed Trend"))=0,#N/A,INDIRECT(ADDRESS($B171+1,CK$164,1,1,"Confirmed Trend")))</f>
        <v>9.4086458100000006E-2</v>
      </c>
      <c r="CL171" s="14" cm="1">
        <f t="array" aca="1" ref="CL171" ca="1">IF(INDIRECT(ADDRESS($B171+1,CL$164,1,1,"Confirmed Trend"))=0,#N/A,INDIRECT(ADDRESS($B171+1,CL$164,1,1,"Confirmed Trend")))</f>
        <v>7.6469649700000003E-2</v>
      </c>
      <c r="CM171" s="14" cm="1">
        <f t="array" aca="1" ref="CM171" ca="1">IF(INDIRECT(ADDRESS($B171+1,CM$164,1,1,"Confirmed Trend"))=0,#N/A,INDIRECT(ADDRESS($B171+1,CM$164,1,1,"Confirmed Trend")))</f>
        <v>5.98583964E-2</v>
      </c>
      <c r="CN171" s="14" t="e" cm="1">
        <f t="array" aca="1" ref="CN171" ca="1">IF(INDIRECT(ADDRESS($B171+1,CN$164,1,1,"Confirmed Trend"))=0,#N/A,INDIRECT(ADDRESS($B171+1,CN$164,1,1,"Confirmed Trend")))</f>
        <v>#N/A</v>
      </c>
      <c r="CO171" s="14" t="e" cm="1">
        <f t="array" aca="1" ref="CO171" ca="1">IF(INDIRECT(ADDRESS($B171+1,CO$164,1,1,"Confirmed Trend"))=0,#N/A,INDIRECT(ADDRESS($B171+1,CO$164,1,1,"Confirmed Trend")))</f>
        <v>#N/A</v>
      </c>
      <c r="CP171" s="14" t="e" cm="1">
        <f t="array" aca="1" ref="CP171" ca="1">IF(INDIRECT(ADDRESS($B171+1,CP$164,1,1,"Confirmed Trend"))=0,#N/A,INDIRECT(ADDRESS($B171+1,CP$164,1,1,"Confirmed Trend")))</f>
        <v>#N/A</v>
      </c>
      <c r="CQ171" s="14" t="e" cm="1">
        <f t="array" aca="1" ref="CQ171" ca="1">IF(INDIRECT(ADDRESS($B171+1,CQ$164,1,1,"Confirmed Trend"))=0,#N/A,INDIRECT(ADDRESS($B171+1,CQ$164,1,1,"Confirmed Trend")))</f>
        <v>#N/A</v>
      </c>
      <c r="CR171" s="14" t="e" cm="1">
        <f t="array" aca="1" ref="CR171" ca="1">IF(INDIRECT(ADDRESS($B171+1,CR$164,1,1,"Confirmed Trend"))=0,#N/A,INDIRECT(ADDRESS($B171+1,CR$164,1,1,"Confirmed Trend")))</f>
        <v>#N/A</v>
      </c>
    </row>
    <row r="172" spans="2:96" x14ac:dyDescent="0.25">
      <c r="B172">
        <f t="shared" si="258"/>
        <v>7</v>
      </c>
      <c r="C172" t="str" cm="1">
        <f t="array" aca="1" ref="C172" ca="1">INDIRECT(ADDRESS($B172+1,1,1,1,"Confirmed Trend"))</f>
        <v>Germany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cm="1">
        <f t="array" aca="1" ref="V172" ca="1">IF(INDIRECT(ADDRESS($B172+1,V$164,1,1,"Confirmed Trend"))=0,#N/A,INDIRECT(ADDRESS($B172+1,V$164,1,1,"Confirmed Trend")))</f>
        <v>3.4653119099999997E-2</v>
      </c>
      <c r="W172" s="14" cm="1">
        <f t="array" aca="1" ref="W172" ca="1">IF(INDIRECT(ADDRESS($B172+1,W$164,1,1,"Confirmed Trend"))=0,#N/A,INDIRECT(ADDRESS($B172+1,W$164,1,1,"Confirmed Trend")))</f>
        <v>2.4588365300000001E-2</v>
      </c>
      <c r="X172" s="14" cm="1">
        <f t="array" aca="1" ref="X172" ca="1">IF(INDIRECT(ADDRESS($B172+1,X$164,1,1,"Confirmed Trend"))=0,#N/A,INDIRECT(ADDRESS($B172+1,X$164,1,1,"Confirmed Trend")))</f>
        <v>3.1785488799999997E-2</v>
      </c>
      <c r="Y172" s="14" cm="1">
        <f t="array" aca="1" ref="Y172" ca="1">IF(INDIRECT(ADDRESS($B172+1,Y$164,1,1,"Confirmed Trend"))=0,#N/A,INDIRECT(ADDRESS($B172+1,Y$164,1,1,"Confirmed Trend")))</f>
        <v>4.1466412799999998E-2</v>
      </c>
      <c r="Z172" s="14" cm="1">
        <f t="array" aca="1" ref="Z172" ca="1">IF(INDIRECT(ADDRESS($B172+1,Z$164,1,1,"Confirmed Trend"))=0,#N/A,INDIRECT(ADDRESS($B172+1,Z$164,1,1,"Confirmed Trend")))</f>
        <v>4.6476377899999997E-2</v>
      </c>
      <c r="AA172" s="14" cm="1">
        <f t="array" aca="1" ref="AA172" ca="1">IF(INDIRECT(ADDRESS($B172+1,AA$164,1,1,"Confirmed Trend"))=0,#N/A,INDIRECT(ADDRESS($B172+1,AA$164,1,1,"Confirmed Trend")))</f>
        <v>4.4552273099999998E-2</v>
      </c>
      <c r="AB172" s="14" cm="1">
        <f t="array" aca="1" ref="AB172" ca="1">IF(INDIRECT(ADDRESS($B172+1,AB$164,1,1,"Confirmed Trend"))=0,#N/A,INDIRECT(ADDRESS($B172+1,AB$164,1,1,"Confirmed Trend")))</f>
        <v>3.3185213300000002E-2</v>
      </c>
      <c r="AC172" s="14" cm="1">
        <f t="array" aca="1" ref="AC172" ca="1">IF(INDIRECT(ADDRESS($B172+1,AC$164,1,1,"Confirmed Trend"))=0,#N/A,INDIRECT(ADDRESS($B172+1,AC$164,1,1,"Confirmed Trend")))</f>
        <v>1.9651213899999999E-2</v>
      </c>
      <c r="AD172" s="14" cm="1">
        <f t="array" aca="1" ref="AD172" ca="1">IF(INDIRECT(ADDRESS($B172+1,AD$164,1,1,"Confirmed Trend"))=0,#N/A,INDIRECT(ADDRESS($B172+1,AD$164,1,1,"Confirmed Trend")))</f>
        <v>9.3520554999999995E-3</v>
      </c>
      <c r="AE172" s="14" cm="1">
        <f t="array" aca="1" ref="AE172" ca="1">IF(INDIRECT(ADDRESS($B172+1,AE$164,1,1,"Confirmed Trend"))=0,#N/A,INDIRECT(ADDRESS($B172+1,AE$164,1,1,"Confirmed Trend")))</f>
        <v>4.4151184000000001E-3</v>
      </c>
      <c r="AF172" s="14" cm="1">
        <f t="array" aca="1" ref="AF172" ca="1">IF(INDIRECT(ADDRESS($B172+1,AF$164,1,1,"Confirmed Trend"))=0,#N/A,INDIRECT(ADDRESS($B172+1,AF$164,1,1,"Confirmed Trend")))</f>
        <v>4.3957103000000003E-3</v>
      </c>
      <c r="AG172" s="14" cm="1">
        <f t="array" aca="1" ref="AG172" ca="1">IF(INDIRECT(ADDRESS($B172+1,AG$164,1,1,"Confirmed Trend"))=0,#N/A,INDIRECT(ADDRESS($B172+1,AG$164,1,1,"Confirmed Trend")))</f>
        <v>4.3764722000000002E-3</v>
      </c>
      <c r="AH172" s="14" cm="1">
        <f t="array" aca="1" ref="AH172" ca="1">IF(INDIRECT(ADDRESS($B172+1,AH$164,1,1,"Confirmed Trend"))=0,#N/A,INDIRECT(ADDRESS($B172+1,AH$164,1,1,"Confirmed Trend")))</f>
        <v>4.3574017000000001E-3</v>
      </c>
      <c r="AI172" s="14" cm="1">
        <f t="array" aca="1" ref="AI172" ca="1">IF(INDIRECT(ADDRESS($B172+1,AI$164,1,1,"Confirmed Trend"))=0,#N/A,INDIRECT(ADDRESS($B172+1,AI$164,1,1,"Confirmed Trend")))</f>
        <v>4.3384966000000001E-3</v>
      </c>
      <c r="AJ172" s="14" cm="1">
        <f t="array" aca="1" ref="AJ172" ca="1">IF(INDIRECT(ADDRESS($B172+1,AJ$164,1,1,"Confirmed Trend"))=0,#N/A,INDIRECT(ADDRESS($B172+1,AJ$164,1,1,"Confirmed Trend")))</f>
        <v>4.3197549999999998E-3</v>
      </c>
      <c r="AK172" s="14" cm="1">
        <f t="array" aca="1" ref="AK172" ca="1">IF(INDIRECT(ADDRESS($B172+1,AK$164,1,1,"Confirmed Trend"))=0,#N/A,INDIRECT(ADDRESS($B172+1,AK$164,1,1,"Confirmed Trend")))</f>
        <v>4.3011745000000002E-3</v>
      </c>
      <c r="AL172" s="14" cm="1">
        <f t="array" aca="1" ref="AL172" ca="1">IF(INDIRECT(ADDRESS($B172+1,AL$164,1,1,"Confirmed Trend"))=0,#N/A,INDIRECT(ADDRESS($B172+1,AL$164,1,1,"Confirmed Trend")))</f>
        <v>4.2827532000000003E-3</v>
      </c>
      <c r="AM172" s="14" cm="1">
        <f t="array" aca="1" ref="AM172" ca="1">IF(INDIRECT(ADDRESS($B172+1,AM$164,1,1,"Confirmed Trend"))=0,#N/A,INDIRECT(ADDRESS($B172+1,AM$164,1,1,"Confirmed Trend")))</f>
        <v>4.2644891000000002E-3</v>
      </c>
      <c r="AN172" s="14" cm="1">
        <f t="array" aca="1" ref="AN172" ca="1">IF(INDIRECT(ADDRESS($B172+1,AN$164,1,1,"Confirmed Trend"))=0,#N/A,INDIRECT(ADDRESS($B172+1,AN$164,1,1,"Confirmed Trend")))</f>
        <v>4.9912194E-2</v>
      </c>
      <c r="AO172" s="14" cm="1">
        <f t="array" aca="1" ref="AO172" ca="1">IF(INDIRECT(ADDRESS($B172+1,AO$164,1,1,"Confirmed Trend"))=0,#N/A,INDIRECT(ADDRESS($B172+1,AO$164,1,1,"Confirmed Trend")))</f>
        <v>0.15623299099999999</v>
      </c>
      <c r="AP172" s="14" cm="1">
        <f t="array" aca="1" ref="AP172" ca="1">IF(INDIRECT(ADDRESS($B172+1,AP$164,1,1,"Confirmed Trend"))=0,#N/A,INDIRECT(ADDRESS($B172+1,AP$164,1,1,"Confirmed Trend")))</f>
        <v>0.24371260829999999</v>
      </c>
      <c r="AQ172" s="14" cm="1">
        <f t="array" aca="1" ref="AQ172" ca="1">IF(INDIRECT(ADDRESS($B172+1,AQ$164,1,1,"Confirmed Trend"))=0,#N/A,INDIRECT(ADDRESS($B172+1,AQ$164,1,1,"Confirmed Trend")))</f>
        <v>0.35855158819999999</v>
      </c>
      <c r="AR172" s="14" cm="1">
        <f t="array" aca="1" ref="AR172" ca="1">IF(INDIRECT(ADDRESS($B172+1,AR$164,1,1,"Confirmed Trend"))=0,#N/A,INDIRECT(ADDRESS($B172+1,AR$164,1,1,"Confirmed Trend")))</f>
        <v>0.43310506840000002</v>
      </c>
      <c r="AS172" s="14" cm="1">
        <f t="array" aca="1" ref="AS172" ca="1">IF(INDIRECT(ADDRESS($B172+1,AS$164,1,1,"Confirmed Trend"))=0,#N/A,INDIRECT(ADDRESS($B172+1,AS$164,1,1,"Confirmed Trend")))</f>
        <v>0.42200566750000001</v>
      </c>
      <c r="AT172" s="14" cm="1">
        <f t="array" aca="1" ref="AT172" ca="1">IF(INDIRECT(ADDRESS($B172+1,AT$164,1,1,"Confirmed Trend"))=0,#N/A,INDIRECT(ADDRESS($B172+1,AT$164,1,1,"Confirmed Trend")))</f>
        <v>0.41494347929999997</v>
      </c>
      <c r="AU172" s="14" cm="1">
        <f t="array" aca="1" ref="AU172" ca="1">IF(INDIRECT(ADDRESS($B172+1,AU$164,1,1,"Confirmed Trend"))=0,#N/A,INDIRECT(ADDRESS($B172+1,AU$164,1,1,"Confirmed Trend")))</f>
        <v>0.3742310761</v>
      </c>
      <c r="AV172" s="14" cm="1">
        <f t="array" aca="1" ref="AV172" ca="1">IF(INDIRECT(ADDRESS($B172+1,AV$164,1,1,"Confirmed Trend"))=0,#N/A,INDIRECT(ADDRESS($B172+1,AV$164,1,1,"Confirmed Trend")))</f>
        <v>0.38292517469999998</v>
      </c>
      <c r="AW172" s="14" cm="1">
        <f t="array" aca="1" ref="AW172" ca="1">IF(INDIRECT(ADDRESS($B172+1,AW$164,1,1,"Confirmed Trend"))=0,#N/A,INDIRECT(ADDRESS($B172+1,AW$164,1,1,"Confirmed Trend")))</f>
        <v>0.40007208849999998</v>
      </c>
      <c r="AX172" s="14" cm="1">
        <f t="array" aca="1" ref="AX172" ca="1">IF(INDIRECT(ADDRESS($B172+1,AX$164,1,1,"Confirmed Trend"))=0,#N/A,INDIRECT(ADDRESS($B172+1,AX$164,1,1,"Confirmed Trend")))</f>
        <v>0.41621399809999998</v>
      </c>
      <c r="AY172" s="14" cm="1">
        <f t="array" aca="1" ref="AY172" ca="1">IF(INDIRECT(ADDRESS($B172+1,AY$164,1,1,"Confirmed Trend"))=0,#N/A,INDIRECT(ADDRESS($B172+1,AY$164,1,1,"Confirmed Trend")))</f>
        <v>0.42005077870000002</v>
      </c>
      <c r="AZ172" s="14" cm="1">
        <f t="array" aca="1" ref="AZ172" ca="1">IF(INDIRECT(ADDRESS($B172+1,AZ$164,1,1,"Confirmed Trend"))=0,#N/A,INDIRECT(ADDRESS($B172+1,AZ$164,1,1,"Confirmed Trend")))</f>
        <v>0.33825805390000002</v>
      </c>
      <c r="BA172" s="14" cm="1">
        <f t="array" aca="1" ref="BA172" ca="1">IF(INDIRECT(ADDRESS($B172+1,BA$164,1,1,"Confirmed Trend"))=0,#N/A,INDIRECT(ADDRESS($B172+1,BA$164,1,1,"Confirmed Trend")))</f>
        <v>0.2695297418</v>
      </c>
      <c r="BB172" s="14" cm="1">
        <f t="array" aca="1" ref="BB172" ca="1">IF(INDIRECT(ADDRESS($B172+1,BB$164,1,1,"Confirmed Trend"))=0,#N/A,INDIRECT(ADDRESS($B172+1,BB$164,1,1,"Confirmed Trend")))</f>
        <v>0.235160965</v>
      </c>
      <c r="BC172" s="14" cm="1">
        <f t="array" aca="1" ref="BC172" ca="1">IF(INDIRECT(ADDRESS($B172+1,BC$164,1,1,"Confirmed Trend"))=0,#N/A,INDIRECT(ADDRESS($B172+1,BC$164,1,1,"Confirmed Trend")))</f>
        <v>0.2136247322</v>
      </c>
      <c r="BD172" s="14" cm="1">
        <f t="array" aca="1" ref="BD172" ca="1">IF(INDIRECT(ADDRESS($B172+1,BD$164,1,1,"Confirmed Trend"))=0,#N/A,INDIRECT(ADDRESS($B172+1,BD$164,1,1,"Confirmed Trend")))</f>
        <v>0.26255276249999998</v>
      </c>
      <c r="BE172" s="14" cm="1">
        <f t="array" aca="1" ref="BE172" ca="1">IF(INDIRECT(ADDRESS($B172+1,BE$164,1,1,"Confirmed Trend"))=0,#N/A,INDIRECT(ADDRESS($B172+1,BE$164,1,1,"Confirmed Trend")))</f>
        <v>0.2952508915</v>
      </c>
      <c r="BF172" s="14" cm="1">
        <f t="array" aca="1" ref="BF172" ca="1">IF(INDIRECT(ADDRESS($B172+1,BF$164,1,1,"Confirmed Trend"))=0,#N/A,INDIRECT(ADDRESS($B172+1,BF$164,1,1,"Confirmed Trend")))</f>
        <v>0.32638571830000002</v>
      </c>
      <c r="BG172" s="14" cm="1">
        <f t="array" aca="1" ref="BG172" ca="1">IF(INDIRECT(ADDRESS($B172+1,BG$164,1,1,"Confirmed Trend"))=0,#N/A,INDIRECT(ADDRESS($B172+1,BG$164,1,1,"Confirmed Trend")))</f>
        <v>0.34195791479999998</v>
      </c>
      <c r="BH172" s="14" cm="1">
        <f t="array" aca="1" ref="BH172" ca="1">IF(INDIRECT(ADDRESS($B172+1,BH$164,1,1,"Confirmed Trend"))=0,#N/A,INDIRECT(ADDRESS($B172+1,BH$164,1,1,"Confirmed Trend")))</f>
        <v>0.30653677369999999</v>
      </c>
      <c r="BI172" s="14" cm="1">
        <f t="array" aca="1" ref="BI172" ca="1">IF(INDIRECT(ADDRESS($B172+1,BI$164,1,1,"Confirmed Trend"))=0,#N/A,INDIRECT(ADDRESS($B172+1,BI$164,1,1,"Confirmed Trend")))</f>
        <v>0.29255758450000002</v>
      </c>
      <c r="BJ172" s="14" cm="1">
        <f t="array" aca="1" ref="BJ172" ca="1">IF(INDIRECT(ADDRESS($B172+1,BJ$164,1,1,"Confirmed Trend"))=0,#N/A,INDIRECT(ADDRESS($B172+1,BJ$164,1,1,"Confirmed Trend")))</f>
        <v>0.27294795560000001</v>
      </c>
      <c r="BK172" s="14" cm="1">
        <f t="array" aca="1" ref="BK172" ca="1">IF(INDIRECT(ADDRESS($B172+1,BK$164,1,1,"Confirmed Trend"))=0,#N/A,INDIRECT(ADDRESS($B172+1,BK$164,1,1,"Confirmed Trend")))</f>
        <v>0.28074743070000002</v>
      </c>
      <c r="BL172" s="14" cm="1">
        <f t="array" aca="1" ref="BL172" ca="1">IF(INDIRECT(ADDRESS($B172+1,BL$164,1,1,"Confirmed Trend"))=0,#N/A,INDIRECT(ADDRESS($B172+1,BL$164,1,1,"Confirmed Trend")))</f>
        <v>0.26619042399999998</v>
      </c>
      <c r="BM172" s="14" cm="1">
        <f t="array" aca="1" ref="BM172" ca="1">IF(INDIRECT(ADDRESS($B172+1,BM$164,1,1,"Confirmed Trend"))=0,#N/A,INDIRECT(ADDRESS($B172+1,BM$164,1,1,"Confirmed Trend")))</f>
        <v>0.23410656469999999</v>
      </c>
      <c r="BN172" s="14" cm="1">
        <f t="array" aca="1" ref="BN172" ca="1">IF(INDIRECT(ADDRESS($B172+1,BN$164,1,1,"Confirmed Trend"))=0,#N/A,INDIRECT(ADDRESS($B172+1,BN$164,1,1,"Confirmed Trend")))</f>
        <v>0.1984990928</v>
      </c>
      <c r="BO172" s="14" cm="1">
        <f t="array" aca="1" ref="BO172" ca="1">IF(INDIRECT(ADDRESS($B172+1,BO$164,1,1,"Confirmed Trend"))=0,#N/A,INDIRECT(ADDRESS($B172+1,BO$164,1,1,"Confirmed Trend")))</f>
        <v>0.1630856852</v>
      </c>
      <c r="BP172" s="14" cm="1">
        <f t="array" aca="1" ref="BP172" ca="1">IF(INDIRECT(ADDRESS($B172+1,BP$164,1,1,"Confirmed Trend"))=0,#N/A,INDIRECT(ADDRESS($B172+1,BP$164,1,1,"Confirmed Trend")))</f>
        <v>0.14713975560000001</v>
      </c>
      <c r="BQ172" s="14" cm="1">
        <f t="array" aca="1" ref="BQ172" ca="1">IF(INDIRECT(ADDRESS($B172+1,BQ$164,1,1,"Confirmed Trend"))=0,#N/A,INDIRECT(ADDRESS($B172+1,BQ$164,1,1,"Confirmed Trend")))</f>
        <v>0.14300862189999999</v>
      </c>
      <c r="BR172" s="14" cm="1">
        <f t="array" aca="1" ref="BR172" ca="1">IF(INDIRECT(ADDRESS($B172+1,BR$164,1,1,"Confirmed Trend"))=0,#N/A,INDIRECT(ADDRESS($B172+1,BR$164,1,1,"Confirmed Trend")))</f>
        <v>0.1477463812</v>
      </c>
      <c r="BS172" s="14" cm="1">
        <f t="array" aca="1" ref="BS172" ca="1">IF(INDIRECT(ADDRESS($B172+1,BS$164,1,1,"Confirmed Trend"))=0,#N/A,INDIRECT(ADDRESS($B172+1,BS$164,1,1,"Confirmed Trend")))</f>
        <v>0.15092394349999999</v>
      </c>
      <c r="BT172" s="14" cm="1">
        <f t="array" aca="1" ref="BT172" ca="1">IF(INDIRECT(ADDRESS($B172+1,BT$164,1,1,"Confirmed Trend"))=0,#N/A,INDIRECT(ADDRESS($B172+1,BT$164,1,1,"Confirmed Trend")))</f>
        <v>0.1447883794</v>
      </c>
      <c r="BU172" s="14" cm="1">
        <f t="array" aca="1" ref="BU172" ca="1">IF(INDIRECT(ADDRESS($B172+1,BU$164,1,1,"Confirmed Trend"))=0,#N/A,INDIRECT(ADDRESS($B172+1,BU$164,1,1,"Confirmed Trend")))</f>
        <v>0.1306035344</v>
      </c>
      <c r="BV172" s="14" cm="1">
        <f t="array" aca="1" ref="BV172" ca="1">IF(INDIRECT(ADDRESS($B172+1,BV$164,1,1,"Confirmed Trend"))=0,#N/A,INDIRECT(ADDRESS($B172+1,BV$164,1,1,"Confirmed Trend")))</f>
        <v>0.1102797943</v>
      </c>
      <c r="BW172" s="14" cm="1">
        <f t="array" aca="1" ref="BW172" ca="1">IF(INDIRECT(ADDRESS($B172+1,BW$164,1,1,"Confirmed Trend"))=0,#N/A,INDIRECT(ADDRESS($B172+1,BW$164,1,1,"Confirmed Trend")))</f>
        <v>9.1633258499999995E-2</v>
      </c>
      <c r="BX172" s="14" cm="1">
        <f t="array" aca="1" ref="BX172" ca="1">IF(INDIRECT(ADDRESS($B172+1,BX$164,1,1,"Confirmed Trend"))=0,#N/A,INDIRECT(ADDRESS($B172+1,BX$164,1,1,"Confirmed Trend")))</f>
        <v>8.2655039E-2</v>
      </c>
      <c r="BY172" s="14" cm="1">
        <f t="array" aca="1" ref="BY172" ca="1">IF(INDIRECT(ADDRESS($B172+1,BY$164,1,1,"Confirmed Trend"))=0,#N/A,INDIRECT(ADDRESS($B172+1,BY$164,1,1,"Confirmed Trend")))</f>
        <v>7.9846583900000004E-2</v>
      </c>
      <c r="BZ172" s="14" cm="1">
        <f t="array" aca="1" ref="BZ172" ca="1">IF(INDIRECT(ADDRESS($B172+1,BZ$164,1,1,"Confirmed Trend"))=0,#N/A,INDIRECT(ADDRESS($B172+1,BZ$164,1,1,"Confirmed Trend")))</f>
        <v>7.8886474600000006E-2</v>
      </c>
      <c r="CA172" s="14" cm="1">
        <f t="array" aca="1" ref="CA172" ca="1">IF(INDIRECT(ADDRESS($B172+1,CA$164,1,1,"Confirmed Trend"))=0,#N/A,INDIRECT(ADDRESS($B172+1,CA$164,1,1,"Confirmed Trend")))</f>
        <v>7.3284360000000007E-2</v>
      </c>
      <c r="CB172" s="14" cm="1">
        <f t="array" aca="1" ref="CB172" ca="1">IF(INDIRECT(ADDRESS($B172+1,CB$164,1,1,"Confirmed Trend"))=0,#N/A,INDIRECT(ADDRESS($B172+1,CB$164,1,1,"Confirmed Trend")))</f>
        <v>6.3182434499999995E-2</v>
      </c>
      <c r="CC172" s="14" cm="1">
        <f t="array" aca="1" ref="CC172" ca="1">IF(INDIRECT(ADDRESS($B172+1,CC$164,1,1,"Confirmed Trend"))=0,#N/A,INDIRECT(ADDRESS($B172+1,CC$164,1,1,"Confirmed Trend")))</f>
        <v>5.2234027400000001E-2</v>
      </c>
      <c r="CD172" s="14" cm="1">
        <f t="array" aca="1" ref="CD172" ca="1">IF(INDIRECT(ADDRESS($B172+1,CD$164,1,1,"Confirmed Trend"))=0,#N/A,INDIRECT(ADDRESS($B172+1,CD$164,1,1,"Confirmed Trend")))</f>
        <v>4.4930961800000002E-2</v>
      </c>
      <c r="CE172" s="14" cm="1">
        <f t="array" aca="1" ref="CE172" ca="1">IF(INDIRECT(ADDRESS($B172+1,CE$164,1,1,"Confirmed Trend"))=0,#N/A,INDIRECT(ADDRESS($B172+1,CE$164,1,1,"Confirmed Trend")))</f>
        <v>4.2276355500000001E-2</v>
      </c>
      <c r="CF172" s="14" cm="1">
        <f t="array" aca="1" ref="CF172" ca="1">IF(INDIRECT(ADDRESS($B172+1,CF$164,1,1,"Confirmed Trend"))=0,#N/A,INDIRECT(ADDRESS($B172+1,CF$164,1,1,"Confirmed Trend")))</f>
        <v>4.2344635800000002E-2</v>
      </c>
      <c r="CG172" s="14" cm="1">
        <f t="array" aca="1" ref="CG172" ca="1">IF(INDIRECT(ADDRESS($B172+1,CG$164,1,1,"Confirmed Trend"))=0,#N/A,INDIRECT(ADDRESS($B172+1,CG$164,1,1,"Confirmed Trend")))</f>
        <v>4.0889405099999998E-2</v>
      </c>
      <c r="CH172" s="14" cm="1">
        <f t="array" aca="1" ref="CH172" ca="1">IF(INDIRECT(ADDRESS($B172+1,CH$164,1,1,"Confirmed Trend"))=0,#N/A,INDIRECT(ADDRESS($B172+1,CH$164,1,1,"Confirmed Trend")))</f>
        <v>3.69089711E-2</v>
      </c>
      <c r="CI172" s="14" cm="1">
        <f t="array" aca="1" ref="CI172" ca="1">IF(INDIRECT(ADDRESS($B172+1,CI$164,1,1,"Confirmed Trend"))=0,#N/A,INDIRECT(ADDRESS($B172+1,CI$164,1,1,"Confirmed Trend")))</f>
        <v>3.07607464E-2</v>
      </c>
      <c r="CJ172" s="14" cm="1">
        <f t="array" aca="1" ref="CJ172" ca="1">IF(INDIRECT(ADDRESS($B172+1,CJ$164,1,1,"Confirmed Trend"))=0,#N/A,INDIRECT(ADDRESS($B172+1,CJ$164,1,1,"Confirmed Trend")))</f>
        <v>2.4292790299999999E-2</v>
      </c>
      <c r="CK172" s="14" cm="1">
        <f t="array" aca="1" ref="CK172" ca="1">IF(INDIRECT(ADDRESS($B172+1,CK$164,1,1,"Confirmed Trend"))=0,#N/A,INDIRECT(ADDRESS($B172+1,CK$164,1,1,"Confirmed Trend")))</f>
        <v>2.0525132200000001E-2</v>
      </c>
      <c r="CL172" s="14" cm="1">
        <f t="array" aca="1" ref="CL172" ca="1">IF(INDIRECT(ADDRESS($B172+1,CL$164,1,1,"Confirmed Trend"))=0,#N/A,INDIRECT(ADDRESS($B172+1,CL$164,1,1,"Confirmed Trend")))</f>
        <v>1.87223883E-2</v>
      </c>
      <c r="CM172" s="14" cm="1">
        <f t="array" aca="1" ref="CM172" ca="1">IF(INDIRECT(ADDRESS($B172+1,CM$164,1,1,"Confirmed Trend"))=0,#N/A,INDIRECT(ADDRESS($B172+1,CM$164,1,1,"Confirmed Trend")))</f>
        <v>1.9665182E-2</v>
      </c>
      <c r="CN172" s="14" t="e" cm="1">
        <f t="array" aca="1" ref="CN172" ca="1">IF(INDIRECT(ADDRESS($B172+1,CN$164,1,1,"Confirmed Trend"))=0,#N/A,INDIRECT(ADDRESS($B172+1,CN$164,1,1,"Confirmed Trend")))</f>
        <v>#N/A</v>
      </c>
      <c r="CO172" s="14" t="e" cm="1">
        <f t="array" aca="1" ref="CO172" ca="1">IF(INDIRECT(ADDRESS($B172+1,CO$164,1,1,"Confirmed Trend"))=0,#N/A,INDIRECT(ADDRESS($B172+1,CO$164,1,1,"Confirmed Trend")))</f>
        <v>#N/A</v>
      </c>
      <c r="CP172" s="14" t="e" cm="1">
        <f t="array" aca="1" ref="CP172" ca="1">IF(INDIRECT(ADDRESS($B172+1,CP$164,1,1,"Confirmed Trend"))=0,#N/A,INDIRECT(ADDRESS($B172+1,CP$164,1,1,"Confirmed Trend")))</f>
        <v>#N/A</v>
      </c>
      <c r="CQ172" s="14" t="e" cm="1">
        <f t="array" aca="1" ref="CQ172" ca="1">IF(INDIRECT(ADDRESS($B172+1,CQ$164,1,1,"Confirmed Trend"))=0,#N/A,INDIRECT(ADDRESS($B172+1,CQ$164,1,1,"Confirmed Trend")))</f>
        <v>#N/A</v>
      </c>
      <c r="CR172" s="14" t="e" cm="1">
        <f t="array" aca="1" ref="CR172" ca="1">IF(INDIRECT(ADDRESS($B172+1,CR$164,1,1,"Confirmed Trend"))=0,#N/A,INDIRECT(ADDRESS($B172+1,CR$164,1,1,"Confirmed Trend")))</f>
        <v>#N/A</v>
      </c>
    </row>
    <row r="173" spans="2:96" x14ac:dyDescent="0.25">
      <c r="B173">
        <f t="shared" si="258"/>
        <v>8</v>
      </c>
      <c r="C173" t="str" cm="1">
        <f t="array" aca="1" ref="C173" ca="1">INDIRECT(ADDRESS($B173+1,1,1,1,"Confirmed Trend"))</f>
        <v>India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cm="1">
        <f t="array" aca="1" ref="AZ173" ca="1">IF(INDIRECT(ADDRESS($B173+1,AZ$164,1,1,"Confirmed Trend"))=0,#N/A,INDIRECT(ADDRESS($B173+1,AZ$164,1,1,"Confirmed Trend")))</f>
        <v>0.1170572436</v>
      </c>
      <c r="BA173" s="14" cm="1">
        <f t="array" aca="1" ref="BA173" ca="1">IF(INDIRECT(ADDRESS($B173+1,BA$164,1,1,"Confirmed Trend"))=0,#N/A,INDIRECT(ADDRESS($B173+1,BA$164,1,1,"Confirmed Trend")))</f>
        <v>0.115892272</v>
      </c>
      <c r="BB173" s="14" cm="1">
        <f t="array" aca="1" ref="BB173" ca="1">IF(INDIRECT(ADDRESS($B173+1,BB$164,1,1,"Confirmed Trend"))=0,#N/A,INDIRECT(ADDRESS($B173+1,BB$164,1,1,"Confirmed Trend")))</f>
        <v>0.1409735262</v>
      </c>
      <c r="BC173" s="14" cm="1">
        <f t="array" aca="1" ref="BC173" ca="1">IF(INDIRECT(ADDRESS($B173+1,BC$164,1,1,"Confirmed Trend"))=0,#N/A,INDIRECT(ADDRESS($B173+1,BC$164,1,1,"Confirmed Trend")))</f>
        <v>0.1641260481</v>
      </c>
      <c r="BD173" s="14" cm="1">
        <f t="array" aca="1" ref="BD173" ca="1">IF(INDIRECT(ADDRESS($B173+1,BD$164,1,1,"Confirmed Trend"))=0,#N/A,INDIRECT(ADDRESS($B173+1,BD$164,1,1,"Confirmed Trend")))</f>
        <v>0.16950056550000001</v>
      </c>
      <c r="BE173" s="14" cm="1">
        <f t="array" aca="1" ref="BE173" ca="1">IF(INDIRECT(ADDRESS($B173+1,BE$164,1,1,"Confirmed Trend"))=0,#N/A,INDIRECT(ADDRESS($B173+1,BE$164,1,1,"Confirmed Trend")))</f>
        <v>0.16819006719999999</v>
      </c>
      <c r="BF173" s="14" cm="1">
        <f t="array" aca="1" ref="BF173" ca="1">IF(INDIRECT(ADDRESS($B173+1,BF$164,1,1,"Confirmed Trend"))=0,#N/A,INDIRECT(ADDRESS($B173+1,BF$164,1,1,"Confirmed Trend")))</f>
        <v>0.16542047360000001</v>
      </c>
      <c r="BG173" s="14" cm="1">
        <f t="array" aca="1" ref="BG173" ca="1">IF(INDIRECT(ADDRESS($B173+1,BG$164,1,1,"Confirmed Trend"))=0,#N/A,INDIRECT(ADDRESS($B173+1,BG$164,1,1,"Confirmed Trend")))</f>
        <v>0.14994819240000001</v>
      </c>
      <c r="BH173" s="14" cm="1">
        <f t="array" aca="1" ref="BH173" ca="1">IF(INDIRECT(ADDRESS($B173+1,BH$164,1,1,"Confirmed Trend"))=0,#N/A,INDIRECT(ADDRESS($B173+1,BH$164,1,1,"Confirmed Trend")))</f>
        <v>0.1457845639</v>
      </c>
      <c r="BI173" s="14" cm="1">
        <f t="array" aca="1" ref="BI173" ca="1">IF(INDIRECT(ADDRESS($B173+1,BI$164,1,1,"Confirmed Trend"))=0,#N/A,INDIRECT(ADDRESS($B173+1,BI$164,1,1,"Confirmed Trend")))</f>
        <v>0.1286277726</v>
      </c>
      <c r="BJ173" s="14" cm="1">
        <f t="array" aca="1" ref="BJ173" ca="1">IF(INDIRECT(ADDRESS($B173+1,BJ$164,1,1,"Confirmed Trend"))=0,#N/A,INDIRECT(ADDRESS($B173+1,BJ$164,1,1,"Confirmed Trend")))</f>
        <v>0.13449389549999999</v>
      </c>
      <c r="BK173" s="14" cm="1">
        <f t="array" aca="1" ref="BK173" ca="1">IF(INDIRECT(ADDRESS($B173+1,BK$164,1,1,"Confirmed Trend"))=0,#N/A,INDIRECT(ADDRESS($B173+1,BK$164,1,1,"Confirmed Trend")))</f>
        <v>0.15480856030000001</v>
      </c>
      <c r="BL173" s="14" cm="1">
        <f t="array" aca="1" ref="BL173" ca="1">IF(INDIRECT(ADDRESS($B173+1,BL$164,1,1,"Confirmed Trend"))=0,#N/A,INDIRECT(ADDRESS($B173+1,BL$164,1,1,"Confirmed Trend")))</f>
        <v>0.1970778762</v>
      </c>
      <c r="BM173" s="14" cm="1">
        <f t="array" aca="1" ref="BM173" ca="1">IF(INDIRECT(ADDRESS($B173+1,BM$164,1,1,"Confirmed Trend"))=0,#N/A,INDIRECT(ADDRESS($B173+1,BM$164,1,1,"Confirmed Trend")))</f>
        <v>0.2349771433</v>
      </c>
      <c r="BN173" s="14" cm="1">
        <f t="array" aca="1" ref="BN173" ca="1">IF(INDIRECT(ADDRESS($B173+1,BN$164,1,1,"Confirmed Trend"))=0,#N/A,INDIRECT(ADDRESS($B173+1,BN$164,1,1,"Confirmed Trend")))</f>
        <v>0.2561535976</v>
      </c>
      <c r="BO173" s="14" cm="1">
        <f t="array" aca="1" ref="BO173" ca="1">IF(INDIRECT(ADDRESS($B173+1,BO$164,1,1,"Confirmed Trend"))=0,#N/A,INDIRECT(ADDRESS($B173+1,BO$164,1,1,"Confirmed Trend")))</f>
        <v>0.24584294500000001</v>
      </c>
      <c r="BP173" s="14" cm="1">
        <f t="array" aca="1" ref="BP173" ca="1">IF(INDIRECT(ADDRESS($B173+1,BP$164,1,1,"Confirmed Trend"))=0,#N/A,INDIRECT(ADDRESS($B173+1,BP$164,1,1,"Confirmed Trend")))</f>
        <v>0.21831554240000001</v>
      </c>
      <c r="BQ173" s="14" cm="1">
        <f t="array" aca="1" ref="BQ173" ca="1">IF(INDIRECT(ADDRESS($B173+1,BQ$164,1,1,"Confirmed Trend"))=0,#N/A,INDIRECT(ADDRESS($B173+1,BQ$164,1,1,"Confirmed Trend")))</f>
        <v>0.18613022730000001</v>
      </c>
      <c r="BR173" s="14" cm="1">
        <f t="array" aca="1" ref="BR173" ca="1">IF(INDIRECT(ADDRESS($B173+1,BR$164,1,1,"Confirmed Trend"))=0,#N/A,INDIRECT(ADDRESS($B173+1,BR$164,1,1,"Confirmed Trend")))</f>
        <v>0.16686405409999999</v>
      </c>
      <c r="BS173" s="14" cm="1">
        <f t="array" aca="1" ref="BS173" ca="1">IF(INDIRECT(ADDRESS($B173+1,BS$164,1,1,"Confirmed Trend"))=0,#N/A,INDIRECT(ADDRESS($B173+1,BS$164,1,1,"Confirmed Trend")))</f>
        <v>0.16111485040000001</v>
      </c>
      <c r="BT173" s="14" cm="1">
        <f t="array" aca="1" ref="BT173" ca="1">IF(INDIRECT(ADDRESS($B173+1,BT$164,1,1,"Confirmed Trend"))=0,#N/A,INDIRECT(ADDRESS($B173+1,BT$164,1,1,"Confirmed Trend")))</f>
        <v>0.14399599909999999</v>
      </c>
      <c r="BU173" s="14" cm="1">
        <f t="array" aca="1" ref="BU173" ca="1">IF(INDIRECT(ADDRESS($B173+1,BU$164,1,1,"Confirmed Trend"))=0,#N/A,INDIRECT(ADDRESS($B173+1,BU$164,1,1,"Confirmed Trend")))</f>
        <v>0.14168338820000001</v>
      </c>
      <c r="BV173" s="14" cm="1">
        <f t="array" aca="1" ref="BV173" ca="1">IF(INDIRECT(ADDRESS($B173+1,BV$164,1,1,"Confirmed Trend"))=0,#N/A,INDIRECT(ADDRESS($B173+1,BV$164,1,1,"Confirmed Trend")))</f>
        <v>0.1276423672</v>
      </c>
      <c r="BW173" s="14" cm="1">
        <f t="array" aca="1" ref="BW173" ca="1">IF(INDIRECT(ADDRESS($B173+1,BW$164,1,1,"Confirmed Trend"))=0,#N/A,INDIRECT(ADDRESS($B173+1,BW$164,1,1,"Confirmed Trend")))</f>
        <v>0.156071549</v>
      </c>
      <c r="BX173" s="14" cm="1">
        <f t="array" aca="1" ref="BX173" ca="1">IF(INDIRECT(ADDRESS($B173+1,BX$164,1,1,"Confirmed Trend"))=0,#N/A,INDIRECT(ADDRESS($B173+1,BX$164,1,1,"Confirmed Trend")))</f>
        <v>0.1964249277</v>
      </c>
      <c r="BY173" s="14" cm="1">
        <f t="array" aca="1" ref="BY173" ca="1">IF(INDIRECT(ADDRESS($B173+1,BY$164,1,1,"Confirmed Trend"))=0,#N/A,INDIRECT(ADDRESS($B173+1,BY$164,1,1,"Confirmed Trend")))</f>
        <v>0.21497087040000001</v>
      </c>
      <c r="BZ173" s="14" cm="1">
        <f t="array" aca="1" ref="BZ173" ca="1">IF(INDIRECT(ADDRESS($B173+1,BZ$164,1,1,"Confirmed Trend"))=0,#N/A,INDIRECT(ADDRESS($B173+1,BZ$164,1,1,"Confirmed Trend")))</f>
        <v>0.2221424179</v>
      </c>
      <c r="CA173" s="14" cm="1">
        <f t="array" aca="1" ref="CA173" ca="1">IF(INDIRECT(ADDRESS($B173+1,CA$164,1,1,"Confirmed Trend"))=0,#N/A,INDIRECT(ADDRESS($B173+1,CA$164,1,1,"Confirmed Trend")))</f>
        <v>0.18744344530000001</v>
      </c>
      <c r="CB173" s="14" cm="1">
        <f t="array" aca="1" ref="CB173" ca="1">IF(INDIRECT(ADDRESS($B173+1,CB$164,1,1,"Confirmed Trend"))=0,#N/A,INDIRECT(ADDRESS($B173+1,CB$164,1,1,"Confirmed Trend")))</f>
        <v>0.1783447111</v>
      </c>
      <c r="CC173" s="14" cm="1">
        <f t="array" aca="1" ref="CC173" ca="1">IF(INDIRECT(ADDRESS($B173+1,CC$164,1,1,"Confirmed Trend"))=0,#N/A,INDIRECT(ADDRESS($B173+1,CC$164,1,1,"Confirmed Trend")))</f>
        <v>0.17777100100000001</v>
      </c>
      <c r="CD173" s="14" cm="1">
        <f t="array" aca="1" ref="CD173" ca="1">IF(INDIRECT(ADDRESS($B173+1,CD$164,1,1,"Confirmed Trend"))=0,#N/A,INDIRECT(ADDRESS($B173+1,CD$164,1,1,"Confirmed Trend")))</f>
        <v>0.18226935799999999</v>
      </c>
      <c r="CE173" s="14" cm="1">
        <f t="array" aca="1" ref="CE173" ca="1">IF(INDIRECT(ADDRESS($B173+1,CE$164,1,1,"Confirmed Trend"))=0,#N/A,INDIRECT(ADDRESS($B173+1,CE$164,1,1,"Confirmed Trend")))</f>
        <v>0.18071606940000001</v>
      </c>
      <c r="CF173" s="14" cm="1">
        <f t="array" aca="1" ref="CF173" ca="1">IF(INDIRECT(ADDRESS($B173+1,CF$164,1,1,"Confirmed Trend"))=0,#N/A,INDIRECT(ADDRESS($B173+1,CF$164,1,1,"Confirmed Trend")))</f>
        <v>0.15309438519999999</v>
      </c>
      <c r="CG173" s="14" cm="1">
        <f t="array" aca="1" ref="CG173" ca="1">IF(INDIRECT(ADDRESS($B173+1,CG$164,1,1,"Confirmed Trend"))=0,#N/A,INDIRECT(ADDRESS($B173+1,CG$164,1,1,"Confirmed Trend")))</f>
        <v>0.1358952346</v>
      </c>
      <c r="CH173" s="14" cm="1">
        <f t="array" aca="1" ref="CH173" ca="1">IF(INDIRECT(ADDRESS($B173+1,CH$164,1,1,"Confirmed Trend"))=0,#N/A,INDIRECT(ADDRESS($B173+1,CH$164,1,1,"Confirmed Trend")))</f>
        <v>0.1207200095</v>
      </c>
      <c r="CI173" s="14" cm="1">
        <f t="array" aca="1" ref="CI173" ca="1">IF(INDIRECT(ADDRESS($B173+1,CI$164,1,1,"Confirmed Trend"))=0,#N/A,INDIRECT(ADDRESS($B173+1,CI$164,1,1,"Confirmed Trend")))</f>
        <v>0.1185716919</v>
      </c>
      <c r="CJ173" s="14" cm="1">
        <f t="array" aca="1" ref="CJ173" ca="1">IF(INDIRECT(ADDRESS($B173+1,CJ$164,1,1,"Confirmed Trend"))=0,#N/A,INDIRECT(ADDRESS($B173+1,CJ$164,1,1,"Confirmed Trend")))</f>
        <v>0.11378104159999999</v>
      </c>
      <c r="CK173" s="14" cm="1">
        <f t="array" aca="1" ref="CK173" ca="1">IF(INDIRECT(ADDRESS($B173+1,CK$164,1,1,"Confirmed Trend"))=0,#N/A,INDIRECT(ADDRESS($B173+1,CK$164,1,1,"Confirmed Trend")))</f>
        <v>0.10755981069999999</v>
      </c>
      <c r="CL173" s="14" cm="1">
        <f t="array" aca="1" ref="CL173" ca="1">IF(INDIRECT(ADDRESS($B173+1,CL$164,1,1,"Confirmed Trend"))=0,#N/A,INDIRECT(ADDRESS($B173+1,CL$164,1,1,"Confirmed Trend")))</f>
        <v>0.1020174132</v>
      </c>
      <c r="CM173" s="14" cm="1">
        <f t="array" aca="1" ref="CM173" ca="1">IF(INDIRECT(ADDRESS($B173+1,CM$164,1,1,"Confirmed Trend"))=0,#N/A,INDIRECT(ADDRESS($B173+1,CM$164,1,1,"Confirmed Trend")))</f>
        <v>9.2961562100000006E-2</v>
      </c>
      <c r="CN173" s="14" t="e" cm="1">
        <f t="array" aca="1" ref="CN173" ca="1">IF(INDIRECT(ADDRESS($B173+1,CN$164,1,1,"Confirmed Trend"))=0,#N/A,INDIRECT(ADDRESS($B173+1,CN$164,1,1,"Confirmed Trend")))</f>
        <v>#N/A</v>
      </c>
      <c r="CO173" s="14" t="e" cm="1">
        <f t="array" aca="1" ref="CO173" ca="1">IF(INDIRECT(ADDRESS($B173+1,CO$164,1,1,"Confirmed Trend"))=0,#N/A,INDIRECT(ADDRESS($B173+1,CO$164,1,1,"Confirmed Trend")))</f>
        <v>#N/A</v>
      </c>
      <c r="CP173" s="14" t="e" cm="1">
        <f t="array" aca="1" ref="CP173" ca="1">IF(INDIRECT(ADDRESS($B173+1,CP$164,1,1,"Confirmed Trend"))=0,#N/A,INDIRECT(ADDRESS($B173+1,CP$164,1,1,"Confirmed Trend")))</f>
        <v>#N/A</v>
      </c>
      <c r="CQ173" s="14" t="e" cm="1">
        <f t="array" aca="1" ref="CQ173" ca="1">IF(INDIRECT(ADDRESS($B173+1,CQ$164,1,1,"Confirmed Trend"))=0,#N/A,INDIRECT(ADDRESS($B173+1,CQ$164,1,1,"Confirmed Trend")))</f>
        <v>#N/A</v>
      </c>
      <c r="CR173" s="14" t="e" cm="1">
        <f t="array" aca="1" ref="CR173" ca="1">IF(INDIRECT(ADDRESS($B173+1,CR$164,1,1,"Confirmed Trend"))=0,#N/A,INDIRECT(ADDRESS($B173+1,CR$164,1,1,"Confirmed Trend")))</f>
        <v>#N/A</v>
      </c>
    </row>
    <row r="174" spans="2:96" x14ac:dyDescent="0.25">
      <c r="B174">
        <f t="shared" si="258"/>
        <v>9</v>
      </c>
      <c r="C174" t="str" cm="1">
        <f t="array" aca="1" ref="C174" ca="1">INDIRECT(ADDRESS($B174+1,1,1,1,"Confirmed Trend"))</f>
        <v>Iran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cm="1">
        <f t="array" aca="1" ref="AO174" ca="1">IF(INDIRECT(ADDRESS($B174+1,AO$164,1,1,"Confirmed Trend"))=0,#N/A,INDIRECT(ADDRESS($B174+1,AO$164,1,1,"Confirmed Trend")))</f>
        <v>0.52312791150000004</v>
      </c>
      <c r="AP174" s="14" cm="1">
        <f t="array" aca="1" ref="AP174" ca="1">IF(INDIRECT(ADDRESS($B174+1,AP$164,1,1,"Confirmed Trend"))=0,#N/A,INDIRECT(ADDRESS($B174+1,AP$164,1,1,"Confirmed Trend")))</f>
        <v>0.55510902679999996</v>
      </c>
      <c r="AQ174" s="14" cm="1">
        <f t="array" aca="1" ref="AQ174" ca="1">IF(INDIRECT(ADDRESS($B174+1,AQ$164,1,1,"Confirmed Trend"))=0,#N/A,INDIRECT(ADDRESS($B174+1,AQ$164,1,1,"Confirmed Trend")))</f>
        <v>0.57546713660000004</v>
      </c>
      <c r="AR174" s="14" cm="1">
        <f t="array" aca="1" ref="AR174" ca="1">IF(INDIRECT(ADDRESS($B174+1,AR$164,1,1,"Confirmed Trend"))=0,#N/A,INDIRECT(ADDRESS($B174+1,AR$164,1,1,"Confirmed Trend")))</f>
        <v>0.6052885388</v>
      </c>
      <c r="AS174" s="14" cm="1">
        <f t="array" aca="1" ref="AS174" ca="1">IF(INDIRECT(ADDRESS($B174+1,AS$164,1,1,"Confirmed Trend"))=0,#N/A,INDIRECT(ADDRESS($B174+1,AS$164,1,1,"Confirmed Trend")))</f>
        <v>0.59137094489999997</v>
      </c>
      <c r="AT174" s="14" cm="1">
        <f t="array" aca="1" ref="AT174" ca="1">IF(INDIRECT(ADDRESS($B174+1,AT$164,1,1,"Confirmed Trend"))=0,#N/A,INDIRECT(ADDRESS($B174+1,AT$164,1,1,"Confirmed Trend")))</f>
        <v>0.58031894969999998</v>
      </c>
      <c r="AU174" s="14" cm="1">
        <f t="array" aca="1" ref="AU174" ca="1">IF(INDIRECT(ADDRESS($B174+1,AU$164,1,1,"Confirmed Trend"))=0,#N/A,INDIRECT(ADDRESS($B174+1,AU$164,1,1,"Confirmed Trend")))</f>
        <v>0.5323147922</v>
      </c>
      <c r="AV174" s="14" cm="1">
        <f t="array" aca="1" ref="AV174" ca="1">IF(INDIRECT(ADDRESS($B174+1,AV$164,1,1,"Confirmed Trend"))=0,#N/A,INDIRECT(ADDRESS($B174+1,AV$164,1,1,"Confirmed Trend")))</f>
        <v>0.4546337802</v>
      </c>
      <c r="AW174" s="14" cm="1">
        <f t="array" aca="1" ref="AW174" ca="1">IF(INDIRECT(ADDRESS($B174+1,AW$164,1,1,"Confirmed Trend"))=0,#N/A,INDIRECT(ADDRESS($B174+1,AW$164,1,1,"Confirmed Trend")))</f>
        <v>0.3812572454</v>
      </c>
      <c r="AX174" s="14" cm="1">
        <f t="array" aca="1" ref="AX174" ca="1">IF(INDIRECT(ADDRESS($B174+1,AX$164,1,1,"Confirmed Trend"))=0,#N/A,INDIRECT(ADDRESS($B174+1,AX$164,1,1,"Confirmed Trend")))</f>
        <v>0.30774997970000001</v>
      </c>
      <c r="AY174" s="14" cm="1">
        <f t="array" aca="1" ref="AY174" ca="1">IF(INDIRECT(ADDRESS($B174+1,AY$164,1,1,"Confirmed Trend"))=0,#N/A,INDIRECT(ADDRESS($B174+1,AY$164,1,1,"Confirmed Trend")))</f>
        <v>0.26184715180000001</v>
      </c>
      <c r="AZ174" s="14" cm="1">
        <f t="array" aca="1" ref="AZ174" ca="1">IF(INDIRECT(ADDRESS($B174+1,AZ$164,1,1,"Confirmed Trend"))=0,#N/A,INDIRECT(ADDRESS($B174+1,AZ$164,1,1,"Confirmed Trend")))</f>
        <v>0.22186834220000001</v>
      </c>
      <c r="BA174" s="14" cm="1">
        <f t="array" aca="1" ref="BA174" ca="1">IF(INDIRECT(ADDRESS($B174+1,BA$164,1,1,"Confirmed Trend"))=0,#N/A,INDIRECT(ADDRESS($B174+1,BA$164,1,1,"Confirmed Trend")))</f>
        <v>0.18121716099999999</v>
      </c>
      <c r="BB174" s="14" cm="1">
        <f t="array" aca="1" ref="BB174" ca="1">IF(INDIRECT(ADDRESS($B174+1,BB$164,1,1,"Confirmed Trend"))=0,#N/A,INDIRECT(ADDRESS($B174+1,BB$164,1,1,"Confirmed Trend")))</f>
        <v>0.14496841220000001</v>
      </c>
      <c r="BC174" s="14" cm="1">
        <f t="array" aca="1" ref="BC174" ca="1">IF(INDIRECT(ADDRESS($B174+1,BC$164,1,1,"Confirmed Trend"))=0,#N/A,INDIRECT(ADDRESS($B174+1,BC$164,1,1,"Confirmed Trend")))</f>
        <v>0.12158720670000001</v>
      </c>
      <c r="BD174" s="14" cm="1">
        <f t="array" aca="1" ref="BD174" ca="1">IF(INDIRECT(ADDRESS($B174+1,BD$164,1,1,"Confirmed Trend"))=0,#N/A,INDIRECT(ADDRESS($B174+1,BD$164,1,1,"Confirmed Trend")))</f>
        <v>0.1170456064</v>
      </c>
      <c r="BE174" s="14" cm="1">
        <f t="array" aca="1" ref="BE174" ca="1">IF(INDIRECT(ADDRESS($B174+1,BE$164,1,1,"Confirmed Trend"))=0,#N/A,INDIRECT(ADDRESS($B174+1,BE$164,1,1,"Confirmed Trend")))</f>
        <v>0.11929681960000001</v>
      </c>
      <c r="BF174" s="14" cm="1">
        <f t="array" aca="1" ref="BF174" ca="1">IF(INDIRECT(ADDRESS($B174+1,BF$164,1,1,"Confirmed Trend"))=0,#N/A,INDIRECT(ADDRESS($B174+1,BF$164,1,1,"Confirmed Trend")))</f>
        <v>0.11961094680000001</v>
      </c>
      <c r="BG174" s="14" cm="1">
        <f t="array" aca="1" ref="BG174" ca="1">IF(INDIRECT(ADDRESS($B174+1,BG$164,1,1,"Confirmed Trend"))=0,#N/A,INDIRECT(ADDRESS($B174+1,BG$164,1,1,"Confirmed Trend")))</f>
        <v>0.1133050874</v>
      </c>
      <c r="BH174" s="14" cm="1">
        <f t="array" aca="1" ref="BH174" ca="1">IF(INDIRECT(ADDRESS($B174+1,BH$164,1,1,"Confirmed Trend"))=0,#N/A,INDIRECT(ADDRESS($B174+1,BH$164,1,1,"Confirmed Trend")))</f>
        <v>0.1032697875</v>
      </c>
      <c r="BI174" s="14" cm="1">
        <f t="array" aca="1" ref="BI174" ca="1">IF(INDIRECT(ADDRESS($B174+1,BI$164,1,1,"Confirmed Trend"))=0,#N/A,INDIRECT(ADDRESS($B174+1,BI$164,1,1,"Confirmed Trend")))</f>
        <v>9.1635237699999997E-2</v>
      </c>
      <c r="BJ174" s="14" cm="1">
        <f t="array" aca="1" ref="BJ174" ca="1">IF(INDIRECT(ADDRESS($B174+1,BJ$164,1,1,"Confirmed Trend"))=0,#N/A,INDIRECT(ADDRESS($B174+1,BJ$164,1,1,"Confirmed Trend")))</f>
        <v>8.1022613199999996E-2</v>
      </c>
      <c r="BK174" s="14" cm="1">
        <f t="array" aca="1" ref="BK174" ca="1">IF(INDIRECT(ADDRESS($B174+1,BK$164,1,1,"Confirmed Trend"))=0,#N/A,INDIRECT(ADDRESS($B174+1,BK$164,1,1,"Confirmed Trend")))</f>
        <v>7.3930934700000006E-2</v>
      </c>
      <c r="BL174" s="14" cm="1">
        <f t="array" aca="1" ref="BL174" ca="1">IF(INDIRECT(ADDRESS($B174+1,BL$164,1,1,"Confirmed Trend"))=0,#N/A,INDIRECT(ADDRESS($B174+1,BL$164,1,1,"Confirmed Trend")))</f>
        <v>6.7942929999999999E-2</v>
      </c>
      <c r="BM174" s="14" cm="1">
        <f t="array" aca="1" ref="BM174" ca="1">IF(INDIRECT(ADDRESS($B174+1,BM$164,1,1,"Confirmed Trend"))=0,#N/A,INDIRECT(ADDRESS($B174+1,BM$164,1,1,"Confirmed Trend")))</f>
        <v>6.2737960100000004E-2</v>
      </c>
      <c r="BN174" s="14" cm="1">
        <f t="array" aca="1" ref="BN174" ca="1">IF(INDIRECT(ADDRESS($B174+1,BN$164,1,1,"Confirmed Trend"))=0,#N/A,INDIRECT(ADDRESS($B174+1,BN$164,1,1,"Confirmed Trend")))</f>
        <v>5.8897912400000002E-2</v>
      </c>
      <c r="BO174" s="14" cm="1">
        <f t="array" aca="1" ref="BO174" ca="1">IF(INDIRECT(ADDRESS($B174+1,BO$164,1,1,"Confirmed Trend"))=0,#N/A,INDIRECT(ADDRESS($B174+1,BO$164,1,1,"Confirmed Trend")))</f>
        <v>5.8259364700000003E-2</v>
      </c>
      <c r="BP174" s="14" cm="1">
        <f t="array" aca="1" ref="BP174" ca="1">IF(INDIRECT(ADDRESS($B174+1,BP$164,1,1,"Confirmed Trend"))=0,#N/A,INDIRECT(ADDRESS($B174+1,BP$164,1,1,"Confirmed Trend")))</f>
        <v>6.2917955299999995E-2</v>
      </c>
      <c r="BQ174" s="14" cm="1">
        <f t="array" aca="1" ref="BQ174" ca="1">IF(INDIRECT(ADDRESS($B174+1,BQ$164,1,1,"Confirmed Trend"))=0,#N/A,INDIRECT(ADDRESS($B174+1,BQ$164,1,1,"Confirmed Trend")))</f>
        <v>7.0350042000000002E-2</v>
      </c>
      <c r="BR174" s="14" cm="1">
        <f t="array" aca="1" ref="BR174" ca="1">IF(INDIRECT(ADDRESS($B174+1,BR$164,1,1,"Confirmed Trend"))=0,#N/A,INDIRECT(ADDRESS($B174+1,BR$164,1,1,"Confirmed Trend")))</f>
        <v>7.9754194799999997E-2</v>
      </c>
      <c r="BS174" s="14" cm="1">
        <f t="array" aca="1" ref="BS174" ca="1">IF(INDIRECT(ADDRESS($B174+1,BS$164,1,1,"Confirmed Trend"))=0,#N/A,INDIRECT(ADDRESS($B174+1,BS$164,1,1,"Confirmed Trend")))</f>
        <v>8.7334465299999997E-2</v>
      </c>
      <c r="BT174" s="14" cm="1">
        <f t="array" aca="1" ref="BT174" ca="1">IF(INDIRECT(ADDRESS($B174+1,BT$164,1,1,"Confirmed Trend"))=0,#N/A,INDIRECT(ADDRESS($B174+1,BT$164,1,1,"Confirmed Trend")))</f>
        <v>9.0911539E-2</v>
      </c>
      <c r="BU174" s="14" cm="1">
        <f t="array" aca="1" ref="BU174" ca="1">IF(INDIRECT(ADDRESS($B174+1,BU$164,1,1,"Confirmed Trend"))=0,#N/A,INDIRECT(ADDRESS($B174+1,BU$164,1,1,"Confirmed Trend")))</f>
        <v>9.12894816E-2</v>
      </c>
      <c r="BV174" s="14" cm="1">
        <f t="array" aca="1" ref="BV174" ca="1">IF(INDIRECT(ADDRESS($B174+1,BV$164,1,1,"Confirmed Trend"))=0,#N/A,INDIRECT(ADDRESS($B174+1,BV$164,1,1,"Confirmed Trend")))</f>
        <v>8.8089809000000005E-2</v>
      </c>
      <c r="BW174" s="14" cm="1">
        <f t="array" aca="1" ref="BW174" ca="1">IF(INDIRECT(ADDRESS($B174+1,BW$164,1,1,"Confirmed Trend"))=0,#N/A,INDIRECT(ADDRESS($B174+1,BW$164,1,1,"Confirmed Trend")))</f>
        <v>8.3105937000000005E-2</v>
      </c>
      <c r="BX174" s="14" cm="1">
        <f t="array" aca="1" ref="BX174" ca="1">IF(INDIRECT(ADDRESS($B174+1,BX$164,1,1,"Confirmed Trend"))=0,#N/A,INDIRECT(ADDRESS($B174+1,BX$164,1,1,"Confirmed Trend")))</f>
        <v>7.6969680100000007E-2</v>
      </c>
      <c r="BY174" s="14" cm="1">
        <f t="array" aca="1" ref="BY174" ca="1">IF(INDIRECT(ADDRESS($B174+1,BY$164,1,1,"Confirmed Trend"))=0,#N/A,INDIRECT(ADDRESS($B174+1,BY$164,1,1,"Confirmed Trend")))</f>
        <v>7.0397558299999996E-2</v>
      </c>
      <c r="BZ174" s="14" cm="1">
        <f t="array" aca="1" ref="BZ174" ca="1">IF(INDIRECT(ADDRESS($B174+1,BZ$164,1,1,"Confirmed Trend"))=0,#N/A,INDIRECT(ADDRESS($B174+1,BZ$164,1,1,"Confirmed Trend")))</f>
        <v>6.3910371300000005E-2</v>
      </c>
      <c r="CA174" s="14" cm="1">
        <f t="array" aca="1" ref="CA174" ca="1">IF(INDIRECT(ADDRESS($B174+1,CA$164,1,1,"Confirmed Trend"))=0,#N/A,INDIRECT(ADDRESS($B174+1,CA$164,1,1,"Confirmed Trend")))</f>
        <v>5.7427807900000002E-2</v>
      </c>
      <c r="CB174" s="14" cm="1">
        <f t="array" aca="1" ref="CB174" ca="1">IF(INDIRECT(ADDRESS($B174+1,CB$164,1,1,"Confirmed Trend"))=0,#N/A,INDIRECT(ADDRESS($B174+1,CB$164,1,1,"Confirmed Trend")))</f>
        <v>5.1597262099999999E-2</v>
      </c>
      <c r="CC174" s="14" cm="1">
        <f t="array" aca="1" ref="CC174" ca="1">IF(INDIRECT(ADDRESS($B174+1,CC$164,1,1,"Confirmed Trend"))=0,#N/A,INDIRECT(ADDRESS($B174+1,CC$164,1,1,"Confirmed Trend")))</f>
        <v>4.6378710300000001E-2</v>
      </c>
      <c r="CD174" s="14" cm="1">
        <f t="array" aca="1" ref="CD174" ca="1">IF(INDIRECT(ADDRESS($B174+1,CD$164,1,1,"Confirmed Trend"))=0,#N/A,INDIRECT(ADDRESS($B174+1,CD$164,1,1,"Confirmed Trend")))</f>
        <v>4.1678291999999999E-2</v>
      </c>
      <c r="CE174" s="14" cm="1">
        <f t="array" aca="1" ref="CE174" ca="1">IF(INDIRECT(ADDRESS($B174+1,CE$164,1,1,"Confirmed Trend"))=0,#N/A,INDIRECT(ADDRESS($B174+1,CE$164,1,1,"Confirmed Trend")))</f>
        <v>3.71305236E-2</v>
      </c>
      <c r="CF174" s="14" cm="1">
        <f t="array" aca="1" ref="CF174" ca="1">IF(INDIRECT(ADDRESS($B174+1,CF$164,1,1,"Confirmed Trend"))=0,#N/A,INDIRECT(ADDRESS($B174+1,CF$164,1,1,"Confirmed Trend")))</f>
        <v>3.3433676900000001E-2</v>
      </c>
      <c r="CG174" s="14" cm="1">
        <f t="array" aca="1" ref="CG174" ca="1">IF(INDIRECT(ADDRESS($B174+1,CG$164,1,1,"Confirmed Trend"))=0,#N/A,INDIRECT(ADDRESS($B174+1,CG$164,1,1,"Confirmed Trend")))</f>
        <v>3.04657596E-2</v>
      </c>
      <c r="CH174" s="14" cm="1">
        <f t="array" aca="1" ref="CH174" ca="1">IF(INDIRECT(ADDRESS($B174+1,CH$164,1,1,"Confirmed Trend"))=0,#N/A,INDIRECT(ADDRESS($B174+1,CH$164,1,1,"Confirmed Trend")))</f>
        <v>2.8383557699999999E-2</v>
      </c>
      <c r="CI174" s="14" cm="1">
        <f t="array" aca="1" ref="CI174" ca="1">IF(INDIRECT(ADDRESS($B174+1,CI$164,1,1,"Confirmed Trend"))=0,#N/A,INDIRECT(ADDRESS($B174+1,CI$164,1,1,"Confirmed Trend")))</f>
        <v>2.6850914100000001E-2</v>
      </c>
      <c r="CJ174" s="14" cm="1">
        <f t="array" aca="1" ref="CJ174" ca="1">IF(INDIRECT(ADDRESS($B174+1,CJ$164,1,1,"Confirmed Trend"))=0,#N/A,INDIRECT(ADDRESS($B174+1,CJ$164,1,1,"Confirmed Trend")))</f>
        <v>2.52442469E-2</v>
      </c>
      <c r="CK174" s="14" cm="1">
        <f t="array" aca="1" ref="CK174" ca="1">IF(INDIRECT(ADDRESS($B174+1,CK$164,1,1,"Confirmed Trend"))=0,#N/A,INDIRECT(ADDRESS($B174+1,CK$164,1,1,"Confirmed Trend")))</f>
        <v>2.3753624000000001E-2</v>
      </c>
      <c r="CL174" s="14" cm="1">
        <f t="array" aca="1" ref="CL174" ca="1">IF(INDIRECT(ADDRESS($B174+1,CL$164,1,1,"Confirmed Trend"))=0,#N/A,INDIRECT(ADDRESS($B174+1,CL$164,1,1,"Confirmed Trend")))</f>
        <v>2.2294007800000001E-2</v>
      </c>
      <c r="CM174" s="14" cm="1">
        <f t="array" aca="1" ref="CM174" ca="1">IF(INDIRECT(ADDRESS($B174+1,CM$164,1,1,"Confirmed Trend"))=0,#N/A,INDIRECT(ADDRESS($B174+1,CM$164,1,1,"Confirmed Trend")))</f>
        <v>2.1241931499999998E-2</v>
      </c>
      <c r="CN174" s="14" t="e" cm="1">
        <f t="array" aca="1" ref="CN174" ca="1">IF(INDIRECT(ADDRESS($B174+1,CN$164,1,1,"Confirmed Trend"))=0,#N/A,INDIRECT(ADDRESS($B174+1,CN$164,1,1,"Confirmed Trend")))</f>
        <v>#N/A</v>
      </c>
      <c r="CO174" s="14" t="e" cm="1">
        <f t="array" aca="1" ref="CO174" ca="1">IF(INDIRECT(ADDRESS($B174+1,CO$164,1,1,"Confirmed Trend"))=0,#N/A,INDIRECT(ADDRESS($B174+1,CO$164,1,1,"Confirmed Trend")))</f>
        <v>#N/A</v>
      </c>
      <c r="CP174" s="14" t="e" cm="1">
        <f t="array" aca="1" ref="CP174" ca="1">IF(INDIRECT(ADDRESS($B174+1,CP$164,1,1,"Confirmed Trend"))=0,#N/A,INDIRECT(ADDRESS($B174+1,CP$164,1,1,"Confirmed Trend")))</f>
        <v>#N/A</v>
      </c>
      <c r="CQ174" s="14" t="e" cm="1">
        <f t="array" aca="1" ref="CQ174" ca="1">IF(INDIRECT(ADDRESS($B174+1,CQ$164,1,1,"Confirmed Trend"))=0,#N/A,INDIRECT(ADDRESS($B174+1,CQ$164,1,1,"Confirmed Trend")))</f>
        <v>#N/A</v>
      </c>
      <c r="CR174" s="14" t="e" cm="1">
        <f t="array" aca="1" ref="CR174" ca="1">IF(INDIRECT(ADDRESS($B174+1,CR$164,1,1,"Confirmed Trend"))=0,#N/A,INDIRECT(ADDRESS($B174+1,CR$164,1,1,"Confirmed Trend")))</f>
        <v>#N/A</v>
      </c>
    </row>
    <row r="175" spans="2:96" x14ac:dyDescent="0.25">
      <c r="B175">
        <f t="shared" si="258"/>
        <v>10</v>
      </c>
      <c r="C175" t="str" cm="1">
        <f t="array" aca="1" ref="C175" ca="1">INDIRECT(ADDRESS($B175+1,1,1,1,"Confirmed Trend"))</f>
        <v>Italy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cm="1">
        <f t="array" aca="1" ref="AO175" ca="1">IF(INDIRECT(ADDRESS($B175+1,AO$164,1,1,"Confirmed Trend"))=0,#N/A,INDIRECT(ADDRESS($B175+1,AO$164,1,1,"Confirmed Trend")))</f>
        <v>0.56728119539999999</v>
      </c>
      <c r="AP175" s="14" cm="1">
        <f t="array" aca="1" ref="AP175" ca="1">IF(INDIRECT(ADDRESS($B175+1,AP$164,1,1,"Confirmed Trend"))=0,#N/A,INDIRECT(ADDRESS($B175+1,AP$164,1,1,"Confirmed Trend")))</f>
        <v>0.45447553149999997</v>
      </c>
      <c r="AQ175" s="14" cm="1">
        <f t="array" aca="1" ref="AQ175" ca="1">IF(INDIRECT(ADDRESS($B175+1,AQ$164,1,1,"Confirmed Trend"))=0,#N/A,INDIRECT(ADDRESS($B175+1,AQ$164,1,1,"Confirmed Trend")))</f>
        <v>0.3946566332</v>
      </c>
      <c r="AR175" s="14" cm="1">
        <f t="array" aca="1" ref="AR175" ca="1">IF(INDIRECT(ADDRESS($B175+1,AR$164,1,1,"Confirmed Trend"))=0,#N/A,INDIRECT(ADDRESS($B175+1,AR$164,1,1,"Confirmed Trend")))</f>
        <v>0.38646863460000003</v>
      </c>
      <c r="AS175" s="14" cm="1">
        <f t="array" aca="1" ref="AS175" ca="1">IF(INDIRECT(ADDRESS($B175+1,AS$164,1,1,"Confirmed Trend"))=0,#N/A,INDIRECT(ADDRESS($B175+1,AS$164,1,1,"Confirmed Trend")))</f>
        <v>0.35762669289999999</v>
      </c>
      <c r="AT175" s="14" cm="1">
        <f t="array" aca="1" ref="AT175" ca="1">IF(INDIRECT(ADDRESS($B175+1,AT$164,1,1,"Confirmed Trend"))=0,#N/A,INDIRECT(ADDRESS($B175+1,AT$164,1,1,"Confirmed Trend")))</f>
        <v>0.3292807848</v>
      </c>
      <c r="AU175" s="14" cm="1">
        <f t="array" aca="1" ref="AU175" ca="1">IF(INDIRECT(ADDRESS($B175+1,AU$164,1,1,"Confirmed Trend"))=0,#N/A,INDIRECT(ADDRESS($B175+1,AU$164,1,1,"Confirmed Trend")))</f>
        <v>0.29992999399999998</v>
      </c>
      <c r="AV175" s="14" cm="1">
        <f t="array" aca="1" ref="AV175" ca="1">IF(INDIRECT(ADDRESS($B175+1,AV$164,1,1,"Confirmed Trend"))=0,#N/A,INDIRECT(ADDRESS($B175+1,AV$164,1,1,"Confirmed Trend")))</f>
        <v>0.26328978619999999</v>
      </c>
      <c r="AW175" s="14" cm="1">
        <f t="array" aca="1" ref="AW175" ca="1">IF(INDIRECT(ADDRESS($B175+1,AW$164,1,1,"Confirmed Trend"))=0,#N/A,INDIRECT(ADDRESS($B175+1,AW$164,1,1,"Confirmed Trend")))</f>
        <v>0.242627288</v>
      </c>
      <c r="AX175" s="14" cm="1">
        <f t="array" aca="1" ref="AX175" ca="1">IF(INDIRECT(ADDRESS($B175+1,AX$164,1,1,"Confirmed Trend"))=0,#N/A,INDIRECT(ADDRESS($B175+1,AX$164,1,1,"Confirmed Trend")))</f>
        <v>0.23242417000000001</v>
      </c>
      <c r="AY175" s="14" cm="1">
        <f t="array" aca="1" ref="AY175" ca="1">IF(INDIRECT(ADDRESS($B175+1,AY$164,1,1,"Confirmed Trend"))=0,#N/A,INDIRECT(ADDRESS($B175+1,AY$164,1,1,"Confirmed Trend")))</f>
        <v>0.23762314239999999</v>
      </c>
      <c r="AZ175" s="14" cm="1">
        <f t="array" aca="1" ref="AZ175" ca="1">IF(INDIRECT(ADDRESS($B175+1,AZ$164,1,1,"Confirmed Trend"))=0,#N/A,INDIRECT(ADDRESS($B175+1,AZ$164,1,1,"Confirmed Trend")))</f>
        <v>0.2412545576</v>
      </c>
      <c r="BA175" s="14" cm="1">
        <f t="array" aca="1" ref="BA175" ca="1">IF(INDIRECT(ADDRESS($B175+1,BA$164,1,1,"Confirmed Trend"))=0,#N/A,INDIRECT(ADDRESS($B175+1,BA$164,1,1,"Confirmed Trend")))</f>
        <v>0.2321292975</v>
      </c>
      <c r="BB175" s="14" cm="1">
        <f t="array" aca="1" ref="BB175" ca="1">IF(INDIRECT(ADDRESS($B175+1,BB$164,1,1,"Confirmed Trend"))=0,#N/A,INDIRECT(ADDRESS($B175+1,BB$164,1,1,"Confirmed Trend")))</f>
        <v>0.21935918439999999</v>
      </c>
      <c r="BC175" s="14" cm="1">
        <f t="array" aca="1" ref="BC175" ca="1">IF(INDIRECT(ADDRESS($B175+1,BC$164,1,1,"Confirmed Trend"))=0,#N/A,INDIRECT(ADDRESS($B175+1,BC$164,1,1,"Confirmed Trend")))</f>
        <v>0.20455826290000001</v>
      </c>
      <c r="BD175" s="14" cm="1">
        <f t="array" aca="1" ref="BD175" ca="1">IF(INDIRECT(ADDRESS($B175+1,BD$164,1,1,"Confirmed Trend"))=0,#N/A,INDIRECT(ADDRESS($B175+1,BD$164,1,1,"Confirmed Trend")))</f>
        <v>0.19134198520000001</v>
      </c>
      <c r="BE175" s="14" cm="1">
        <f t="array" aca="1" ref="BE175" ca="1">IF(INDIRECT(ADDRESS($B175+1,BE$164,1,1,"Confirmed Trend"))=0,#N/A,INDIRECT(ADDRESS($B175+1,BE$164,1,1,"Confirmed Trend")))</f>
        <v>0.19190411199999999</v>
      </c>
      <c r="BF175" s="14" cm="1">
        <f t="array" aca="1" ref="BF175" ca="1">IF(INDIRECT(ADDRESS($B175+1,BF$164,1,1,"Confirmed Trend"))=0,#N/A,INDIRECT(ADDRESS($B175+1,BF$164,1,1,"Confirmed Trend")))</f>
        <v>0.1891977608</v>
      </c>
      <c r="BG175" s="14" cm="1">
        <f t="array" aca="1" ref="BG175" ca="1">IF(INDIRECT(ADDRESS($B175+1,BG$164,1,1,"Confirmed Trend"))=0,#N/A,INDIRECT(ADDRESS($B175+1,BG$164,1,1,"Confirmed Trend")))</f>
        <v>0.1834037211</v>
      </c>
      <c r="BH175" s="14" cm="1">
        <f t="array" aca="1" ref="BH175" ca="1">IF(INDIRECT(ADDRESS($B175+1,BH$164,1,1,"Confirmed Trend"))=0,#N/A,INDIRECT(ADDRESS($B175+1,BH$164,1,1,"Confirmed Trend")))</f>
        <v>0.16849484649999999</v>
      </c>
      <c r="BI175" s="14" cm="1">
        <f t="array" aca="1" ref="BI175" ca="1">IF(INDIRECT(ADDRESS($B175+1,BI$164,1,1,"Confirmed Trend"))=0,#N/A,INDIRECT(ADDRESS($B175+1,BI$164,1,1,"Confirmed Trend")))</f>
        <v>0.15293607980000001</v>
      </c>
      <c r="BJ175" s="14" cm="1">
        <f t="array" aca="1" ref="BJ175" ca="1">IF(INDIRECT(ADDRESS($B175+1,BJ$164,1,1,"Confirmed Trend"))=0,#N/A,INDIRECT(ADDRESS($B175+1,BJ$164,1,1,"Confirmed Trend")))</f>
        <v>0.1423736665</v>
      </c>
      <c r="BK175" s="14" cm="1">
        <f t="array" aca="1" ref="BK175" ca="1">IF(INDIRECT(ADDRESS($B175+1,BK$164,1,1,"Confirmed Trend"))=0,#N/A,INDIRECT(ADDRESS($B175+1,BK$164,1,1,"Confirmed Trend")))</f>
        <v>0.13766754959999999</v>
      </c>
      <c r="BL175" s="14" cm="1">
        <f t="array" aca="1" ref="BL175" ca="1">IF(INDIRECT(ADDRESS($B175+1,BL$164,1,1,"Confirmed Trend"))=0,#N/A,INDIRECT(ADDRESS($B175+1,BL$164,1,1,"Confirmed Trend")))</f>
        <v>0.13873144379999999</v>
      </c>
      <c r="BM175" s="14" cm="1">
        <f t="array" aca="1" ref="BM175" ca="1">IF(INDIRECT(ADDRESS($B175+1,BM$164,1,1,"Confirmed Trend"))=0,#N/A,INDIRECT(ADDRESS($B175+1,BM$164,1,1,"Confirmed Trend")))</f>
        <v>0.13813370359999999</v>
      </c>
      <c r="BN175" s="14" cm="1">
        <f t="array" aca="1" ref="BN175" ca="1">IF(INDIRECT(ADDRESS($B175+1,BN$164,1,1,"Confirmed Trend"))=0,#N/A,INDIRECT(ADDRESS($B175+1,BN$164,1,1,"Confirmed Trend")))</f>
        <v>0.13022034269999999</v>
      </c>
      <c r="BO175" s="14" cm="1">
        <f t="array" aca="1" ref="BO175" ca="1">IF(INDIRECT(ADDRESS($B175+1,BO$164,1,1,"Confirmed Trend"))=0,#N/A,INDIRECT(ADDRESS($B175+1,BO$164,1,1,"Confirmed Trend")))</f>
        <v>0.11637096769999999</v>
      </c>
      <c r="BP175" s="14" cm="1">
        <f t="array" aca="1" ref="BP175" ca="1">IF(INDIRECT(ADDRESS($B175+1,BP$164,1,1,"Confirmed Trend"))=0,#N/A,INDIRECT(ADDRESS($B175+1,BP$164,1,1,"Confirmed Trend")))</f>
        <v>0.100162631</v>
      </c>
      <c r="BQ175" s="14" cm="1">
        <f t="array" aca="1" ref="BQ175" ca="1">IF(INDIRECT(ADDRESS($B175+1,BQ$164,1,1,"Confirmed Trend"))=0,#N/A,INDIRECT(ADDRESS($B175+1,BQ$164,1,1,"Confirmed Trend")))</f>
        <v>8.8388111300000002E-2</v>
      </c>
      <c r="BR175" s="14" cm="1">
        <f t="array" aca="1" ref="BR175" ca="1">IF(INDIRECT(ADDRESS($B175+1,BR$164,1,1,"Confirmed Trend"))=0,#N/A,INDIRECT(ADDRESS($B175+1,BR$164,1,1,"Confirmed Trend")))</f>
        <v>8.1292115999999998E-2</v>
      </c>
      <c r="BS175" s="14" cm="1">
        <f t="array" aca="1" ref="BS175" ca="1">IF(INDIRECT(ADDRESS($B175+1,BS$164,1,1,"Confirmed Trend"))=0,#N/A,INDIRECT(ADDRESS($B175+1,BS$164,1,1,"Confirmed Trend")))</f>
        <v>7.7947274699999999E-2</v>
      </c>
      <c r="BT175" s="14" cm="1">
        <f t="array" aca="1" ref="BT175" ca="1">IF(INDIRECT(ADDRESS($B175+1,BT$164,1,1,"Confirmed Trend"))=0,#N/A,INDIRECT(ADDRESS($B175+1,BT$164,1,1,"Confirmed Trend")))</f>
        <v>7.4576729100000003E-2</v>
      </c>
      <c r="BU175" s="14" cm="1">
        <f t="array" aca="1" ref="BU175" ca="1">IF(INDIRECT(ADDRESS($B175+1,BU$164,1,1,"Confirmed Trend"))=0,#N/A,INDIRECT(ADDRESS($B175+1,BU$164,1,1,"Confirmed Trend")))</f>
        <v>6.8251112000000003E-2</v>
      </c>
      <c r="BV175" s="14" cm="1">
        <f t="array" aca="1" ref="BV175" ca="1">IF(INDIRECT(ADDRESS($B175+1,BV$164,1,1,"Confirmed Trend"))=0,#N/A,INDIRECT(ADDRESS($B175+1,BV$164,1,1,"Confirmed Trend")))</f>
        <v>6.0317923099999997E-2</v>
      </c>
      <c r="BW175" s="14" cm="1">
        <f t="array" aca="1" ref="BW175" ca="1">IF(INDIRECT(ADDRESS($B175+1,BW$164,1,1,"Confirmed Trend"))=0,#N/A,INDIRECT(ADDRESS($B175+1,BW$164,1,1,"Confirmed Trend")))</f>
        <v>5.21643938E-2</v>
      </c>
      <c r="BX175" s="14" cm="1">
        <f t="array" aca="1" ref="BX175" ca="1">IF(INDIRECT(ADDRESS($B175+1,BX$164,1,1,"Confirmed Trend"))=0,#N/A,INDIRECT(ADDRESS($B175+1,BX$164,1,1,"Confirmed Trend")))</f>
        <v>4.6333304800000003E-2</v>
      </c>
      <c r="BY175" s="14" cm="1">
        <f t="array" aca="1" ref="BY175" ca="1">IF(INDIRECT(ADDRESS($B175+1,BY$164,1,1,"Confirmed Trend"))=0,#N/A,INDIRECT(ADDRESS($B175+1,BY$164,1,1,"Confirmed Trend")))</f>
        <v>4.3153975999999997E-2</v>
      </c>
      <c r="BZ175" s="14" cm="1">
        <f t="array" aca="1" ref="BZ175" ca="1">IF(INDIRECT(ADDRESS($B175+1,BZ$164,1,1,"Confirmed Trend"))=0,#N/A,INDIRECT(ADDRESS($B175+1,BZ$164,1,1,"Confirmed Trend")))</f>
        <v>4.1914697399999999E-2</v>
      </c>
      <c r="CA175" s="14" cm="1">
        <f t="array" aca="1" ref="CA175" ca="1">IF(INDIRECT(ADDRESS($B175+1,CA$164,1,1,"Confirmed Trend"))=0,#N/A,INDIRECT(ADDRESS($B175+1,CA$164,1,1,"Confirmed Trend")))</f>
        <v>4.0885574899999999E-2</v>
      </c>
      <c r="CB175" s="14" cm="1">
        <f t="array" aca="1" ref="CB175" ca="1">IF(INDIRECT(ADDRESS($B175+1,CB$164,1,1,"Confirmed Trend"))=0,#N/A,INDIRECT(ADDRESS($B175+1,CB$164,1,1,"Confirmed Trend")))</f>
        <v>3.8786490299999997E-2</v>
      </c>
      <c r="CC175" s="14" cm="1">
        <f t="array" aca="1" ref="CC175" ca="1">IF(INDIRECT(ADDRESS($B175+1,CC$164,1,1,"Confirmed Trend"))=0,#N/A,INDIRECT(ADDRESS($B175+1,CC$164,1,1,"Confirmed Trend")))</f>
        <v>3.5291945499999998E-2</v>
      </c>
      <c r="CD175" s="14" cm="1">
        <f t="array" aca="1" ref="CD175" ca="1">IF(INDIRECT(ADDRESS($B175+1,CD$164,1,1,"Confirmed Trend"))=0,#N/A,INDIRECT(ADDRESS($B175+1,CD$164,1,1,"Confirmed Trend")))</f>
        <v>3.17183267E-2</v>
      </c>
      <c r="CE175" s="14" cm="1">
        <f t="array" aca="1" ref="CE175" ca="1">IF(INDIRECT(ADDRESS($B175+1,CE$164,1,1,"Confirmed Trend"))=0,#N/A,INDIRECT(ADDRESS($B175+1,CE$164,1,1,"Confirmed Trend")))</f>
        <v>2.8994398399999999E-2</v>
      </c>
      <c r="CF175" s="14" cm="1">
        <f t="array" aca="1" ref="CF175" ca="1">IF(INDIRECT(ADDRESS($B175+1,CF$164,1,1,"Confirmed Trend"))=0,#N/A,INDIRECT(ADDRESS($B175+1,CF$164,1,1,"Confirmed Trend")))</f>
        <v>2.7642997200000002E-2</v>
      </c>
      <c r="CG175" s="14" cm="1">
        <f t="array" aca="1" ref="CG175" ca="1">IF(INDIRECT(ADDRESS($B175+1,CG$164,1,1,"Confirmed Trend"))=0,#N/A,INDIRECT(ADDRESS($B175+1,CG$164,1,1,"Confirmed Trend")))</f>
        <v>2.8009821899999999E-2</v>
      </c>
      <c r="CH175" s="14" cm="1">
        <f t="array" aca="1" ref="CH175" ca="1">IF(INDIRECT(ADDRESS($B175+1,CH$164,1,1,"Confirmed Trend"))=0,#N/A,INDIRECT(ADDRESS($B175+1,CH$164,1,1,"Confirmed Trend")))</f>
        <v>2.8596119999999999E-2</v>
      </c>
      <c r="CI175" s="14" cm="1">
        <f t="array" aca="1" ref="CI175" ca="1">IF(INDIRECT(ADDRESS($B175+1,CI$164,1,1,"Confirmed Trend"))=0,#N/A,INDIRECT(ADDRESS($B175+1,CI$164,1,1,"Confirmed Trend")))</f>
        <v>2.8342139200000002E-2</v>
      </c>
      <c r="CJ175" s="14" cm="1">
        <f t="array" aca="1" ref="CJ175" ca="1">IF(INDIRECT(ADDRESS($B175+1,CJ$164,1,1,"Confirmed Trend"))=0,#N/A,INDIRECT(ADDRESS($B175+1,CJ$164,1,1,"Confirmed Trend")))</f>
        <v>2.6633645800000001E-2</v>
      </c>
      <c r="CK175" s="14" cm="1">
        <f t="array" aca="1" ref="CK175" ca="1">IF(INDIRECT(ADDRESS($B175+1,CK$164,1,1,"Confirmed Trend"))=0,#N/A,INDIRECT(ADDRESS($B175+1,CK$164,1,1,"Confirmed Trend")))</f>
        <v>2.3765857599999999E-2</v>
      </c>
      <c r="CL175" s="14" cm="1">
        <f t="array" aca="1" ref="CL175" ca="1">IF(INDIRECT(ADDRESS($B175+1,CL$164,1,1,"Confirmed Trend"))=0,#N/A,INDIRECT(ADDRESS($B175+1,CL$164,1,1,"Confirmed Trend")))</f>
        <v>2.1425609599999999E-2</v>
      </c>
      <c r="CM175" s="14" cm="1">
        <f t="array" aca="1" ref="CM175" ca="1">IF(INDIRECT(ADDRESS($B175+1,CM$164,1,1,"Confirmed Trend"))=0,#N/A,INDIRECT(ADDRESS($B175+1,CM$164,1,1,"Confirmed Trend")))</f>
        <v>1.98939983E-2</v>
      </c>
      <c r="CN175" s="14" t="e" cm="1">
        <f t="array" aca="1" ref="CN175" ca="1">IF(INDIRECT(ADDRESS($B175+1,CN$164,1,1,"Confirmed Trend"))=0,#N/A,INDIRECT(ADDRESS($B175+1,CN$164,1,1,"Confirmed Trend")))</f>
        <v>#N/A</v>
      </c>
      <c r="CO175" s="14" t="e" cm="1">
        <f t="array" aca="1" ref="CO175" ca="1">IF(INDIRECT(ADDRESS($B175+1,CO$164,1,1,"Confirmed Trend"))=0,#N/A,INDIRECT(ADDRESS($B175+1,CO$164,1,1,"Confirmed Trend")))</f>
        <v>#N/A</v>
      </c>
      <c r="CP175" s="14" t="e" cm="1">
        <f t="array" aca="1" ref="CP175" ca="1">IF(INDIRECT(ADDRESS($B175+1,CP$164,1,1,"Confirmed Trend"))=0,#N/A,INDIRECT(ADDRESS($B175+1,CP$164,1,1,"Confirmed Trend")))</f>
        <v>#N/A</v>
      </c>
      <c r="CQ175" s="14" t="e" cm="1">
        <f t="array" aca="1" ref="CQ175" ca="1">IF(INDIRECT(ADDRESS($B175+1,CQ$164,1,1,"Confirmed Trend"))=0,#N/A,INDIRECT(ADDRESS($B175+1,CQ$164,1,1,"Confirmed Trend")))</f>
        <v>#N/A</v>
      </c>
      <c r="CR175" s="14" t="e" cm="1">
        <f t="array" aca="1" ref="CR175" ca="1">IF(INDIRECT(ADDRESS($B175+1,CR$164,1,1,"Confirmed Trend"))=0,#N/A,INDIRECT(ADDRESS($B175+1,CR$164,1,1,"Confirmed Trend")))</f>
        <v>#N/A</v>
      </c>
    </row>
    <row r="176" spans="2:96" x14ac:dyDescent="0.25">
      <c r="B176">
        <f t="shared" si="258"/>
        <v>11</v>
      </c>
      <c r="C176" t="str" cm="1">
        <f t="array" aca="1" ref="C176" ca="1">INDIRECT(ADDRESS($B176+1,1,1,1,"Confirmed Trend"))</f>
        <v>Japan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cm="1">
        <f t="array" aca="1" ref="S176" ca="1">IF(INDIRECT(ADDRESS($B176+1,S$164,1,1,"Confirmed Trend"))=0,#N/A,INDIRECT(ADDRESS($B176+1,S$164,1,1,"Confirmed Trend")))</f>
        <v>9.5830786700000004E-2</v>
      </c>
      <c r="T176" s="14" cm="1">
        <f t="array" aca="1" ref="T176" ca="1">IF(INDIRECT(ADDRESS($B176+1,T$164,1,1,"Confirmed Trend"))=0,#N/A,INDIRECT(ADDRESS($B176+1,T$164,1,1,"Confirmed Trend")))</f>
        <v>5.5148215E-2</v>
      </c>
      <c r="U176" s="14" cm="1">
        <f t="array" aca="1" ref="U176" ca="1">IF(INDIRECT(ADDRESS($B176+1,U$164,1,1,"Confirmed Trend"))=0,#N/A,INDIRECT(ADDRESS($B176+1,U$164,1,1,"Confirmed Trend")))</f>
        <v>3.8090464300000001E-2</v>
      </c>
      <c r="V176" s="14" cm="1">
        <f t="array" aca="1" ref="V176" ca="1">IF(INDIRECT(ADDRESS($B176+1,V$164,1,1,"Confirmed Trend"))=0,#N/A,INDIRECT(ADDRESS($B176+1,V$164,1,1,"Confirmed Trend")))</f>
        <v>3.8709430699999998E-2</v>
      </c>
      <c r="W176" s="14" cm="1">
        <f t="array" aca="1" ref="W176" ca="1">IF(INDIRECT(ADDRESS($B176+1,W$164,1,1,"Confirmed Trend"))=0,#N/A,INDIRECT(ADDRESS($B176+1,W$164,1,1,"Confirmed Trend")))</f>
        <v>3.6292615299999997E-2</v>
      </c>
      <c r="X176" s="14" cm="1">
        <f t="array" aca="1" ref="X176" ca="1">IF(INDIRECT(ADDRESS($B176+1,X$164,1,1,"Confirmed Trend"))=0,#N/A,INDIRECT(ADDRESS($B176+1,X$164,1,1,"Confirmed Trend")))</f>
        <v>3.16755196E-2</v>
      </c>
      <c r="Y176" s="14" cm="1">
        <f t="array" aca="1" ref="Y176" ca="1">IF(INDIRECT(ADDRESS($B176+1,Y$164,1,1,"Confirmed Trend"))=0,#N/A,INDIRECT(ADDRESS($B176+1,Y$164,1,1,"Confirmed Trend")))</f>
        <v>2.6690096100000001E-2</v>
      </c>
      <c r="Z176" s="14" cm="1">
        <f t="array" aca="1" ref="Z176" ca="1">IF(INDIRECT(ADDRESS($B176+1,Z$164,1,1,"Confirmed Trend"))=0,#N/A,INDIRECT(ADDRESS($B176+1,Z$164,1,1,"Confirmed Trend")))</f>
        <v>2.4269863499999999E-2</v>
      </c>
      <c r="AA176" s="14" cm="1">
        <f t="array" aca="1" ref="AA176" ca="1">IF(INDIRECT(ADDRESS($B176+1,AA$164,1,1,"Confirmed Trend"))=0,#N/A,INDIRECT(ADDRESS($B176+1,AA$164,1,1,"Confirmed Trend")))</f>
        <v>2.3148860399999999E-2</v>
      </c>
      <c r="AB176" s="14" cm="1">
        <f t="array" aca="1" ref="AB176" ca="1">IF(INDIRECT(ADDRESS($B176+1,AB$164,1,1,"Confirmed Trend"))=0,#N/A,INDIRECT(ADDRESS($B176+1,AB$164,1,1,"Confirmed Trend")))</f>
        <v>2.2671447000000001E-2</v>
      </c>
      <c r="AC176" s="14" cm="1">
        <f t="array" aca="1" ref="AC176" ca="1">IF(INDIRECT(ADDRESS($B176+1,AC$164,1,1,"Confirmed Trend"))=0,#N/A,INDIRECT(ADDRESS($B176+1,AC$164,1,1,"Confirmed Trend")))</f>
        <v>5.8690506500000003E-2</v>
      </c>
      <c r="AD176" s="14" cm="1">
        <f t="array" aca="1" ref="AD176" ca="1">IF(INDIRECT(ADDRESS($B176+1,AD$164,1,1,"Confirmed Trend"))=0,#N/A,INDIRECT(ADDRESS($B176+1,AD$164,1,1,"Confirmed Trend")))</f>
        <v>0.1242537913</v>
      </c>
      <c r="AE176" s="14" cm="1">
        <f t="array" aca="1" ref="AE176" ca="1">IF(INDIRECT(ADDRESS($B176+1,AE$164,1,1,"Confirmed Trend"))=0,#N/A,INDIRECT(ADDRESS($B176+1,AE$164,1,1,"Confirmed Trend")))</f>
        <v>0.18979773210000001</v>
      </c>
      <c r="AF176" s="14" cm="1">
        <f t="array" aca="1" ref="AF176" ca="1">IF(INDIRECT(ADDRESS($B176+1,AF$164,1,1,"Confirmed Trend"))=0,#N/A,INDIRECT(ADDRESS($B176+1,AF$164,1,1,"Confirmed Trend")))</f>
        <v>0.2351557953</v>
      </c>
      <c r="AG176" s="14" cm="1">
        <f t="array" aca="1" ref="AG176" ca="1">IF(INDIRECT(ADDRESS($B176+1,AG$164,1,1,"Confirmed Trend"))=0,#N/A,INDIRECT(ADDRESS($B176+1,AG$164,1,1,"Confirmed Trend")))</f>
        <v>0.2218573036</v>
      </c>
      <c r="AH176" s="14" cm="1">
        <f t="array" aca="1" ref="AH176" ca="1">IF(INDIRECT(ADDRESS($B176+1,AH$164,1,1,"Confirmed Trend"))=0,#N/A,INDIRECT(ADDRESS($B176+1,AH$164,1,1,"Confirmed Trend")))</f>
        <v>0.17769359000000001</v>
      </c>
      <c r="AI176" s="14" cm="1">
        <f t="array" aca="1" ref="AI176" ca="1">IF(INDIRECT(ADDRESS($B176+1,AI$164,1,1,"Confirmed Trend"))=0,#N/A,INDIRECT(ADDRESS($B176+1,AI$164,1,1,"Confirmed Trend")))</f>
        <v>0.13925065889999999</v>
      </c>
      <c r="AJ176" s="14" cm="1">
        <f t="array" aca="1" ref="AJ176" ca="1">IF(INDIRECT(ADDRESS($B176+1,AJ$164,1,1,"Confirmed Trend"))=0,#N/A,INDIRECT(ADDRESS($B176+1,AJ$164,1,1,"Confirmed Trend")))</f>
        <v>0.12697164450000001</v>
      </c>
      <c r="AK176" s="14" cm="1">
        <f t="array" aca="1" ref="AK176" ca="1">IF(INDIRECT(ADDRESS($B176+1,AK$164,1,1,"Confirmed Trend"))=0,#N/A,INDIRECT(ADDRESS($B176+1,AK$164,1,1,"Confirmed Trend")))</f>
        <v>0.1367262679</v>
      </c>
      <c r="AL176" s="14" cm="1">
        <f t="array" aca="1" ref="AL176" ca="1">IF(INDIRECT(ADDRESS($B176+1,AL$164,1,1,"Confirmed Trend"))=0,#N/A,INDIRECT(ADDRESS($B176+1,AL$164,1,1,"Confirmed Trend")))</f>
        <v>0.14159171179999999</v>
      </c>
      <c r="AM176" s="14" cm="1">
        <f t="array" aca="1" ref="AM176" ca="1">IF(INDIRECT(ADDRESS($B176+1,AM$164,1,1,"Confirmed Trend"))=0,#N/A,INDIRECT(ADDRESS($B176+1,AM$164,1,1,"Confirmed Trend")))</f>
        <v>0.13882011450000001</v>
      </c>
      <c r="AN176" s="14" cm="1">
        <f t="array" aca="1" ref="AN176" ca="1">IF(INDIRECT(ADDRESS($B176+1,AN$164,1,1,"Confirmed Trend"))=0,#N/A,INDIRECT(ADDRESS($B176+1,AN$164,1,1,"Confirmed Trend")))</f>
        <v>0.1270837333</v>
      </c>
      <c r="AO176" s="14" cm="1">
        <f t="array" aca="1" ref="AO176" ca="1">IF(INDIRECT(ADDRESS($B176+1,AO$164,1,1,"Confirmed Trend"))=0,#N/A,INDIRECT(ADDRESS($B176+1,AO$164,1,1,"Confirmed Trend")))</f>
        <v>0.11255311730000001</v>
      </c>
      <c r="AP176" s="14" cm="1">
        <f t="array" aca="1" ref="AP176" ca="1">IF(INDIRECT(ADDRESS($B176+1,AP$164,1,1,"Confirmed Trend"))=0,#N/A,INDIRECT(ADDRESS($B176+1,AP$164,1,1,"Confirmed Trend")))</f>
        <v>0.1019106931</v>
      </c>
      <c r="AQ176" s="14" cm="1">
        <f t="array" aca="1" ref="AQ176" ca="1">IF(INDIRECT(ADDRESS($B176+1,AQ$164,1,1,"Confirmed Trend"))=0,#N/A,INDIRECT(ADDRESS($B176+1,AQ$164,1,1,"Confirmed Trend")))</f>
        <v>9.4468931300000003E-2</v>
      </c>
      <c r="AR176" s="14" cm="1">
        <f t="array" aca="1" ref="AR176" ca="1">IF(INDIRECT(ADDRESS($B176+1,AR$164,1,1,"Confirmed Trend"))=0,#N/A,INDIRECT(ADDRESS($B176+1,AR$164,1,1,"Confirmed Trend")))</f>
        <v>8.7682301099999999E-2</v>
      </c>
      <c r="AS176" s="14" cm="1">
        <f t="array" aca="1" ref="AS176" ca="1">IF(INDIRECT(ADDRESS($B176+1,AS$164,1,1,"Confirmed Trend"))=0,#N/A,INDIRECT(ADDRESS($B176+1,AS$164,1,1,"Confirmed Trend")))</f>
        <v>7.70229038E-2</v>
      </c>
      <c r="AT176" s="14" cm="1">
        <f t="array" aca="1" ref="AT176" ca="1">IF(INDIRECT(ADDRESS($B176+1,AT$164,1,1,"Confirmed Trend"))=0,#N/A,INDIRECT(ADDRESS($B176+1,AT$164,1,1,"Confirmed Trend")))</f>
        <v>6.8667541900000004E-2</v>
      </c>
      <c r="AU176" s="14" cm="1">
        <f t="array" aca="1" ref="AU176" ca="1">IF(INDIRECT(ADDRESS($B176+1,AU$164,1,1,"Confirmed Trend"))=0,#N/A,INDIRECT(ADDRESS($B176+1,AU$164,1,1,"Confirmed Trend")))</f>
        <v>7.0813673699999996E-2</v>
      </c>
      <c r="AV176" s="14" cm="1">
        <f t="array" aca="1" ref="AV176" ca="1">IF(INDIRECT(ADDRESS($B176+1,AV$164,1,1,"Confirmed Trend"))=0,#N/A,INDIRECT(ADDRESS($B176+1,AV$164,1,1,"Confirmed Trend")))</f>
        <v>7.9354913700000002E-2</v>
      </c>
      <c r="AW176" s="14" cm="1">
        <f t="array" aca="1" ref="AW176" ca="1">IF(INDIRECT(ADDRESS($B176+1,AW$164,1,1,"Confirmed Trend"))=0,#N/A,INDIRECT(ADDRESS($B176+1,AW$164,1,1,"Confirmed Trend")))</f>
        <v>9.5632535000000005E-2</v>
      </c>
      <c r="AX176" s="14" cm="1">
        <f t="array" aca="1" ref="AX176" ca="1">IF(INDIRECT(ADDRESS($B176+1,AX$164,1,1,"Confirmed Trend"))=0,#N/A,INDIRECT(ADDRESS($B176+1,AX$164,1,1,"Confirmed Trend")))</f>
        <v>0.10813580239999999</v>
      </c>
      <c r="AY176" s="14" cm="1">
        <f t="array" aca="1" ref="AY176" ca="1">IF(INDIRECT(ADDRESS($B176+1,AY$164,1,1,"Confirmed Trend"))=0,#N/A,INDIRECT(ADDRESS($B176+1,AY$164,1,1,"Confirmed Trend")))</f>
        <v>0.1140032577</v>
      </c>
      <c r="AZ176" s="14" cm="1">
        <f t="array" aca="1" ref="AZ176" ca="1">IF(INDIRECT(ADDRESS($B176+1,AZ$164,1,1,"Confirmed Trend"))=0,#N/A,INDIRECT(ADDRESS($B176+1,AZ$164,1,1,"Confirmed Trend")))</f>
        <v>0.1063068368</v>
      </c>
      <c r="BA176" s="14" cm="1">
        <f t="array" aca="1" ref="BA176" ca="1">IF(INDIRECT(ADDRESS($B176+1,BA$164,1,1,"Confirmed Trend"))=0,#N/A,INDIRECT(ADDRESS($B176+1,BA$164,1,1,"Confirmed Trend")))</f>
        <v>9.4444050000000002E-2</v>
      </c>
      <c r="BB176" s="14" cm="1">
        <f t="array" aca="1" ref="BB176" ca="1">IF(INDIRECT(ADDRESS($B176+1,BB$164,1,1,"Confirmed Trend"))=0,#N/A,INDIRECT(ADDRESS($B176+1,BB$164,1,1,"Confirmed Trend")))</f>
        <v>8.67541857E-2</v>
      </c>
      <c r="BC176" s="14" cm="1">
        <f t="array" aca="1" ref="BC176" ca="1">IF(INDIRECT(ADDRESS($B176+1,BC$164,1,1,"Confirmed Trend"))=0,#N/A,INDIRECT(ADDRESS($B176+1,BC$164,1,1,"Confirmed Trend")))</f>
        <v>8.1209632099999998E-2</v>
      </c>
      <c r="BD176" s="14" cm="1">
        <f t="array" aca="1" ref="BD176" ca="1">IF(INDIRECT(ADDRESS($B176+1,BD$164,1,1,"Confirmed Trend"))=0,#N/A,INDIRECT(ADDRESS($B176+1,BD$164,1,1,"Confirmed Trend")))</f>
        <v>8.0624086499999997E-2</v>
      </c>
      <c r="BE176" s="14" cm="1">
        <f t="array" aca="1" ref="BE176" ca="1">IF(INDIRECT(ADDRESS($B176+1,BE$164,1,1,"Confirmed Trend"))=0,#N/A,INDIRECT(ADDRESS($B176+1,BE$164,1,1,"Confirmed Trend")))</f>
        <v>7.6921669999999998E-2</v>
      </c>
      <c r="BF176" s="14" cm="1">
        <f t="array" aca="1" ref="BF176" ca="1">IF(INDIRECT(ADDRESS($B176+1,BF$164,1,1,"Confirmed Trend"))=0,#N/A,INDIRECT(ADDRESS($B176+1,BF$164,1,1,"Confirmed Trend")))</f>
        <v>7.5151440700000002E-2</v>
      </c>
      <c r="BG176" s="14" cm="1">
        <f t="array" aca="1" ref="BG176" ca="1">IF(INDIRECT(ADDRESS($B176+1,BG$164,1,1,"Confirmed Trend"))=0,#N/A,INDIRECT(ADDRESS($B176+1,BG$164,1,1,"Confirmed Trend")))</f>
        <v>6.9253704400000005E-2</v>
      </c>
      <c r="BH176" s="14" cm="1">
        <f t="array" aca="1" ref="BH176" ca="1">IF(INDIRECT(ADDRESS($B176+1,BH$164,1,1,"Confirmed Trend"))=0,#N/A,INDIRECT(ADDRESS($B176+1,BH$164,1,1,"Confirmed Trend")))</f>
        <v>6.3938131300000006E-2</v>
      </c>
      <c r="BI176" s="14" cm="1">
        <f t="array" aca="1" ref="BI176" ca="1">IF(INDIRECT(ADDRESS($B176+1,BI$164,1,1,"Confirmed Trend"))=0,#N/A,INDIRECT(ADDRESS($B176+1,BI$164,1,1,"Confirmed Trend")))</f>
        <v>5.1954147899999997E-2</v>
      </c>
      <c r="BJ176" s="14" cm="1">
        <f t="array" aca="1" ref="BJ176" ca="1">IF(INDIRECT(ADDRESS($B176+1,BJ$164,1,1,"Confirmed Trend"))=0,#N/A,INDIRECT(ADDRESS($B176+1,BJ$164,1,1,"Confirmed Trend")))</f>
        <v>3.8566993500000001E-2</v>
      </c>
      <c r="BK176" s="14" cm="1">
        <f t="array" aca="1" ref="BK176" ca="1">IF(INDIRECT(ADDRESS($B176+1,BK$164,1,1,"Confirmed Trend"))=0,#N/A,INDIRECT(ADDRESS($B176+1,BK$164,1,1,"Confirmed Trend")))</f>
        <v>2.9576570199999999E-2</v>
      </c>
      <c r="BL176" s="14" cm="1">
        <f t="array" aca="1" ref="BL176" ca="1">IF(INDIRECT(ADDRESS($B176+1,BL$164,1,1,"Confirmed Trend"))=0,#N/A,INDIRECT(ADDRESS($B176+1,BL$164,1,1,"Confirmed Trend")))</f>
        <v>2.95779743E-2</v>
      </c>
      <c r="BM176" s="14" cm="1">
        <f t="array" aca="1" ref="BM176" ca="1">IF(INDIRECT(ADDRESS($B176+1,BM$164,1,1,"Confirmed Trend"))=0,#N/A,INDIRECT(ADDRESS($B176+1,BM$164,1,1,"Confirmed Trend")))</f>
        <v>3.9960749800000001E-2</v>
      </c>
      <c r="BN176" s="14" cm="1">
        <f t="array" aca="1" ref="BN176" ca="1">IF(INDIRECT(ADDRESS($B176+1,BN$164,1,1,"Confirmed Trend"))=0,#N/A,INDIRECT(ADDRESS($B176+1,BN$164,1,1,"Confirmed Trend")))</f>
        <v>4.7185701900000002E-2</v>
      </c>
      <c r="BO176" s="14" cm="1">
        <f t="array" aca="1" ref="BO176" ca="1">IF(INDIRECT(ADDRESS($B176+1,BO$164,1,1,"Confirmed Trend"))=0,#N/A,INDIRECT(ADDRESS($B176+1,BO$164,1,1,"Confirmed Trend")))</f>
        <v>5.3695525600000002E-2</v>
      </c>
      <c r="BP176" s="14" cm="1">
        <f t="array" aca="1" ref="BP176" ca="1">IF(INDIRECT(ADDRESS($B176+1,BP$164,1,1,"Confirmed Trend"))=0,#N/A,INDIRECT(ADDRESS($B176+1,BP$164,1,1,"Confirmed Trend")))</f>
        <v>5.8137699799999998E-2</v>
      </c>
      <c r="BQ176" s="14" cm="1">
        <f t="array" aca="1" ref="BQ176" ca="1">IF(INDIRECT(ADDRESS($B176+1,BQ$164,1,1,"Confirmed Trend"))=0,#N/A,INDIRECT(ADDRESS($B176+1,BQ$164,1,1,"Confirmed Trend")))</f>
        <v>6.0678293100000003E-2</v>
      </c>
      <c r="BR176" s="14" cm="1">
        <f t="array" aca="1" ref="BR176" ca="1">IF(INDIRECT(ADDRESS($B176+1,BR$164,1,1,"Confirmed Trend"))=0,#N/A,INDIRECT(ADDRESS($B176+1,BR$164,1,1,"Confirmed Trend")))</f>
        <v>6.4935711100000001E-2</v>
      </c>
      <c r="BS176" s="14" cm="1">
        <f t="array" aca="1" ref="BS176" ca="1">IF(INDIRECT(ADDRESS($B176+1,BS$164,1,1,"Confirmed Trend"))=0,#N/A,INDIRECT(ADDRESS($B176+1,BS$164,1,1,"Confirmed Trend")))</f>
        <v>7.3705339100000003E-2</v>
      </c>
      <c r="BT176" s="14" cm="1">
        <f t="array" aca="1" ref="BT176" ca="1">IF(INDIRECT(ADDRESS($B176+1,BT$164,1,1,"Confirmed Trend"))=0,#N/A,INDIRECT(ADDRESS($B176+1,BT$164,1,1,"Confirmed Trend")))</f>
        <v>8.4951692699999998E-2</v>
      </c>
      <c r="BU176" s="14" cm="1">
        <f t="array" aca="1" ref="BU176" ca="1">IF(INDIRECT(ADDRESS($B176+1,BU$164,1,1,"Confirmed Trend"))=0,#N/A,INDIRECT(ADDRESS($B176+1,BU$164,1,1,"Confirmed Trend")))</f>
        <v>8.9089118699999997E-2</v>
      </c>
      <c r="BV176" s="14" cm="1">
        <f t="array" aca="1" ref="BV176" ca="1">IF(INDIRECT(ADDRESS($B176+1,BV$164,1,1,"Confirmed Trend"))=0,#N/A,INDIRECT(ADDRESS($B176+1,BV$164,1,1,"Confirmed Trend")))</f>
        <v>8.31402891E-2</v>
      </c>
      <c r="BW176" s="14" cm="1">
        <f t="array" aca="1" ref="BW176" ca="1">IF(INDIRECT(ADDRESS($B176+1,BW$164,1,1,"Confirmed Trend"))=0,#N/A,INDIRECT(ADDRESS($B176+1,BW$164,1,1,"Confirmed Trend")))</f>
        <v>7.3527337200000001E-2</v>
      </c>
      <c r="BX176" s="14" cm="1">
        <f t="array" aca="1" ref="BX176" ca="1">IF(INDIRECT(ADDRESS($B176+1,BX$164,1,1,"Confirmed Trend"))=0,#N/A,INDIRECT(ADDRESS($B176+1,BX$164,1,1,"Confirmed Trend")))</f>
        <v>7.1483867500000006E-2</v>
      </c>
      <c r="BY176" s="14" cm="1">
        <f t="array" aca="1" ref="BY176" ca="1">IF(INDIRECT(ADDRESS($B176+1,BY$164,1,1,"Confirmed Trend"))=0,#N/A,INDIRECT(ADDRESS($B176+1,BY$164,1,1,"Confirmed Trend")))</f>
        <v>7.4520802999999997E-2</v>
      </c>
      <c r="BZ176" s="14" cm="1">
        <f t="array" aca="1" ref="BZ176" ca="1">IF(INDIRECT(ADDRESS($B176+1,BZ$164,1,1,"Confirmed Trend"))=0,#N/A,INDIRECT(ADDRESS($B176+1,BZ$164,1,1,"Confirmed Trend")))</f>
        <v>9.5510179599999995E-2</v>
      </c>
      <c r="CA176" s="14" cm="1">
        <f t="array" aca="1" ref="CA176" ca="1">IF(INDIRECT(ADDRESS($B176+1,CA$164,1,1,"Confirmed Trend"))=0,#N/A,INDIRECT(ADDRESS($B176+1,CA$164,1,1,"Confirmed Trend")))</f>
        <v>0.1094729348</v>
      </c>
      <c r="CB176" s="14" cm="1">
        <f t="array" aca="1" ref="CB176" ca="1">IF(INDIRECT(ADDRESS($B176+1,CB$164,1,1,"Confirmed Trend"))=0,#N/A,INDIRECT(ADDRESS($B176+1,CB$164,1,1,"Confirmed Trend")))</f>
        <v>0.11359009790000001</v>
      </c>
      <c r="CC176" s="14" cm="1">
        <f t="array" aca="1" ref="CC176" ca="1">IF(INDIRECT(ADDRESS($B176+1,CC$164,1,1,"Confirmed Trend"))=0,#N/A,INDIRECT(ADDRESS($B176+1,CC$164,1,1,"Confirmed Trend")))</f>
        <v>0.1072254985</v>
      </c>
      <c r="CD176" s="14" cm="1">
        <f t="array" aca="1" ref="CD176" ca="1">IF(INDIRECT(ADDRESS($B176+1,CD$164,1,1,"Confirmed Trend"))=0,#N/A,INDIRECT(ADDRESS($B176+1,CD$164,1,1,"Confirmed Trend")))</f>
        <v>9.3956774600000001E-2</v>
      </c>
      <c r="CE176" s="14" cm="1">
        <f t="array" aca="1" ref="CE176" ca="1">IF(INDIRECT(ADDRESS($B176+1,CE$164,1,1,"Confirmed Trend"))=0,#N/A,INDIRECT(ADDRESS($B176+1,CE$164,1,1,"Confirmed Trend")))</f>
        <v>8.8107314399999997E-2</v>
      </c>
      <c r="CF176" s="14" cm="1">
        <f t="array" aca="1" ref="CF176" ca="1">IF(INDIRECT(ADDRESS($B176+1,CF$164,1,1,"Confirmed Trend"))=0,#N/A,INDIRECT(ADDRESS($B176+1,CF$164,1,1,"Confirmed Trend")))</f>
        <v>9.1336785599999998E-2</v>
      </c>
      <c r="CG176" s="14" cm="1">
        <f t="array" aca="1" ref="CG176" ca="1">IF(INDIRECT(ADDRESS($B176+1,CG$164,1,1,"Confirmed Trend"))=0,#N/A,INDIRECT(ADDRESS($B176+1,CG$164,1,1,"Confirmed Trend")))</f>
        <v>0.10274271190000001</v>
      </c>
      <c r="CH176" s="14" cm="1">
        <f t="array" aca="1" ref="CH176" ca="1">IF(INDIRECT(ADDRESS($B176+1,CH$164,1,1,"Confirmed Trend"))=0,#N/A,INDIRECT(ADDRESS($B176+1,CH$164,1,1,"Confirmed Trend")))</f>
        <v>0.115282932</v>
      </c>
      <c r="CI176" s="14" cm="1">
        <f t="array" aca="1" ref="CI176" ca="1">IF(INDIRECT(ADDRESS($B176+1,CI$164,1,1,"Confirmed Trend"))=0,#N/A,INDIRECT(ADDRESS($B176+1,CI$164,1,1,"Confirmed Trend")))</f>
        <v>0.11909387220000001</v>
      </c>
      <c r="CJ176" s="14" cm="1">
        <f t="array" aca="1" ref="CJ176" ca="1">IF(INDIRECT(ADDRESS($B176+1,CJ$164,1,1,"Confirmed Trend"))=0,#N/A,INDIRECT(ADDRESS($B176+1,CJ$164,1,1,"Confirmed Trend")))</f>
        <v>0.10772683800000001</v>
      </c>
      <c r="CK176" s="14" cm="1">
        <f t="array" aca="1" ref="CK176" ca="1">IF(INDIRECT(ADDRESS($B176+1,CK$164,1,1,"Confirmed Trend"))=0,#N/A,INDIRECT(ADDRESS($B176+1,CK$164,1,1,"Confirmed Trend")))</f>
        <v>9.2902243499999995E-2</v>
      </c>
      <c r="CL176" s="14" cm="1">
        <f t="array" aca="1" ref="CL176" ca="1">IF(INDIRECT(ADDRESS($B176+1,CL$164,1,1,"Confirmed Trend"))=0,#N/A,INDIRECT(ADDRESS($B176+1,CL$164,1,1,"Confirmed Trend")))</f>
        <v>7.4500130600000006E-2</v>
      </c>
      <c r="CM176" s="14" cm="1">
        <f t="array" aca="1" ref="CM176" ca="1">IF(INDIRECT(ADDRESS($B176+1,CM$164,1,1,"Confirmed Trend"))=0,#N/A,INDIRECT(ADDRESS($B176+1,CM$164,1,1,"Confirmed Trend")))</f>
        <v>7.1375069200000002E-2</v>
      </c>
      <c r="CN176" s="14" t="e" cm="1">
        <f t="array" aca="1" ref="CN176" ca="1">IF(INDIRECT(ADDRESS($B176+1,CN$164,1,1,"Confirmed Trend"))=0,#N/A,INDIRECT(ADDRESS($B176+1,CN$164,1,1,"Confirmed Trend")))</f>
        <v>#N/A</v>
      </c>
      <c r="CO176" s="14" t="e" cm="1">
        <f t="array" aca="1" ref="CO176" ca="1">IF(INDIRECT(ADDRESS($B176+1,CO$164,1,1,"Confirmed Trend"))=0,#N/A,INDIRECT(ADDRESS($B176+1,CO$164,1,1,"Confirmed Trend")))</f>
        <v>#N/A</v>
      </c>
      <c r="CP176" s="14" t="e" cm="1">
        <f t="array" aca="1" ref="CP176" ca="1">IF(INDIRECT(ADDRESS($B176+1,CP$164,1,1,"Confirmed Trend"))=0,#N/A,INDIRECT(ADDRESS($B176+1,CP$164,1,1,"Confirmed Trend")))</f>
        <v>#N/A</v>
      </c>
      <c r="CQ176" s="14" t="e" cm="1">
        <f t="array" aca="1" ref="CQ176" ca="1">IF(INDIRECT(ADDRESS($B176+1,CQ$164,1,1,"Confirmed Trend"))=0,#N/A,INDIRECT(ADDRESS($B176+1,CQ$164,1,1,"Confirmed Trend")))</f>
        <v>#N/A</v>
      </c>
      <c r="CR176" s="14" t="e" cm="1">
        <f t="array" aca="1" ref="CR176" ca="1">IF(INDIRECT(ADDRESS($B176+1,CR$164,1,1,"Confirmed Trend"))=0,#N/A,INDIRECT(ADDRESS($B176+1,CR$164,1,1,"Confirmed Trend")))</f>
        <v>#N/A</v>
      </c>
    </row>
    <row r="177" spans="2:96" x14ac:dyDescent="0.25">
      <c r="B177">
        <f t="shared" si="258"/>
        <v>12</v>
      </c>
      <c r="C177" t="str" cm="1">
        <f t="array" aca="1" ref="C177" ca="1">INDIRECT(ADDRESS($B177+1,1,1,1,"Confirmed Trend"))</f>
        <v>Korea, South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cm="1">
        <f t="array" aca="1" ref="T177" ca="1">IF(INDIRECT(ADDRESS($B177+1,T$164,1,1,"Confirmed Trend"))=0,#N/A,INDIRECT(ADDRESS($B177+1,T$164,1,1,"Confirmed Trend")))</f>
        <v>0.11150417730000001</v>
      </c>
      <c r="U177" s="14" cm="1">
        <f t="array" aca="1" ref="U177" ca="1">IF(INDIRECT(ADDRESS($B177+1,U$164,1,1,"Confirmed Trend"))=0,#N/A,INDIRECT(ADDRESS($B177+1,U$164,1,1,"Confirmed Trend")))</f>
        <v>0.11632011759999999</v>
      </c>
      <c r="V177" s="14" cm="1">
        <f t="array" aca="1" ref="V177" ca="1">IF(INDIRECT(ADDRESS($B177+1,V$164,1,1,"Confirmed Trend"))=0,#N/A,INDIRECT(ADDRESS($B177+1,V$164,1,1,"Confirmed Trend")))</f>
        <v>0.11355910230000001</v>
      </c>
      <c r="W177" s="14" cm="1">
        <f t="array" aca="1" ref="W177" ca="1">IF(INDIRECT(ADDRESS($B177+1,W$164,1,1,"Confirmed Trend"))=0,#N/A,INDIRECT(ADDRESS($B177+1,W$164,1,1,"Confirmed Trend")))</f>
        <v>9.8370829100000001E-2</v>
      </c>
      <c r="X177" s="14" cm="1">
        <f t="array" aca="1" ref="X177" ca="1">IF(INDIRECT(ADDRESS($B177+1,X$164,1,1,"Confirmed Trend"))=0,#N/A,INDIRECT(ADDRESS($B177+1,X$164,1,1,"Confirmed Trend")))</f>
        <v>7.1663305400000002E-2</v>
      </c>
      <c r="Y177" s="14" cm="1">
        <f t="array" aca="1" ref="Y177" ca="1">IF(INDIRECT(ADDRESS($B177+1,Y$164,1,1,"Confirmed Trend"))=0,#N/A,INDIRECT(ADDRESS($B177+1,Y$164,1,1,"Confirmed Trend")))</f>
        <v>4.9268204599999997E-2</v>
      </c>
      <c r="Z177" s="14" cm="1">
        <f t="array" aca="1" ref="Z177" ca="1">IF(INDIRECT(ADDRESS($B177+1,Z$164,1,1,"Confirmed Trend"))=0,#N/A,INDIRECT(ADDRESS($B177+1,Z$164,1,1,"Confirmed Trend")))</f>
        <v>3.8614355699999998E-2</v>
      </c>
      <c r="AA177" s="14" cm="1">
        <f t="array" aca="1" ref="AA177" ca="1">IF(INDIRECT(ADDRESS($B177+1,AA$164,1,1,"Confirmed Trend"))=0,#N/A,INDIRECT(ADDRESS($B177+1,AA$164,1,1,"Confirmed Trend")))</f>
        <v>3.5787715599999999E-2</v>
      </c>
      <c r="AB177" s="14" cm="1">
        <f t="array" aca="1" ref="AB177" ca="1">IF(INDIRECT(ADDRESS($B177+1,AB$164,1,1,"Confirmed Trend"))=0,#N/A,INDIRECT(ADDRESS($B177+1,AB$164,1,1,"Confirmed Trend")))</f>
        <v>2.7293499299999999E-2</v>
      </c>
      <c r="AC177" s="14" cm="1">
        <f t="array" aca="1" ref="AC177" ca="1">IF(INDIRECT(ADDRESS($B177+1,AC$164,1,1,"Confirmed Trend"))=0,#N/A,INDIRECT(ADDRESS($B177+1,AC$164,1,1,"Confirmed Trend")))</f>
        <v>1.7652081399999998E-2</v>
      </c>
      <c r="AD177" s="14" cm="1">
        <f t="array" aca="1" ref="AD177" ca="1">IF(INDIRECT(ADDRESS($B177+1,AD$164,1,1,"Confirmed Trend"))=0,#N/A,INDIRECT(ADDRESS($B177+1,AD$164,1,1,"Confirmed Trend")))</f>
        <v>9.4797327000000001E-3</v>
      </c>
      <c r="AE177" s="14" cm="1">
        <f t="array" aca="1" ref="AE177" ca="1">IF(INDIRECT(ADDRESS($B177+1,AE$164,1,1,"Confirmed Trend"))=0,#N/A,INDIRECT(ADDRESS($B177+1,AE$164,1,1,"Confirmed Trend")))</f>
        <v>9.3250181000000005E-3</v>
      </c>
      <c r="AF177" s="14" cm="1">
        <f t="array" aca="1" ref="AF177" ca="1">IF(INDIRECT(ADDRESS($B177+1,AF$164,1,1,"Confirmed Trend"))=0,#N/A,INDIRECT(ADDRESS($B177+1,AF$164,1,1,"Confirmed Trend")))</f>
        <v>1.3796362600000001E-2</v>
      </c>
      <c r="AG177" s="14" cm="1">
        <f t="array" aca="1" ref="AG177" ca="1">IF(INDIRECT(ADDRESS($B177+1,AG$164,1,1,"Confirmed Trend"))=0,#N/A,INDIRECT(ADDRESS($B177+1,AG$164,1,1,"Confirmed Trend")))</f>
        <v>0.1062517226</v>
      </c>
      <c r="AH177" s="14" cm="1">
        <f t="array" aca="1" ref="AH177" ca="1">IF(INDIRECT(ADDRESS($B177+1,AH$164,1,1,"Confirmed Trend"))=0,#N/A,INDIRECT(ADDRESS($B177+1,AH$164,1,1,"Confirmed Trend")))</f>
        <v>0.23730800099999999</v>
      </c>
      <c r="AI177" s="14" cm="1">
        <f t="array" aca="1" ref="AI177" ca="1">IF(INDIRECT(ADDRESS($B177+1,AI$164,1,1,"Confirmed Trend"))=0,#N/A,INDIRECT(ADDRESS($B177+1,AI$164,1,1,"Confirmed Trend")))</f>
        <v>0.43806612560000002</v>
      </c>
      <c r="AJ177" s="14" cm="1">
        <f t="array" aca="1" ref="AJ177" ca="1">IF(INDIRECT(ADDRESS($B177+1,AJ$164,1,1,"Confirmed Trend"))=0,#N/A,INDIRECT(ADDRESS($B177+1,AJ$164,1,1,"Confirmed Trend")))</f>
        <v>0.69392401309999996</v>
      </c>
      <c r="AK177" s="14" cm="1">
        <f t="array" aca="1" ref="AK177" ca="1">IF(INDIRECT(ADDRESS($B177+1,AK$164,1,1,"Confirmed Trend"))=0,#N/A,INDIRECT(ADDRESS($B177+1,AK$164,1,1,"Confirmed Trend")))</f>
        <v>0.76214663410000005</v>
      </c>
      <c r="AL177" s="14" cm="1">
        <f t="array" aca="1" ref="AL177" ca="1">IF(INDIRECT(ADDRESS($B177+1,AL$164,1,1,"Confirmed Trend"))=0,#N/A,INDIRECT(ADDRESS($B177+1,AL$164,1,1,"Confirmed Trend")))</f>
        <v>0.74276151560000003</v>
      </c>
      <c r="AM177" s="14" cm="1">
        <f t="array" aca="1" ref="AM177" ca="1">IF(INDIRECT(ADDRESS($B177+1,AM$164,1,1,"Confirmed Trend"))=0,#N/A,INDIRECT(ADDRESS($B177+1,AM$164,1,1,"Confirmed Trend")))</f>
        <v>0.5919955173</v>
      </c>
      <c r="AN177" s="14" cm="1">
        <f t="array" aca="1" ref="AN177" ca="1">IF(INDIRECT(ADDRESS($B177+1,AN$164,1,1,"Confirmed Trend"))=0,#N/A,INDIRECT(ADDRESS($B177+1,AN$164,1,1,"Confirmed Trend")))</f>
        <v>0.426807561</v>
      </c>
      <c r="AO177" s="14" cm="1">
        <f t="array" aca="1" ref="AO177" ca="1">IF(INDIRECT(ADDRESS($B177+1,AO$164,1,1,"Confirmed Trend"))=0,#N/A,INDIRECT(ADDRESS($B177+1,AO$164,1,1,"Confirmed Trend")))</f>
        <v>0.3407743426</v>
      </c>
      <c r="AP177" s="14" cm="1">
        <f t="array" aca="1" ref="AP177" ca="1">IF(INDIRECT(ADDRESS($B177+1,AP$164,1,1,"Confirmed Trend"))=0,#N/A,INDIRECT(ADDRESS($B177+1,AP$164,1,1,"Confirmed Trend")))</f>
        <v>0.30175116289999998</v>
      </c>
      <c r="AQ177" s="14" cm="1">
        <f t="array" aca="1" ref="AQ177" ca="1">IF(INDIRECT(ADDRESS($B177+1,AQ$164,1,1,"Confirmed Trend"))=0,#N/A,INDIRECT(ADDRESS($B177+1,AQ$164,1,1,"Confirmed Trend")))</f>
        <v>0.3168463172</v>
      </c>
      <c r="AR177" s="14" cm="1">
        <f t="array" aca="1" ref="AR177" ca="1">IF(INDIRECT(ADDRESS($B177+1,AR$164,1,1,"Confirmed Trend"))=0,#N/A,INDIRECT(ADDRESS($B177+1,AR$164,1,1,"Confirmed Trend")))</f>
        <v>0.31643099190000001</v>
      </c>
      <c r="AS177" s="14" cm="1">
        <f t="array" aca="1" ref="AS177" ca="1">IF(INDIRECT(ADDRESS($B177+1,AS$164,1,1,"Confirmed Trend"))=0,#N/A,INDIRECT(ADDRESS($B177+1,AS$164,1,1,"Confirmed Trend")))</f>
        <v>0.29385132050000001</v>
      </c>
      <c r="AT177" s="14" cm="1">
        <f t="array" aca="1" ref="AT177" ca="1">IF(INDIRECT(ADDRESS($B177+1,AT$164,1,1,"Confirmed Trend"))=0,#N/A,INDIRECT(ADDRESS($B177+1,AT$164,1,1,"Confirmed Trend")))</f>
        <v>0.25383134219999998</v>
      </c>
      <c r="AU177" s="14" cm="1">
        <f t="array" aca="1" ref="AU177" ca="1">IF(INDIRECT(ADDRESS($B177+1,AU$164,1,1,"Confirmed Trend"))=0,#N/A,INDIRECT(ADDRESS($B177+1,AU$164,1,1,"Confirmed Trend")))</f>
        <v>0.20203300099999999</v>
      </c>
      <c r="AV177" s="14" cm="1">
        <f t="array" aca="1" ref="AV177" ca="1">IF(INDIRECT(ADDRESS($B177+1,AV$164,1,1,"Confirmed Trend"))=0,#N/A,INDIRECT(ADDRESS($B177+1,AV$164,1,1,"Confirmed Trend")))</f>
        <v>0.16337974129999999</v>
      </c>
      <c r="AW177" s="14" cm="1">
        <f t="array" aca="1" ref="AW177" ca="1">IF(INDIRECT(ADDRESS($B177+1,AW$164,1,1,"Confirmed Trend"))=0,#N/A,INDIRECT(ADDRESS($B177+1,AW$164,1,1,"Confirmed Trend")))</f>
        <v>0.13009966749999999</v>
      </c>
      <c r="AX177" s="14" cm="1">
        <f t="array" aca="1" ref="AX177" ca="1">IF(INDIRECT(ADDRESS($B177+1,AX$164,1,1,"Confirmed Trend"))=0,#N/A,INDIRECT(ADDRESS($B177+1,AX$164,1,1,"Confirmed Trend")))</f>
        <v>0.10440006759999999</v>
      </c>
      <c r="AY177" s="14" cm="1">
        <f t="array" aca="1" ref="AY177" ca="1">IF(INDIRECT(ADDRESS($B177+1,AY$164,1,1,"Confirmed Trend"))=0,#N/A,INDIRECT(ADDRESS($B177+1,AY$164,1,1,"Confirmed Trend")))</f>
        <v>8.4525657300000001E-2</v>
      </c>
      <c r="AZ177" s="14" cm="1">
        <f t="array" aca="1" ref="AZ177" ca="1">IF(INDIRECT(ADDRESS($B177+1,AZ$164,1,1,"Confirmed Trend"))=0,#N/A,INDIRECT(ADDRESS($B177+1,AZ$164,1,1,"Confirmed Trend")))</f>
        <v>6.6200310499999998E-2</v>
      </c>
      <c r="BA177" s="14" cm="1">
        <f t="array" aca="1" ref="BA177" ca="1">IF(INDIRECT(ADDRESS($B177+1,BA$164,1,1,"Confirmed Trend"))=0,#N/A,INDIRECT(ADDRESS($B177+1,BA$164,1,1,"Confirmed Trend")))</f>
        <v>5.06931942E-2</v>
      </c>
      <c r="BB177" s="14" cm="1">
        <f t="array" aca="1" ref="BB177" ca="1">IF(INDIRECT(ADDRESS($B177+1,BB$164,1,1,"Confirmed Trend"))=0,#N/A,INDIRECT(ADDRESS($B177+1,BB$164,1,1,"Confirmed Trend")))</f>
        <v>3.6307210899999998E-2</v>
      </c>
      <c r="BC177" s="14" cm="1">
        <f t="array" aca="1" ref="BC177" ca="1">IF(INDIRECT(ADDRESS($B177+1,BC$164,1,1,"Confirmed Trend"))=0,#N/A,INDIRECT(ADDRESS($B177+1,BC$164,1,1,"Confirmed Trend")))</f>
        <v>2.5158744E-2</v>
      </c>
      <c r="BD177" s="14" cm="1">
        <f t="array" aca="1" ref="BD177" ca="1">IF(INDIRECT(ADDRESS($B177+1,BD$164,1,1,"Confirmed Trend"))=0,#N/A,INDIRECT(ADDRESS($B177+1,BD$164,1,1,"Confirmed Trend")))</f>
        <v>1.96789359E-2</v>
      </c>
      <c r="BE177" s="14" cm="1">
        <f t="array" aca="1" ref="BE177" ca="1">IF(INDIRECT(ADDRESS($B177+1,BE$164,1,1,"Confirmed Trend"))=0,#N/A,INDIRECT(ADDRESS($B177+1,BE$164,1,1,"Confirmed Trend")))</f>
        <v>1.77784821E-2</v>
      </c>
      <c r="BF177" s="14" cm="1">
        <f t="array" aca="1" ref="BF177" ca="1">IF(INDIRECT(ADDRESS($B177+1,BF$164,1,1,"Confirmed Trend"))=0,#N/A,INDIRECT(ADDRESS($B177+1,BF$164,1,1,"Confirmed Trend")))</f>
        <v>1.58945983E-2</v>
      </c>
      <c r="BG177" s="14" cm="1">
        <f t="array" aca="1" ref="BG177" ca="1">IF(INDIRECT(ADDRESS($B177+1,BG$164,1,1,"Confirmed Trend"))=0,#N/A,INDIRECT(ADDRESS($B177+1,BG$164,1,1,"Confirmed Trend")))</f>
        <v>1.4247231799999999E-2</v>
      </c>
      <c r="BH177" s="14" cm="1">
        <f t="array" aca="1" ref="BH177" ca="1">IF(INDIRECT(ADDRESS($B177+1,BH$164,1,1,"Confirmed Trend"))=0,#N/A,INDIRECT(ADDRESS($B177+1,BH$164,1,1,"Confirmed Trend")))</f>
        <v>1.16063117E-2</v>
      </c>
      <c r="BI177" s="14" cm="1">
        <f t="array" aca="1" ref="BI177" ca="1">IF(INDIRECT(ADDRESS($B177+1,BI$164,1,1,"Confirmed Trend"))=0,#N/A,INDIRECT(ADDRESS($B177+1,BI$164,1,1,"Confirmed Trend")))</f>
        <v>1.0639959399999999E-2</v>
      </c>
      <c r="BJ177" s="14" cm="1">
        <f t="array" aca="1" ref="BJ177" ca="1">IF(INDIRECT(ADDRESS($B177+1,BJ$164,1,1,"Confirmed Trend"))=0,#N/A,INDIRECT(ADDRESS($B177+1,BJ$164,1,1,"Confirmed Trend")))</f>
        <v>1.08730939E-2</v>
      </c>
      <c r="BK177" s="14" cm="1">
        <f t="array" aca="1" ref="BK177" ca="1">IF(INDIRECT(ADDRESS($B177+1,BK$164,1,1,"Confirmed Trend"))=0,#N/A,INDIRECT(ADDRESS($B177+1,BK$164,1,1,"Confirmed Trend")))</f>
        <v>1.15015645E-2</v>
      </c>
      <c r="BL177" s="14" cm="1">
        <f t="array" aca="1" ref="BL177" ca="1">IF(INDIRECT(ADDRESS($B177+1,BL$164,1,1,"Confirmed Trend"))=0,#N/A,INDIRECT(ADDRESS($B177+1,BL$164,1,1,"Confirmed Trend")))</f>
        <v>1.28772088E-2</v>
      </c>
      <c r="BM177" s="14" cm="1">
        <f t="array" aca="1" ref="BM177" ca="1">IF(INDIRECT(ADDRESS($B177+1,BM$164,1,1,"Confirmed Trend"))=0,#N/A,INDIRECT(ADDRESS($B177+1,BM$164,1,1,"Confirmed Trend")))</f>
        <v>1.41449556E-2</v>
      </c>
      <c r="BN177" s="14" cm="1">
        <f t="array" aca="1" ref="BN177" ca="1">IF(INDIRECT(ADDRESS($B177+1,BN$164,1,1,"Confirmed Trend"))=0,#N/A,INDIRECT(ADDRESS($B177+1,BN$164,1,1,"Confirmed Trend")))</f>
        <v>1.4135353599999999E-2</v>
      </c>
      <c r="BO177" s="14" cm="1">
        <f t="array" aca="1" ref="BO177" ca="1">IF(INDIRECT(ADDRESS($B177+1,BO$164,1,1,"Confirmed Trend"))=0,#N/A,INDIRECT(ADDRESS($B177+1,BO$164,1,1,"Confirmed Trend")))</f>
        <v>1.3075295900000001E-2</v>
      </c>
      <c r="BP177" s="14" cm="1">
        <f t="array" aca="1" ref="BP177" ca="1">IF(INDIRECT(ADDRESS($B177+1,BP$164,1,1,"Confirmed Trend"))=0,#N/A,INDIRECT(ADDRESS($B177+1,BP$164,1,1,"Confirmed Trend")))</f>
        <v>1.0937405799999999E-2</v>
      </c>
      <c r="BQ177" s="14" cm="1">
        <f t="array" aca="1" ref="BQ177" ca="1">IF(INDIRECT(ADDRESS($B177+1,BQ$164,1,1,"Confirmed Trend"))=0,#N/A,INDIRECT(ADDRESS($B177+1,BQ$164,1,1,"Confirmed Trend")))</f>
        <v>9.3615114999999992E-3</v>
      </c>
      <c r="BR177" s="14" cm="1">
        <f t="array" aca="1" ref="BR177" ca="1">IF(INDIRECT(ADDRESS($B177+1,BR$164,1,1,"Confirmed Trend"))=0,#N/A,INDIRECT(ADDRESS($B177+1,BR$164,1,1,"Confirmed Trend")))</f>
        <v>8.7688464000000004E-3</v>
      </c>
      <c r="BS177" s="14" cm="1">
        <f t="array" aca="1" ref="BS177" ca="1">IF(INDIRECT(ADDRESS($B177+1,BS$164,1,1,"Confirmed Trend"))=0,#N/A,INDIRECT(ADDRESS($B177+1,BS$164,1,1,"Confirmed Trend")))</f>
        <v>9.6206168000000005E-3</v>
      </c>
      <c r="BT177" s="14" cm="1">
        <f t="array" aca="1" ref="BT177" ca="1">IF(INDIRECT(ADDRESS($B177+1,BT$164,1,1,"Confirmed Trend"))=0,#N/A,INDIRECT(ADDRESS($B177+1,BT$164,1,1,"Confirmed Trend")))</f>
        <v>1.10401988E-2</v>
      </c>
      <c r="BU177" s="14" cm="1">
        <f t="array" aca="1" ref="BU177" ca="1">IF(INDIRECT(ADDRESS($B177+1,BU$164,1,1,"Confirmed Trend"))=0,#N/A,INDIRECT(ADDRESS($B177+1,BU$164,1,1,"Confirmed Trend")))</f>
        <v>1.1711314400000001E-2</v>
      </c>
      <c r="BV177" s="14" cm="1">
        <f t="array" aca="1" ref="BV177" ca="1">IF(INDIRECT(ADDRESS($B177+1,BV$164,1,1,"Confirmed Trend"))=0,#N/A,INDIRECT(ADDRESS($B177+1,BV$164,1,1,"Confirmed Trend")))</f>
        <v>1.1702044199999999E-2</v>
      </c>
      <c r="BW177" s="14" cm="1">
        <f t="array" aca="1" ref="BW177" ca="1">IF(INDIRECT(ADDRESS($B177+1,BW$164,1,1,"Confirmed Trend"))=0,#N/A,INDIRECT(ADDRESS($B177+1,BW$164,1,1,"Confirmed Trend")))</f>
        <v>1.12434808E-2</v>
      </c>
      <c r="BX177" s="14" cm="1">
        <f t="array" aca="1" ref="BX177" ca="1">IF(INDIRECT(ADDRESS($B177+1,BX$164,1,1,"Confirmed Trend"))=0,#N/A,INDIRECT(ADDRESS($B177+1,BX$164,1,1,"Confirmed Trend")))</f>
        <v>1.0880204100000001E-2</v>
      </c>
      <c r="BY177" s="14" cm="1">
        <f t="array" aca="1" ref="BY177" ca="1">IF(INDIRECT(ADDRESS($B177+1,BY$164,1,1,"Confirmed Trend"))=0,#N/A,INDIRECT(ADDRESS($B177+1,BY$164,1,1,"Confirmed Trend")))</f>
        <v>1.03105087E-2</v>
      </c>
      <c r="BZ177" s="14" cm="1">
        <f t="array" aca="1" ref="BZ177" ca="1">IF(INDIRECT(ADDRESS($B177+1,BZ$164,1,1,"Confirmed Trend"))=0,#N/A,INDIRECT(ADDRESS($B177+1,BZ$164,1,1,"Confirmed Trend")))</f>
        <v>9.8768198000000005E-3</v>
      </c>
      <c r="CA177" s="14" cm="1">
        <f t="array" aca="1" ref="CA177" ca="1">IF(INDIRECT(ADDRESS($B177+1,CA$164,1,1,"Confirmed Trend"))=0,#N/A,INDIRECT(ADDRESS($B177+1,CA$164,1,1,"Confirmed Trend")))</f>
        <v>9.4198227000000002E-3</v>
      </c>
      <c r="CB177" s="14" cm="1">
        <f t="array" aca="1" ref="CB177" ca="1">IF(INDIRECT(ADDRESS($B177+1,CB$164,1,1,"Confirmed Trend"))=0,#N/A,INDIRECT(ADDRESS($B177+1,CB$164,1,1,"Confirmed Trend")))</f>
        <v>8.5576062999999994E-3</v>
      </c>
      <c r="CC177" s="14" cm="1">
        <f t="array" aca="1" ref="CC177" ca="1">IF(INDIRECT(ADDRESS($B177+1,CC$164,1,1,"Confirmed Trend"))=0,#N/A,INDIRECT(ADDRESS($B177+1,CC$164,1,1,"Confirmed Trend")))</f>
        <v>7.6559899999999997E-3</v>
      </c>
      <c r="CD177" s="14" cm="1">
        <f t="array" aca="1" ref="CD177" ca="1">IF(INDIRECT(ADDRESS($B177+1,CD$164,1,1,"Confirmed Trend"))=0,#N/A,INDIRECT(ADDRESS($B177+1,CD$164,1,1,"Confirmed Trend")))</f>
        <v>6.5996112999999997E-3</v>
      </c>
      <c r="CE177" s="14" cm="1">
        <f t="array" aca="1" ref="CE177" ca="1">IF(INDIRECT(ADDRESS($B177+1,CE$164,1,1,"Confirmed Trend"))=0,#N/A,INDIRECT(ADDRESS($B177+1,CE$164,1,1,"Confirmed Trend")))</f>
        <v>5.5600887000000002E-3</v>
      </c>
      <c r="CF177" s="14" cm="1">
        <f t="array" aca="1" ref="CF177" ca="1">IF(INDIRECT(ADDRESS($B177+1,CF$164,1,1,"Confirmed Trend"))=0,#N/A,INDIRECT(ADDRESS($B177+1,CF$164,1,1,"Confirmed Trend")))</f>
        <v>4.693521E-3</v>
      </c>
      <c r="CG177" s="14" cm="1">
        <f t="array" aca="1" ref="CG177" ca="1">IF(INDIRECT(ADDRESS($B177+1,CG$164,1,1,"Confirmed Trend"))=0,#N/A,INDIRECT(ADDRESS($B177+1,CG$164,1,1,"Confirmed Trend")))</f>
        <v>4.0352141999999997E-3</v>
      </c>
      <c r="CH177" s="14" cm="1">
        <f t="array" aca="1" ref="CH177" ca="1">IF(INDIRECT(ADDRESS($B177+1,CH$164,1,1,"Confirmed Trend"))=0,#N/A,INDIRECT(ADDRESS($B177+1,CH$164,1,1,"Confirmed Trend")))</f>
        <v>3.5537076999999999E-3</v>
      </c>
      <c r="CI177" s="14" cm="1">
        <f t="array" aca="1" ref="CI177" ca="1">IF(INDIRECT(ADDRESS($B177+1,CI$164,1,1,"Confirmed Trend"))=0,#N/A,INDIRECT(ADDRESS($B177+1,CI$164,1,1,"Confirmed Trend")))</f>
        <v>3.1245761E-3</v>
      </c>
      <c r="CJ177" s="14" cm="1">
        <f t="array" aca="1" ref="CJ177" ca="1">IF(INDIRECT(ADDRESS($B177+1,CJ$164,1,1,"Confirmed Trend"))=0,#N/A,INDIRECT(ADDRESS($B177+1,CJ$164,1,1,"Confirmed Trend")))</f>
        <v>2.8352811999999999E-3</v>
      </c>
      <c r="CK177" s="14" cm="1">
        <f t="array" aca="1" ref="CK177" ca="1">IF(INDIRECT(ADDRESS($B177+1,CK$164,1,1,"Confirmed Trend"))=0,#N/A,INDIRECT(ADDRESS($B177+1,CK$164,1,1,"Confirmed Trend")))</f>
        <v>2.6921991999999998E-3</v>
      </c>
      <c r="CL177" s="14" cm="1">
        <f t="array" aca="1" ref="CL177" ca="1">IF(INDIRECT(ADDRESS($B177+1,CL$164,1,1,"Confirmed Trend"))=0,#N/A,INDIRECT(ADDRESS($B177+1,CL$164,1,1,"Confirmed Trend")))</f>
        <v>2.5820564999999998E-3</v>
      </c>
      <c r="CM177" s="14" cm="1">
        <f t="array" aca="1" ref="CM177" ca="1">IF(INDIRECT(ADDRESS($B177+1,CM$164,1,1,"Confirmed Trend"))=0,#N/A,INDIRECT(ADDRESS($B177+1,CM$164,1,1,"Confirmed Trend")))</f>
        <v>2.4490431000000002E-3</v>
      </c>
      <c r="CN177" s="14" t="e" cm="1">
        <f t="array" aca="1" ref="CN177" ca="1">IF(INDIRECT(ADDRESS($B177+1,CN$164,1,1,"Confirmed Trend"))=0,#N/A,INDIRECT(ADDRESS($B177+1,CN$164,1,1,"Confirmed Trend")))</f>
        <v>#N/A</v>
      </c>
      <c r="CO177" s="14" t="e" cm="1">
        <f t="array" aca="1" ref="CO177" ca="1">IF(INDIRECT(ADDRESS($B177+1,CO$164,1,1,"Confirmed Trend"))=0,#N/A,INDIRECT(ADDRESS($B177+1,CO$164,1,1,"Confirmed Trend")))</f>
        <v>#N/A</v>
      </c>
      <c r="CP177" s="14" t="e" cm="1">
        <f t="array" aca="1" ref="CP177" ca="1">IF(INDIRECT(ADDRESS($B177+1,CP$164,1,1,"Confirmed Trend"))=0,#N/A,INDIRECT(ADDRESS($B177+1,CP$164,1,1,"Confirmed Trend")))</f>
        <v>#N/A</v>
      </c>
      <c r="CQ177" s="14" t="e" cm="1">
        <f t="array" aca="1" ref="CQ177" ca="1">IF(INDIRECT(ADDRESS($B177+1,CQ$164,1,1,"Confirmed Trend"))=0,#N/A,INDIRECT(ADDRESS($B177+1,CQ$164,1,1,"Confirmed Trend")))</f>
        <v>#N/A</v>
      </c>
      <c r="CR177" s="14" t="e" cm="1">
        <f t="array" aca="1" ref="CR177" ca="1">IF(INDIRECT(ADDRESS($B177+1,CR$164,1,1,"Confirmed Trend"))=0,#N/A,INDIRECT(ADDRESS($B177+1,CR$164,1,1,"Confirmed Trend")))</f>
        <v>#N/A</v>
      </c>
    </row>
    <row r="178" spans="2:96" x14ac:dyDescent="0.25">
      <c r="B178">
        <f t="shared" si="258"/>
        <v>13</v>
      </c>
      <c r="C178" t="str" cm="1">
        <f t="array" aca="1" ref="C178" ca="1">INDIRECT(ADDRESS($B178+1,1,1,1,"Confirmed Trend"))</f>
        <v>Portugal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cm="1">
        <f t="array" aca="1" ref="BC178" ca="1">IF(INDIRECT(ADDRESS($B178+1,BC$164,1,1,"Confirmed Trend"))=0,#N/A,INDIRECT(ADDRESS($B178+1,BC$164,1,1,"Confirmed Trend")))</f>
        <v>0.3099383027</v>
      </c>
      <c r="BD178" s="14" cm="1">
        <f t="array" aca="1" ref="BD178" ca="1">IF(INDIRECT(ADDRESS($B178+1,BD$164,1,1,"Confirmed Trend"))=0,#N/A,INDIRECT(ADDRESS($B178+1,BD$164,1,1,"Confirmed Trend")))</f>
        <v>0.31607401299999999</v>
      </c>
      <c r="BE178" s="14" cm="1">
        <f t="array" aca="1" ref="BE178" ca="1">IF(INDIRECT(ADDRESS($B178+1,BE$164,1,1,"Confirmed Trend"))=0,#N/A,INDIRECT(ADDRESS($B178+1,BE$164,1,1,"Confirmed Trend")))</f>
        <v>0.36201249819999998</v>
      </c>
      <c r="BF178" s="14" cm="1">
        <f t="array" aca="1" ref="BF178" ca="1">IF(INDIRECT(ADDRESS($B178+1,BF$164,1,1,"Confirmed Trend"))=0,#N/A,INDIRECT(ADDRESS($B178+1,BF$164,1,1,"Confirmed Trend")))</f>
        <v>0.40365899230000002</v>
      </c>
      <c r="BG178" s="14" cm="1">
        <f t="array" aca="1" ref="BG178" ca="1">IF(INDIRECT(ADDRESS($B178+1,BG$164,1,1,"Confirmed Trend"))=0,#N/A,INDIRECT(ADDRESS($B178+1,BG$164,1,1,"Confirmed Trend")))</f>
        <v>0.4156408613</v>
      </c>
      <c r="BH178" s="14" cm="1">
        <f t="array" aca="1" ref="BH178" ca="1">IF(INDIRECT(ADDRESS($B178+1,BH$164,1,1,"Confirmed Trend"))=0,#N/A,INDIRECT(ADDRESS($B178+1,BH$164,1,1,"Confirmed Trend")))</f>
        <v>0.41352387010000002</v>
      </c>
      <c r="BI178" s="14" cm="1">
        <f t="array" aca="1" ref="BI178" ca="1">IF(INDIRECT(ADDRESS($B178+1,BI$164,1,1,"Confirmed Trend"))=0,#N/A,INDIRECT(ADDRESS($B178+1,BI$164,1,1,"Confirmed Trend")))</f>
        <v>0.39689565170000002</v>
      </c>
      <c r="BJ178" s="14" cm="1">
        <f t="array" aca="1" ref="BJ178" ca="1">IF(INDIRECT(ADDRESS($B178+1,BJ$164,1,1,"Confirmed Trend"))=0,#N/A,INDIRECT(ADDRESS($B178+1,BJ$164,1,1,"Confirmed Trend")))</f>
        <v>0.36935845569999998</v>
      </c>
      <c r="BK178" s="14" cm="1">
        <f t="array" aca="1" ref="BK178" ca="1">IF(INDIRECT(ADDRESS($B178+1,BK$164,1,1,"Confirmed Trend"))=0,#N/A,INDIRECT(ADDRESS($B178+1,BK$164,1,1,"Confirmed Trend")))</f>
        <v>0.3427094644</v>
      </c>
      <c r="BL178" s="14" cm="1">
        <f t="array" aca="1" ref="BL178" ca="1">IF(INDIRECT(ADDRESS($B178+1,BL$164,1,1,"Confirmed Trend"))=0,#N/A,INDIRECT(ADDRESS($B178+1,BL$164,1,1,"Confirmed Trend")))</f>
        <v>0.31746413979999999</v>
      </c>
      <c r="BM178" s="14" cm="1">
        <f t="array" aca="1" ref="BM178" ca="1">IF(INDIRECT(ADDRESS($B178+1,BM$164,1,1,"Confirmed Trend"))=0,#N/A,INDIRECT(ADDRESS($B178+1,BM$164,1,1,"Confirmed Trend")))</f>
        <v>0.29295583829999999</v>
      </c>
      <c r="BN178" s="14" cm="1">
        <f t="array" aca="1" ref="BN178" ca="1">IF(INDIRECT(ADDRESS($B178+1,BN$164,1,1,"Confirmed Trend"))=0,#N/A,INDIRECT(ADDRESS($B178+1,BN$164,1,1,"Confirmed Trend")))</f>
        <v>0.27840409560000001</v>
      </c>
      <c r="BO178" s="14" cm="1">
        <f t="array" aca="1" ref="BO178" ca="1">IF(INDIRECT(ADDRESS($B178+1,BO$164,1,1,"Confirmed Trend"))=0,#N/A,INDIRECT(ADDRESS($B178+1,BO$164,1,1,"Confirmed Trend")))</f>
        <v>0.2557814672</v>
      </c>
      <c r="BP178" s="14" cm="1">
        <f t="array" aca="1" ref="BP178" ca="1">IF(INDIRECT(ADDRESS($B178+1,BP$164,1,1,"Confirmed Trend"))=0,#N/A,INDIRECT(ADDRESS($B178+1,BP$164,1,1,"Confirmed Trend")))</f>
        <v>0.24521194369999999</v>
      </c>
      <c r="BQ178" s="14" cm="1">
        <f t="array" aca="1" ref="BQ178" ca="1">IF(INDIRECT(ADDRESS($B178+1,BQ$164,1,1,"Confirmed Trend"))=0,#N/A,INDIRECT(ADDRESS($B178+1,BQ$164,1,1,"Confirmed Trend")))</f>
        <v>0.22911791419999999</v>
      </c>
      <c r="BR178" s="14" cm="1">
        <f t="array" aca="1" ref="BR178" ca="1">IF(INDIRECT(ADDRESS($B178+1,BR$164,1,1,"Confirmed Trend"))=0,#N/A,INDIRECT(ADDRESS($B178+1,BR$164,1,1,"Confirmed Trend")))</f>
        <v>0.21617074050000001</v>
      </c>
      <c r="BS178" s="14" cm="1">
        <f t="array" aca="1" ref="BS178" ca="1">IF(INDIRECT(ADDRESS($B178+1,BS$164,1,1,"Confirmed Trend"))=0,#N/A,INDIRECT(ADDRESS($B178+1,BS$164,1,1,"Confirmed Trend")))</f>
        <v>0.2117142447</v>
      </c>
      <c r="BT178" s="14" cm="1">
        <f t="array" aca="1" ref="BT178" ca="1">IF(INDIRECT(ADDRESS($B178+1,BT$164,1,1,"Confirmed Trend"))=0,#N/A,INDIRECT(ADDRESS($B178+1,BT$164,1,1,"Confirmed Trend")))</f>
        <v>0.20039204990000001</v>
      </c>
      <c r="BU178" s="14" cm="1">
        <f t="array" aca="1" ref="BU178" ca="1">IF(INDIRECT(ADDRESS($B178+1,BU$164,1,1,"Confirmed Trend"))=0,#N/A,INDIRECT(ADDRESS($B178+1,BU$164,1,1,"Confirmed Trend")))</f>
        <v>0.1848072335</v>
      </c>
      <c r="BV178" s="14" cm="1">
        <f t="array" aca="1" ref="BV178" ca="1">IF(INDIRECT(ADDRESS($B178+1,BV$164,1,1,"Confirmed Trend"))=0,#N/A,INDIRECT(ADDRESS($B178+1,BV$164,1,1,"Confirmed Trend")))</f>
        <v>0.1636202541</v>
      </c>
      <c r="BW178" s="14" cm="1">
        <f t="array" aca="1" ref="BW178" ca="1">IF(INDIRECT(ADDRESS($B178+1,BW$164,1,1,"Confirmed Trend"))=0,#N/A,INDIRECT(ADDRESS($B178+1,BW$164,1,1,"Confirmed Trend")))</f>
        <v>0.1422797885</v>
      </c>
      <c r="BX178" s="14" cm="1">
        <f t="array" aca="1" ref="BX178" ca="1">IF(INDIRECT(ADDRESS($B178+1,BX$164,1,1,"Confirmed Trend"))=0,#N/A,INDIRECT(ADDRESS($B178+1,BX$164,1,1,"Confirmed Trend")))</f>
        <v>0.1256854892</v>
      </c>
      <c r="BY178" s="14" cm="1">
        <f t="array" aca="1" ref="BY178" ca="1">IF(INDIRECT(ADDRESS($B178+1,BY$164,1,1,"Confirmed Trend"))=0,#N/A,INDIRECT(ADDRESS($B178+1,BY$164,1,1,"Confirmed Trend")))</f>
        <v>0.1156269794</v>
      </c>
      <c r="BZ178" s="14" cm="1">
        <f t="array" aca="1" ref="BZ178" ca="1">IF(INDIRECT(ADDRESS($B178+1,BZ$164,1,1,"Confirmed Trend"))=0,#N/A,INDIRECT(ADDRESS($B178+1,BZ$164,1,1,"Confirmed Trend")))</f>
        <v>0.104108218</v>
      </c>
      <c r="CA178" s="14" cm="1">
        <f t="array" aca="1" ref="CA178" ca="1">IF(INDIRECT(ADDRESS($B178+1,CA$164,1,1,"Confirmed Trend"))=0,#N/A,INDIRECT(ADDRESS($B178+1,CA$164,1,1,"Confirmed Trend")))</f>
        <v>9.4248131499999999E-2</v>
      </c>
      <c r="CB178" s="14" cm="1">
        <f t="array" aca="1" ref="CB178" ca="1">IF(INDIRECT(ADDRESS($B178+1,CB$164,1,1,"Confirmed Trend"))=0,#N/A,INDIRECT(ADDRESS($B178+1,CB$164,1,1,"Confirmed Trend")))</f>
        <v>7.9114719099999994E-2</v>
      </c>
      <c r="CC178" s="14" cm="1">
        <f t="array" aca="1" ref="CC178" ca="1">IF(INDIRECT(ADDRESS($B178+1,CC$164,1,1,"Confirmed Trend"))=0,#N/A,INDIRECT(ADDRESS($B178+1,CC$164,1,1,"Confirmed Trend")))</f>
        <v>6.8753756599999993E-2</v>
      </c>
      <c r="CD178" s="14" cm="1">
        <f t="array" aca="1" ref="CD178" ca="1">IF(INDIRECT(ADDRESS($B178+1,CD$164,1,1,"Confirmed Trend"))=0,#N/A,INDIRECT(ADDRESS($B178+1,CD$164,1,1,"Confirmed Trend")))</f>
        <v>6.1001113699999998E-2</v>
      </c>
      <c r="CE178" s="14" cm="1">
        <f t="array" aca="1" ref="CE178" ca="1">IF(INDIRECT(ADDRESS($B178+1,CE$164,1,1,"Confirmed Trend"))=0,#N/A,INDIRECT(ADDRESS($B178+1,CE$164,1,1,"Confirmed Trend")))</f>
        <v>5.6897116300000002E-2</v>
      </c>
      <c r="CF178" s="14" cm="1">
        <f t="array" aca="1" ref="CF178" ca="1">IF(INDIRECT(ADDRESS($B178+1,CF$164,1,1,"Confirmed Trend"))=0,#N/A,INDIRECT(ADDRESS($B178+1,CF$164,1,1,"Confirmed Trend")))</f>
        <v>6.1471890100000003E-2</v>
      </c>
      <c r="CG178" s="14" cm="1">
        <f t="array" aca="1" ref="CG178" ca="1">IF(INDIRECT(ADDRESS($B178+1,CG$164,1,1,"Confirmed Trend"))=0,#N/A,INDIRECT(ADDRESS($B178+1,CG$164,1,1,"Confirmed Trend")))</f>
        <v>6.3887655599999996E-2</v>
      </c>
      <c r="CH178" s="14" cm="1">
        <f t="array" aca="1" ref="CH178" ca="1">IF(INDIRECT(ADDRESS($B178+1,CH$164,1,1,"Confirmed Trend"))=0,#N/A,INDIRECT(ADDRESS($B178+1,CH$164,1,1,"Confirmed Trend")))</f>
        <v>6.5233332399999996E-2</v>
      </c>
      <c r="CI178" s="14" cm="1">
        <f t="array" aca="1" ref="CI178" ca="1">IF(INDIRECT(ADDRESS($B178+1,CI$164,1,1,"Confirmed Trend"))=0,#N/A,INDIRECT(ADDRESS($B178+1,CI$164,1,1,"Confirmed Trend")))</f>
        <v>5.7810903099999998E-2</v>
      </c>
      <c r="CJ178" s="14" cm="1">
        <f t="array" aca="1" ref="CJ178" ca="1">IF(INDIRECT(ADDRESS($B178+1,CJ$164,1,1,"Confirmed Trend"))=0,#N/A,INDIRECT(ADDRESS($B178+1,CJ$164,1,1,"Confirmed Trend")))</f>
        <v>4.6041478099999998E-2</v>
      </c>
      <c r="CK178" s="14" cm="1">
        <f t="array" aca="1" ref="CK178" ca="1">IF(INDIRECT(ADDRESS($B178+1,CK$164,1,1,"Confirmed Trend"))=0,#N/A,INDIRECT(ADDRESS($B178+1,CK$164,1,1,"Confirmed Trend")))</f>
        <v>3.6774110999999998E-2</v>
      </c>
      <c r="CL178" s="14" cm="1">
        <f t="array" aca="1" ref="CL178" ca="1">IF(INDIRECT(ADDRESS($B178+1,CL$164,1,1,"Confirmed Trend"))=0,#N/A,INDIRECT(ADDRESS($B178+1,CL$164,1,1,"Confirmed Trend")))</f>
        <v>3.1454348700000002E-2</v>
      </c>
      <c r="CM178" s="14" cm="1">
        <f t="array" aca="1" ref="CM178" ca="1">IF(INDIRECT(ADDRESS($B178+1,CM$164,1,1,"Confirmed Trend"))=0,#N/A,INDIRECT(ADDRESS($B178+1,CM$164,1,1,"Confirmed Trend")))</f>
        <v>3.1082284799999998E-2</v>
      </c>
      <c r="CN178" s="14" t="e" cm="1">
        <f t="array" aca="1" ref="CN178" ca="1">IF(INDIRECT(ADDRESS($B178+1,CN$164,1,1,"Confirmed Trend"))=0,#N/A,INDIRECT(ADDRESS($B178+1,CN$164,1,1,"Confirmed Trend")))</f>
        <v>#N/A</v>
      </c>
      <c r="CO178" s="14" t="e" cm="1">
        <f t="array" aca="1" ref="CO178" ca="1">IF(INDIRECT(ADDRESS($B178+1,CO$164,1,1,"Confirmed Trend"))=0,#N/A,INDIRECT(ADDRESS($B178+1,CO$164,1,1,"Confirmed Trend")))</f>
        <v>#N/A</v>
      </c>
      <c r="CP178" s="14" t="e" cm="1">
        <f t="array" aca="1" ref="CP178" ca="1">IF(INDIRECT(ADDRESS($B178+1,CP$164,1,1,"Confirmed Trend"))=0,#N/A,INDIRECT(ADDRESS($B178+1,CP$164,1,1,"Confirmed Trend")))</f>
        <v>#N/A</v>
      </c>
      <c r="CQ178" s="14" t="e" cm="1">
        <f t="array" aca="1" ref="CQ178" ca="1">IF(INDIRECT(ADDRESS($B178+1,CQ$164,1,1,"Confirmed Trend"))=0,#N/A,INDIRECT(ADDRESS($B178+1,CQ$164,1,1,"Confirmed Trend")))</f>
        <v>#N/A</v>
      </c>
      <c r="CR178" s="14" t="e" cm="1">
        <f t="array" aca="1" ref="CR178" ca="1">IF(INDIRECT(ADDRESS($B178+1,CR$164,1,1,"Confirmed Trend"))=0,#N/A,INDIRECT(ADDRESS($B178+1,CR$164,1,1,"Confirmed Trend")))</f>
        <v>#N/A</v>
      </c>
    </row>
    <row r="179" spans="2:96" x14ac:dyDescent="0.25">
      <c r="B179">
        <f t="shared" si="258"/>
        <v>14</v>
      </c>
      <c r="C179" t="str" cm="1">
        <f t="array" aca="1" ref="C179" ca="1">INDIRECT(ADDRESS($B179+1,1,1,1,"Confirmed Trend"))</f>
        <v>Russia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cm="1">
        <f t="array" aca="1" ref="BC179" ca="1">IF(INDIRECT(ADDRESS($B179+1,BC$164,1,1,"Confirmed Trend"))=0,#N/A,INDIRECT(ADDRESS($B179+1,BC$164,1,1,"Confirmed Trend")))</f>
        <v>0.1246826504</v>
      </c>
      <c r="BD179" s="14" cm="1">
        <f t="array" aca="1" ref="BD179" ca="1">IF(INDIRECT(ADDRESS($B179+1,BD$164,1,1,"Confirmed Trend"))=0,#N/A,INDIRECT(ADDRESS($B179+1,BD$164,1,1,"Confirmed Trend")))</f>
        <v>0.17725376770000001</v>
      </c>
      <c r="BE179" s="14" cm="1">
        <f t="array" aca="1" ref="BE179" ca="1">IF(INDIRECT(ADDRESS($B179+1,BE$164,1,1,"Confirmed Trend"))=0,#N/A,INDIRECT(ADDRESS($B179+1,BE$164,1,1,"Confirmed Trend")))</f>
        <v>0.24185313219999999</v>
      </c>
      <c r="BF179" s="14" cm="1">
        <f t="array" aca="1" ref="BF179" ca="1">IF(INDIRECT(ADDRESS($B179+1,BF$164,1,1,"Confirmed Trend"))=0,#N/A,INDIRECT(ADDRESS($B179+1,BF$164,1,1,"Confirmed Trend")))</f>
        <v>0.27852467289999999</v>
      </c>
      <c r="BG179" s="14" cm="1">
        <f t="array" aca="1" ref="BG179" ca="1">IF(INDIRECT(ADDRESS($B179+1,BG$164,1,1,"Confirmed Trend"))=0,#N/A,INDIRECT(ADDRESS($B179+1,BG$164,1,1,"Confirmed Trend")))</f>
        <v>0.3099383027</v>
      </c>
      <c r="BH179" s="14" cm="1">
        <f t="array" aca="1" ref="BH179" ca="1">IF(INDIRECT(ADDRESS($B179+1,BH$164,1,1,"Confirmed Trend"))=0,#N/A,INDIRECT(ADDRESS($B179+1,BH$164,1,1,"Confirmed Trend")))</f>
        <v>0.28805640570000002</v>
      </c>
      <c r="BI179" s="14" cm="1">
        <f t="array" aca="1" ref="BI179" ca="1">IF(INDIRECT(ADDRESS($B179+1,BI$164,1,1,"Confirmed Trend"))=0,#N/A,INDIRECT(ADDRESS($B179+1,BI$164,1,1,"Confirmed Trend")))</f>
        <v>0.2769776504</v>
      </c>
      <c r="BJ179" s="14" cm="1">
        <f t="array" aca="1" ref="BJ179" ca="1">IF(INDIRECT(ADDRESS($B179+1,BJ$164,1,1,"Confirmed Trend"))=0,#N/A,INDIRECT(ADDRESS($B179+1,BJ$164,1,1,"Confirmed Trend")))</f>
        <v>0.28828022399999997</v>
      </c>
      <c r="BK179" s="14" cm="1">
        <f t="array" aca="1" ref="BK179" ca="1">IF(INDIRECT(ADDRESS($B179+1,BK$164,1,1,"Confirmed Trend"))=0,#N/A,INDIRECT(ADDRESS($B179+1,BK$164,1,1,"Confirmed Trend")))</f>
        <v>0.29650065460000002</v>
      </c>
      <c r="BL179" s="14" cm="1">
        <f t="array" aca="1" ref="BL179" ca="1">IF(INDIRECT(ADDRESS($B179+1,BL$164,1,1,"Confirmed Trend"))=0,#N/A,INDIRECT(ADDRESS($B179+1,BL$164,1,1,"Confirmed Trend")))</f>
        <v>0.29804421520000002</v>
      </c>
      <c r="BM179" s="14" cm="1">
        <f t="array" aca="1" ref="BM179" ca="1">IF(INDIRECT(ADDRESS($B179+1,BM$164,1,1,"Confirmed Trend"))=0,#N/A,INDIRECT(ADDRESS($B179+1,BM$164,1,1,"Confirmed Trend")))</f>
        <v>0.27445929050000001</v>
      </c>
      <c r="BN179" s="14" cm="1">
        <f t="array" aca="1" ref="BN179" ca="1">IF(INDIRECT(ADDRESS($B179+1,BN$164,1,1,"Confirmed Trend"))=0,#N/A,INDIRECT(ADDRESS($B179+1,BN$164,1,1,"Confirmed Trend")))</f>
        <v>0.24663425659999999</v>
      </c>
      <c r="BO179" s="14" cm="1">
        <f t="array" aca="1" ref="BO179" ca="1">IF(INDIRECT(ADDRESS($B179+1,BO$164,1,1,"Confirmed Trend"))=0,#N/A,INDIRECT(ADDRESS($B179+1,BO$164,1,1,"Confirmed Trend")))</f>
        <v>0.2137496914</v>
      </c>
      <c r="BP179" s="14" cm="1">
        <f t="array" aca="1" ref="BP179" ca="1">IF(INDIRECT(ADDRESS($B179+1,BP$164,1,1,"Confirmed Trend"))=0,#N/A,INDIRECT(ADDRESS($B179+1,BP$164,1,1,"Confirmed Trend")))</f>
        <v>0.20365006469999999</v>
      </c>
      <c r="BQ179" s="14" cm="1">
        <f t="array" aca="1" ref="BQ179" ca="1">IF(INDIRECT(ADDRESS($B179+1,BQ$164,1,1,"Confirmed Trend"))=0,#N/A,INDIRECT(ADDRESS($B179+1,BQ$164,1,1,"Confirmed Trend")))</f>
        <v>0.21122291330000001</v>
      </c>
      <c r="BR179" s="14" cm="1">
        <f t="array" aca="1" ref="BR179" ca="1">IF(INDIRECT(ADDRESS($B179+1,BR$164,1,1,"Confirmed Trend"))=0,#N/A,INDIRECT(ADDRESS($B179+1,BR$164,1,1,"Confirmed Trend")))</f>
        <v>0.22891865789999999</v>
      </c>
      <c r="BS179" s="14" cm="1">
        <f t="array" aca="1" ref="BS179" ca="1">IF(INDIRECT(ADDRESS($B179+1,BS$164,1,1,"Confirmed Trend"))=0,#N/A,INDIRECT(ADDRESS($B179+1,BS$164,1,1,"Confirmed Trend")))</f>
        <v>0.24665583460000001</v>
      </c>
      <c r="BT179" s="14" cm="1">
        <f t="array" aca="1" ref="BT179" ca="1">IF(INDIRECT(ADDRESS($B179+1,BT$164,1,1,"Confirmed Trend"))=0,#N/A,INDIRECT(ADDRESS($B179+1,BT$164,1,1,"Confirmed Trend")))</f>
        <v>0.24593527630000001</v>
      </c>
      <c r="BU179" s="14" cm="1">
        <f t="array" aca="1" ref="BU179" ca="1">IF(INDIRECT(ADDRESS($B179+1,BU$164,1,1,"Confirmed Trend"))=0,#N/A,INDIRECT(ADDRESS($B179+1,BU$164,1,1,"Confirmed Trend")))</f>
        <v>0.23484424679999999</v>
      </c>
      <c r="BV179" s="14" cm="1">
        <f t="array" aca="1" ref="BV179" ca="1">IF(INDIRECT(ADDRESS($B179+1,BV$164,1,1,"Confirmed Trend"))=0,#N/A,INDIRECT(ADDRESS($B179+1,BV$164,1,1,"Confirmed Trend")))</f>
        <v>0.22504012970000001</v>
      </c>
      <c r="BW179" s="14" cm="1">
        <f t="array" aca="1" ref="BW179" ca="1">IF(INDIRECT(ADDRESS($B179+1,BW$164,1,1,"Confirmed Trend"))=0,#N/A,INDIRECT(ADDRESS($B179+1,BW$164,1,1,"Confirmed Trend")))</f>
        <v>0.2197302344</v>
      </c>
      <c r="BX179" s="14" cm="1">
        <f t="array" aca="1" ref="BX179" ca="1">IF(INDIRECT(ADDRESS($B179+1,BX$164,1,1,"Confirmed Trend"))=0,#N/A,INDIRECT(ADDRESS($B179+1,BX$164,1,1,"Confirmed Trend")))</f>
        <v>0.22600295719999999</v>
      </c>
      <c r="BY179" s="14" cm="1">
        <f t="array" aca="1" ref="BY179" ca="1">IF(INDIRECT(ADDRESS($B179+1,BY$164,1,1,"Confirmed Trend"))=0,#N/A,INDIRECT(ADDRESS($B179+1,BY$164,1,1,"Confirmed Trend")))</f>
        <v>0.2261373871</v>
      </c>
      <c r="BZ179" s="14" cm="1">
        <f t="array" aca="1" ref="BZ179" ca="1">IF(INDIRECT(ADDRESS($B179+1,BZ$164,1,1,"Confirmed Trend"))=0,#N/A,INDIRECT(ADDRESS($B179+1,BZ$164,1,1,"Confirmed Trend")))</f>
        <v>0.2147819856</v>
      </c>
      <c r="CA179" s="14" cm="1">
        <f t="array" aca="1" ref="CA179" ca="1">IF(INDIRECT(ADDRESS($B179+1,CA$164,1,1,"Confirmed Trend"))=0,#N/A,INDIRECT(ADDRESS($B179+1,CA$164,1,1,"Confirmed Trend")))</f>
        <v>0.1970221405</v>
      </c>
      <c r="CB179" s="14" cm="1">
        <f t="array" aca="1" ref="CB179" ca="1">IF(INDIRECT(ADDRESS($B179+1,CB$164,1,1,"Confirmed Trend"))=0,#N/A,INDIRECT(ADDRESS($B179+1,CB$164,1,1,"Confirmed Trend")))</f>
        <v>0.17414761340000001</v>
      </c>
      <c r="CC179" s="14" cm="1">
        <f t="array" aca="1" ref="CC179" ca="1">IF(INDIRECT(ADDRESS($B179+1,CC$164,1,1,"Confirmed Trend"))=0,#N/A,INDIRECT(ADDRESS($B179+1,CC$164,1,1,"Confirmed Trend")))</f>
        <v>0.1640215817</v>
      </c>
      <c r="CD179" s="14" cm="1">
        <f t="array" aca="1" ref="CD179" ca="1">IF(INDIRECT(ADDRESS($B179+1,CD$164,1,1,"Confirmed Trend"))=0,#N/A,INDIRECT(ADDRESS($B179+1,CD$164,1,1,"Confirmed Trend")))</f>
        <v>0.16012078790000001</v>
      </c>
      <c r="CE179" s="14" cm="1">
        <f t="array" aca="1" ref="CE179" ca="1">IF(INDIRECT(ADDRESS($B179+1,CE$164,1,1,"Confirmed Trend"))=0,#N/A,INDIRECT(ADDRESS($B179+1,CE$164,1,1,"Confirmed Trend")))</f>
        <v>0.16517337630000001</v>
      </c>
      <c r="CF179" s="14" cm="1">
        <f t="array" aca="1" ref="CF179" ca="1">IF(INDIRECT(ADDRESS($B179+1,CF$164,1,1,"Confirmed Trend"))=0,#N/A,INDIRECT(ADDRESS($B179+1,CF$164,1,1,"Confirmed Trend")))</f>
        <v>0.16876731610000001</v>
      </c>
      <c r="CG179" s="14" cm="1">
        <f t="array" aca="1" ref="CG179" ca="1">IF(INDIRECT(ADDRESS($B179+1,CG$164,1,1,"Confirmed Trend"))=0,#N/A,INDIRECT(ADDRESS($B179+1,CG$164,1,1,"Confirmed Trend")))</f>
        <v>0.16673137029999999</v>
      </c>
      <c r="CH179" s="14" cm="1">
        <f t="array" aca="1" ref="CH179" ca="1">IF(INDIRECT(ADDRESS($B179+1,CH$164,1,1,"Confirmed Trend"))=0,#N/A,INDIRECT(ADDRESS($B179+1,CH$164,1,1,"Confirmed Trend")))</f>
        <v>0.16361075850000001</v>
      </c>
      <c r="CI179" s="14" cm="1">
        <f t="array" aca="1" ref="CI179" ca="1">IF(INDIRECT(ADDRESS($B179+1,CI$164,1,1,"Confirmed Trend"))=0,#N/A,INDIRECT(ADDRESS($B179+1,CI$164,1,1,"Confirmed Trend")))</f>
        <v>0.16037851419999999</v>
      </c>
      <c r="CJ179" s="14" cm="1">
        <f t="array" aca="1" ref="CJ179" ca="1">IF(INDIRECT(ADDRESS($B179+1,CJ$164,1,1,"Confirmed Trend"))=0,#N/A,INDIRECT(ADDRESS($B179+1,CJ$164,1,1,"Confirmed Trend")))</f>
        <v>0.1577891267</v>
      </c>
      <c r="CK179" s="14" cm="1">
        <f t="array" aca="1" ref="CK179" ca="1">IF(INDIRECT(ADDRESS($B179+1,CK$164,1,1,"Confirmed Trend"))=0,#N/A,INDIRECT(ADDRESS($B179+1,CK$164,1,1,"Confirmed Trend")))</f>
        <v>0.1573084968</v>
      </c>
      <c r="CL179" s="14" cm="1">
        <f t="array" aca="1" ref="CL179" ca="1">IF(INDIRECT(ADDRESS($B179+1,CL$164,1,1,"Confirmed Trend"))=0,#N/A,INDIRECT(ADDRESS($B179+1,CL$164,1,1,"Confirmed Trend")))</f>
        <v>0.15532692170000001</v>
      </c>
      <c r="CM179" s="14" cm="1">
        <f t="array" aca="1" ref="CM179" ca="1">IF(INDIRECT(ADDRESS($B179+1,CM$164,1,1,"Confirmed Trend"))=0,#N/A,INDIRECT(ADDRESS($B179+1,CM$164,1,1,"Confirmed Trend")))</f>
        <v>0.15356825700000001</v>
      </c>
      <c r="CN179" s="14" t="e" cm="1">
        <f t="array" aca="1" ref="CN179" ca="1">IF(INDIRECT(ADDRESS($B179+1,CN$164,1,1,"Confirmed Trend"))=0,#N/A,INDIRECT(ADDRESS($B179+1,CN$164,1,1,"Confirmed Trend")))</f>
        <v>#N/A</v>
      </c>
      <c r="CO179" s="14" t="e" cm="1">
        <f t="array" aca="1" ref="CO179" ca="1">IF(INDIRECT(ADDRESS($B179+1,CO$164,1,1,"Confirmed Trend"))=0,#N/A,INDIRECT(ADDRESS($B179+1,CO$164,1,1,"Confirmed Trend")))</f>
        <v>#N/A</v>
      </c>
      <c r="CP179" s="14" t="e" cm="1">
        <f t="array" aca="1" ref="CP179" ca="1">IF(INDIRECT(ADDRESS($B179+1,CP$164,1,1,"Confirmed Trend"))=0,#N/A,INDIRECT(ADDRESS($B179+1,CP$164,1,1,"Confirmed Trend")))</f>
        <v>#N/A</v>
      </c>
      <c r="CQ179" s="14" t="e" cm="1">
        <f t="array" aca="1" ref="CQ179" ca="1">IF(INDIRECT(ADDRESS($B179+1,CQ$164,1,1,"Confirmed Trend"))=0,#N/A,INDIRECT(ADDRESS($B179+1,CQ$164,1,1,"Confirmed Trend")))</f>
        <v>#N/A</v>
      </c>
      <c r="CR179" s="14" t="e" cm="1">
        <f t="array" aca="1" ref="CR179" ca="1">IF(INDIRECT(ADDRESS($B179+1,CR$164,1,1,"Confirmed Trend"))=0,#N/A,INDIRECT(ADDRESS($B179+1,CR$164,1,1,"Confirmed Trend")))</f>
        <v>#N/A</v>
      </c>
    </row>
    <row r="180" spans="2:96" x14ac:dyDescent="0.25">
      <c r="B180">
        <f t="shared" si="258"/>
        <v>15</v>
      </c>
      <c r="C180" t="str" cm="1">
        <f t="array" aca="1" ref="C180" ca="1">INDIRECT(ADDRESS($B180+1,1,1,1,"Confirmed Trend"))</f>
        <v>Singapore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cm="1">
        <f t="array" aca="1" ref="S180" ca="1">IF(INDIRECT(ADDRESS($B180+1,S$164,1,1,"Confirmed Trend"))=0,#N/A,INDIRECT(ADDRESS($B180+1,S$164,1,1,"Confirmed Trend")))</f>
        <v>0.16967326460000001</v>
      </c>
      <c r="T180" s="14" cm="1">
        <f t="array" aca="1" ref="T180" ca="1">IF(INDIRECT(ADDRESS($B180+1,T$164,1,1,"Confirmed Trend"))=0,#N/A,INDIRECT(ADDRESS($B180+1,T$164,1,1,"Confirmed Trend")))</f>
        <v>0.14576826779999999</v>
      </c>
      <c r="U180" s="14" cm="1">
        <f t="array" aca="1" ref="U180" ca="1">IF(INDIRECT(ADDRESS($B180+1,U$164,1,1,"Confirmed Trend"))=0,#N/A,INDIRECT(ADDRESS($B180+1,U$164,1,1,"Confirmed Trend")))</f>
        <v>0.1214738227</v>
      </c>
      <c r="V180" s="14" cm="1">
        <f t="array" aca="1" ref="V180" ca="1">IF(INDIRECT(ADDRESS($B180+1,V$164,1,1,"Confirmed Trend"))=0,#N/A,INDIRECT(ADDRESS($B180+1,V$164,1,1,"Confirmed Trend")))</f>
        <v>9.9288841099999997E-2</v>
      </c>
      <c r="W180" s="14" cm="1">
        <f t="array" aca="1" ref="W180" ca="1">IF(INDIRECT(ADDRESS($B180+1,W$164,1,1,"Confirmed Trend"))=0,#N/A,INDIRECT(ADDRESS($B180+1,W$164,1,1,"Confirmed Trend")))</f>
        <v>8.9879769299999995E-2</v>
      </c>
      <c r="X180" s="14" cm="1">
        <f t="array" aca="1" ref="X180" ca="1">IF(INDIRECT(ADDRESS($B180+1,X$164,1,1,"Confirmed Trend"))=0,#N/A,INDIRECT(ADDRESS($B180+1,X$164,1,1,"Confirmed Trend")))</f>
        <v>9.8624417199999995E-2</v>
      </c>
      <c r="Y180" s="14" cm="1">
        <f t="array" aca="1" ref="Y180" ca="1">IF(INDIRECT(ADDRESS($B180+1,Y$164,1,1,"Confirmed Trend"))=0,#N/A,INDIRECT(ADDRESS($B180+1,Y$164,1,1,"Confirmed Trend")))</f>
        <v>0.10984842390000001</v>
      </c>
      <c r="Z180" s="14" cm="1">
        <f t="array" aca="1" ref="Z180" ca="1">IF(INDIRECT(ADDRESS($B180+1,Z$164,1,1,"Confirmed Trend"))=0,#N/A,INDIRECT(ADDRESS($B180+1,Z$164,1,1,"Confirmed Trend")))</f>
        <v>0.1146156312</v>
      </c>
      <c r="AA180" s="14" cm="1">
        <f t="array" aca="1" ref="AA180" ca="1">IF(INDIRECT(ADDRESS($B180+1,AA$164,1,1,"Confirmed Trend"))=0,#N/A,INDIRECT(ADDRESS($B180+1,AA$164,1,1,"Confirmed Trend")))</f>
        <v>0.1075762088</v>
      </c>
      <c r="AB180" s="14" cm="1">
        <f t="array" aca="1" ref="AB180" ca="1">IF(INDIRECT(ADDRESS($B180+1,AB$164,1,1,"Confirmed Trend"))=0,#N/A,INDIRECT(ADDRESS($B180+1,AB$164,1,1,"Confirmed Trend")))</f>
        <v>0.1035423649</v>
      </c>
      <c r="AC180" s="14" cm="1">
        <f t="array" aca="1" ref="AC180" ca="1">IF(INDIRECT(ADDRESS($B180+1,AC$164,1,1,"Confirmed Trend"))=0,#N/A,INDIRECT(ADDRESS($B180+1,AC$164,1,1,"Confirmed Trend")))</f>
        <v>0.1052819398</v>
      </c>
      <c r="AD180" s="14" cm="1">
        <f t="array" aca="1" ref="AD180" ca="1">IF(INDIRECT(ADDRESS($B180+1,AD$164,1,1,"Confirmed Trend"))=0,#N/A,INDIRECT(ADDRESS($B180+1,AD$164,1,1,"Confirmed Trend")))</f>
        <v>0.1079785615</v>
      </c>
      <c r="AE180" s="14" cm="1">
        <f t="array" aca="1" ref="AE180" ca="1">IF(INDIRECT(ADDRESS($B180+1,AE$164,1,1,"Confirmed Trend"))=0,#N/A,INDIRECT(ADDRESS($B180+1,AE$164,1,1,"Confirmed Trend")))</f>
        <v>9.6425380099999999E-2</v>
      </c>
      <c r="AF180" s="14" cm="1">
        <f t="array" aca="1" ref="AF180" ca="1">IF(INDIRECT(ADDRESS($B180+1,AF$164,1,1,"Confirmed Trend"))=0,#N/A,INDIRECT(ADDRESS($B180+1,AF$164,1,1,"Confirmed Trend")))</f>
        <v>7.4185951099999994E-2</v>
      </c>
      <c r="AG180" s="14" cm="1">
        <f t="array" aca="1" ref="AG180" ca="1">IF(INDIRECT(ADDRESS($B180+1,AG$164,1,1,"Confirmed Trend"))=0,#N/A,INDIRECT(ADDRESS($B180+1,AG$164,1,1,"Confirmed Trend")))</f>
        <v>5.2779173499999998E-2</v>
      </c>
      <c r="AH180" s="14" cm="1">
        <f t="array" aca="1" ref="AH180" ca="1">IF(INDIRECT(ADDRESS($B180+1,AH$164,1,1,"Confirmed Trend"))=0,#N/A,INDIRECT(ADDRESS($B180+1,AH$164,1,1,"Confirmed Trend")))</f>
        <v>3.9116387900000001E-2</v>
      </c>
      <c r="AI180" s="14" cm="1">
        <f t="array" aca="1" ref="AI180" ca="1">IF(INDIRECT(ADDRESS($B180+1,AI$164,1,1,"Confirmed Trend"))=0,#N/A,INDIRECT(ADDRESS($B180+1,AI$164,1,1,"Confirmed Trend")))</f>
        <v>3.1412727699999997E-2</v>
      </c>
      <c r="AJ180" s="14" cm="1">
        <f t="array" aca="1" ref="AJ180" ca="1">IF(INDIRECT(ADDRESS($B180+1,AJ$164,1,1,"Confirmed Trend"))=0,#N/A,INDIRECT(ADDRESS($B180+1,AJ$164,1,1,"Confirmed Trend")))</f>
        <v>2.4313418699999999E-2</v>
      </c>
      <c r="AK180" s="14" cm="1">
        <f t="array" aca="1" ref="AK180" ca="1">IF(INDIRECT(ADDRESS($B180+1,AK$164,1,1,"Confirmed Trend"))=0,#N/A,INDIRECT(ADDRESS($B180+1,AK$164,1,1,"Confirmed Trend")))</f>
        <v>1.9075323200000001E-2</v>
      </c>
      <c r="AL180" s="14" cm="1">
        <f t="array" aca="1" ref="AL180" ca="1">IF(INDIRECT(ADDRESS($B180+1,AL$164,1,1,"Confirmed Trend"))=0,#N/A,INDIRECT(ADDRESS($B180+1,AL$164,1,1,"Confirmed Trend")))</f>
        <v>1.6138184600000001E-2</v>
      </c>
      <c r="AM180" s="14" cm="1">
        <f t="array" aca="1" ref="AM180" ca="1">IF(INDIRECT(ADDRESS($B180+1,AM$164,1,1,"Confirmed Trend"))=0,#N/A,INDIRECT(ADDRESS($B180+1,AM$164,1,1,"Confirmed Trend")))</f>
        <v>1.58894498E-2</v>
      </c>
      <c r="AN180" s="14" cm="1">
        <f t="array" aca="1" ref="AN180" ca="1">IF(INDIRECT(ADDRESS($B180+1,AN$164,1,1,"Confirmed Trend"))=0,#N/A,INDIRECT(ADDRESS($B180+1,AN$164,1,1,"Confirmed Trend")))</f>
        <v>1.6636734899999998E-2</v>
      </c>
      <c r="AO180" s="14" cm="1">
        <f t="array" aca="1" ref="AO180" ca="1">IF(INDIRECT(ADDRESS($B180+1,AO$164,1,1,"Confirmed Trend"))=0,#N/A,INDIRECT(ADDRESS($B180+1,AO$164,1,1,"Confirmed Trend")))</f>
        <v>1.77225115E-2</v>
      </c>
      <c r="AP180" s="14" cm="1">
        <f t="array" aca="1" ref="AP180" ca="1">IF(INDIRECT(ADDRESS($B180+1,AP$164,1,1,"Confirmed Trend"))=0,#N/A,INDIRECT(ADDRESS($B180+1,AP$164,1,1,"Confirmed Trend")))</f>
        <v>2.00646859E-2</v>
      </c>
      <c r="AQ180" s="14" cm="1">
        <f t="array" aca="1" ref="AQ180" ca="1">IF(INDIRECT(ADDRESS($B180+1,AQ$164,1,1,"Confirmed Trend"))=0,#N/A,INDIRECT(ADDRESS($B180+1,AQ$164,1,1,"Confirmed Trend")))</f>
        <v>2.4113689099999999E-2</v>
      </c>
      <c r="AR180" s="14" cm="1">
        <f t="array" aca="1" ref="AR180" ca="1">IF(INDIRECT(ADDRESS($B180+1,AR$164,1,1,"Confirmed Trend"))=0,#N/A,INDIRECT(ADDRESS($B180+1,AR$164,1,1,"Confirmed Trend")))</f>
        <v>2.88378974E-2</v>
      </c>
      <c r="AS180" s="14" cm="1">
        <f t="array" aca="1" ref="AS180" ca="1">IF(INDIRECT(ADDRESS($B180+1,AS$164,1,1,"Confirmed Trend"))=0,#N/A,INDIRECT(ADDRESS($B180+1,AS$164,1,1,"Confirmed Trend")))</f>
        <v>3.0699968599999999E-2</v>
      </c>
      <c r="AT180" s="14" cm="1">
        <f t="array" aca="1" ref="AT180" ca="1">IF(INDIRECT(ADDRESS($B180+1,AT$164,1,1,"Confirmed Trend"))=0,#N/A,INDIRECT(ADDRESS($B180+1,AT$164,1,1,"Confirmed Trend")))</f>
        <v>2.9883572000000001E-2</v>
      </c>
      <c r="AU180" s="14" cm="1">
        <f t="array" aca="1" ref="AU180" ca="1">IF(INDIRECT(ADDRESS($B180+1,AU$164,1,1,"Confirmed Trend"))=0,#N/A,INDIRECT(ADDRESS($B180+1,AU$164,1,1,"Confirmed Trend")))</f>
        <v>2.7854805900000001E-2</v>
      </c>
      <c r="AV180" s="14" cm="1">
        <f t="array" aca="1" ref="AV180" ca="1">IF(INDIRECT(ADDRESS($B180+1,AV$164,1,1,"Confirmed Trend"))=0,#N/A,INDIRECT(ADDRESS($B180+1,AV$164,1,1,"Confirmed Trend")))</f>
        <v>2.62299501E-2</v>
      </c>
      <c r="AW180" s="14" cm="1">
        <f t="array" aca="1" ref="AW180" ca="1">IF(INDIRECT(ADDRESS($B180+1,AW$164,1,1,"Confirmed Trend"))=0,#N/A,INDIRECT(ADDRESS($B180+1,AW$164,1,1,"Confirmed Trend")))</f>
        <v>3.3485877999999997E-2</v>
      </c>
      <c r="AX180" s="14" cm="1">
        <f t="array" aca="1" ref="AX180" ca="1">IF(INDIRECT(ADDRESS($B180+1,AX$164,1,1,"Confirmed Trend"))=0,#N/A,INDIRECT(ADDRESS($B180+1,AX$164,1,1,"Confirmed Trend")))</f>
        <v>4.4068347899999999E-2</v>
      </c>
      <c r="AY180" s="14" cm="1">
        <f t="array" aca="1" ref="AY180" ca="1">IF(INDIRECT(ADDRESS($B180+1,AY$164,1,1,"Confirmed Trend"))=0,#N/A,INDIRECT(ADDRESS($B180+1,AY$164,1,1,"Confirmed Trend")))</f>
        <v>5.9676216900000002E-2</v>
      </c>
      <c r="AZ180" s="14" cm="1">
        <f t="array" aca="1" ref="AZ180" ca="1">IF(INDIRECT(ADDRESS($B180+1,AZ$164,1,1,"Confirmed Trend"))=0,#N/A,INDIRECT(ADDRESS($B180+1,AZ$164,1,1,"Confirmed Trend")))</f>
        <v>6.8000983200000004E-2</v>
      </c>
      <c r="BA180" s="14" cm="1">
        <f t="array" aca="1" ref="BA180" ca="1">IF(INDIRECT(ADDRESS($B180+1,BA$164,1,1,"Confirmed Trend"))=0,#N/A,INDIRECT(ADDRESS($B180+1,BA$164,1,1,"Confirmed Trend")))</f>
        <v>6.5704797800000006E-2</v>
      </c>
      <c r="BB180" s="14" cm="1">
        <f t="array" aca="1" ref="BB180" ca="1">IF(INDIRECT(ADDRESS($B180+1,BB$164,1,1,"Confirmed Trend"))=0,#N/A,INDIRECT(ADDRESS($B180+1,BB$164,1,1,"Confirmed Trend")))</f>
        <v>6.3767082899999994E-2</v>
      </c>
      <c r="BC180" s="14" cm="1">
        <f t="array" aca="1" ref="BC180" ca="1">IF(INDIRECT(ADDRESS($B180+1,BC$164,1,1,"Confirmed Trend"))=0,#N/A,INDIRECT(ADDRESS($B180+1,BC$164,1,1,"Confirmed Trend")))</f>
        <v>5.9640584099999998E-2</v>
      </c>
      <c r="BD180" s="14" cm="1">
        <f t="array" aca="1" ref="BD180" ca="1">IF(INDIRECT(ADDRESS($B180+1,BD$164,1,1,"Confirmed Trend"))=0,#N/A,INDIRECT(ADDRESS($B180+1,BD$164,1,1,"Confirmed Trend")))</f>
        <v>6.36404208E-2</v>
      </c>
      <c r="BE180" s="14" cm="1">
        <f t="array" aca="1" ref="BE180" ca="1">IF(INDIRECT(ADDRESS($B180+1,BE$164,1,1,"Confirmed Trend"))=0,#N/A,INDIRECT(ADDRESS($B180+1,BE$164,1,1,"Confirmed Trend")))</f>
        <v>6.6241003500000006E-2</v>
      </c>
      <c r="BF180" s="14" cm="1">
        <f t="array" aca="1" ref="BF180" ca="1">IF(INDIRECT(ADDRESS($B180+1,BF$164,1,1,"Confirmed Trend"))=0,#N/A,INDIRECT(ADDRESS($B180+1,BF$164,1,1,"Confirmed Trend")))</f>
        <v>6.6580010100000003E-2</v>
      </c>
      <c r="BG180" s="14" cm="1">
        <f t="array" aca="1" ref="BG180" ca="1">IF(INDIRECT(ADDRESS($B180+1,BG$164,1,1,"Confirmed Trend"))=0,#N/A,INDIRECT(ADDRESS($B180+1,BG$164,1,1,"Confirmed Trend")))</f>
        <v>6.6188819900000001E-2</v>
      </c>
      <c r="BH180" s="14" cm="1">
        <f t="array" aca="1" ref="BH180" ca="1">IF(INDIRECT(ADDRESS($B180+1,BH$164,1,1,"Confirmed Trend"))=0,#N/A,INDIRECT(ADDRESS($B180+1,BH$164,1,1,"Confirmed Trend")))</f>
        <v>6.7028624300000006E-2</v>
      </c>
      <c r="BI180" s="14" cm="1">
        <f t="array" aca="1" ref="BI180" ca="1">IF(INDIRECT(ADDRESS($B180+1,BI$164,1,1,"Confirmed Trend"))=0,#N/A,INDIRECT(ADDRESS($B180+1,BI$164,1,1,"Confirmed Trend")))</f>
        <v>8.1432298799999997E-2</v>
      </c>
      <c r="BJ180" s="14" cm="1">
        <f t="array" aca="1" ref="BJ180" ca="1">IF(INDIRECT(ADDRESS($B180+1,BJ$164,1,1,"Confirmed Trend"))=0,#N/A,INDIRECT(ADDRESS($B180+1,BJ$164,1,1,"Confirmed Trend")))</f>
        <v>9.7015649699999998E-2</v>
      </c>
      <c r="BK180" s="14" cm="1">
        <f t="array" aca="1" ref="BK180" ca="1">IF(INDIRECT(ADDRESS($B180+1,BK$164,1,1,"Confirmed Trend"))=0,#N/A,INDIRECT(ADDRESS($B180+1,BK$164,1,1,"Confirmed Trend")))</f>
        <v>0.1124597306</v>
      </c>
      <c r="BL180" s="14" cm="1">
        <f t="array" aca="1" ref="BL180" ca="1">IF(INDIRECT(ADDRESS($B180+1,BL$164,1,1,"Confirmed Trend"))=0,#N/A,INDIRECT(ADDRESS($B180+1,BL$164,1,1,"Confirmed Trend")))</f>
        <v>0.1213203328</v>
      </c>
      <c r="BM180" s="14" cm="1">
        <f t="array" aca="1" ref="BM180" ca="1">IF(INDIRECT(ADDRESS($B180+1,BM$164,1,1,"Confirmed Trend"))=0,#N/A,INDIRECT(ADDRESS($B180+1,BM$164,1,1,"Confirmed Trend")))</f>
        <v>0.11533112869999999</v>
      </c>
      <c r="BN180" s="14" cm="1">
        <f t="array" aca="1" ref="BN180" ca="1">IF(INDIRECT(ADDRESS($B180+1,BN$164,1,1,"Confirmed Trend"))=0,#N/A,INDIRECT(ADDRESS($B180+1,BN$164,1,1,"Confirmed Trend")))</f>
        <v>0.10867272090000001</v>
      </c>
      <c r="BO180" s="14" cm="1">
        <f t="array" aca="1" ref="BO180" ca="1">IF(INDIRECT(ADDRESS($B180+1,BO$164,1,1,"Confirmed Trend"))=0,#N/A,INDIRECT(ADDRESS($B180+1,BO$164,1,1,"Confirmed Trend")))</f>
        <v>9.9088303200000005E-2</v>
      </c>
      <c r="BP180" s="14" cm="1">
        <f t="array" aca="1" ref="BP180" ca="1">IF(INDIRECT(ADDRESS($B180+1,BP$164,1,1,"Confirmed Trend"))=0,#N/A,INDIRECT(ADDRESS($B180+1,BP$164,1,1,"Confirmed Trend")))</f>
        <v>9.9468748600000004E-2</v>
      </c>
      <c r="BQ180" s="14" cm="1">
        <f t="array" aca="1" ref="BQ180" ca="1">IF(INDIRECT(ADDRESS($B180+1,BQ$164,1,1,"Confirmed Trend"))=0,#N/A,INDIRECT(ADDRESS($B180+1,BQ$164,1,1,"Confirmed Trend")))</f>
        <v>0.1014243747</v>
      </c>
      <c r="BR180" s="14" cm="1">
        <f t="array" aca="1" ref="BR180" ca="1">IF(INDIRECT(ADDRESS($B180+1,BR$164,1,1,"Confirmed Trend"))=0,#N/A,INDIRECT(ADDRESS($B180+1,BR$164,1,1,"Confirmed Trend")))</f>
        <v>0.1002846464</v>
      </c>
      <c r="BS180" s="14" cm="1">
        <f t="array" aca="1" ref="BS180" ca="1">IF(INDIRECT(ADDRESS($B180+1,BS$164,1,1,"Confirmed Trend"))=0,#N/A,INDIRECT(ADDRESS($B180+1,BS$164,1,1,"Confirmed Trend")))</f>
        <v>9.8595359399999999E-2</v>
      </c>
      <c r="BT180" s="14" cm="1">
        <f t="array" aca="1" ref="BT180" ca="1">IF(INDIRECT(ADDRESS($B180+1,BT$164,1,1,"Confirmed Trend"))=0,#N/A,INDIRECT(ADDRESS($B180+1,BT$164,1,1,"Confirmed Trend")))</f>
        <v>8.7848810200000002E-2</v>
      </c>
      <c r="BU180" s="14" cm="1">
        <f t="array" aca="1" ref="BU180" ca="1">IF(INDIRECT(ADDRESS($B180+1,BU$164,1,1,"Confirmed Trend"))=0,#N/A,INDIRECT(ADDRESS($B180+1,BU$164,1,1,"Confirmed Trend")))</f>
        <v>7.7677670899999995E-2</v>
      </c>
      <c r="BV180" s="14" cm="1">
        <f t="array" aca="1" ref="BV180" ca="1">IF(INDIRECT(ADDRESS($B180+1,BV$164,1,1,"Confirmed Trend"))=0,#N/A,INDIRECT(ADDRESS($B180+1,BV$164,1,1,"Confirmed Trend")))</f>
        <v>6.6704389500000003E-2</v>
      </c>
      <c r="BW180" s="14" cm="1">
        <f t="array" aca="1" ref="BW180" ca="1">IF(INDIRECT(ADDRESS($B180+1,BW$164,1,1,"Confirmed Trend"))=0,#N/A,INDIRECT(ADDRESS($B180+1,BW$164,1,1,"Confirmed Trend")))</f>
        <v>6.0575995000000001E-2</v>
      </c>
      <c r="BX180" s="14" cm="1">
        <f t="array" aca="1" ref="BX180" ca="1">IF(INDIRECT(ADDRESS($B180+1,BX$164,1,1,"Confirmed Trend"))=0,#N/A,INDIRECT(ADDRESS($B180+1,BX$164,1,1,"Confirmed Trend")))</f>
        <v>5.7593516999999997E-2</v>
      </c>
      <c r="BY180" s="14" cm="1">
        <f t="array" aca="1" ref="BY180" ca="1">IF(INDIRECT(ADDRESS($B180+1,BY$164,1,1,"Confirmed Trend"))=0,#N/A,INDIRECT(ADDRESS($B180+1,BY$164,1,1,"Confirmed Trend")))</f>
        <v>5.7936137800000002E-2</v>
      </c>
      <c r="BZ180" s="14" cm="1">
        <f t="array" aca="1" ref="BZ180" ca="1">IF(INDIRECT(ADDRESS($B180+1,BZ$164,1,1,"Confirmed Trend"))=0,#N/A,INDIRECT(ADDRESS($B180+1,BZ$164,1,1,"Confirmed Trend")))</f>
        <v>6.0609500199999999E-2</v>
      </c>
      <c r="CA180" s="14" cm="1">
        <f t="array" aca="1" ref="CA180" ca="1">IF(INDIRECT(ADDRESS($B180+1,CA$164,1,1,"Confirmed Trend"))=0,#N/A,INDIRECT(ADDRESS($B180+1,CA$164,1,1,"Confirmed Trend")))</f>
        <v>6.5255337699999999E-2</v>
      </c>
      <c r="CB180" s="14" cm="1">
        <f t="array" aca="1" ref="CB180" ca="1">IF(INDIRECT(ADDRESS($B180+1,CB$164,1,1,"Confirmed Trend"))=0,#N/A,INDIRECT(ADDRESS($B180+1,CB$164,1,1,"Confirmed Trend")))</f>
        <v>6.81693981E-2</v>
      </c>
      <c r="CC180" s="14" cm="1">
        <f t="array" aca="1" ref="CC180" ca="1">IF(INDIRECT(ADDRESS($B180+1,CC$164,1,1,"Confirmed Trend"))=0,#N/A,INDIRECT(ADDRESS($B180+1,CC$164,1,1,"Confirmed Trend")))</f>
        <v>7.1220693000000002E-2</v>
      </c>
      <c r="CD180" s="14" cm="1">
        <f t="array" aca="1" ref="CD180" ca="1">IF(INDIRECT(ADDRESS($B180+1,CD$164,1,1,"Confirmed Trend"))=0,#N/A,INDIRECT(ADDRESS($B180+1,CD$164,1,1,"Confirmed Trend")))</f>
        <v>7.5150504699999995E-2</v>
      </c>
      <c r="CE180" s="14" cm="1">
        <f t="array" aca="1" ref="CE180" ca="1">IF(INDIRECT(ADDRESS($B180+1,CE$164,1,1,"Confirmed Trend"))=0,#N/A,INDIRECT(ADDRESS($B180+1,CE$164,1,1,"Confirmed Trend")))</f>
        <v>8.5448310499999999E-2</v>
      </c>
      <c r="CF180" s="14" cm="1">
        <f t="array" aca="1" ref="CF180" ca="1">IF(INDIRECT(ADDRESS($B180+1,CF$164,1,1,"Confirmed Trend"))=0,#N/A,INDIRECT(ADDRESS($B180+1,CF$164,1,1,"Confirmed Trend")))</f>
        <v>9.8568521899999997E-2</v>
      </c>
      <c r="CG180" s="14" cm="1">
        <f t="array" aca="1" ref="CG180" ca="1">IF(INDIRECT(ADDRESS($B180+1,CG$164,1,1,"Confirmed Trend"))=0,#N/A,INDIRECT(ADDRESS($B180+1,CG$164,1,1,"Confirmed Trend")))</f>
        <v>0.1097469697</v>
      </c>
      <c r="CH180" s="14" cm="1">
        <f t="array" aca="1" ref="CH180" ca="1">IF(INDIRECT(ADDRESS($B180+1,CH$164,1,1,"Confirmed Trend"))=0,#N/A,INDIRECT(ADDRESS($B180+1,CH$164,1,1,"Confirmed Trend")))</f>
        <v>0.1156525342</v>
      </c>
      <c r="CI180" s="14" cm="1">
        <f t="array" aca="1" ref="CI180" ca="1">IF(INDIRECT(ADDRESS($B180+1,CI$164,1,1,"Confirmed Trend"))=0,#N/A,INDIRECT(ADDRESS($B180+1,CI$164,1,1,"Confirmed Trend")))</f>
        <v>0.1149755214</v>
      </c>
      <c r="CJ180" s="14" cm="1">
        <f t="array" aca="1" ref="CJ180" ca="1">IF(INDIRECT(ADDRESS($B180+1,CJ$164,1,1,"Confirmed Trend"))=0,#N/A,INDIRECT(ADDRESS($B180+1,CJ$164,1,1,"Confirmed Trend")))</f>
        <v>0.11446323160000001</v>
      </c>
      <c r="CK180" s="14" cm="1">
        <f t="array" aca="1" ref="CK180" ca="1">IF(INDIRECT(ADDRESS($B180+1,CK$164,1,1,"Confirmed Trend"))=0,#N/A,INDIRECT(ADDRESS($B180+1,CK$164,1,1,"Confirmed Trend")))</f>
        <v>0.11799681939999999</v>
      </c>
      <c r="CL180" s="14" cm="1">
        <f t="array" aca="1" ref="CL180" ca="1">IF(INDIRECT(ADDRESS($B180+1,CL$164,1,1,"Confirmed Trend"))=0,#N/A,INDIRECT(ADDRESS($B180+1,CL$164,1,1,"Confirmed Trend")))</f>
        <v>0.1315982326</v>
      </c>
      <c r="CM180" s="14" cm="1">
        <f t="array" aca="1" ref="CM180" ca="1">IF(INDIRECT(ADDRESS($B180+1,CM$164,1,1,"Confirmed Trend"))=0,#N/A,INDIRECT(ADDRESS($B180+1,CM$164,1,1,"Confirmed Trend")))</f>
        <v>0.14191684979999999</v>
      </c>
      <c r="CN180" s="14" t="e" cm="1">
        <f t="array" aca="1" ref="CN180" ca="1">IF(INDIRECT(ADDRESS($B180+1,CN$164,1,1,"Confirmed Trend"))=0,#N/A,INDIRECT(ADDRESS($B180+1,CN$164,1,1,"Confirmed Trend")))</f>
        <v>#N/A</v>
      </c>
      <c r="CO180" s="14" t="e" cm="1">
        <f t="array" aca="1" ref="CO180" ca="1">IF(INDIRECT(ADDRESS($B180+1,CO$164,1,1,"Confirmed Trend"))=0,#N/A,INDIRECT(ADDRESS($B180+1,CO$164,1,1,"Confirmed Trend")))</f>
        <v>#N/A</v>
      </c>
      <c r="CP180" s="14" t="e" cm="1">
        <f t="array" aca="1" ref="CP180" ca="1">IF(INDIRECT(ADDRESS($B180+1,CP$164,1,1,"Confirmed Trend"))=0,#N/A,INDIRECT(ADDRESS($B180+1,CP$164,1,1,"Confirmed Trend")))</f>
        <v>#N/A</v>
      </c>
      <c r="CQ180" s="14" t="e" cm="1">
        <f t="array" aca="1" ref="CQ180" ca="1">IF(INDIRECT(ADDRESS($B180+1,CQ$164,1,1,"Confirmed Trend"))=0,#N/A,INDIRECT(ADDRESS($B180+1,CQ$164,1,1,"Confirmed Trend")))</f>
        <v>#N/A</v>
      </c>
      <c r="CR180" s="14" t="e" cm="1">
        <f t="array" aca="1" ref="CR180" ca="1">IF(INDIRECT(ADDRESS($B180+1,CR$164,1,1,"Confirmed Trend"))=0,#N/A,INDIRECT(ADDRESS($B180+1,CR$164,1,1,"Confirmed Trend")))</f>
        <v>#N/A</v>
      </c>
    </row>
    <row r="181" spans="2:96" x14ac:dyDescent="0.25">
      <c r="B181">
        <f t="shared" si="258"/>
        <v>16</v>
      </c>
      <c r="C181" t="str" cm="1">
        <f t="array" aca="1" ref="C181" ca="1">INDIRECT(ADDRESS($B181+1,1,1,1,"Confirmed Trend"))</f>
        <v>Spain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cm="1">
        <f t="array" aca="1" ref="AT181" ca="1">IF(INDIRECT(ADDRESS($B181+1,AT$164,1,1,"Confirmed Trend"))=0,#N/A,INDIRECT(ADDRESS($B181+1,AT$164,1,1,"Confirmed Trend")))</f>
        <v>0.57477596929999997</v>
      </c>
      <c r="AU181" s="14" cm="1">
        <f t="array" aca="1" ref="AU181" ca="1">IF(INDIRECT(ADDRESS($B181+1,AU$164,1,1,"Confirmed Trend"))=0,#N/A,INDIRECT(ADDRESS($B181+1,AU$164,1,1,"Confirmed Trend")))</f>
        <v>0.5321632208</v>
      </c>
      <c r="AV181" s="14" cm="1">
        <f t="array" aca="1" ref="AV181" ca="1">IF(INDIRECT(ADDRESS($B181+1,AV$164,1,1,"Confirmed Trend"))=0,#N/A,INDIRECT(ADDRESS($B181+1,AV$164,1,1,"Confirmed Trend")))</f>
        <v>0.41531027790000002</v>
      </c>
      <c r="AW181" s="14" cm="1">
        <f t="array" aca="1" ref="AW181" ca="1">IF(INDIRECT(ADDRESS($B181+1,AW$164,1,1,"Confirmed Trend"))=0,#N/A,INDIRECT(ADDRESS($B181+1,AW$164,1,1,"Confirmed Trend")))</f>
        <v>0.37149472109999998</v>
      </c>
      <c r="AX181" s="14" cm="1">
        <f t="array" aca="1" ref="AX181" ca="1">IF(INDIRECT(ADDRESS($B181+1,AX$164,1,1,"Confirmed Trend"))=0,#N/A,INDIRECT(ADDRESS($B181+1,AX$164,1,1,"Confirmed Trend")))</f>
        <v>0.33126424360000001</v>
      </c>
      <c r="AY181" s="14" cm="1">
        <f t="array" aca="1" ref="AY181" ca="1">IF(INDIRECT(ADDRESS($B181+1,AY$164,1,1,"Confirmed Trend"))=0,#N/A,INDIRECT(ADDRESS($B181+1,AY$164,1,1,"Confirmed Trend")))</f>
        <v>0.3271811074</v>
      </c>
      <c r="AZ181" s="14" cm="1">
        <f t="array" aca="1" ref="AZ181" ca="1">IF(INDIRECT(ADDRESS($B181+1,AZ$164,1,1,"Confirmed Trend"))=0,#N/A,INDIRECT(ADDRESS($B181+1,AZ$164,1,1,"Confirmed Trend")))</f>
        <v>0.36550818750000003</v>
      </c>
      <c r="BA181" s="14" cm="1">
        <f t="array" aca="1" ref="BA181" ca="1">IF(INDIRECT(ADDRESS($B181+1,BA$164,1,1,"Confirmed Trend"))=0,#N/A,INDIRECT(ADDRESS($B181+1,BA$164,1,1,"Confirmed Trend")))</f>
        <v>0.40581182170000002</v>
      </c>
      <c r="BB181" s="14" cm="1">
        <f t="array" aca="1" ref="BB181" ca="1">IF(INDIRECT(ADDRESS($B181+1,BB$164,1,1,"Confirmed Trend"))=0,#N/A,INDIRECT(ADDRESS($B181+1,BB$164,1,1,"Confirmed Trend")))</f>
        <v>0.44442312779999998</v>
      </c>
      <c r="BC181" s="14" cm="1">
        <f t="array" aca="1" ref="BC181" ca="1">IF(INDIRECT(ADDRESS($B181+1,BC$164,1,1,"Confirmed Trend"))=0,#N/A,INDIRECT(ADDRESS($B181+1,BC$164,1,1,"Confirmed Trend")))</f>
        <v>0.48872170949999999</v>
      </c>
      <c r="BD181" s="14" cm="1">
        <f t="array" aca="1" ref="BD181" ca="1">IF(INDIRECT(ADDRESS($B181+1,BD$164,1,1,"Confirmed Trend"))=0,#N/A,INDIRECT(ADDRESS($B181+1,BD$164,1,1,"Confirmed Trend")))</f>
        <v>0.49646272250000001</v>
      </c>
      <c r="BE181" s="14" cm="1">
        <f t="array" aca="1" ref="BE181" ca="1">IF(INDIRECT(ADDRESS($B181+1,BE$164,1,1,"Confirmed Trend"))=0,#N/A,INDIRECT(ADDRESS($B181+1,BE$164,1,1,"Confirmed Trend")))</f>
        <v>0.45395265810000002</v>
      </c>
      <c r="BF181" s="14" cm="1">
        <f t="array" aca="1" ref="BF181" ca="1">IF(INDIRECT(ADDRESS($B181+1,BF$164,1,1,"Confirmed Trend"))=0,#N/A,INDIRECT(ADDRESS($B181+1,BF$164,1,1,"Confirmed Trend")))</f>
        <v>0.40072411130000002</v>
      </c>
      <c r="BG181" s="14" cm="1">
        <f t="array" aca="1" ref="BG181" ca="1">IF(INDIRECT(ADDRESS($B181+1,BG$164,1,1,"Confirmed Trend"))=0,#N/A,INDIRECT(ADDRESS($B181+1,BG$164,1,1,"Confirmed Trend")))</f>
        <v>0.32937689910000001</v>
      </c>
      <c r="BH181" s="14" cm="1">
        <f t="array" aca="1" ref="BH181" ca="1">IF(INDIRECT(ADDRESS($B181+1,BH$164,1,1,"Confirmed Trend"))=0,#N/A,INDIRECT(ADDRESS($B181+1,BH$164,1,1,"Confirmed Trend")))</f>
        <v>0.27201721410000002</v>
      </c>
      <c r="BI181" s="14" cm="1">
        <f t="array" aca="1" ref="BI181" ca="1">IF(INDIRECT(ADDRESS($B181+1,BI$164,1,1,"Confirmed Trend"))=0,#N/A,INDIRECT(ADDRESS($B181+1,BI$164,1,1,"Confirmed Trend")))</f>
        <v>0.2335054298</v>
      </c>
      <c r="BJ181" s="14" cm="1">
        <f t="array" aca="1" ref="BJ181" ca="1">IF(INDIRECT(ADDRESS($B181+1,BJ$164,1,1,"Confirmed Trend"))=0,#N/A,INDIRECT(ADDRESS($B181+1,BJ$164,1,1,"Confirmed Trend")))</f>
        <v>0.22421023840000001</v>
      </c>
      <c r="BK181" s="14" cm="1">
        <f t="array" aca="1" ref="BK181" ca="1">IF(INDIRECT(ADDRESS($B181+1,BK$164,1,1,"Confirmed Trend"))=0,#N/A,INDIRECT(ADDRESS($B181+1,BK$164,1,1,"Confirmed Trend")))</f>
        <v>0.21323881149999999</v>
      </c>
      <c r="BL181" s="14" cm="1">
        <f t="array" aca="1" ref="BL181" ca="1">IF(INDIRECT(ADDRESS($B181+1,BL$164,1,1,"Confirmed Trend"))=0,#N/A,INDIRECT(ADDRESS($B181+1,BL$164,1,1,"Confirmed Trend")))</f>
        <v>0.21256103509999999</v>
      </c>
      <c r="BM181" s="14" cm="1">
        <f t="array" aca="1" ref="BM181" ca="1">IF(INDIRECT(ADDRESS($B181+1,BM$164,1,1,"Confirmed Trend"))=0,#N/A,INDIRECT(ADDRESS($B181+1,BM$164,1,1,"Confirmed Trend")))</f>
        <v>0.20296315349999999</v>
      </c>
      <c r="BN181" s="14" cm="1">
        <f t="array" aca="1" ref="BN181" ca="1">IF(INDIRECT(ADDRESS($B181+1,BN$164,1,1,"Confirmed Trend"))=0,#N/A,INDIRECT(ADDRESS($B181+1,BN$164,1,1,"Confirmed Trend")))</f>
        <v>0.19608545399999999</v>
      </c>
      <c r="BO181" s="14" cm="1">
        <f t="array" aca="1" ref="BO181" ca="1">IF(INDIRECT(ADDRESS($B181+1,BO$164,1,1,"Confirmed Trend"))=0,#N/A,INDIRECT(ADDRESS($B181+1,BO$164,1,1,"Confirmed Trend")))</f>
        <v>0.18699176789999999</v>
      </c>
      <c r="BP181" s="14" cm="1">
        <f t="array" aca="1" ref="BP181" ca="1">IF(INDIRECT(ADDRESS($B181+1,BP$164,1,1,"Confirmed Trend"))=0,#N/A,INDIRECT(ADDRESS($B181+1,BP$164,1,1,"Confirmed Trend")))</f>
        <v>0.18224855070000001</v>
      </c>
      <c r="BQ181" s="14" cm="1">
        <f t="array" aca="1" ref="BQ181" ca="1">IF(INDIRECT(ADDRESS($B181+1,BQ$164,1,1,"Confirmed Trend"))=0,#N/A,INDIRECT(ADDRESS($B181+1,BQ$164,1,1,"Confirmed Trend")))</f>
        <v>0.18536418460000001</v>
      </c>
      <c r="BR181" s="14" cm="1">
        <f t="array" aca="1" ref="BR181" ca="1">IF(INDIRECT(ADDRESS($B181+1,BR$164,1,1,"Confirmed Trend"))=0,#N/A,INDIRECT(ADDRESS($B181+1,BR$164,1,1,"Confirmed Trend")))</f>
        <v>0.17988033749999999</v>
      </c>
      <c r="BS181" s="14" cm="1">
        <f t="array" aca="1" ref="BS181" ca="1">IF(INDIRECT(ADDRESS($B181+1,BS$164,1,1,"Confirmed Trend"))=0,#N/A,INDIRECT(ADDRESS($B181+1,BS$164,1,1,"Confirmed Trend")))</f>
        <v>0.1733709581</v>
      </c>
      <c r="BT181" s="14" cm="1">
        <f t="array" aca="1" ref="BT181" ca="1">IF(INDIRECT(ADDRESS($B181+1,BT$164,1,1,"Confirmed Trend"))=0,#N/A,INDIRECT(ADDRESS($B181+1,BT$164,1,1,"Confirmed Trend")))</f>
        <v>0.1516460577</v>
      </c>
      <c r="BU181" s="14" cm="1">
        <f t="array" aca="1" ref="BU181" ca="1">IF(INDIRECT(ADDRESS($B181+1,BU$164,1,1,"Confirmed Trend"))=0,#N/A,INDIRECT(ADDRESS($B181+1,BU$164,1,1,"Confirmed Trend")))</f>
        <v>0.13154845170000001</v>
      </c>
      <c r="BV181" s="14" cm="1">
        <f t="array" aca="1" ref="BV181" ca="1">IF(INDIRECT(ADDRESS($B181+1,BV$164,1,1,"Confirmed Trend"))=0,#N/A,INDIRECT(ADDRESS($B181+1,BV$164,1,1,"Confirmed Trend")))</f>
        <v>0.1114050884</v>
      </c>
      <c r="BW181" s="14" cm="1">
        <f t="array" aca="1" ref="BW181" ca="1">IF(INDIRECT(ADDRESS($B181+1,BW$164,1,1,"Confirmed Trend"))=0,#N/A,INDIRECT(ADDRESS($B181+1,BW$164,1,1,"Confirmed Trend")))</f>
        <v>9.9952229200000006E-2</v>
      </c>
      <c r="BX181" s="14" cm="1">
        <f t="array" aca="1" ref="BX181" ca="1">IF(INDIRECT(ADDRESS($B181+1,BX$164,1,1,"Confirmed Trend"))=0,#N/A,INDIRECT(ADDRESS($B181+1,BX$164,1,1,"Confirmed Trend")))</f>
        <v>9.2528502900000004E-2</v>
      </c>
      <c r="BY181" s="14" cm="1">
        <f t="array" aca="1" ref="BY181" ca="1">IF(INDIRECT(ADDRESS($B181+1,BY$164,1,1,"Confirmed Trend"))=0,#N/A,INDIRECT(ADDRESS($B181+1,BY$164,1,1,"Confirmed Trend")))</f>
        <v>8.5788298900000004E-2</v>
      </c>
      <c r="BZ181" s="14" cm="1">
        <f t="array" aca="1" ref="BZ181" ca="1">IF(INDIRECT(ADDRESS($B181+1,BZ$164,1,1,"Confirmed Trend"))=0,#N/A,INDIRECT(ADDRESS($B181+1,BZ$164,1,1,"Confirmed Trend")))</f>
        <v>7.87030336E-2</v>
      </c>
      <c r="CA181" s="14" cm="1">
        <f t="array" aca="1" ref="CA181" ca="1">IF(INDIRECT(ADDRESS($B181+1,CA$164,1,1,"Confirmed Trend"))=0,#N/A,INDIRECT(ADDRESS($B181+1,CA$164,1,1,"Confirmed Trend")))</f>
        <v>6.9650972699999994E-2</v>
      </c>
      <c r="CB181" s="14" cm="1">
        <f t="array" aca="1" ref="CB181" ca="1">IF(INDIRECT(ADDRESS($B181+1,CB$164,1,1,"Confirmed Trend"))=0,#N/A,INDIRECT(ADDRESS($B181+1,CB$164,1,1,"Confirmed Trend")))</f>
        <v>6.0310824399999997E-2</v>
      </c>
      <c r="CC181" s="14" cm="1">
        <f t="array" aca="1" ref="CC181" ca="1">IF(INDIRECT(ADDRESS($B181+1,CC$164,1,1,"Confirmed Trend"))=0,#N/A,INDIRECT(ADDRESS($B181+1,CC$164,1,1,"Confirmed Trend")))</f>
        <v>5.1672820899999999E-2</v>
      </c>
      <c r="CD181" s="14" cm="1">
        <f t="array" aca="1" ref="CD181" ca="1">IF(INDIRECT(ADDRESS($B181+1,CD$164,1,1,"Confirmed Trend"))=0,#N/A,INDIRECT(ADDRESS($B181+1,CD$164,1,1,"Confirmed Trend")))</f>
        <v>4.5363078100000002E-2</v>
      </c>
      <c r="CE181" s="14" cm="1">
        <f t="array" aca="1" ref="CE181" ca="1">IF(INDIRECT(ADDRESS($B181+1,CE$164,1,1,"Confirmed Trend"))=0,#N/A,INDIRECT(ADDRESS($B181+1,CE$164,1,1,"Confirmed Trend")))</f>
        <v>4.1372063600000002E-2</v>
      </c>
      <c r="CF181" s="14" cm="1">
        <f t="array" aca="1" ref="CF181" ca="1">IF(INDIRECT(ADDRESS($B181+1,CF$164,1,1,"Confirmed Trend"))=0,#N/A,INDIRECT(ADDRESS($B181+1,CF$164,1,1,"Confirmed Trend")))</f>
        <v>3.8994967999999998E-2</v>
      </c>
      <c r="CG181" s="14" cm="1">
        <f t="array" aca="1" ref="CG181" ca="1">IF(INDIRECT(ADDRESS($B181+1,CG$164,1,1,"Confirmed Trend"))=0,#N/A,INDIRECT(ADDRESS($B181+1,CG$164,1,1,"Confirmed Trend")))</f>
        <v>3.7047144900000002E-2</v>
      </c>
      <c r="CH181" s="14" cm="1">
        <f t="array" aca="1" ref="CH181" ca="1">IF(INDIRECT(ADDRESS($B181+1,CH$164,1,1,"Confirmed Trend"))=0,#N/A,INDIRECT(ADDRESS($B181+1,CH$164,1,1,"Confirmed Trend")))</f>
        <v>3.4114392799999997E-2</v>
      </c>
      <c r="CI181" s="14" cm="1">
        <f t="array" aca="1" ref="CI181" ca="1">IF(INDIRECT(ADDRESS($B181+1,CI$164,1,1,"Confirmed Trend"))=0,#N/A,INDIRECT(ADDRESS($B181+1,CI$164,1,1,"Confirmed Trend")))</f>
        <v>3.04766588E-2</v>
      </c>
      <c r="CJ181" s="14" cm="1">
        <f t="array" aca="1" ref="CJ181" ca="1">IF(INDIRECT(ADDRESS($B181+1,CJ$164,1,1,"Confirmed Trend"))=0,#N/A,INDIRECT(ADDRESS($B181+1,CJ$164,1,1,"Confirmed Trend")))</f>
        <v>2.6024422500000002E-2</v>
      </c>
      <c r="CK181" s="14" cm="1">
        <f t="array" aca="1" ref="CK181" ca="1">IF(INDIRECT(ADDRESS($B181+1,CK$164,1,1,"Confirmed Trend"))=0,#N/A,INDIRECT(ADDRESS($B181+1,CK$164,1,1,"Confirmed Trend")))</f>
        <v>2.3283637100000001E-2</v>
      </c>
      <c r="CL181" s="14" cm="1">
        <f t="array" aca="1" ref="CL181" ca="1">IF(INDIRECT(ADDRESS($B181+1,CL$164,1,1,"Confirmed Trend"))=0,#N/A,INDIRECT(ADDRESS($B181+1,CL$164,1,1,"Confirmed Trend")))</f>
        <v>2.32490167E-2</v>
      </c>
      <c r="CM181" s="14" cm="1">
        <f t="array" aca="1" ref="CM181" ca="1">IF(INDIRECT(ADDRESS($B181+1,CM$164,1,1,"Confirmed Trend"))=0,#N/A,INDIRECT(ADDRESS($B181+1,CM$164,1,1,"Confirmed Trend")))</f>
        <v>2.5729172099999999E-2</v>
      </c>
      <c r="CN181" s="14" t="e" cm="1">
        <f t="array" aca="1" ref="CN181" ca="1">IF(INDIRECT(ADDRESS($B181+1,CN$164,1,1,"Confirmed Trend"))=0,#N/A,INDIRECT(ADDRESS($B181+1,CN$164,1,1,"Confirmed Trend")))</f>
        <v>#N/A</v>
      </c>
      <c r="CO181" s="14" t="e" cm="1">
        <f t="array" aca="1" ref="CO181" ca="1">IF(INDIRECT(ADDRESS($B181+1,CO$164,1,1,"Confirmed Trend"))=0,#N/A,INDIRECT(ADDRESS($B181+1,CO$164,1,1,"Confirmed Trend")))</f>
        <v>#N/A</v>
      </c>
      <c r="CP181" s="14" t="e" cm="1">
        <f t="array" aca="1" ref="CP181" ca="1">IF(INDIRECT(ADDRESS($B181+1,CP$164,1,1,"Confirmed Trend"))=0,#N/A,INDIRECT(ADDRESS($B181+1,CP$164,1,1,"Confirmed Trend")))</f>
        <v>#N/A</v>
      </c>
      <c r="CQ181" s="14" t="e" cm="1">
        <f t="array" aca="1" ref="CQ181" ca="1">IF(INDIRECT(ADDRESS($B181+1,CQ$164,1,1,"Confirmed Trend"))=0,#N/A,INDIRECT(ADDRESS($B181+1,CQ$164,1,1,"Confirmed Trend")))</f>
        <v>#N/A</v>
      </c>
      <c r="CR181" s="14" t="e" cm="1">
        <f t="array" aca="1" ref="CR181" ca="1">IF(INDIRECT(ADDRESS($B181+1,CR$164,1,1,"Confirmed Trend"))=0,#N/A,INDIRECT(ADDRESS($B181+1,CR$164,1,1,"Confirmed Trend")))</f>
        <v>#N/A</v>
      </c>
    </row>
    <row r="182" spans="2:96" x14ac:dyDescent="0.25">
      <c r="B182">
        <f t="shared" si="258"/>
        <v>17</v>
      </c>
      <c r="C182" t="str" cm="1">
        <f t="array" aca="1" ref="C182" ca="1">INDIRECT(ADDRESS($B182+1,1,1,1,"Confirmed Trend"))</f>
        <v>Sweden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cm="1">
        <f t="array" aca="1" ref="AW182" ca="1">IF(INDIRECT(ADDRESS($B182+1,AW$164,1,1,"Confirmed Trend"))=0,#N/A,INDIRECT(ADDRESS($B182+1,AW$164,1,1,"Confirmed Trend")))</f>
        <v>0.53899069779999997</v>
      </c>
      <c r="AX182" s="14" cm="1">
        <f t="array" aca="1" ref="AX182" ca="1">IF(INDIRECT(ADDRESS($B182+1,AX$164,1,1,"Confirmed Trend"))=0,#N/A,INDIRECT(ADDRESS($B182+1,AX$164,1,1,"Confirmed Trend")))</f>
        <v>0.63350323320000002</v>
      </c>
      <c r="AY182" s="14" cm="1">
        <f t="array" aca="1" ref="AY182" ca="1">IF(INDIRECT(ADDRESS($B182+1,AY$164,1,1,"Confirmed Trend"))=0,#N/A,INDIRECT(ADDRESS($B182+1,AY$164,1,1,"Confirmed Trend")))</f>
        <v>0.59973722620000003</v>
      </c>
      <c r="AZ182" s="14" cm="1">
        <f t="array" aca="1" ref="AZ182" ca="1">IF(INDIRECT(ADDRESS($B182+1,AZ$164,1,1,"Confirmed Trend"))=0,#N/A,INDIRECT(ADDRESS($B182+1,AZ$164,1,1,"Confirmed Trend")))</f>
        <v>0.42123220750000001</v>
      </c>
      <c r="BA182" s="14" cm="1">
        <f t="array" aca="1" ref="BA182" ca="1">IF(INDIRECT(ADDRESS($B182+1,BA$164,1,1,"Confirmed Trend"))=0,#N/A,INDIRECT(ADDRESS($B182+1,BA$164,1,1,"Confirmed Trend")))</f>
        <v>0.36820697930000001</v>
      </c>
      <c r="BB182" s="14" cm="1">
        <f t="array" aca="1" ref="BB182" ca="1">IF(INDIRECT(ADDRESS($B182+1,BB$164,1,1,"Confirmed Trend"))=0,#N/A,INDIRECT(ADDRESS($B182+1,BB$164,1,1,"Confirmed Trend")))</f>
        <v>0.32672642299999999</v>
      </c>
      <c r="BC182" s="14" cm="1">
        <f t="array" aca="1" ref="BC182" ca="1">IF(INDIRECT(ADDRESS($B182+1,BC$164,1,1,"Confirmed Trend"))=0,#N/A,INDIRECT(ADDRESS($B182+1,BC$164,1,1,"Confirmed Trend")))</f>
        <v>0.32977408000000002</v>
      </c>
      <c r="BD182" s="14" cm="1">
        <f t="array" aca="1" ref="BD182" ca="1">IF(INDIRECT(ADDRESS($B182+1,BD$164,1,1,"Confirmed Trend"))=0,#N/A,INDIRECT(ADDRESS($B182+1,BD$164,1,1,"Confirmed Trend")))</f>
        <v>0.329660866</v>
      </c>
      <c r="BE182" s="14" cm="1">
        <f t="array" aca="1" ref="BE182" ca="1">IF(INDIRECT(ADDRESS($B182+1,BE$164,1,1,"Confirmed Trend"))=0,#N/A,INDIRECT(ADDRESS($B182+1,BE$164,1,1,"Confirmed Trend")))</f>
        <v>0.31004561619999998</v>
      </c>
      <c r="BF182" s="14" cm="1">
        <f t="array" aca="1" ref="BF182" ca="1">IF(INDIRECT(ADDRESS($B182+1,BF$164,1,1,"Confirmed Trend"))=0,#N/A,INDIRECT(ADDRESS($B182+1,BF$164,1,1,"Confirmed Trend")))</f>
        <v>0.26191248880000001</v>
      </c>
      <c r="BG182" s="14" cm="1">
        <f t="array" aca="1" ref="BG182" ca="1">IF(INDIRECT(ADDRESS($B182+1,BG$164,1,1,"Confirmed Trend"))=0,#N/A,INDIRECT(ADDRESS($B182+1,BG$164,1,1,"Confirmed Trend")))</f>
        <v>0.20700169169999999</v>
      </c>
      <c r="BH182" s="14" cm="1">
        <f t="array" aca="1" ref="BH182" ca="1">IF(INDIRECT(ADDRESS($B182+1,BH$164,1,1,"Confirmed Trend"))=0,#N/A,INDIRECT(ADDRESS($B182+1,BH$164,1,1,"Confirmed Trend")))</f>
        <v>0.14734001560000001</v>
      </c>
      <c r="BI182" s="14" cm="1">
        <f t="array" aca="1" ref="BI182" ca="1">IF(INDIRECT(ADDRESS($B182+1,BI$164,1,1,"Confirmed Trend"))=0,#N/A,INDIRECT(ADDRESS($B182+1,BI$164,1,1,"Confirmed Trend")))</f>
        <v>0.1075355721</v>
      </c>
      <c r="BJ182" s="14" cm="1">
        <f t="array" aca="1" ref="BJ182" ca="1">IF(INDIRECT(ADDRESS($B182+1,BJ$164,1,1,"Confirmed Trend"))=0,#N/A,INDIRECT(ADDRESS($B182+1,BJ$164,1,1,"Confirmed Trend")))</f>
        <v>8.7215216700000001E-2</v>
      </c>
      <c r="BK182" s="14" cm="1">
        <f t="array" aca="1" ref="BK182" ca="1">IF(INDIRECT(ADDRESS($B182+1,BK$164,1,1,"Confirmed Trend"))=0,#N/A,INDIRECT(ADDRESS($B182+1,BK$164,1,1,"Confirmed Trend")))</f>
        <v>9.0053740600000001E-2</v>
      </c>
      <c r="BL182" s="14" cm="1">
        <f t="array" aca="1" ref="BL182" ca="1">IF(INDIRECT(ADDRESS($B182+1,BL$164,1,1,"Confirmed Trend"))=0,#N/A,INDIRECT(ADDRESS($B182+1,BL$164,1,1,"Confirmed Trend")))</f>
        <v>9.9291544499999995E-2</v>
      </c>
      <c r="BM182" s="14" cm="1">
        <f t="array" aca="1" ref="BM182" ca="1">IF(INDIRECT(ADDRESS($B182+1,BM$164,1,1,"Confirmed Trend"))=0,#N/A,INDIRECT(ADDRESS($B182+1,BM$164,1,1,"Confirmed Trend")))</f>
        <v>0.1055441546</v>
      </c>
      <c r="BN182" s="14" cm="1">
        <f t="array" aca="1" ref="BN182" ca="1">IF(INDIRECT(ADDRESS($B182+1,BN$164,1,1,"Confirmed Trend"))=0,#N/A,INDIRECT(ADDRESS($B182+1,BN$164,1,1,"Confirmed Trend")))</f>
        <v>0.10102217350000001</v>
      </c>
      <c r="BO182" s="14" cm="1">
        <f t="array" aca="1" ref="BO182" ca="1">IF(INDIRECT(ADDRESS($B182+1,BO$164,1,1,"Confirmed Trend"))=0,#N/A,INDIRECT(ADDRESS($B182+1,BO$164,1,1,"Confirmed Trend")))</f>
        <v>9.50922555E-2</v>
      </c>
      <c r="BP182" s="14" cm="1">
        <f t="array" aca="1" ref="BP182" ca="1">IF(INDIRECT(ADDRESS($B182+1,BP$164,1,1,"Confirmed Trend"))=0,#N/A,INDIRECT(ADDRESS($B182+1,BP$164,1,1,"Confirmed Trend")))</f>
        <v>9.0977011699999999E-2</v>
      </c>
      <c r="BQ182" s="14" cm="1">
        <f t="array" aca="1" ref="BQ182" ca="1">IF(INDIRECT(ADDRESS($B182+1,BQ$164,1,1,"Confirmed Trend"))=0,#N/A,INDIRECT(ADDRESS($B182+1,BQ$164,1,1,"Confirmed Trend")))</f>
        <v>9.4308531500000001E-2</v>
      </c>
      <c r="BR182" s="14" cm="1">
        <f t="array" aca="1" ref="BR182" ca="1">IF(INDIRECT(ADDRESS($B182+1,BR$164,1,1,"Confirmed Trend"))=0,#N/A,INDIRECT(ADDRESS($B182+1,BR$164,1,1,"Confirmed Trend")))</f>
        <v>0.1008713455</v>
      </c>
      <c r="BS182" s="14" cm="1">
        <f t="array" aca="1" ref="BS182" ca="1">IF(INDIRECT(ADDRESS($B182+1,BS$164,1,1,"Confirmed Trend"))=0,#N/A,INDIRECT(ADDRESS($B182+1,BS$164,1,1,"Confirmed Trend")))</f>
        <v>0.10541398740000001</v>
      </c>
      <c r="BT182" s="14" cm="1">
        <f t="array" aca="1" ref="BT182" ca="1">IF(INDIRECT(ADDRESS($B182+1,BT$164,1,1,"Confirmed Trend"))=0,#N/A,INDIRECT(ADDRESS($B182+1,BT$164,1,1,"Confirmed Trend")))</f>
        <v>0.1047674012</v>
      </c>
      <c r="BU182" s="14" cm="1">
        <f t="array" aca="1" ref="BU182" ca="1">IF(INDIRECT(ADDRESS($B182+1,BU$164,1,1,"Confirmed Trend"))=0,#N/A,INDIRECT(ADDRESS($B182+1,BU$164,1,1,"Confirmed Trend")))</f>
        <v>9.9304846399999994E-2</v>
      </c>
      <c r="BV182" s="14" cm="1">
        <f t="array" aca="1" ref="BV182" ca="1">IF(INDIRECT(ADDRESS($B182+1,BV$164,1,1,"Confirmed Trend"))=0,#N/A,INDIRECT(ADDRESS($B182+1,BV$164,1,1,"Confirmed Trend")))</f>
        <v>9.5819198600000002E-2</v>
      </c>
      <c r="BW182" s="14" cm="1">
        <f t="array" aca="1" ref="BW182" ca="1">IF(INDIRECT(ADDRESS($B182+1,BW$164,1,1,"Confirmed Trend"))=0,#N/A,INDIRECT(ADDRESS($B182+1,BW$164,1,1,"Confirmed Trend")))</f>
        <v>9.4169592100000005E-2</v>
      </c>
      <c r="BX182" s="14" cm="1">
        <f t="array" aca="1" ref="BX182" ca="1">IF(INDIRECT(ADDRESS($B182+1,BX$164,1,1,"Confirmed Trend"))=0,#N/A,INDIRECT(ADDRESS($B182+1,BX$164,1,1,"Confirmed Trend")))</f>
        <v>9.9866760099999993E-2</v>
      </c>
      <c r="BY182" s="14" cm="1">
        <f t="array" aca="1" ref="BY182" ca="1">IF(INDIRECT(ADDRESS($B182+1,BY$164,1,1,"Confirmed Trend"))=0,#N/A,INDIRECT(ADDRESS($B182+1,BY$164,1,1,"Confirmed Trend")))</f>
        <v>0.1047540176</v>
      </c>
      <c r="BZ182" s="14" cm="1">
        <f t="array" aca="1" ref="BZ182" ca="1">IF(INDIRECT(ADDRESS($B182+1,BZ$164,1,1,"Confirmed Trend"))=0,#N/A,INDIRECT(ADDRESS($B182+1,BZ$164,1,1,"Confirmed Trend")))</f>
        <v>0.105124263</v>
      </c>
      <c r="CA182" s="14" cm="1">
        <f t="array" aca="1" ref="CA182" ca="1">IF(INDIRECT(ADDRESS($B182+1,CA$164,1,1,"Confirmed Trend"))=0,#N/A,INDIRECT(ADDRESS($B182+1,CA$164,1,1,"Confirmed Trend")))</f>
        <v>9.6770149900000005E-2</v>
      </c>
      <c r="CB182" s="14" cm="1">
        <f t="array" aca="1" ref="CB182" ca="1">IF(INDIRECT(ADDRESS($B182+1,CB$164,1,1,"Confirmed Trend"))=0,#N/A,INDIRECT(ADDRESS($B182+1,CB$164,1,1,"Confirmed Trend")))</f>
        <v>8.1849598699999998E-2</v>
      </c>
      <c r="CC182" s="14" cm="1">
        <f t="array" aca="1" ref="CC182" ca="1">IF(INDIRECT(ADDRESS($B182+1,CC$164,1,1,"Confirmed Trend"))=0,#N/A,INDIRECT(ADDRESS($B182+1,CC$164,1,1,"Confirmed Trend")))</f>
        <v>6.8888642299999997E-2</v>
      </c>
      <c r="CD182" s="14" cm="1">
        <f t="array" aca="1" ref="CD182" ca="1">IF(INDIRECT(ADDRESS($B182+1,CD$164,1,1,"Confirmed Trend"))=0,#N/A,INDIRECT(ADDRESS($B182+1,CD$164,1,1,"Confirmed Trend")))</f>
        <v>6.4759524999999998E-2</v>
      </c>
      <c r="CE182" s="14" cm="1">
        <f t="array" aca="1" ref="CE182" ca="1">IF(INDIRECT(ADDRESS($B182+1,CE$164,1,1,"Confirmed Trend"))=0,#N/A,INDIRECT(ADDRESS($B182+1,CE$164,1,1,"Confirmed Trend")))</f>
        <v>6.8084046400000001E-2</v>
      </c>
      <c r="CF182" s="14" cm="1">
        <f t="array" aca="1" ref="CF182" ca="1">IF(INDIRECT(ADDRESS($B182+1,CF$164,1,1,"Confirmed Trend"))=0,#N/A,INDIRECT(ADDRESS($B182+1,CF$164,1,1,"Confirmed Trend")))</f>
        <v>7.3975852100000003E-2</v>
      </c>
      <c r="CG182" s="14" cm="1">
        <f t="array" aca="1" ref="CG182" ca="1">IF(INDIRECT(ADDRESS($B182+1,CG$164,1,1,"Confirmed Trend"))=0,#N/A,INDIRECT(ADDRESS($B182+1,CG$164,1,1,"Confirmed Trend")))</f>
        <v>7.4616291299999998E-2</v>
      </c>
      <c r="CH182" s="14" cm="1">
        <f t="array" aca="1" ref="CH182" ca="1">IF(INDIRECT(ADDRESS($B182+1,CH$164,1,1,"Confirmed Trend"))=0,#N/A,INDIRECT(ADDRESS($B182+1,CH$164,1,1,"Confirmed Trend")))</f>
        <v>6.7839284E-2</v>
      </c>
      <c r="CI182" s="14" cm="1">
        <f t="array" aca="1" ref="CI182" ca="1">IF(INDIRECT(ADDRESS($B182+1,CI$164,1,1,"Confirmed Trend"))=0,#N/A,INDIRECT(ADDRESS($B182+1,CI$164,1,1,"Confirmed Trend")))</f>
        <v>5.7503132800000002E-2</v>
      </c>
      <c r="CJ182" s="14" cm="1">
        <f t="array" aca="1" ref="CJ182" ca="1">IF(INDIRECT(ADDRESS($B182+1,CJ$164,1,1,"Confirmed Trend"))=0,#N/A,INDIRECT(ADDRESS($B182+1,CJ$164,1,1,"Confirmed Trend")))</f>
        <v>4.8088702999999997E-2</v>
      </c>
      <c r="CK182" s="14" cm="1">
        <f t="array" aca="1" ref="CK182" ca="1">IF(INDIRECT(ADDRESS($B182+1,CK$164,1,1,"Confirmed Trend"))=0,#N/A,INDIRECT(ADDRESS($B182+1,CK$164,1,1,"Confirmed Trend")))</f>
        <v>4.32141391E-2</v>
      </c>
      <c r="CL182" s="14" cm="1">
        <f t="array" aca="1" ref="CL182" ca="1">IF(INDIRECT(ADDRESS($B182+1,CL$164,1,1,"Confirmed Trend"))=0,#N/A,INDIRECT(ADDRESS($B182+1,CL$164,1,1,"Confirmed Trend")))</f>
        <v>4.3232672E-2</v>
      </c>
      <c r="CM182" s="14" cm="1">
        <f t="array" aca="1" ref="CM182" ca="1">IF(INDIRECT(ADDRESS($B182+1,CM$164,1,1,"Confirmed Trend"))=0,#N/A,INDIRECT(ADDRESS($B182+1,CM$164,1,1,"Confirmed Trend")))</f>
        <v>4.5144790800000001E-2</v>
      </c>
      <c r="CN182" s="14" t="e" cm="1">
        <f t="array" aca="1" ref="CN182" ca="1">IF(INDIRECT(ADDRESS($B182+1,CN$164,1,1,"Confirmed Trend"))=0,#N/A,INDIRECT(ADDRESS($B182+1,CN$164,1,1,"Confirmed Trend")))</f>
        <v>#N/A</v>
      </c>
      <c r="CO182" s="14" t="e" cm="1">
        <f t="array" aca="1" ref="CO182" ca="1">IF(INDIRECT(ADDRESS($B182+1,CO$164,1,1,"Confirmed Trend"))=0,#N/A,INDIRECT(ADDRESS($B182+1,CO$164,1,1,"Confirmed Trend")))</f>
        <v>#N/A</v>
      </c>
      <c r="CP182" s="14" t="e" cm="1">
        <f t="array" aca="1" ref="CP182" ca="1">IF(INDIRECT(ADDRESS($B182+1,CP$164,1,1,"Confirmed Trend"))=0,#N/A,INDIRECT(ADDRESS($B182+1,CP$164,1,1,"Confirmed Trend")))</f>
        <v>#N/A</v>
      </c>
      <c r="CQ182" s="14" t="e" cm="1">
        <f t="array" aca="1" ref="CQ182" ca="1">IF(INDIRECT(ADDRESS($B182+1,CQ$164,1,1,"Confirmed Trend"))=0,#N/A,INDIRECT(ADDRESS($B182+1,CQ$164,1,1,"Confirmed Trend")))</f>
        <v>#N/A</v>
      </c>
      <c r="CR182" s="14" t="e" cm="1">
        <f t="array" aca="1" ref="CR182" ca="1">IF(INDIRECT(ADDRESS($B182+1,CR$164,1,1,"Confirmed Trend"))=0,#N/A,INDIRECT(ADDRESS($B182+1,CR$164,1,1,"Confirmed Trend")))</f>
        <v>#N/A</v>
      </c>
    </row>
    <row r="183" spans="2:96" x14ac:dyDescent="0.25">
      <c r="B183">
        <f t="shared" si="258"/>
        <v>18</v>
      </c>
      <c r="C183" t="str" cm="1">
        <f t="array" aca="1" ref="C183" ca="1">INDIRECT(ADDRESS($B183+1,1,1,1,"Confirmed Trend"))</f>
        <v>Switzerland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cm="1">
        <f t="array" aca="1" ref="AV183" ca="1">IF(INDIRECT(ADDRESS($B183+1,AV$164,1,1,"Confirmed Trend"))=0,#N/A,INDIRECT(ADDRESS($B183+1,AV$164,1,1,"Confirmed Trend")))</f>
        <v>0.4550782149</v>
      </c>
      <c r="AW183" s="14" cm="1">
        <f t="array" aca="1" ref="AW183" ca="1">IF(INDIRECT(ADDRESS($B183+1,AW$164,1,1,"Confirmed Trend"))=0,#N/A,INDIRECT(ADDRESS($B183+1,AW$164,1,1,"Confirmed Trend")))</f>
        <v>0.4805199275</v>
      </c>
      <c r="AX183" s="14" cm="1">
        <f t="array" aca="1" ref="AX183" ca="1">IF(INDIRECT(ADDRESS($B183+1,AX$164,1,1,"Confirmed Trend"))=0,#N/A,INDIRECT(ADDRESS($B183+1,AX$164,1,1,"Confirmed Trend")))</f>
        <v>0.4776924749</v>
      </c>
      <c r="AY183" s="14" cm="1">
        <f t="array" aca="1" ref="AY183" ca="1">IF(INDIRECT(ADDRESS($B183+1,AY$164,1,1,"Confirmed Trend"))=0,#N/A,INDIRECT(ADDRESS($B183+1,AY$164,1,1,"Confirmed Trend")))</f>
        <v>0.44471277510000001</v>
      </c>
      <c r="AZ183" s="14" cm="1">
        <f t="array" aca="1" ref="AZ183" ca="1">IF(INDIRECT(ADDRESS($B183+1,AZ$164,1,1,"Confirmed Trend"))=0,#N/A,INDIRECT(ADDRESS($B183+1,AZ$164,1,1,"Confirmed Trend")))</f>
        <v>0.39300391169999999</v>
      </c>
      <c r="BA183" s="14" cm="1">
        <f t="array" aca="1" ref="BA183" ca="1">IF(INDIRECT(ADDRESS($B183+1,BA$164,1,1,"Confirmed Trend"))=0,#N/A,INDIRECT(ADDRESS($B183+1,BA$164,1,1,"Confirmed Trend")))</f>
        <v>0.3022130596</v>
      </c>
      <c r="BB183" s="14" cm="1">
        <f t="array" aca="1" ref="BB183" ca="1">IF(INDIRECT(ADDRESS($B183+1,BB$164,1,1,"Confirmed Trend"))=0,#N/A,INDIRECT(ADDRESS($B183+1,BB$164,1,1,"Confirmed Trend")))</f>
        <v>0.26309155150000002</v>
      </c>
      <c r="BC183" s="14" cm="1">
        <f t="array" aca="1" ref="BC183" ca="1">IF(INDIRECT(ADDRESS($B183+1,BC$164,1,1,"Confirmed Trend"))=0,#N/A,INDIRECT(ADDRESS($B183+1,BC$164,1,1,"Confirmed Trend")))</f>
        <v>0.2560493512</v>
      </c>
      <c r="BD183" s="14" cm="1">
        <f t="array" aca="1" ref="BD183" ca="1">IF(INDIRECT(ADDRESS($B183+1,BD$164,1,1,"Confirmed Trend"))=0,#N/A,INDIRECT(ADDRESS($B183+1,BD$164,1,1,"Confirmed Trend")))</f>
        <v>0.28706665329999997</v>
      </c>
      <c r="BE183" s="14" cm="1">
        <f t="array" aca="1" ref="BE183" ca="1">IF(INDIRECT(ADDRESS($B183+1,BE$164,1,1,"Confirmed Trend"))=0,#N/A,INDIRECT(ADDRESS($B183+1,BE$164,1,1,"Confirmed Trend")))</f>
        <v>0.29624127589999999</v>
      </c>
      <c r="BF183" s="14" cm="1">
        <f t="array" aca="1" ref="BF183" ca="1">IF(INDIRECT(ADDRESS($B183+1,BF$164,1,1,"Confirmed Trend"))=0,#N/A,INDIRECT(ADDRESS($B183+1,BF$164,1,1,"Confirmed Trend")))</f>
        <v>0.32657515079999999</v>
      </c>
      <c r="BG183" s="14" cm="1">
        <f t="array" aca="1" ref="BG183" ca="1">IF(INDIRECT(ADDRESS($B183+1,BG$164,1,1,"Confirmed Trend"))=0,#N/A,INDIRECT(ADDRESS($B183+1,BG$164,1,1,"Confirmed Trend")))</f>
        <v>0.31030642949999998</v>
      </c>
      <c r="BH183" s="14" cm="1">
        <f t="array" aca="1" ref="BH183" ca="1">IF(INDIRECT(ADDRESS($B183+1,BH$164,1,1,"Confirmed Trend"))=0,#N/A,INDIRECT(ADDRESS($B183+1,BH$164,1,1,"Confirmed Trend")))</f>
        <v>0.28610114110000001</v>
      </c>
      <c r="BI183" s="14" cm="1">
        <f t="array" aca="1" ref="BI183" ca="1">IF(INDIRECT(ADDRESS($B183+1,BI$164,1,1,"Confirmed Trend"))=0,#N/A,INDIRECT(ADDRESS($B183+1,BI$164,1,1,"Confirmed Trend")))</f>
        <v>0.24594770129999999</v>
      </c>
      <c r="BJ183" s="14" cm="1">
        <f t="array" aca="1" ref="BJ183" ca="1">IF(INDIRECT(ADDRESS($B183+1,BJ$164,1,1,"Confirmed Trend"))=0,#N/A,INDIRECT(ADDRESS($B183+1,BJ$164,1,1,"Confirmed Trend")))</f>
        <v>0.20188107720000001</v>
      </c>
      <c r="BK183" s="14" cm="1">
        <f t="array" aca="1" ref="BK183" ca="1">IF(INDIRECT(ADDRESS($B183+1,BK$164,1,1,"Confirmed Trend"))=0,#N/A,INDIRECT(ADDRESS($B183+1,BK$164,1,1,"Confirmed Trend")))</f>
        <v>0.19847395179999999</v>
      </c>
      <c r="BL183" s="14" cm="1">
        <f t="array" aca="1" ref="BL183" ca="1">IF(INDIRECT(ADDRESS($B183+1,BL$164,1,1,"Confirmed Trend"))=0,#N/A,INDIRECT(ADDRESS($B183+1,BL$164,1,1,"Confirmed Trend")))</f>
        <v>0.2136053621</v>
      </c>
      <c r="BM183" s="14" cm="1">
        <f t="array" aca="1" ref="BM183" ca="1">IF(INDIRECT(ADDRESS($B183+1,BM$164,1,1,"Confirmed Trend"))=0,#N/A,INDIRECT(ADDRESS($B183+1,BM$164,1,1,"Confirmed Trend")))</f>
        <v>0.24013561889999999</v>
      </c>
      <c r="BN183" s="14" cm="1">
        <f t="array" aca="1" ref="BN183" ca="1">IF(INDIRECT(ADDRESS($B183+1,BN$164,1,1,"Confirmed Trend"))=0,#N/A,INDIRECT(ADDRESS($B183+1,BN$164,1,1,"Confirmed Trend")))</f>
        <v>0.23552997780000001</v>
      </c>
      <c r="BO183" s="14" cm="1">
        <f t="array" aca="1" ref="BO183" ca="1">IF(INDIRECT(ADDRESS($B183+1,BO$164,1,1,"Confirmed Trend"))=0,#N/A,INDIRECT(ADDRESS($B183+1,BO$164,1,1,"Confirmed Trend")))</f>
        <v>0.2050974401</v>
      </c>
      <c r="BP183" s="14" cm="1">
        <f t="array" aca="1" ref="BP183" ca="1">IF(INDIRECT(ADDRESS($B183+1,BP$164,1,1,"Confirmed Trend"))=0,#N/A,INDIRECT(ADDRESS($B183+1,BP$164,1,1,"Confirmed Trend")))</f>
        <v>0.16697039329999999</v>
      </c>
      <c r="BQ183" s="14" cm="1">
        <f t="array" aca="1" ref="BQ183" ca="1">IF(INDIRECT(ADDRESS($B183+1,BQ$164,1,1,"Confirmed Trend"))=0,#N/A,INDIRECT(ADDRESS($B183+1,BQ$164,1,1,"Confirmed Trend")))</f>
        <v>0.13926163699999999</v>
      </c>
      <c r="BR183" s="14" cm="1">
        <f t="array" aca="1" ref="BR183" ca="1">IF(INDIRECT(ADDRESS($B183+1,BR$164,1,1,"Confirmed Trend"))=0,#N/A,INDIRECT(ADDRESS($B183+1,BR$164,1,1,"Confirmed Trend")))</f>
        <v>0.11758148879999999</v>
      </c>
      <c r="BS183" s="14" cm="1">
        <f t="array" aca="1" ref="BS183" ca="1">IF(INDIRECT(ADDRESS($B183+1,BS$164,1,1,"Confirmed Trend"))=0,#N/A,INDIRECT(ADDRESS($B183+1,BS$164,1,1,"Confirmed Trend")))</f>
        <v>0.10382082519999999</v>
      </c>
      <c r="BT183" s="14" cm="1">
        <f t="array" aca="1" ref="BT183" ca="1">IF(INDIRECT(ADDRESS($B183+1,BT$164,1,1,"Confirmed Trend"))=0,#N/A,INDIRECT(ADDRESS($B183+1,BT$164,1,1,"Confirmed Trend")))</f>
        <v>9.0612807099999998E-2</v>
      </c>
      <c r="BU183" s="14" cm="1">
        <f t="array" aca="1" ref="BU183" ca="1">IF(INDIRECT(ADDRESS($B183+1,BU$164,1,1,"Confirmed Trend"))=0,#N/A,INDIRECT(ADDRESS($B183+1,BU$164,1,1,"Confirmed Trend")))</f>
        <v>8.30050643E-2</v>
      </c>
      <c r="BV183" s="14" cm="1">
        <f t="array" aca="1" ref="BV183" ca="1">IF(INDIRECT(ADDRESS($B183+1,BV$164,1,1,"Confirmed Trend"))=0,#N/A,INDIRECT(ADDRESS($B183+1,BV$164,1,1,"Confirmed Trend")))</f>
        <v>7.3671723100000003E-2</v>
      </c>
      <c r="BW183" s="14" cm="1">
        <f t="array" aca="1" ref="BW183" ca="1">IF(INDIRECT(ADDRESS($B183+1,BW$164,1,1,"Confirmed Trend"))=0,#N/A,INDIRECT(ADDRESS($B183+1,BW$164,1,1,"Confirmed Trend")))</f>
        <v>6.6918646900000003E-2</v>
      </c>
      <c r="BX183" s="14" cm="1">
        <f t="array" aca="1" ref="BX183" ca="1">IF(INDIRECT(ADDRESS($B183+1,BX$164,1,1,"Confirmed Trend"))=0,#N/A,INDIRECT(ADDRESS($B183+1,BX$164,1,1,"Confirmed Trend")))</f>
        <v>6.1935539400000003E-2</v>
      </c>
      <c r="BY183" s="14" cm="1">
        <f t="array" aca="1" ref="BY183" ca="1">IF(INDIRECT(ADDRESS($B183+1,BY$164,1,1,"Confirmed Trend"))=0,#N/A,INDIRECT(ADDRESS($B183+1,BY$164,1,1,"Confirmed Trend")))</f>
        <v>5.8159394500000003E-2</v>
      </c>
      <c r="BZ183" s="14" cm="1">
        <f t="array" aca="1" ref="BZ183" ca="1">IF(INDIRECT(ADDRESS($B183+1,BZ$164,1,1,"Confirmed Trend"))=0,#N/A,INDIRECT(ADDRESS($B183+1,BZ$164,1,1,"Confirmed Trend")))</f>
        <v>5.6221723899999999E-2</v>
      </c>
      <c r="CA183" s="14" cm="1">
        <f t="array" aca="1" ref="CA183" ca="1">IF(INDIRECT(ADDRESS($B183+1,CA$164,1,1,"Confirmed Trend"))=0,#N/A,INDIRECT(ADDRESS($B183+1,CA$164,1,1,"Confirmed Trend")))</f>
        <v>5.0330956099999997E-2</v>
      </c>
      <c r="CB183" s="14" cm="1">
        <f t="array" aca="1" ref="CB183" ca="1">IF(INDIRECT(ADDRESS($B183+1,CB$164,1,1,"Confirmed Trend"))=0,#N/A,INDIRECT(ADDRESS($B183+1,CB$164,1,1,"Confirmed Trend")))</f>
        <v>4.4258024799999997E-2</v>
      </c>
      <c r="CC183" s="14" cm="1">
        <f t="array" aca="1" ref="CC183" ca="1">IF(INDIRECT(ADDRESS($B183+1,CC$164,1,1,"Confirmed Trend"))=0,#N/A,INDIRECT(ADDRESS($B183+1,CC$164,1,1,"Confirmed Trend")))</f>
        <v>3.7072291E-2</v>
      </c>
      <c r="CD183" s="14" cm="1">
        <f t="array" aca="1" ref="CD183" ca="1">IF(INDIRECT(ADDRESS($B183+1,CD$164,1,1,"Confirmed Trend"))=0,#N/A,INDIRECT(ADDRESS($B183+1,CD$164,1,1,"Confirmed Trend")))</f>
        <v>3.3302099199999997E-2</v>
      </c>
      <c r="CE183" s="14" cm="1">
        <f t="array" aca="1" ref="CE183" ca="1">IF(INDIRECT(ADDRESS($B183+1,CE$164,1,1,"Confirmed Trend"))=0,#N/A,INDIRECT(ADDRESS($B183+1,CE$164,1,1,"Confirmed Trend")))</f>
        <v>3.2571131500000003E-2</v>
      </c>
      <c r="CF183" s="14" cm="1">
        <f t="array" aca="1" ref="CF183" ca="1">IF(INDIRECT(ADDRESS($B183+1,CF$164,1,1,"Confirmed Trend"))=0,#N/A,INDIRECT(ADDRESS($B183+1,CF$164,1,1,"Confirmed Trend")))</f>
        <v>3.2450665599999998E-2</v>
      </c>
      <c r="CG183" s="14" cm="1">
        <f t="array" aca="1" ref="CG183" ca="1">IF(INDIRECT(ADDRESS($B183+1,CG$164,1,1,"Confirmed Trend"))=0,#N/A,INDIRECT(ADDRESS($B183+1,CG$164,1,1,"Confirmed Trend")))</f>
        <v>3.1894002499999997E-2</v>
      </c>
      <c r="CH183" s="14" cm="1">
        <f t="array" aca="1" ref="CH183" ca="1">IF(INDIRECT(ADDRESS($B183+1,CH$164,1,1,"Confirmed Trend"))=0,#N/A,INDIRECT(ADDRESS($B183+1,CH$164,1,1,"Confirmed Trend")))</f>
        <v>2.8122307999999999E-2</v>
      </c>
      <c r="CI183" s="14" cm="1">
        <f t="array" aca="1" ref="CI183" ca="1">IF(INDIRECT(ADDRESS($B183+1,CI$164,1,1,"Confirmed Trend"))=0,#N/A,INDIRECT(ADDRESS($B183+1,CI$164,1,1,"Confirmed Trend")))</f>
        <v>2.3000021499999999E-2</v>
      </c>
      <c r="CJ183" s="14" cm="1">
        <f t="array" aca="1" ref="CJ183" ca="1">IF(INDIRECT(ADDRESS($B183+1,CJ$164,1,1,"Confirmed Trend"))=0,#N/A,INDIRECT(ADDRESS($B183+1,CJ$164,1,1,"Confirmed Trend")))</f>
        <v>1.74723621E-2</v>
      </c>
      <c r="CK183" s="14" cm="1">
        <f t="array" aca="1" ref="CK183" ca="1">IF(INDIRECT(ADDRESS($B183+1,CK$164,1,1,"Confirmed Trend"))=0,#N/A,INDIRECT(ADDRESS($B183+1,CK$164,1,1,"Confirmed Trend")))</f>
        <v>1.4116450799999999E-2</v>
      </c>
      <c r="CL183" s="14" cm="1">
        <f t="array" aca="1" ref="CL183" ca="1">IF(INDIRECT(ADDRESS($B183+1,CL$164,1,1,"Confirmed Trend"))=0,#N/A,INDIRECT(ADDRESS($B183+1,CL$164,1,1,"Confirmed Trend")))</f>
        <v>1.28411258E-2</v>
      </c>
      <c r="CM183" s="14" cm="1">
        <f t="array" aca="1" ref="CM183" ca="1">IF(INDIRECT(ADDRESS($B183+1,CM$164,1,1,"Confirmed Trend"))=0,#N/A,INDIRECT(ADDRESS($B183+1,CM$164,1,1,"Confirmed Trend")))</f>
        <v>1.26689E-2</v>
      </c>
      <c r="CN183" s="14" t="e" cm="1">
        <f t="array" aca="1" ref="CN183" ca="1">IF(INDIRECT(ADDRESS($B183+1,CN$164,1,1,"Confirmed Trend"))=0,#N/A,INDIRECT(ADDRESS($B183+1,CN$164,1,1,"Confirmed Trend")))</f>
        <v>#N/A</v>
      </c>
      <c r="CO183" s="14" t="e" cm="1">
        <f t="array" aca="1" ref="CO183" ca="1">IF(INDIRECT(ADDRESS($B183+1,CO$164,1,1,"Confirmed Trend"))=0,#N/A,INDIRECT(ADDRESS($B183+1,CO$164,1,1,"Confirmed Trend")))</f>
        <v>#N/A</v>
      </c>
      <c r="CP183" s="14" t="e" cm="1">
        <f t="array" aca="1" ref="CP183" ca="1">IF(INDIRECT(ADDRESS($B183+1,CP$164,1,1,"Confirmed Trend"))=0,#N/A,INDIRECT(ADDRESS($B183+1,CP$164,1,1,"Confirmed Trend")))</f>
        <v>#N/A</v>
      </c>
      <c r="CQ183" s="14" t="e" cm="1">
        <f t="array" aca="1" ref="CQ183" ca="1">IF(INDIRECT(ADDRESS($B183+1,CQ$164,1,1,"Confirmed Trend"))=0,#N/A,INDIRECT(ADDRESS($B183+1,CQ$164,1,1,"Confirmed Trend")))</f>
        <v>#N/A</v>
      </c>
      <c r="CR183" s="14" t="e" cm="1">
        <f t="array" aca="1" ref="CR183" ca="1">IF(INDIRECT(ADDRESS($B183+1,CR$164,1,1,"Confirmed Trend"))=0,#N/A,INDIRECT(ADDRESS($B183+1,CR$164,1,1,"Confirmed Trend")))</f>
        <v>#N/A</v>
      </c>
    </row>
    <row r="184" spans="2:96" x14ac:dyDescent="0.25">
      <c r="B184">
        <f t="shared" si="258"/>
        <v>19</v>
      </c>
      <c r="C184" t="str" cm="1">
        <f t="array" aca="1" ref="C184" ca="1">INDIRECT(ADDRESS($B184+1,1,1,1,"Confirmed Trend"))</f>
        <v>US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cm="1">
        <f t="array" aca="1" ref="W184" ca="1">IF(INDIRECT(ADDRESS($B184+1,W$164,1,1,"Confirmed Trend"))=0,#N/A,INDIRECT(ADDRESS($B184+1,W$164,1,1,"Confirmed Trend")))</f>
        <v>1.1051401400000001E-2</v>
      </c>
      <c r="X184" s="14" cm="1">
        <f t="array" aca="1" ref="X184" ca="1">IF(INDIRECT(ADDRESS($B184+1,X$164,1,1,"Confirmed Trend"))=0,#N/A,INDIRECT(ADDRESS($B184+1,X$164,1,1,"Confirmed Trend")))</f>
        <v>1.0930585E-2</v>
      </c>
      <c r="Y184" s="14" cm="1">
        <f t="array" aca="1" ref="Y184" ca="1">IF(INDIRECT(ADDRESS($B184+1,Y$164,1,1,"Confirmed Trend"))=0,#N/A,INDIRECT(ADDRESS($B184+1,Y$164,1,1,"Confirmed Trend")))</f>
        <v>1.08123821E-2</v>
      </c>
      <c r="Z184" s="14" cm="1">
        <f t="array" aca="1" ref="Z184" ca="1">IF(INDIRECT(ADDRESS($B184+1,Z$164,1,1,"Confirmed Trend"))=0,#N/A,INDIRECT(ADDRESS($B184+1,Z$164,1,1,"Confirmed Trend")))</f>
        <v>1.3318511999999999E-2</v>
      </c>
      <c r="AA184" s="14" cm="1">
        <f t="array" aca="1" ref="AA184" ca="1">IF(INDIRECT(ADDRESS($B184+1,AA$164,1,1,"Confirmed Trend"))=0,#N/A,INDIRECT(ADDRESS($B184+1,AA$164,1,1,"Confirmed Trend")))</f>
        <v>1.8308251300000002E-2</v>
      </c>
      <c r="AB184" s="14" cm="1">
        <f t="array" aca="1" ref="AB184" ca="1">IF(INDIRECT(ADDRESS($B184+1,AB$164,1,1,"Confirmed Trend"))=0,#N/A,INDIRECT(ADDRESS($B184+1,AB$164,1,1,"Confirmed Trend")))</f>
        <v>2.3948575999999999E-2</v>
      </c>
      <c r="AC184" s="14" cm="1">
        <f t="array" aca="1" ref="AC184" ca="1">IF(INDIRECT(ADDRESS($B184+1,AC$164,1,1,"Confirmed Trend"))=0,#N/A,INDIRECT(ADDRESS($B184+1,AC$164,1,1,"Confirmed Trend")))</f>
        <v>2.7769120299999998E-2</v>
      </c>
      <c r="AD184" s="14" cm="1">
        <f t="array" aca="1" ref="AD184" ca="1">IF(INDIRECT(ADDRESS($B184+1,AD$164,1,1,"Confirmed Trend"))=0,#N/A,INDIRECT(ADDRESS($B184+1,AD$164,1,1,"Confirmed Trend")))</f>
        <v>2.7218909100000001E-2</v>
      </c>
      <c r="AE184" s="14" cm="1">
        <f t="array" aca="1" ref="AE184" ca="1">IF(INDIRECT(ADDRESS($B184+1,AE$164,1,1,"Confirmed Trend"))=0,#N/A,INDIRECT(ADDRESS($B184+1,AE$164,1,1,"Confirmed Trend")))</f>
        <v>2.4113689099999999E-2</v>
      </c>
      <c r="AF184" s="14" cm="1">
        <f t="array" aca="1" ref="AF184" ca="1">IF(INDIRECT(ADDRESS($B184+1,AF$164,1,1,"Confirmed Trend"))=0,#N/A,INDIRECT(ADDRESS($B184+1,AF$164,1,1,"Confirmed Trend")))</f>
        <v>2.0338786300000002E-2</v>
      </c>
      <c r="AG184" s="14" cm="1">
        <f t="array" aca="1" ref="AG184" ca="1">IF(INDIRECT(ADDRESS($B184+1,AG$164,1,1,"Confirmed Trend"))=0,#N/A,INDIRECT(ADDRESS($B184+1,AG$164,1,1,"Confirmed Trend")))</f>
        <v>1.8356281299999999E-2</v>
      </c>
      <c r="AH184" s="14" cm="1">
        <f t="array" aca="1" ref="AH184" ca="1">IF(INDIRECT(ADDRESS($B184+1,AH$164,1,1,"Confirmed Trend"))=0,#N/A,INDIRECT(ADDRESS($B184+1,AH$164,1,1,"Confirmed Trend")))</f>
        <v>1.8025269999999999E-2</v>
      </c>
      <c r="AI184" s="14" cm="1">
        <f t="array" aca="1" ref="AI184" ca="1">IF(INDIRECT(ADDRESS($B184+1,AI$164,1,1,"Confirmed Trend"))=0,#N/A,INDIRECT(ADDRESS($B184+1,AI$164,1,1,"Confirmed Trend")))</f>
        <v>1.7705989599999999E-2</v>
      </c>
      <c r="AJ184" s="14" cm="1">
        <f t="array" aca="1" ref="AJ184" ca="1">IF(INDIRECT(ADDRESS($B184+1,AJ$164,1,1,"Confirmed Trend"))=0,#N/A,INDIRECT(ADDRESS($B184+1,AJ$164,1,1,"Confirmed Trend")))</f>
        <v>7.8149892299999996E-2</v>
      </c>
      <c r="AK184" s="14" cm="1">
        <f t="array" aca="1" ref="AK184" ca="1">IF(INDIRECT(ADDRESS($B184+1,AK$164,1,1,"Confirmed Trend"))=0,#N/A,INDIRECT(ADDRESS($B184+1,AK$164,1,1,"Confirmed Trend")))</f>
        <v>0.17324098260000001</v>
      </c>
      <c r="AL184" s="14" cm="1">
        <f t="array" aca="1" ref="AL184" ca="1">IF(INDIRECT(ADDRESS($B184+1,AL$164,1,1,"Confirmed Trend"))=0,#N/A,INDIRECT(ADDRESS($B184+1,AL$164,1,1,"Confirmed Trend")))</f>
        <v>0.28063141489999999</v>
      </c>
      <c r="AM184" s="14" cm="1">
        <f t="array" aca="1" ref="AM184" ca="1">IF(INDIRECT(ADDRESS($B184+1,AM$164,1,1,"Confirmed Trend"))=0,#N/A,INDIRECT(ADDRESS($B184+1,AM$164,1,1,"Confirmed Trend")))</f>
        <v>0.3431122318</v>
      </c>
      <c r="AN184" s="14" cm="1">
        <f t="array" aca="1" ref="AN184" ca="1">IF(INDIRECT(ADDRESS($B184+1,AN$164,1,1,"Confirmed Trend"))=0,#N/A,INDIRECT(ADDRESS($B184+1,AN$164,1,1,"Confirmed Trend")))</f>
        <v>0.29983218769999997</v>
      </c>
      <c r="AO184" s="14" cm="1">
        <f t="array" aca="1" ref="AO184" ca="1">IF(INDIRECT(ADDRESS($B184+1,AO$164,1,1,"Confirmed Trend"))=0,#N/A,INDIRECT(ADDRESS($B184+1,AO$164,1,1,"Confirmed Trend")))</f>
        <v>0.20185042519999999</v>
      </c>
      <c r="AP184" s="14" cm="1">
        <f t="array" aca="1" ref="AP184" ca="1">IF(INDIRECT(ADDRESS($B184+1,AP$164,1,1,"Confirmed Trend"))=0,#N/A,INDIRECT(ADDRESS($B184+1,AP$164,1,1,"Confirmed Trend")))</f>
        <v>0.1058928412</v>
      </c>
      <c r="AQ184" s="14" cm="1">
        <f t="array" aca="1" ref="AQ184" ca="1">IF(INDIRECT(ADDRESS($B184+1,AQ$164,1,1,"Confirmed Trend"))=0,#N/A,INDIRECT(ADDRESS($B184+1,AQ$164,1,1,"Confirmed Trend")))</f>
        <v>6.6074641599999998E-2</v>
      </c>
      <c r="AR184" s="14" cm="1">
        <f t="array" aca="1" ref="AR184" ca="1">IF(INDIRECT(ADDRESS($B184+1,AR$164,1,1,"Confirmed Trend"))=0,#N/A,INDIRECT(ADDRESS($B184+1,AR$164,1,1,"Confirmed Trend")))</f>
        <v>5.6717959900000003E-2</v>
      </c>
      <c r="AS184" s="14" cm="1">
        <f t="array" aca="1" ref="AS184" ca="1">IF(INDIRECT(ADDRESS($B184+1,AS$164,1,1,"Confirmed Trend"))=0,#N/A,INDIRECT(ADDRESS($B184+1,AS$164,1,1,"Confirmed Trend")))</f>
        <v>9.1644256800000004E-2</v>
      </c>
      <c r="AT184" s="14" cm="1">
        <f t="array" aca="1" ref="AT184" ca="1">IF(INDIRECT(ADDRESS($B184+1,AT$164,1,1,"Confirmed Trend"))=0,#N/A,INDIRECT(ADDRESS($B184+1,AT$164,1,1,"Confirmed Trend")))</f>
        <v>0.13459270609999999</v>
      </c>
      <c r="AU184" s="14" cm="1">
        <f t="array" aca="1" ref="AU184" ca="1">IF(INDIRECT(ADDRESS($B184+1,AU$164,1,1,"Confirmed Trend"))=0,#N/A,INDIRECT(ADDRESS($B184+1,AU$164,1,1,"Confirmed Trend")))</f>
        <v>0.18357281119999999</v>
      </c>
      <c r="AV184" s="14" cm="1">
        <f t="array" aca="1" ref="AV184" ca="1">IF(INDIRECT(ADDRESS($B184+1,AV$164,1,1,"Confirmed Trend"))=0,#N/A,INDIRECT(ADDRESS($B184+1,AV$164,1,1,"Confirmed Trend")))</f>
        <v>0.24415216049999999</v>
      </c>
      <c r="AW184" s="14" cm="1">
        <f t="array" aca="1" ref="AW184" ca="1">IF(INDIRECT(ADDRESS($B184+1,AW$164,1,1,"Confirmed Trend"))=0,#N/A,INDIRECT(ADDRESS($B184+1,AW$164,1,1,"Confirmed Trend")))</f>
        <v>0.27185353239999999</v>
      </c>
      <c r="AX184" s="14" cm="1">
        <f t="array" aca="1" ref="AX184" ca="1">IF(INDIRECT(ADDRESS($B184+1,AX$164,1,1,"Confirmed Trend"))=0,#N/A,INDIRECT(ADDRESS($B184+1,AX$164,1,1,"Confirmed Trend")))</f>
        <v>0.32021443710000003</v>
      </c>
      <c r="AY184" s="14" cm="1">
        <f t="array" aca="1" ref="AY184" ca="1">IF(INDIRECT(ADDRESS($B184+1,AY$164,1,1,"Confirmed Trend"))=0,#N/A,INDIRECT(ADDRESS($B184+1,AY$164,1,1,"Confirmed Trend")))</f>
        <v>0.34147058149999998</v>
      </c>
      <c r="AZ184" s="14" cm="1">
        <f t="array" aca="1" ref="AZ184" ca="1">IF(INDIRECT(ADDRESS($B184+1,AZ$164,1,1,"Confirmed Trend"))=0,#N/A,INDIRECT(ADDRESS($B184+1,AZ$164,1,1,"Confirmed Trend")))</f>
        <v>0.32748127789999998</v>
      </c>
      <c r="BA184" s="14" cm="1">
        <f t="array" aca="1" ref="BA184" ca="1">IF(INDIRECT(ADDRESS($B184+1,BA$164,1,1,"Confirmed Trend"))=0,#N/A,INDIRECT(ADDRESS($B184+1,BA$164,1,1,"Confirmed Trend")))</f>
        <v>0.34578875190000002</v>
      </c>
      <c r="BB184" s="14" cm="1">
        <f t="array" aca="1" ref="BB184" ca="1">IF(INDIRECT(ADDRESS($B184+1,BB$164,1,1,"Confirmed Trend"))=0,#N/A,INDIRECT(ADDRESS($B184+1,BB$164,1,1,"Confirmed Trend")))</f>
        <v>0.33793107989999999</v>
      </c>
      <c r="BC184" s="14" cm="1">
        <f t="array" aca="1" ref="BC184" ca="1">IF(INDIRECT(ADDRESS($B184+1,BC$164,1,1,"Confirmed Trend"))=0,#N/A,INDIRECT(ADDRESS($B184+1,BC$164,1,1,"Confirmed Trend")))</f>
        <v>0.34801668810000003</v>
      </c>
      <c r="BD184" s="14" cm="1">
        <f t="array" aca="1" ref="BD184" ca="1">IF(INDIRECT(ADDRESS($B184+1,BD$164,1,1,"Confirmed Trend"))=0,#N/A,INDIRECT(ADDRESS($B184+1,BD$164,1,1,"Confirmed Trend")))</f>
        <v>0.35875559000000001</v>
      </c>
      <c r="BE184" s="14" cm="1">
        <f t="array" aca="1" ref="BE184" ca="1">IF(INDIRECT(ADDRESS($B184+1,BE$164,1,1,"Confirmed Trend"))=0,#N/A,INDIRECT(ADDRESS($B184+1,BE$164,1,1,"Confirmed Trend")))</f>
        <v>0.33631243700000002</v>
      </c>
      <c r="BF184" s="14" cm="1">
        <f t="array" aca="1" ref="BF184" ca="1">IF(INDIRECT(ADDRESS($B184+1,BF$164,1,1,"Confirmed Trend"))=0,#N/A,INDIRECT(ADDRESS($B184+1,BF$164,1,1,"Confirmed Trend")))</f>
        <v>0.3135805519</v>
      </c>
      <c r="BG184" s="14" cm="1">
        <f t="array" aca="1" ref="BG184" ca="1">IF(INDIRECT(ADDRESS($B184+1,BG$164,1,1,"Confirmed Trend"))=0,#N/A,INDIRECT(ADDRESS($B184+1,BG$164,1,1,"Confirmed Trend")))</f>
        <v>0.29148040590000002</v>
      </c>
      <c r="BH184" s="14" cm="1">
        <f t="array" aca="1" ref="BH184" ca="1">IF(INDIRECT(ADDRESS($B184+1,BH$164,1,1,"Confirmed Trend"))=0,#N/A,INDIRECT(ADDRESS($B184+1,BH$164,1,1,"Confirmed Trend")))</f>
        <v>0.29822384740000002</v>
      </c>
      <c r="BI184" s="14" cm="1">
        <f t="array" aca="1" ref="BI184" ca="1">IF(INDIRECT(ADDRESS($B184+1,BI$164,1,1,"Confirmed Trend"))=0,#N/A,INDIRECT(ADDRESS($B184+1,BI$164,1,1,"Confirmed Trend")))</f>
        <v>0.30128479419999998</v>
      </c>
      <c r="BJ184" s="14" cm="1">
        <f t="array" aca="1" ref="BJ184" ca="1">IF(INDIRECT(ADDRESS($B184+1,BJ$164,1,1,"Confirmed Trend"))=0,#N/A,INDIRECT(ADDRESS($B184+1,BJ$164,1,1,"Confirmed Trend")))</f>
        <v>0.35040770770000002</v>
      </c>
      <c r="BK184" s="14" cm="1">
        <f t="array" aca="1" ref="BK184" ca="1">IF(INDIRECT(ADDRESS($B184+1,BK$164,1,1,"Confirmed Trend"))=0,#N/A,INDIRECT(ADDRESS($B184+1,BK$164,1,1,"Confirmed Trend")))</f>
        <v>0.39230878850000001</v>
      </c>
      <c r="BL184" s="14" cm="1">
        <f t="array" aca="1" ref="BL184" ca="1">IF(INDIRECT(ADDRESS($B184+1,BL$164,1,1,"Confirmed Trend"))=0,#N/A,INDIRECT(ADDRESS($B184+1,BL$164,1,1,"Confirmed Trend")))</f>
        <v>0.41670942119999999</v>
      </c>
      <c r="BM184" s="14" cm="1">
        <f t="array" aca="1" ref="BM184" ca="1">IF(INDIRECT(ADDRESS($B184+1,BM$164,1,1,"Confirmed Trend"))=0,#N/A,INDIRECT(ADDRESS($B184+1,BM$164,1,1,"Confirmed Trend")))</f>
        <v>0.42719621689999998</v>
      </c>
      <c r="BN184" s="14" cm="1">
        <f t="array" aca="1" ref="BN184" ca="1">IF(INDIRECT(ADDRESS($B184+1,BN$164,1,1,"Confirmed Trend"))=0,#N/A,INDIRECT(ADDRESS($B184+1,BN$164,1,1,"Confirmed Trend")))</f>
        <v>0.38456502910000001</v>
      </c>
      <c r="BO184" s="14" cm="1">
        <f t="array" aca="1" ref="BO184" ca="1">IF(INDIRECT(ADDRESS($B184+1,BO$164,1,1,"Confirmed Trend"))=0,#N/A,INDIRECT(ADDRESS($B184+1,BO$164,1,1,"Confirmed Trend")))</f>
        <v>0.33821088040000002</v>
      </c>
      <c r="BP184" s="14" cm="1">
        <f t="array" aca="1" ref="BP184" ca="1">IF(INDIRECT(ADDRESS($B184+1,BP$164,1,1,"Confirmed Trend"))=0,#N/A,INDIRECT(ADDRESS($B184+1,BP$164,1,1,"Confirmed Trend")))</f>
        <v>0.29203114829999999</v>
      </c>
      <c r="BQ184" s="14" cm="1">
        <f t="array" aca="1" ref="BQ184" ca="1">IF(INDIRECT(ADDRESS($B184+1,BQ$164,1,1,"Confirmed Trend"))=0,#N/A,INDIRECT(ADDRESS($B184+1,BQ$164,1,1,"Confirmed Trend")))</f>
        <v>0.27007739920000001</v>
      </c>
      <c r="BR184" s="14" cm="1">
        <f t="array" aca="1" ref="BR184" ca="1">IF(INDIRECT(ADDRESS($B184+1,BR$164,1,1,"Confirmed Trend"))=0,#N/A,INDIRECT(ADDRESS($B184+1,BR$164,1,1,"Confirmed Trend")))</f>
        <v>0.25061287770000001</v>
      </c>
      <c r="BS184" s="14" cm="1">
        <f t="array" aca="1" ref="BS184" ca="1">IF(INDIRECT(ADDRESS($B184+1,BS$164,1,1,"Confirmed Trend"))=0,#N/A,INDIRECT(ADDRESS($B184+1,BS$164,1,1,"Confirmed Trend")))</f>
        <v>0.23757679809999999</v>
      </c>
      <c r="BT184" s="14" cm="1">
        <f t="array" aca="1" ref="BT184" ca="1">IF(INDIRECT(ADDRESS($B184+1,BT$164,1,1,"Confirmed Trend"))=0,#N/A,INDIRECT(ADDRESS($B184+1,BT$164,1,1,"Confirmed Trend")))</f>
        <v>0.22180009589999999</v>
      </c>
      <c r="BU184" s="14" cm="1">
        <f t="array" aca="1" ref="BU184" ca="1">IF(INDIRECT(ADDRESS($B184+1,BU$164,1,1,"Confirmed Trend"))=0,#N/A,INDIRECT(ADDRESS($B184+1,BU$164,1,1,"Confirmed Trend")))</f>
        <v>0.20180194239999999</v>
      </c>
      <c r="BV184" s="14" cm="1">
        <f t="array" aca="1" ref="BV184" ca="1">IF(INDIRECT(ADDRESS($B184+1,BV$164,1,1,"Confirmed Trend"))=0,#N/A,INDIRECT(ADDRESS($B184+1,BV$164,1,1,"Confirmed Trend")))</f>
        <v>0.1822663263</v>
      </c>
      <c r="BW184" s="14" cm="1">
        <f t="array" aca="1" ref="BW184" ca="1">IF(INDIRECT(ADDRESS($B184+1,BW$164,1,1,"Confirmed Trend"))=0,#N/A,INDIRECT(ADDRESS($B184+1,BW$164,1,1,"Confirmed Trend")))</f>
        <v>0.16393748129999999</v>
      </c>
      <c r="BX184" s="14" cm="1">
        <f t="array" aca="1" ref="BX184" ca="1">IF(INDIRECT(ADDRESS($B184+1,BX$164,1,1,"Confirmed Trend"))=0,#N/A,INDIRECT(ADDRESS($B184+1,BX$164,1,1,"Confirmed Trend")))</f>
        <v>0.15386987129999999</v>
      </c>
      <c r="BY184" s="14" cm="1">
        <f t="array" aca="1" ref="BY184" ca="1">IF(INDIRECT(ADDRESS($B184+1,BY$164,1,1,"Confirmed Trend"))=0,#N/A,INDIRECT(ADDRESS($B184+1,BY$164,1,1,"Confirmed Trend")))</f>
        <v>0.1464115839</v>
      </c>
      <c r="BZ184" s="14" cm="1">
        <f t="array" aca="1" ref="BZ184" ca="1">IF(INDIRECT(ADDRESS($B184+1,BZ$164,1,1,"Confirmed Trend"))=0,#N/A,INDIRECT(ADDRESS($B184+1,BZ$164,1,1,"Confirmed Trend")))</f>
        <v>0.1396802587</v>
      </c>
      <c r="CA184" s="14" cm="1">
        <f t="array" aca="1" ref="CA184" ca="1">IF(INDIRECT(ADDRESS($B184+1,CA$164,1,1,"Confirmed Trend"))=0,#N/A,INDIRECT(ADDRESS($B184+1,CA$164,1,1,"Confirmed Trend")))</f>
        <v>0.13090399480000001</v>
      </c>
      <c r="CB184" s="14" cm="1">
        <f t="array" aca="1" ref="CB184" ca="1">IF(INDIRECT(ADDRESS($B184+1,CB$164,1,1,"Confirmed Trend"))=0,#N/A,INDIRECT(ADDRESS($B184+1,CB$164,1,1,"Confirmed Trend")))</f>
        <v>0.1192244712</v>
      </c>
      <c r="CC184" s="14" cm="1">
        <f t="array" aca="1" ref="CC184" ca="1">IF(INDIRECT(ADDRESS($B184+1,CC$164,1,1,"Confirmed Trend"))=0,#N/A,INDIRECT(ADDRESS($B184+1,CC$164,1,1,"Confirmed Trend")))</f>
        <v>0.10690387799999999</v>
      </c>
      <c r="CD184" s="14" cm="1">
        <f t="array" aca="1" ref="CD184" ca="1">IF(INDIRECT(ADDRESS($B184+1,CD$164,1,1,"Confirmed Trend"))=0,#N/A,INDIRECT(ADDRESS($B184+1,CD$164,1,1,"Confirmed Trend")))</f>
        <v>9.5291817299999998E-2</v>
      </c>
      <c r="CE184" s="14" cm="1">
        <f t="array" aca="1" ref="CE184" ca="1">IF(INDIRECT(ADDRESS($B184+1,CE$164,1,1,"Confirmed Trend"))=0,#N/A,INDIRECT(ADDRESS($B184+1,CE$164,1,1,"Confirmed Trend")))</f>
        <v>8.7039203300000006E-2</v>
      </c>
      <c r="CF184" s="14" cm="1">
        <f t="array" aca="1" ref="CF184" ca="1">IF(INDIRECT(ADDRESS($B184+1,CF$164,1,1,"Confirmed Trend"))=0,#N/A,INDIRECT(ADDRESS($B184+1,CF$164,1,1,"Confirmed Trend")))</f>
        <v>8.1838345800000004E-2</v>
      </c>
      <c r="CG184" s="14" cm="1">
        <f t="array" aca="1" ref="CG184" ca="1">IF(INDIRECT(ADDRESS($B184+1,CG$164,1,1,"Confirmed Trend"))=0,#N/A,INDIRECT(ADDRESS($B184+1,CG$164,1,1,"Confirmed Trend")))</f>
        <v>7.78069391E-2</v>
      </c>
      <c r="CH184" s="14" cm="1">
        <f t="array" aca="1" ref="CH184" ca="1">IF(INDIRECT(ADDRESS($B184+1,CH$164,1,1,"Confirmed Trend"))=0,#N/A,INDIRECT(ADDRESS($B184+1,CH$164,1,1,"Confirmed Trend")))</f>
        <v>7.2703644100000006E-2</v>
      </c>
      <c r="CI184" s="14" cm="1">
        <f t="array" aca="1" ref="CI184" ca="1">IF(INDIRECT(ADDRESS($B184+1,CI$164,1,1,"Confirmed Trend"))=0,#N/A,INDIRECT(ADDRESS($B184+1,CI$164,1,1,"Confirmed Trend")))</f>
        <v>6.6126754699999998E-2</v>
      </c>
      <c r="CJ184" s="14" cm="1">
        <f t="array" aca="1" ref="CJ184" ca="1">IF(INDIRECT(ADDRESS($B184+1,CJ$164,1,1,"Confirmed Trend"))=0,#N/A,INDIRECT(ADDRESS($B184+1,CJ$164,1,1,"Confirmed Trend")))</f>
        <v>5.8865615400000001E-2</v>
      </c>
      <c r="CK184" s="14" cm="1">
        <f t="array" aca="1" ref="CK184" ca="1">IF(INDIRECT(ADDRESS($B184+1,CK$164,1,1,"Confirmed Trend"))=0,#N/A,INDIRECT(ADDRESS($B184+1,CK$164,1,1,"Confirmed Trend")))</f>
        <v>5.2952651400000002E-2</v>
      </c>
      <c r="CL184" s="14" cm="1">
        <f t="array" aca="1" ref="CL184" ca="1">IF(INDIRECT(ADDRESS($B184+1,CL$164,1,1,"Confirmed Trend"))=0,#N/A,INDIRECT(ADDRESS($B184+1,CL$164,1,1,"Confirmed Trend")))</f>
        <v>4.9103341199999997E-2</v>
      </c>
      <c r="CM184" s="14" cm="1">
        <f t="array" aca="1" ref="CM184" ca="1">IF(INDIRECT(ADDRESS($B184+1,CM$164,1,1,"Confirmed Trend"))=0,#N/A,INDIRECT(ADDRESS($B184+1,CM$164,1,1,"Confirmed Trend")))</f>
        <v>4.7821973099999998E-2</v>
      </c>
      <c r="CN184" s="14" t="e" cm="1">
        <f t="array" aca="1" ref="CN184" ca="1">IF(INDIRECT(ADDRESS($B184+1,CN$164,1,1,"Confirmed Trend"))=0,#N/A,INDIRECT(ADDRESS($B184+1,CN$164,1,1,"Confirmed Trend")))</f>
        <v>#N/A</v>
      </c>
      <c r="CO184" s="14" t="e" cm="1">
        <f t="array" aca="1" ref="CO184" ca="1">IF(INDIRECT(ADDRESS($B184+1,CO$164,1,1,"Confirmed Trend"))=0,#N/A,INDIRECT(ADDRESS($B184+1,CO$164,1,1,"Confirmed Trend")))</f>
        <v>#N/A</v>
      </c>
      <c r="CP184" s="14" t="e" cm="1">
        <f t="array" aca="1" ref="CP184" ca="1">IF(INDIRECT(ADDRESS($B184+1,CP$164,1,1,"Confirmed Trend"))=0,#N/A,INDIRECT(ADDRESS($B184+1,CP$164,1,1,"Confirmed Trend")))</f>
        <v>#N/A</v>
      </c>
      <c r="CQ184" s="14" t="e" cm="1">
        <f t="array" aca="1" ref="CQ184" ca="1">IF(INDIRECT(ADDRESS($B184+1,CQ$164,1,1,"Confirmed Trend"))=0,#N/A,INDIRECT(ADDRESS($B184+1,CQ$164,1,1,"Confirmed Trend")))</f>
        <v>#N/A</v>
      </c>
      <c r="CR184" s="14" t="e" cm="1">
        <f t="array" aca="1" ref="CR184" ca="1">IF(INDIRECT(ADDRESS($B184+1,CR$164,1,1,"Confirmed Trend"))=0,#N/A,INDIRECT(ADDRESS($B184+1,CR$164,1,1,"Confirmed Trend")))</f>
        <v>#N/A</v>
      </c>
    </row>
    <row r="185" spans="2:96" x14ac:dyDescent="0.25">
      <c r="B185">
        <f t="shared" si="258"/>
        <v>20</v>
      </c>
      <c r="C185" t="str" cm="1">
        <f t="array" aca="1" ref="C185" ca="1">INDIRECT(ADDRESS($B185+1,1,1,1,"Confirmed Trend"))</f>
        <v>United Kingdom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cm="1">
        <f t="array" aca="1" ref="AI185" ca="1">IF(INDIRECT(ADDRESS($B185+1,AI$164,1,1,"Confirmed Trend"))=0,#N/A,INDIRECT(ADDRESS($B185+1,AI$164,1,1,"Confirmed Trend")))</f>
        <v>3.0805168899999999E-2</v>
      </c>
      <c r="AJ185" s="14" cm="1">
        <f t="array" aca="1" ref="AJ185" ca="1">IF(INDIRECT(ADDRESS($B185+1,AJ$164,1,1,"Confirmed Trend"))=0,#N/A,INDIRECT(ADDRESS($B185+1,AJ$164,1,1,"Confirmed Trend")))</f>
        <v>2.9883572000000001E-2</v>
      </c>
      <c r="AK185" s="14" cm="1">
        <f t="array" aca="1" ref="AK185" ca="1">IF(INDIRECT(ADDRESS($B185+1,AK$164,1,1,"Confirmed Trend"))=0,#N/A,INDIRECT(ADDRESS($B185+1,AK$164,1,1,"Confirmed Trend")))</f>
        <v>2.90155699E-2</v>
      </c>
      <c r="AL185" s="14" cm="1">
        <f t="array" aca="1" ref="AL185" ca="1">IF(INDIRECT(ADDRESS($B185+1,AL$164,1,1,"Confirmed Trend"))=0,#N/A,INDIRECT(ADDRESS($B185+1,AL$164,1,1,"Confirmed Trend")))</f>
        <v>2.8196615299999998E-2</v>
      </c>
      <c r="AM185" s="14" cm="1">
        <f t="array" aca="1" ref="AM185" ca="1">IF(INDIRECT(ADDRESS($B185+1,AM$164,1,1,"Confirmed Trend"))=0,#N/A,INDIRECT(ADDRESS($B185+1,AM$164,1,1,"Confirmed Trend")))</f>
        <v>2.9611007799999998E-2</v>
      </c>
      <c r="AN185" s="14" cm="1">
        <f t="array" aca="1" ref="AN185" ca="1">IF(INDIRECT(ADDRESS($B185+1,AN$164,1,1,"Confirmed Trend"))=0,#N/A,INDIRECT(ADDRESS($B185+1,AN$164,1,1,"Confirmed Trend")))</f>
        <v>3.3047614099999997E-2</v>
      </c>
      <c r="AO185" s="14" cm="1">
        <f t="array" aca="1" ref="AO185" ca="1">IF(INDIRECT(ADDRESS($B185+1,AO$164,1,1,"Confirmed Trend"))=0,#N/A,INDIRECT(ADDRESS($B185+1,AO$164,1,1,"Confirmed Trend")))</f>
        <v>3.8285246299999999E-2</v>
      </c>
      <c r="AP185" s="14" cm="1">
        <f t="array" aca="1" ref="AP185" ca="1">IF(INDIRECT(ADDRESS($B185+1,AP$164,1,1,"Confirmed Trend"))=0,#N/A,INDIRECT(ADDRESS($B185+1,AP$164,1,1,"Confirmed Trend")))</f>
        <v>6.7429536900000003E-2</v>
      </c>
      <c r="AQ185" s="14" cm="1">
        <f t="array" aca="1" ref="AQ185" ca="1">IF(INDIRECT(ADDRESS($B185+1,AQ$164,1,1,"Confirmed Trend"))=0,#N/A,INDIRECT(ADDRESS($B185+1,AQ$164,1,1,"Confirmed Trend")))</f>
        <v>0.1019624863</v>
      </c>
      <c r="AR185" s="14" cm="1">
        <f t="array" aca="1" ref="AR185" ca="1">IF(INDIRECT(ADDRESS($B185+1,AR$164,1,1,"Confirmed Trend"))=0,#N/A,INDIRECT(ADDRESS($B185+1,AR$164,1,1,"Confirmed Trend")))</f>
        <v>0.1781777279</v>
      </c>
      <c r="AS185" s="14" cm="1">
        <f t="array" aca="1" ref="AS185" ca="1">IF(INDIRECT(ADDRESS($B185+1,AS$164,1,1,"Confirmed Trend"))=0,#N/A,INDIRECT(ADDRESS($B185+1,AS$164,1,1,"Confirmed Trend")))</f>
        <v>0.2318042119</v>
      </c>
      <c r="AT185" s="14" cm="1">
        <f t="array" aca="1" ref="AT185" ca="1">IF(INDIRECT(ADDRESS($B185+1,AT$164,1,1,"Confirmed Trend"))=0,#N/A,INDIRECT(ADDRESS($B185+1,AT$164,1,1,"Confirmed Trend")))</f>
        <v>0.26667679659999999</v>
      </c>
      <c r="AU185" s="14" cm="1">
        <f t="array" aca="1" ref="AU185" ca="1">IF(INDIRECT(ADDRESS($B185+1,AU$164,1,1,"Confirmed Trend"))=0,#N/A,INDIRECT(ADDRESS($B185+1,AU$164,1,1,"Confirmed Trend")))</f>
        <v>0.3198396423</v>
      </c>
      <c r="AV185" s="14" cm="1">
        <f t="array" aca="1" ref="AV185" ca="1">IF(INDIRECT(ADDRESS($B185+1,AV$164,1,1,"Confirmed Trend"))=0,#N/A,INDIRECT(ADDRESS($B185+1,AV$164,1,1,"Confirmed Trend")))</f>
        <v>0.3350934263</v>
      </c>
      <c r="AW185" s="14" cm="1">
        <f t="array" aca="1" ref="AW185" ca="1">IF(INDIRECT(ADDRESS($B185+1,AW$164,1,1,"Confirmed Trend"))=0,#N/A,INDIRECT(ADDRESS($B185+1,AW$164,1,1,"Confirmed Trend")))</f>
        <v>0.38378257519999998</v>
      </c>
      <c r="AX185" s="14" cm="1">
        <f t="array" aca="1" ref="AX185" ca="1">IF(INDIRECT(ADDRESS($B185+1,AX$164,1,1,"Confirmed Trend"))=0,#N/A,INDIRECT(ADDRESS($B185+1,AX$164,1,1,"Confirmed Trend")))</f>
        <v>0.39720589779999999</v>
      </c>
      <c r="AY185" s="14" cm="1">
        <f t="array" aca="1" ref="AY185" ca="1">IF(INDIRECT(ADDRESS($B185+1,AY$164,1,1,"Confirmed Trend"))=0,#N/A,INDIRECT(ADDRESS($B185+1,AY$164,1,1,"Confirmed Trend")))</f>
        <v>0.38199219420000002</v>
      </c>
      <c r="AZ185" s="14" cm="1">
        <f t="array" aca="1" ref="AZ185" ca="1">IF(INDIRECT(ADDRESS($B185+1,AZ$164,1,1,"Confirmed Trend"))=0,#N/A,INDIRECT(ADDRESS($B185+1,AZ$164,1,1,"Confirmed Trend")))</f>
        <v>0.33614646300000001</v>
      </c>
      <c r="BA185" s="14" cm="1">
        <f t="array" aca="1" ref="BA185" ca="1">IF(INDIRECT(ADDRESS($B185+1,BA$164,1,1,"Confirmed Trend"))=0,#N/A,INDIRECT(ADDRESS($B185+1,BA$164,1,1,"Confirmed Trend")))</f>
        <v>0.28051832589999998</v>
      </c>
      <c r="BB185" s="14" cm="1">
        <f t="array" aca="1" ref="BB185" ca="1">IF(INDIRECT(ADDRESS($B185+1,BB$164,1,1,"Confirmed Trend"))=0,#N/A,INDIRECT(ADDRESS($B185+1,BB$164,1,1,"Confirmed Trend")))</f>
        <v>0.2439688877</v>
      </c>
      <c r="BC185" s="14" cm="1">
        <f t="array" aca="1" ref="BC185" ca="1">IF(INDIRECT(ADDRESS($B185+1,BC$164,1,1,"Confirmed Trend"))=0,#N/A,INDIRECT(ADDRESS($B185+1,BC$164,1,1,"Confirmed Trend")))</f>
        <v>0.22906725750000001</v>
      </c>
      <c r="BD185" s="14" cm="1">
        <f t="array" aca="1" ref="BD185" ca="1">IF(INDIRECT(ADDRESS($B185+1,BD$164,1,1,"Confirmed Trend"))=0,#N/A,INDIRECT(ADDRESS($B185+1,BD$164,1,1,"Confirmed Trend")))</f>
        <v>0.2382966618</v>
      </c>
      <c r="BE185" s="14" cm="1">
        <f t="array" aca="1" ref="BE185" ca="1">IF(INDIRECT(ADDRESS($B185+1,BE$164,1,1,"Confirmed Trend"))=0,#N/A,INDIRECT(ADDRESS($B185+1,BE$164,1,1,"Confirmed Trend")))</f>
        <v>0.2732374025</v>
      </c>
      <c r="BF185" s="14" cm="1">
        <f t="array" aca="1" ref="BF185" ca="1">IF(INDIRECT(ADDRESS($B185+1,BF$164,1,1,"Confirmed Trend"))=0,#N/A,INDIRECT(ADDRESS($B185+1,BF$164,1,1,"Confirmed Trend")))</f>
        <v>0.29697334240000001</v>
      </c>
      <c r="BG185" s="14" cm="1">
        <f t="array" aca="1" ref="BG185" ca="1">IF(INDIRECT(ADDRESS($B185+1,BG$164,1,1,"Confirmed Trend"))=0,#N/A,INDIRECT(ADDRESS($B185+1,BG$164,1,1,"Confirmed Trend")))</f>
        <v>0.2874150352</v>
      </c>
      <c r="BH185" s="14" cm="1">
        <f t="array" aca="1" ref="BH185" ca="1">IF(INDIRECT(ADDRESS($B185+1,BH$164,1,1,"Confirmed Trend"))=0,#N/A,INDIRECT(ADDRESS($B185+1,BH$164,1,1,"Confirmed Trend")))</f>
        <v>0.26616613090000002</v>
      </c>
      <c r="BI185" s="14" cm="1">
        <f t="array" aca="1" ref="BI185" ca="1">IF(INDIRECT(ADDRESS($B185+1,BI$164,1,1,"Confirmed Trend"))=0,#N/A,INDIRECT(ADDRESS($B185+1,BI$164,1,1,"Confirmed Trend")))</f>
        <v>0.24279149050000001</v>
      </c>
      <c r="BJ185" s="14" cm="1">
        <f t="array" aca="1" ref="BJ185" ca="1">IF(INDIRECT(ADDRESS($B185+1,BJ$164,1,1,"Confirmed Trend"))=0,#N/A,INDIRECT(ADDRESS($B185+1,BJ$164,1,1,"Confirmed Trend")))</f>
        <v>0.2199920366</v>
      </c>
      <c r="BK185" s="14" cm="1">
        <f t="array" aca="1" ref="BK185" ca="1">IF(INDIRECT(ADDRESS($B185+1,BK$164,1,1,"Confirmed Trend"))=0,#N/A,INDIRECT(ADDRESS($B185+1,BK$164,1,1,"Confirmed Trend")))</f>
        <v>0.2328760117</v>
      </c>
      <c r="BL185" s="14" cm="1">
        <f t="array" aca="1" ref="BL185" ca="1">IF(INDIRECT(ADDRESS($B185+1,BL$164,1,1,"Confirmed Trend"))=0,#N/A,INDIRECT(ADDRESS($B185+1,BL$164,1,1,"Confirmed Trend")))</f>
        <v>0.24699794180000001</v>
      </c>
      <c r="BM185" s="14" cm="1">
        <f t="array" aca="1" ref="BM185" ca="1">IF(INDIRECT(ADDRESS($B185+1,BM$164,1,1,"Confirmed Trend"))=0,#N/A,INDIRECT(ADDRESS($B185+1,BM$164,1,1,"Confirmed Trend")))</f>
        <v>0.2446320515</v>
      </c>
      <c r="BN185" s="14" cm="1">
        <f t="array" aca="1" ref="BN185" ca="1">IF(INDIRECT(ADDRESS($B185+1,BN$164,1,1,"Confirmed Trend"))=0,#N/A,INDIRECT(ADDRESS($B185+1,BN$164,1,1,"Confirmed Trend")))</f>
        <v>0.24314624579999999</v>
      </c>
      <c r="BO185" s="14" cm="1">
        <f t="array" aca="1" ref="BO185" ca="1">IF(INDIRECT(ADDRESS($B185+1,BO$164,1,1,"Confirmed Trend"))=0,#N/A,INDIRECT(ADDRESS($B185+1,BO$164,1,1,"Confirmed Trend")))</f>
        <v>0.2172039855</v>
      </c>
      <c r="BP185" s="14" cm="1">
        <f t="array" aca="1" ref="BP185" ca="1">IF(INDIRECT(ADDRESS($B185+1,BP$164,1,1,"Confirmed Trend"))=0,#N/A,INDIRECT(ADDRESS($B185+1,BP$164,1,1,"Confirmed Trend")))</f>
        <v>0.2001932176</v>
      </c>
      <c r="BQ185" s="14" cm="1">
        <f t="array" aca="1" ref="BQ185" ca="1">IF(INDIRECT(ADDRESS($B185+1,BQ$164,1,1,"Confirmed Trend"))=0,#N/A,INDIRECT(ADDRESS($B185+1,BQ$164,1,1,"Confirmed Trend")))</f>
        <v>0.18815288829999999</v>
      </c>
      <c r="BR185" s="14" cm="1">
        <f t="array" aca="1" ref="BR185" ca="1">IF(INDIRECT(ADDRESS($B185+1,BR$164,1,1,"Confirmed Trend"))=0,#N/A,INDIRECT(ADDRESS($B185+1,BR$164,1,1,"Confirmed Trend")))</f>
        <v>0.19791809899999999</v>
      </c>
      <c r="BS185" s="14" cm="1">
        <f t="array" aca="1" ref="BS185" ca="1">IF(INDIRECT(ADDRESS($B185+1,BS$164,1,1,"Confirmed Trend"))=0,#N/A,INDIRECT(ADDRESS($B185+1,BS$164,1,1,"Confirmed Trend")))</f>
        <v>0.20680234459999999</v>
      </c>
      <c r="BT185" s="14" cm="1">
        <f t="array" aca="1" ref="BT185" ca="1">IF(INDIRECT(ADDRESS($B185+1,BT$164,1,1,"Confirmed Trend"))=0,#N/A,INDIRECT(ADDRESS($B185+1,BT$164,1,1,"Confirmed Trend")))</f>
        <v>0.2050778496</v>
      </c>
      <c r="BU185" s="14" cm="1">
        <f t="array" aca="1" ref="BU185" ca="1">IF(INDIRECT(ADDRESS($B185+1,BU$164,1,1,"Confirmed Trend"))=0,#N/A,INDIRECT(ADDRESS($B185+1,BU$164,1,1,"Confirmed Trend")))</f>
        <v>0.1903433273</v>
      </c>
      <c r="BV185" s="14" cm="1">
        <f t="array" aca="1" ref="BV185" ca="1">IF(INDIRECT(ADDRESS($B185+1,BV$164,1,1,"Confirmed Trend"))=0,#N/A,INDIRECT(ADDRESS($B185+1,BV$164,1,1,"Confirmed Trend")))</f>
        <v>0.1693835739</v>
      </c>
      <c r="BW185" s="14" cm="1">
        <f t="array" aca="1" ref="BW185" ca="1">IF(INDIRECT(ADDRESS($B185+1,BW$164,1,1,"Confirmed Trend"))=0,#N/A,INDIRECT(ADDRESS($B185+1,BW$164,1,1,"Confirmed Trend")))</f>
        <v>0.153968402</v>
      </c>
      <c r="BX185" s="14" cm="1">
        <f t="array" aca="1" ref="BX185" ca="1">IF(INDIRECT(ADDRESS($B185+1,BX$164,1,1,"Confirmed Trend"))=0,#N/A,INDIRECT(ADDRESS($B185+1,BX$164,1,1,"Confirmed Trend")))</f>
        <v>0.14636233130000001</v>
      </c>
      <c r="BY185" s="14" cm="1">
        <f t="array" aca="1" ref="BY185" ca="1">IF(INDIRECT(ADDRESS($B185+1,BY$164,1,1,"Confirmed Trend"))=0,#N/A,INDIRECT(ADDRESS($B185+1,BY$164,1,1,"Confirmed Trend")))</f>
        <v>0.14606958370000001</v>
      </c>
      <c r="BZ185" s="14" cm="1">
        <f t="array" aca="1" ref="BZ185" ca="1">IF(INDIRECT(ADDRESS($B185+1,BZ$164,1,1,"Confirmed Trend"))=0,#N/A,INDIRECT(ADDRESS($B185+1,BZ$164,1,1,"Confirmed Trend")))</f>
        <v>0.14237799000000001</v>
      </c>
      <c r="CA185" s="14" cm="1">
        <f t="array" aca="1" ref="CA185" ca="1">IF(INDIRECT(ADDRESS($B185+1,CA$164,1,1,"Confirmed Trend"))=0,#N/A,INDIRECT(ADDRESS($B185+1,CA$164,1,1,"Confirmed Trend")))</f>
        <v>0.13607576690000001</v>
      </c>
      <c r="CB185" s="14" cm="1">
        <f t="array" aca="1" ref="CB185" ca="1">IF(INDIRECT(ADDRESS($B185+1,CB$164,1,1,"Confirmed Trend"))=0,#N/A,INDIRECT(ADDRESS($B185+1,CB$164,1,1,"Confirmed Trend")))</f>
        <v>0.1246225711</v>
      </c>
      <c r="CC185" s="14" cm="1">
        <f t="array" aca="1" ref="CC185" ca="1">IF(INDIRECT(ADDRESS($B185+1,CC$164,1,1,"Confirmed Trend"))=0,#N/A,INDIRECT(ADDRESS($B185+1,CC$164,1,1,"Confirmed Trend")))</f>
        <v>0.11141190099999999</v>
      </c>
      <c r="CD185" s="14" cm="1">
        <f t="array" aca="1" ref="CD185" ca="1">IF(INDIRECT(ADDRESS($B185+1,CD$164,1,1,"Confirmed Trend"))=0,#N/A,INDIRECT(ADDRESS($B185+1,CD$164,1,1,"Confirmed Trend")))</f>
        <v>0.10162154230000001</v>
      </c>
      <c r="CE185" s="14" cm="1">
        <f t="array" aca="1" ref="CE185" ca="1">IF(INDIRECT(ADDRESS($B185+1,CE$164,1,1,"Confirmed Trend"))=0,#N/A,INDIRECT(ADDRESS($B185+1,CE$164,1,1,"Confirmed Trend")))</f>
        <v>9.0819070200000004E-2</v>
      </c>
      <c r="CF185" s="14" cm="1">
        <f t="array" aca="1" ref="CF185" ca="1">IF(INDIRECT(ADDRESS($B185+1,CF$164,1,1,"Confirmed Trend"))=0,#N/A,INDIRECT(ADDRESS($B185+1,CF$164,1,1,"Confirmed Trend")))</f>
        <v>9.0119539100000007E-2</v>
      </c>
      <c r="CG185" s="14" cm="1">
        <f t="array" aca="1" ref="CG185" ca="1">IF(INDIRECT(ADDRESS($B185+1,CG$164,1,1,"Confirmed Trend"))=0,#N/A,INDIRECT(ADDRESS($B185+1,CG$164,1,1,"Confirmed Trend")))</f>
        <v>8.9395898299999998E-2</v>
      </c>
      <c r="CH185" s="14" cm="1">
        <f t="array" aca="1" ref="CH185" ca="1">IF(INDIRECT(ADDRESS($B185+1,CH$164,1,1,"Confirmed Trend"))=0,#N/A,INDIRECT(ADDRESS($B185+1,CH$164,1,1,"Confirmed Trend")))</f>
        <v>9.0542066899999996E-2</v>
      </c>
      <c r="CI185" s="14" cm="1">
        <f t="array" aca="1" ref="CI185" ca="1">IF(INDIRECT(ADDRESS($B185+1,CI$164,1,1,"Confirmed Trend"))=0,#N/A,INDIRECT(ADDRESS($B185+1,CI$164,1,1,"Confirmed Trend")))</f>
        <v>8.6056279400000005E-2</v>
      </c>
      <c r="CJ185" s="14" cm="1">
        <f t="array" aca="1" ref="CJ185" ca="1">IF(INDIRECT(ADDRESS($B185+1,CJ$164,1,1,"Confirmed Trend"))=0,#N/A,INDIRECT(ADDRESS($B185+1,CJ$164,1,1,"Confirmed Trend")))</f>
        <v>7.5258147299999995E-2</v>
      </c>
      <c r="CK185" s="14" cm="1">
        <f t="array" aca="1" ref="CK185" ca="1">IF(INDIRECT(ADDRESS($B185+1,CK$164,1,1,"Confirmed Trend"))=0,#N/A,INDIRECT(ADDRESS($B185+1,CK$164,1,1,"Confirmed Trend")))</f>
        <v>6.5706362800000001E-2</v>
      </c>
      <c r="CL185" s="14" cm="1">
        <f t="array" aca="1" ref="CL185" ca="1">IF(INDIRECT(ADDRESS($B185+1,CL$164,1,1,"Confirmed Trend"))=0,#N/A,INDIRECT(ADDRESS($B185+1,CL$164,1,1,"Confirmed Trend")))</f>
        <v>5.6618342600000003E-2</v>
      </c>
      <c r="CM185" s="14" cm="1">
        <f t="array" aca="1" ref="CM185" ca="1">IF(INDIRECT(ADDRESS($B185+1,CM$164,1,1,"Confirmed Trend"))=0,#N/A,INDIRECT(ADDRESS($B185+1,CM$164,1,1,"Confirmed Trend")))</f>
        <v>5.3485674499999997E-2</v>
      </c>
      <c r="CN185" s="14" t="e" cm="1">
        <f t="array" aca="1" ref="CN185" ca="1">IF(INDIRECT(ADDRESS($B185+1,CN$164,1,1,"Confirmed Trend"))=0,#N/A,INDIRECT(ADDRESS($B185+1,CN$164,1,1,"Confirmed Trend")))</f>
        <v>#N/A</v>
      </c>
      <c r="CO185" s="14" t="e" cm="1">
        <f t="array" aca="1" ref="CO185" ca="1">IF(INDIRECT(ADDRESS($B185+1,CO$164,1,1,"Confirmed Trend"))=0,#N/A,INDIRECT(ADDRESS($B185+1,CO$164,1,1,"Confirmed Trend")))</f>
        <v>#N/A</v>
      </c>
      <c r="CP185" s="14" t="e" cm="1">
        <f t="array" aca="1" ref="CP185" ca="1">IF(INDIRECT(ADDRESS($B185+1,CP$164,1,1,"Confirmed Trend"))=0,#N/A,INDIRECT(ADDRESS($B185+1,CP$164,1,1,"Confirmed Trend")))</f>
        <v>#N/A</v>
      </c>
      <c r="CQ185" s="14" t="e" cm="1">
        <f t="array" aca="1" ref="CQ185" ca="1">IF(INDIRECT(ADDRESS($B185+1,CQ$164,1,1,"Confirmed Trend"))=0,#N/A,INDIRECT(ADDRESS($B185+1,CQ$164,1,1,"Confirmed Trend")))</f>
        <v>#N/A</v>
      </c>
      <c r="CR185" s="14" t="e" cm="1">
        <f t="array" aca="1" ref="CR185" ca="1">IF(INDIRECT(ADDRESS($B185+1,CR$164,1,1,"Confirmed Trend"))=0,#N/A,INDIRECT(ADDRESS($B185+1,CR$164,1,1,"Confirmed Trend")))</f>
        <v>#N/A</v>
      </c>
    </row>
    <row r="186" spans="2:96" x14ac:dyDescent="0.25">
      <c r="B186">
        <f t="shared" si="258"/>
        <v>21</v>
      </c>
      <c r="C186" cm="1">
        <f t="array" aca="1" ref="C186" ca="1">INDIRECT(ADDRESS($B186+1,1,1,1,"Confirmed Trend"))</f>
        <v>0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t="e" cm="1">
        <f t="array" aca="1" ref="BM186" ca="1">IF(INDIRECT(ADDRESS($B186+1,BM$164,1,1,"Confirmed Trend"))=0,#N/A,INDIRECT(ADDRESS($B186+1,BM$164,1,1,"Confirmed Trend")))</f>
        <v>#N/A</v>
      </c>
      <c r="BN186" s="14" t="e" cm="1">
        <f t="array" aca="1" ref="BN186" ca="1">IF(INDIRECT(ADDRESS($B186+1,BN$164,1,1,"Confirmed Trend"))=0,#N/A,INDIRECT(ADDRESS($B186+1,BN$164,1,1,"Confirmed Trend")))</f>
        <v>#N/A</v>
      </c>
      <c r="BO186" s="14" t="e" cm="1">
        <f t="array" aca="1" ref="BO186" ca="1">IF(INDIRECT(ADDRESS($B186+1,BO$164,1,1,"Confirmed Trend"))=0,#N/A,INDIRECT(ADDRESS($B186+1,BO$164,1,1,"Confirmed Trend")))</f>
        <v>#N/A</v>
      </c>
      <c r="BP186" s="14" t="e" cm="1">
        <f t="array" aca="1" ref="BP186" ca="1">IF(INDIRECT(ADDRESS($B186+1,BP$164,1,1,"Confirmed Trend"))=0,#N/A,INDIRECT(ADDRESS($B186+1,BP$164,1,1,"Confirmed Trend")))</f>
        <v>#N/A</v>
      </c>
      <c r="BQ186" s="14" t="e" cm="1">
        <f t="array" aca="1" ref="BQ186" ca="1">IF(INDIRECT(ADDRESS($B186+1,BQ$164,1,1,"Confirmed Trend"))=0,#N/A,INDIRECT(ADDRESS($B186+1,BQ$164,1,1,"Confirmed Trend")))</f>
        <v>#N/A</v>
      </c>
      <c r="BR186" s="14" t="e" cm="1">
        <f t="array" aca="1" ref="BR186" ca="1">IF(INDIRECT(ADDRESS($B186+1,BR$164,1,1,"Confirmed Trend"))=0,#N/A,INDIRECT(ADDRESS($B186+1,BR$164,1,1,"Confirmed Trend")))</f>
        <v>#N/A</v>
      </c>
      <c r="BS186" s="14" t="e" cm="1">
        <f t="array" aca="1" ref="BS186" ca="1">IF(INDIRECT(ADDRESS($B186+1,BS$164,1,1,"Confirmed Trend"))=0,#N/A,INDIRECT(ADDRESS($B186+1,BS$164,1,1,"Confirmed Trend")))</f>
        <v>#N/A</v>
      </c>
      <c r="BT186" s="14" t="e" cm="1">
        <f t="array" aca="1" ref="BT186" ca="1">IF(INDIRECT(ADDRESS($B186+1,BT$164,1,1,"Confirmed Trend"))=0,#N/A,INDIRECT(ADDRESS($B186+1,BT$164,1,1,"Confirmed Trend")))</f>
        <v>#N/A</v>
      </c>
      <c r="BU186" s="14" t="e" cm="1">
        <f t="array" aca="1" ref="BU186" ca="1">IF(INDIRECT(ADDRESS($B186+1,BU$164,1,1,"Confirmed Trend"))=0,#N/A,INDIRECT(ADDRESS($B186+1,BU$164,1,1,"Confirmed Trend")))</f>
        <v>#N/A</v>
      </c>
      <c r="BV186" s="14" t="e" cm="1">
        <f t="array" aca="1" ref="BV186" ca="1">IF(INDIRECT(ADDRESS($B186+1,BV$164,1,1,"Confirmed Trend"))=0,#N/A,INDIRECT(ADDRESS($B186+1,BV$164,1,1,"Confirmed Trend")))</f>
        <v>#N/A</v>
      </c>
      <c r="BW186" s="14" t="e" cm="1">
        <f t="array" aca="1" ref="BW186" ca="1">IF(INDIRECT(ADDRESS($B186+1,BW$164,1,1,"Confirmed Trend"))=0,#N/A,INDIRECT(ADDRESS($B186+1,BW$164,1,1,"Confirmed Trend")))</f>
        <v>#N/A</v>
      </c>
      <c r="BX186" s="14" t="e" cm="1">
        <f t="array" aca="1" ref="BX186" ca="1">IF(INDIRECT(ADDRESS($B186+1,BX$164,1,1,"Confirmed Trend"))=0,#N/A,INDIRECT(ADDRESS($B186+1,BX$164,1,1,"Confirmed Trend")))</f>
        <v>#N/A</v>
      </c>
      <c r="BY186" s="14" t="e" cm="1">
        <f t="array" aca="1" ref="BY186" ca="1">IF(INDIRECT(ADDRESS($B186+1,BY$164,1,1,"Confirmed Trend"))=0,#N/A,INDIRECT(ADDRESS($B186+1,BY$164,1,1,"Confirmed Trend")))</f>
        <v>#N/A</v>
      </c>
      <c r="BZ186" s="14" t="e" cm="1">
        <f t="array" aca="1" ref="BZ186" ca="1">IF(INDIRECT(ADDRESS($B186+1,BZ$164,1,1,"Confirmed Trend"))=0,#N/A,INDIRECT(ADDRESS($B186+1,BZ$164,1,1,"Confirmed Trend")))</f>
        <v>#N/A</v>
      </c>
      <c r="CA186" s="14" t="e" cm="1">
        <f t="array" aca="1" ref="CA186" ca="1">IF(INDIRECT(ADDRESS($B186+1,CA$164,1,1,"Confirmed Trend"))=0,#N/A,INDIRECT(ADDRESS($B186+1,CA$164,1,1,"Confirmed Trend")))</f>
        <v>#N/A</v>
      </c>
      <c r="CB186" s="14" t="e" cm="1">
        <f t="array" aca="1" ref="CB186" ca="1">IF(INDIRECT(ADDRESS($B186+1,CB$164,1,1,"Confirmed Trend"))=0,#N/A,INDIRECT(ADDRESS($B186+1,CB$164,1,1,"Confirmed Trend")))</f>
        <v>#N/A</v>
      </c>
      <c r="CC186" s="14" t="e" cm="1">
        <f t="array" aca="1" ref="CC186" ca="1">IF(INDIRECT(ADDRESS($B186+1,CC$164,1,1,"Confirmed Trend"))=0,#N/A,INDIRECT(ADDRESS($B186+1,CC$164,1,1,"Confirmed Trend")))</f>
        <v>#N/A</v>
      </c>
      <c r="CD186" s="14" t="e" cm="1">
        <f t="array" aca="1" ref="CD186" ca="1">IF(INDIRECT(ADDRESS($B186+1,CD$164,1,1,"Confirmed Trend"))=0,#N/A,INDIRECT(ADDRESS($B186+1,CD$164,1,1,"Confirmed Trend")))</f>
        <v>#N/A</v>
      </c>
      <c r="CE186" s="14" t="e" cm="1">
        <f t="array" aca="1" ref="CE186" ca="1">IF(INDIRECT(ADDRESS($B186+1,CE$164,1,1,"Confirmed Trend"))=0,#N/A,INDIRECT(ADDRESS($B186+1,CE$164,1,1,"Confirmed Trend")))</f>
        <v>#N/A</v>
      </c>
      <c r="CF186" s="14" t="e" cm="1">
        <f t="array" aca="1" ref="CF186" ca="1">IF(INDIRECT(ADDRESS($B186+1,CF$164,1,1,"Confirmed Trend"))=0,#N/A,INDIRECT(ADDRESS($B186+1,CF$164,1,1,"Confirmed Trend")))</f>
        <v>#N/A</v>
      </c>
      <c r="CG186" s="14" t="e" cm="1">
        <f t="array" aca="1" ref="CG186" ca="1">IF(INDIRECT(ADDRESS($B186+1,CG$164,1,1,"Confirmed Trend"))=0,#N/A,INDIRECT(ADDRESS($B186+1,CG$164,1,1,"Confirmed Trend")))</f>
        <v>#N/A</v>
      </c>
      <c r="CH186" s="14" t="e" cm="1">
        <f t="array" aca="1" ref="CH186" ca="1">IF(INDIRECT(ADDRESS($B186+1,CH$164,1,1,"Confirmed Trend"))=0,#N/A,INDIRECT(ADDRESS($B186+1,CH$164,1,1,"Confirmed Trend")))</f>
        <v>#N/A</v>
      </c>
      <c r="CI186" s="14" t="e" cm="1">
        <f t="array" aca="1" ref="CI186" ca="1">IF(INDIRECT(ADDRESS($B186+1,CI$164,1,1,"Confirmed Trend"))=0,#N/A,INDIRECT(ADDRESS($B186+1,CI$164,1,1,"Confirmed Trend")))</f>
        <v>#N/A</v>
      </c>
      <c r="CJ186" s="14" t="e" cm="1">
        <f t="array" aca="1" ref="CJ186" ca="1">IF(INDIRECT(ADDRESS($B186+1,CJ$164,1,1,"Confirmed Trend"))=0,#N/A,INDIRECT(ADDRESS($B186+1,CJ$164,1,1,"Confirmed Trend")))</f>
        <v>#N/A</v>
      </c>
      <c r="CK186" s="14" t="e" cm="1">
        <f t="array" aca="1" ref="CK186" ca="1">IF(INDIRECT(ADDRESS($B186+1,CK$164,1,1,"Confirmed Trend"))=0,#N/A,INDIRECT(ADDRESS($B186+1,CK$164,1,1,"Confirmed Trend")))</f>
        <v>#N/A</v>
      </c>
      <c r="CL186" s="14" t="e" cm="1">
        <f t="array" aca="1" ref="CL186" ca="1">IF(INDIRECT(ADDRESS($B186+1,CL$164,1,1,"Confirmed Trend"))=0,#N/A,INDIRECT(ADDRESS($B186+1,CL$164,1,1,"Confirmed Trend")))</f>
        <v>#N/A</v>
      </c>
      <c r="CM186" s="14" t="e" cm="1">
        <f t="array" aca="1" ref="CM186" ca="1">IF(INDIRECT(ADDRESS($B186+1,CM$164,1,1,"Confirmed Trend"))=0,#N/A,INDIRECT(ADDRESS($B186+1,CM$164,1,1,"Confirmed Trend")))</f>
        <v>#N/A</v>
      </c>
      <c r="CN186" s="14" t="e" cm="1">
        <f t="array" aca="1" ref="CN186" ca="1">IF(INDIRECT(ADDRESS($B186+1,CN$164,1,1,"Confirmed Trend"))=0,#N/A,INDIRECT(ADDRESS($B186+1,CN$164,1,1,"Confirmed Trend")))</f>
        <v>#N/A</v>
      </c>
      <c r="CO186" s="14" t="e" cm="1">
        <f t="array" aca="1" ref="CO186" ca="1">IF(INDIRECT(ADDRESS($B186+1,CO$164,1,1,"Confirmed Trend"))=0,#N/A,INDIRECT(ADDRESS($B186+1,CO$164,1,1,"Confirmed Trend")))</f>
        <v>#N/A</v>
      </c>
      <c r="CP186" s="14" t="e" cm="1">
        <f t="array" aca="1" ref="CP186" ca="1">IF(INDIRECT(ADDRESS($B186+1,CP$164,1,1,"Confirmed Trend"))=0,#N/A,INDIRECT(ADDRESS($B186+1,CP$164,1,1,"Confirmed Trend")))</f>
        <v>#N/A</v>
      </c>
      <c r="CQ186" s="14" t="e" cm="1">
        <f t="array" aca="1" ref="CQ186" ca="1">IF(INDIRECT(ADDRESS($B186+1,CQ$164,1,1,"Confirmed Trend"))=0,#N/A,INDIRECT(ADDRESS($B186+1,CQ$164,1,1,"Confirmed Trend")))</f>
        <v>#N/A</v>
      </c>
      <c r="CR186" s="14" t="e" cm="1">
        <f t="array" aca="1" ref="CR186" ca="1">IF(INDIRECT(ADDRESS($B186+1,CR$164,1,1,"Confirmed Trend"))=0,#N/A,INDIRECT(ADDRESS($B186+1,CR$164,1,1,"Confirmed Trend")))</f>
        <v>#N/A</v>
      </c>
    </row>
    <row r="187" spans="2:96" x14ac:dyDescent="0.25">
      <c r="B187">
        <f t="shared" si="258"/>
        <v>22</v>
      </c>
      <c r="C187" cm="1">
        <f t="array" aca="1" ref="C187" ca="1">INDIRECT(ADDRESS($B187+1,1,1,1,"Confirmed Trend"))</f>
        <v>0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t="e" cm="1">
        <f t="array" aca="1" ref="BB187" ca="1">IF(INDIRECT(ADDRESS($B187+1,BB$164,1,1,"Confirmed Trend"))=0,#N/A,INDIRECT(ADDRESS($B187+1,BB$164,1,1,"Confirmed Trend")))</f>
        <v>#N/A</v>
      </c>
      <c r="BC187" s="14" t="e" cm="1">
        <f t="array" aca="1" ref="BC187" ca="1">IF(INDIRECT(ADDRESS($B187+1,BC$164,1,1,"Confirmed Trend"))=0,#N/A,INDIRECT(ADDRESS($B187+1,BC$164,1,1,"Confirmed Trend")))</f>
        <v>#N/A</v>
      </c>
      <c r="BD187" s="14" t="e" cm="1">
        <f t="array" aca="1" ref="BD187" ca="1">IF(INDIRECT(ADDRESS($B187+1,BD$164,1,1,"Confirmed Trend"))=0,#N/A,INDIRECT(ADDRESS($B187+1,BD$164,1,1,"Confirmed Trend")))</f>
        <v>#N/A</v>
      </c>
      <c r="BE187" s="14" t="e" cm="1">
        <f t="array" aca="1" ref="BE187" ca="1">IF(INDIRECT(ADDRESS($B187+1,BE$164,1,1,"Confirmed Trend"))=0,#N/A,INDIRECT(ADDRESS($B187+1,BE$164,1,1,"Confirmed Trend")))</f>
        <v>#N/A</v>
      </c>
      <c r="BF187" s="14" t="e" cm="1">
        <f t="array" aca="1" ref="BF187" ca="1">IF(INDIRECT(ADDRESS($B187+1,BF$164,1,1,"Confirmed Trend"))=0,#N/A,INDIRECT(ADDRESS($B187+1,BF$164,1,1,"Confirmed Trend")))</f>
        <v>#N/A</v>
      </c>
      <c r="BG187" s="14" t="e" cm="1">
        <f t="array" aca="1" ref="BG187" ca="1">IF(INDIRECT(ADDRESS($B187+1,BG$164,1,1,"Confirmed Trend"))=0,#N/A,INDIRECT(ADDRESS($B187+1,BG$164,1,1,"Confirmed Trend")))</f>
        <v>#N/A</v>
      </c>
      <c r="BH187" s="14" t="e" cm="1">
        <f t="array" aca="1" ref="BH187" ca="1">IF(INDIRECT(ADDRESS($B187+1,BH$164,1,1,"Confirmed Trend"))=0,#N/A,INDIRECT(ADDRESS($B187+1,BH$164,1,1,"Confirmed Trend")))</f>
        <v>#N/A</v>
      </c>
      <c r="BI187" s="14" t="e" cm="1">
        <f t="array" aca="1" ref="BI187" ca="1">IF(INDIRECT(ADDRESS($B187+1,BI$164,1,1,"Confirmed Trend"))=0,#N/A,INDIRECT(ADDRESS($B187+1,BI$164,1,1,"Confirmed Trend")))</f>
        <v>#N/A</v>
      </c>
      <c r="BJ187" s="14" t="e" cm="1">
        <f t="array" aca="1" ref="BJ187" ca="1">IF(INDIRECT(ADDRESS($B187+1,BJ$164,1,1,"Confirmed Trend"))=0,#N/A,INDIRECT(ADDRESS($B187+1,BJ$164,1,1,"Confirmed Trend")))</f>
        <v>#N/A</v>
      </c>
      <c r="BK187" s="14" t="e" cm="1">
        <f t="array" aca="1" ref="BK187" ca="1">IF(INDIRECT(ADDRESS($B187+1,BK$164,1,1,"Confirmed Trend"))=0,#N/A,INDIRECT(ADDRESS($B187+1,BK$164,1,1,"Confirmed Trend")))</f>
        <v>#N/A</v>
      </c>
      <c r="BL187" s="14" t="e" cm="1">
        <f t="array" aca="1" ref="BL187" ca="1">IF(INDIRECT(ADDRESS($B187+1,BL$164,1,1,"Confirmed Trend"))=0,#N/A,INDIRECT(ADDRESS($B187+1,BL$164,1,1,"Confirmed Trend")))</f>
        <v>#N/A</v>
      </c>
      <c r="BM187" s="14" t="e" cm="1">
        <f t="array" aca="1" ref="BM187" ca="1">IF(INDIRECT(ADDRESS($B187+1,BM$164,1,1,"Confirmed Trend"))=0,#N/A,INDIRECT(ADDRESS($B187+1,BM$164,1,1,"Confirmed Trend")))</f>
        <v>#N/A</v>
      </c>
      <c r="BN187" s="14" t="e" cm="1">
        <f t="array" aca="1" ref="BN187" ca="1">IF(INDIRECT(ADDRESS($B187+1,BN$164,1,1,"Confirmed Trend"))=0,#N/A,INDIRECT(ADDRESS($B187+1,BN$164,1,1,"Confirmed Trend")))</f>
        <v>#N/A</v>
      </c>
      <c r="BO187" s="14" t="e" cm="1">
        <f t="array" aca="1" ref="BO187" ca="1">IF(INDIRECT(ADDRESS($B187+1,BO$164,1,1,"Confirmed Trend"))=0,#N/A,INDIRECT(ADDRESS($B187+1,BO$164,1,1,"Confirmed Trend")))</f>
        <v>#N/A</v>
      </c>
      <c r="BP187" s="14" t="e" cm="1">
        <f t="array" aca="1" ref="BP187" ca="1">IF(INDIRECT(ADDRESS($B187+1,BP$164,1,1,"Confirmed Trend"))=0,#N/A,INDIRECT(ADDRESS($B187+1,BP$164,1,1,"Confirmed Trend")))</f>
        <v>#N/A</v>
      </c>
      <c r="BQ187" s="14" t="e" cm="1">
        <f t="array" aca="1" ref="BQ187" ca="1">IF(INDIRECT(ADDRESS($B187+1,BQ$164,1,1,"Confirmed Trend"))=0,#N/A,INDIRECT(ADDRESS($B187+1,BQ$164,1,1,"Confirmed Trend")))</f>
        <v>#N/A</v>
      </c>
      <c r="BR187" s="14" t="e" cm="1">
        <f t="array" aca="1" ref="BR187" ca="1">IF(INDIRECT(ADDRESS($B187+1,BR$164,1,1,"Confirmed Trend"))=0,#N/A,INDIRECT(ADDRESS($B187+1,BR$164,1,1,"Confirmed Trend")))</f>
        <v>#N/A</v>
      </c>
      <c r="BS187" s="14" t="e" cm="1">
        <f t="array" aca="1" ref="BS187" ca="1">IF(INDIRECT(ADDRESS($B187+1,BS$164,1,1,"Confirmed Trend"))=0,#N/A,INDIRECT(ADDRESS($B187+1,BS$164,1,1,"Confirmed Trend")))</f>
        <v>#N/A</v>
      </c>
      <c r="BT187" s="14" t="e" cm="1">
        <f t="array" aca="1" ref="BT187" ca="1">IF(INDIRECT(ADDRESS($B187+1,BT$164,1,1,"Confirmed Trend"))=0,#N/A,INDIRECT(ADDRESS($B187+1,BT$164,1,1,"Confirmed Trend")))</f>
        <v>#N/A</v>
      </c>
      <c r="BU187" s="14" t="e" cm="1">
        <f t="array" aca="1" ref="BU187" ca="1">IF(INDIRECT(ADDRESS($B187+1,BU$164,1,1,"Confirmed Trend"))=0,#N/A,INDIRECT(ADDRESS($B187+1,BU$164,1,1,"Confirmed Trend")))</f>
        <v>#N/A</v>
      </c>
      <c r="BV187" s="14" t="e" cm="1">
        <f t="array" aca="1" ref="BV187" ca="1">IF(INDIRECT(ADDRESS($B187+1,BV$164,1,1,"Confirmed Trend"))=0,#N/A,INDIRECT(ADDRESS($B187+1,BV$164,1,1,"Confirmed Trend")))</f>
        <v>#N/A</v>
      </c>
      <c r="BW187" s="14" t="e" cm="1">
        <f t="array" aca="1" ref="BW187" ca="1">IF(INDIRECT(ADDRESS($B187+1,BW$164,1,1,"Confirmed Trend"))=0,#N/A,INDIRECT(ADDRESS($B187+1,BW$164,1,1,"Confirmed Trend")))</f>
        <v>#N/A</v>
      </c>
      <c r="BX187" s="14" t="e" cm="1">
        <f t="array" aca="1" ref="BX187" ca="1">IF(INDIRECT(ADDRESS($B187+1,BX$164,1,1,"Confirmed Trend"))=0,#N/A,INDIRECT(ADDRESS($B187+1,BX$164,1,1,"Confirmed Trend")))</f>
        <v>#N/A</v>
      </c>
      <c r="BY187" s="14" t="e" cm="1">
        <f t="array" aca="1" ref="BY187" ca="1">IF(INDIRECT(ADDRESS($B187+1,BY$164,1,1,"Confirmed Trend"))=0,#N/A,INDIRECT(ADDRESS($B187+1,BY$164,1,1,"Confirmed Trend")))</f>
        <v>#N/A</v>
      </c>
      <c r="BZ187" s="14" t="e" cm="1">
        <f t="array" aca="1" ref="BZ187" ca="1">IF(INDIRECT(ADDRESS($B187+1,BZ$164,1,1,"Confirmed Trend"))=0,#N/A,INDIRECT(ADDRESS($B187+1,BZ$164,1,1,"Confirmed Trend")))</f>
        <v>#N/A</v>
      </c>
      <c r="CA187" s="14" t="e" cm="1">
        <f t="array" aca="1" ref="CA187" ca="1">IF(INDIRECT(ADDRESS($B187+1,CA$164,1,1,"Confirmed Trend"))=0,#N/A,INDIRECT(ADDRESS($B187+1,CA$164,1,1,"Confirmed Trend")))</f>
        <v>#N/A</v>
      </c>
      <c r="CB187" s="14" t="e" cm="1">
        <f t="array" aca="1" ref="CB187" ca="1">IF(INDIRECT(ADDRESS($B187+1,CB$164,1,1,"Confirmed Trend"))=0,#N/A,INDIRECT(ADDRESS($B187+1,CB$164,1,1,"Confirmed Trend")))</f>
        <v>#N/A</v>
      </c>
      <c r="CC187" s="14" t="e" cm="1">
        <f t="array" aca="1" ref="CC187" ca="1">IF(INDIRECT(ADDRESS($B187+1,CC$164,1,1,"Confirmed Trend"))=0,#N/A,INDIRECT(ADDRESS($B187+1,CC$164,1,1,"Confirmed Trend")))</f>
        <v>#N/A</v>
      </c>
      <c r="CD187" s="14" t="e" cm="1">
        <f t="array" aca="1" ref="CD187" ca="1">IF(INDIRECT(ADDRESS($B187+1,CD$164,1,1,"Confirmed Trend"))=0,#N/A,INDIRECT(ADDRESS($B187+1,CD$164,1,1,"Confirmed Trend")))</f>
        <v>#N/A</v>
      </c>
      <c r="CE187" s="14" t="e" cm="1">
        <f t="array" aca="1" ref="CE187" ca="1">IF(INDIRECT(ADDRESS($B187+1,CE$164,1,1,"Confirmed Trend"))=0,#N/A,INDIRECT(ADDRESS($B187+1,CE$164,1,1,"Confirmed Trend")))</f>
        <v>#N/A</v>
      </c>
      <c r="CF187" s="14" t="e" cm="1">
        <f t="array" aca="1" ref="CF187" ca="1">IF(INDIRECT(ADDRESS($B187+1,CF$164,1,1,"Confirmed Trend"))=0,#N/A,INDIRECT(ADDRESS($B187+1,CF$164,1,1,"Confirmed Trend")))</f>
        <v>#N/A</v>
      </c>
      <c r="CG187" s="14" t="e" cm="1">
        <f t="array" aca="1" ref="CG187" ca="1">IF(INDIRECT(ADDRESS($B187+1,CG$164,1,1,"Confirmed Trend"))=0,#N/A,INDIRECT(ADDRESS($B187+1,CG$164,1,1,"Confirmed Trend")))</f>
        <v>#N/A</v>
      </c>
      <c r="CH187" s="14" t="e" cm="1">
        <f t="array" aca="1" ref="CH187" ca="1">IF(INDIRECT(ADDRESS($B187+1,CH$164,1,1,"Confirmed Trend"))=0,#N/A,INDIRECT(ADDRESS($B187+1,CH$164,1,1,"Confirmed Trend")))</f>
        <v>#N/A</v>
      </c>
      <c r="CI187" s="14" t="e" cm="1">
        <f t="array" aca="1" ref="CI187" ca="1">IF(INDIRECT(ADDRESS($B187+1,CI$164,1,1,"Confirmed Trend"))=0,#N/A,INDIRECT(ADDRESS($B187+1,CI$164,1,1,"Confirmed Trend")))</f>
        <v>#N/A</v>
      </c>
      <c r="CJ187" s="14" t="e" cm="1">
        <f t="array" aca="1" ref="CJ187" ca="1">IF(INDIRECT(ADDRESS($B187+1,CJ$164,1,1,"Confirmed Trend"))=0,#N/A,INDIRECT(ADDRESS($B187+1,CJ$164,1,1,"Confirmed Trend")))</f>
        <v>#N/A</v>
      </c>
      <c r="CK187" s="14" t="e" cm="1">
        <f t="array" aca="1" ref="CK187" ca="1">IF(INDIRECT(ADDRESS($B187+1,CK$164,1,1,"Confirmed Trend"))=0,#N/A,INDIRECT(ADDRESS($B187+1,CK$164,1,1,"Confirmed Trend")))</f>
        <v>#N/A</v>
      </c>
      <c r="CL187" s="14" t="e" cm="1">
        <f t="array" aca="1" ref="CL187" ca="1">IF(INDIRECT(ADDRESS($B187+1,CL$164,1,1,"Confirmed Trend"))=0,#N/A,INDIRECT(ADDRESS($B187+1,CL$164,1,1,"Confirmed Trend")))</f>
        <v>#N/A</v>
      </c>
      <c r="CM187" s="14" t="e" cm="1">
        <f t="array" aca="1" ref="CM187" ca="1">IF(INDIRECT(ADDRESS($B187+1,CM$164,1,1,"Confirmed Trend"))=0,#N/A,INDIRECT(ADDRESS($B187+1,CM$164,1,1,"Confirmed Trend")))</f>
        <v>#N/A</v>
      </c>
      <c r="CN187" s="14" t="e" cm="1">
        <f t="array" aca="1" ref="CN187" ca="1">IF(INDIRECT(ADDRESS($B187+1,CN$164,1,1,"Confirmed Trend"))=0,#N/A,INDIRECT(ADDRESS($B187+1,CN$164,1,1,"Confirmed Trend")))</f>
        <v>#N/A</v>
      </c>
      <c r="CO187" s="14" t="e" cm="1">
        <f t="array" aca="1" ref="CO187" ca="1">IF(INDIRECT(ADDRESS($B187+1,CO$164,1,1,"Confirmed Trend"))=0,#N/A,INDIRECT(ADDRESS($B187+1,CO$164,1,1,"Confirmed Trend")))</f>
        <v>#N/A</v>
      </c>
      <c r="CP187" s="14" t="e" cm="1">
        <f t="array" aca="1" ref="CP187" ca="1">IF(INDIRECT(ADDRESS($B187+1,CP$164,1,1,"Confirmed Trend"))=0,#N/A,INDIRECT(ADDRESS($B187+1,CP$164,1,1,"Confirmed Trend")))</f>
        <v>#N/A</v>
      </c>
      <c r="CQ187" s="14" t="e" cm="1">
        <f t="array" aca="1" ref="CQ187" ca="1">IF(INDIRECT(ADDRESS($B187+1,CQ$164,1,1,"Confirmed Trend"))=0,#N/A,INDIRECT(ADDRESS($B187+1,CQ$164,1,1,"Confirmed Trend")))</f>
        <v>#N/A</v>
      </c>
      <c r="CR187" s="14" t="e" cm="1">
        <f t="array" aca="1" ref="CR187" ca="1">IF(INDIRECT(ADDRESS($B187+1,CR$164,1,1,"Confirmed Trend"))=0,#N/A,INDIRECT(ADDRESS($B187+1,CR$164,1,1,"Confirmed Trend")))</f>
        <v>#N/A</v>
      </c>
    </row>
    <row r="188" spans="2:96" x14ac:dyDescent="0.25">
      <c r="B188">
        <f t="shared" si="258"/>
        <v>23</v>
      </c>
      <c r="C188" cm="1">
        <f t="array" aca="1" ref="C188" ca="1">INDIRECT(ADDRESS($B188+1,1,1,1,"Confirmed Trend"))</f>
        <v>0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t="e" cm="1">
        <f t="array" aca="1" ref="BI188" ca="1">IF(INDIRECT(ADDRESS($B188+1,BI$164,1,1,"Confirmed Trend"))=0,#N/A,INDIRECT(ADDRESS($B188+1,BI$164,1,1,"Confirmed Trend")))</f>
        <v>#N/A</v>
      </c>
      <c r="BJ188" s="14" t="e" cm="1">
        <f t="array" aca="1" ref="BJ188" ca="1">IF(INDIRECT(ADDRESS($B188+1,BJ$164,1,1,"Confirmed Trend"))=0,#N/A,INDIRECT(ADDRESS($B188+1,BJ$164,1,1,"Confirmed Trend")))</f>
        <v>#N/A</v>
      </c>
      <c r="BK188" s="14" t="e" cm="1">
        <f t="array" aca="1" ref="BK188" ca="1">IF(INDIRECT(ADDRESS($B188+1,BK$164,1,1,"Confirmed Trend"))=0,#N/A,INDIRECT(ADDRESS($B188+1,BK$164,1,1,"Confirmed Trend")))</f>
        <v>#N/A</v>
      </c>
      <c r="BL188" s="14" t="e" cm="1">
        <f t="array" aca="1" ref="BL188" ca="1">IF(INDIRECT(ADDRESS($B188+1,BL$164,1,1,"Confirmed Trend"))=0,#N/A,INDIRECT(ADDRESS($B188+1,BL$164,1,1,"Confirmed Trend")))</f>
        <v>#N/A</v>
      </c>
      <c r="BM188" s="14" t="e" cm="1">
        <f t="array" aca="1" ref="BM188" ca="1">IF(INDIRECT(ADDRESS($B188+1,BM$164,1,1,"Confirmed Trend"))=0,#N/A,INDIRECT(ADDRESS($B188+1,BM$164,1,1,"Confirmed Trend")))</f>
        <v>#N/A</v>
      </c>
      <c r="BN188" s="14" t="e" cm="1">
        <f t="array" aca="1" ref="BN188" ca="1">IF(INDIRECT(ADDRESS($B188+1,BN$164,1,1,"Confirmed Trend"))=0,#N/A,INDIRECT(ADDRESS($B188+1,BN$164,1,1,"Confirmed Trend")))</f>
        <v>#N/A</v>
      </c>
      <c r="BO188" s="14" t="e" cm="1">
        <f t="array" aca="1" ref="BO188" ca="1">IF(INDIRECT(ADDRESS($B188+1,BO$164,1,1,"Confirmed Trend"))=0,#N/A,INDIRECT(ADDRESS($B188+1,BO$164,1,1,"Confirmed Trend")))</f>
        <v>#N/A</v>
      </c>
      <c r="BP188" s="14" t="e" cm="1">
        <f t="array" aca="1" ref="BP188" ca="1">IF(INDIRECT(ADDRESS($B188+1,BP$164,1,1,"Confirmed Trend"))=0,#N/A,INDIRECT(ADDRESS($B188+1,BP$164,1,1,"Confirmed Trend")))</f>
        <v>#N/A</v>
      </c>
      <c r="BQ188" s="14" t="e" cm="1">
        <f t="array" aca="1" ref="BQ188" ca="1">IF(INDIRECT(ADDRESS($B188+1,BQ$164,1,1,"Confirmed Trend"))=0,#N/A,INDIRECT(ADDRESS($B188+1,BQ$164,1,1,"Confirmed Trend")))</f>
        <v>#N/A</v>
      </c>
      <c r="BR188" s="14" t="e" cm="1">
        <f t="array" aca="1" ref="BR188" ca="1">IF(INDIRECT(ADDRESS($B188+1,BR$164,1,1,"Confirmed Trend"))=0,#N/A,INDIRECT(ADDRESS($B188+1,BR$164,1,1,"Confirmed Trend")))</f>
        <v>#N/A</v>
      </c>
      <c r="BS188" s="14" t="e" cm="1">
        <f t="array" aca="1" ref="BS188" ca="1">IF(INDIRECT(ADDRESS($B188+1,BS$164,1,1,"Confirmed Trend"))=0,#N/A,INDIRECT(ADDRESS($B188+1,BS$164,1,1,"Confirmed Trend")))</f>
        <v>#N/A</v>
      </c>
      <c r="BT188" s="14" t="e" cm="1">
        <f t="array" aca="1" ref="BT188" ca="1">IF(INDIRECT(ADDRESS($B188+1,BT$164,1,1,"Confirmed Trend"))=0,#N/A,INDIRECT(ADDRESS($B188+1,BT$164,1,1,"Confirmed Trend")))</f>
        <v>#N/A</v>
      </c>
      <c r="BU188" s="14" t="e" cm="1">
        <f t="array" aca="1" ref="BU188" ca="1">IF(INDIRECT(ADDRESS($B188+1,BU$164,1,1,"Confirmed Trend"))=0,#N/A,INDIRECT(ADDRESS($B188+1,BU$164,1,1,"Confirmed Trend")))</f>
        <v>#N/A</v>
      </c>
      <c r="BV188" s="14" t="e" cm="1">
        <f t="array" aca="1" ref="BV188" ca="1">IF(INDIRECT(ADDRESS($B188+1,BV$164,1,1,"Confirmed Trend"))=0,#N/A,INDIRECT(ADDRESS($B188+1,BV$164,1,1,"Confirmed Trend")))</f>
        <v>#N/A</v>
      </c>
      <c r="BW188" s="14" t="e" cm="1">
        <f t="array" aca="1" ref="BW188" ca="1">IF(INDIRECT(ADDRESS($B188+1,BW$164,1,1,"Confirmed Trend"))=0,#N/A,INDIRECT(ADDRESS($B188+1,BW$164,1,1,"Confirmed Trend")))</f>
        <v>#N/A</v>
      </c>
      <c r="BX188" s="14" t="e" cm="1">
        <f t="array" aca="1" ref="BX188" ca="1">IF(INDIRECT(ADDRESS($B188+1,BX$164,1,1,"Confirmed Trend"))=0,#N/A,INDIRECT(ADDRESS($B188+1,BX$164,1,1,"Confirmed Trend")))</f>
        <v>#N/A</v>
      </c>
      <c r="BY188" s="14" t="e" cm="1">
        <f t="array" aca="1" ref="BY188" ca="1">IF(INDIRECT(ADDRESS($B188+1,BY$164,1,1,"Confirmed Trend"))=0,#N/A,INDIRECT(ADDRESS($B188+1,BY$164,1,1,"Confirmed Trend")))</f>
        <v>#N/A</v>
      </c>
      <c r="BZ188" s="14" t="e" cm="1">
        <f t="array" aca="1" ref="BZ188" ca="1">IF(INDIRECT(ADDRESS($B188+1,BZ$164,1,1,"Confirmed Trend"))=0,#N/A,INDIRECT(ADDRESS($B188+1,BZ$164,1,1,"Confirmed Trend")))</f>
        <v>#N/A</v>
      </c>
      <c r="CA188" s="14" t="e" cm="1">
        <f t="array" aca="1" ref="CA188" ca="1">IF(INDIRECT(ADDRESS($B188+1,CA$164,1,1,"Confirmed Trend"))=0,#N/A,INDIRECT(ADDRESS($B188+1,CA$164,1,1,"Confirmed Trend")))</f>
        <v>#N/A</v>
      </c>
      <c r="CB188" s="14" t="e" cm="1">
        <f t="array" aca="1" ref="CB188" ca="1">IF(INDIRECT(ADDRESS($B188+1,CB$164,1,1,"Confirmed Trend"))=0,#N/A,INDIRECT(ADDRESS($B188+1,CB$164,1,1,"Confirmed Trend")))</f>
        <v>#N/A</v>
      </c>
      <c r="CC188" s="14" t="e" cm="1">
        <f t="array" aca="1" ref="CC188" ca="1">IF(INDIRECT(ADDRESS($B188+1,CC$164,1,1,"Confirmed Trend"))=0,#N/A,INDIRECT(ADDRESS($B188+1,CC$164,1,1,"Confirmed Trend")))</f>
        <v>#N/A</v>
      </c>
      <c r="CD188" s="14" t="e" cm="1">
        <f t="array" aca="1" ref="CD188" ca="1">IF(INDIRECT(ADDRESS($B188+1,CD$164,1,1,"Confirmed Trend"))=0,#N/A,INDIRECT(ADDRESS($B188+1,CD$164,1,1,"Confirmed Trend")))</f>
        <v>#N/A</v>
      </c>
      <c r="CE188" s="14" t="e" cm="1">
        <f t="array" aca="1" ref="CE188" ca="1">IF(INDIRECT(ADDRESS($B188+1,CE$164,1,1,"Confirmed Trend"))=0,#N/A,INDIRECT(ADDRESS($B188+1,CE$164,1,1,"Confirmed Trend")))</f>
        <v>#N/A</v>
      </c>
      <c r="CF188" s="14" t="e" cm="1">
        <f t="array" aca="1" ref="CF188" ca="1">IF(INDIRECT(ADDRESS($B188+1,CF$164,1,1,"Confirmed Trend"))=0,#N/A,INDIRECT(ADDRESS($B188+1,CF$164,1,1,"Confirmed Trend")))</f>
        <v>#N/A</v>
      </c>
      <c r="CG188" s="14" t="e" cm="1">
        <f t="array" aca="1" ref="CG188" ca="1">IF(INDIRECT(ADDRESS($B188+1,CG$164,1,1,"Confirmed Trend"))=0,#N/A,INDIRECT(ADDRESS($B188+1,CG$164,1,1,"Confirmed Trend")))</f>
        <v>#N/A</v>
      </c>
      <c r="CH188" s="14" t="e" cm="1">
        <f t="array" aca="1" ref="CH188" ca="1">IF(INDIRECT(ADDRESS($B188+1,CH$164,1,1,"Confirmed Trend"))=0,#N/A,INDIRECT(ADDRESS($B188+1,CH$164,1,1,"Confirmed Trend")))</f>
        <v>#N/A</v>
      </c>
      <c r="CI188" s="14" t="e" cm="1">
        <f t="array" aca="1" ref="CI188" ca="1">IF(INDIRECT(ADDRESS($B188+1,CI$164,1,1,"Confirmed Trend"))=0,#N/A,INDIRECT(ADDRESS($B188+1,CI$164,1,1,"Confirmed Trend")))</f>
        <v>#N/A</v>
      </c>
      <c r="CJ188" s="14" t="e" cm="1">
        <f t="array" aca="1" ref="CJ188" ca="1">IF(INDIRECT(ADDRESS($B188+1,CJ$164,1,1,"Confirmed Trend"))=0,#N/A,INDIRECT(ADDRESS($B188+1,CJ$164,1,1,"Confirmed Trend")))</f>
        <v>#N/A</v>
      </c>
      <c r="CK188" s="14" t="e" cm="1">
        <f t="array" aca="1" ref="CK188" ca="1">IF(INDIRECT(ADDRESS($B188+1,CK$164,1,1,"Confirmed Trend"))=0,#N/A,INDIRECT(ADDRESS($B188+1,CK$164,1,1,"Confirmed Trend")))</f>
        <v>#N/A</v>
      </c>
      <c r="CL188" s="14" t="e" cm="1">
        <f t="array" aca="1" ref="CL188" ca="1">IF(INDIRECT(ADDRESS($B188+1,CL$164,1,1,"Confirmed Trend"))=0,#N/A,INDIRECT(ADDRESS($B188+1,CL$164,1,1,"Confirmed Trend")))</f>
        <v>#N/A</v>
      </c>
      <c r="CM188" s="14" t="e" cm="1">
        <f t="array" aca="1" ref="CM188" ca="1">IF(INDIRECT(ADDRESS($B188+1,CM$164,1,1,"Confirmed Trend"))=0,#N/A,INDIRECT(ADDRESS($B188+1,CM$164,1,1,"Confirmed Trend")))</f>
        <v>#N/A</v>
      </c>
      <c r="CN188" s="14" t="e" cm="1">
        <f t="array" aca="1" ref="CN188" ca="1">IF(INDIRECT(ADDRESS($B188+1,CN$164,1,1,"Confirmed Trend"))=0,#N/A,INDIRECT(ADDRESS($B188+1,CN$164,1,1,"Confirmed Trend")))</f>
        <v>#N/A</v>
      </c>
      <c r="CO188" s="14" t="e" cm="1">
        <f t="array" aca="1" ref="CO188" ca="1">IF(INDIRECT(ADDRESS($B188+1,CO$164,1,1,"Confirmed Trend"))=0,#N/A,INDIRECT(ADDRESS($B188+1,CO$164,1,1,"Confirmed Trend")))</f>
        <v>#N/A</v>
      </c>
      <c r="CP188" s="14" t="e" cm="1">
        <f t="array" aca="1" ref="CP188" ca="1">IF(INDIRECT(ADDRESS($B188+1,CP$164,1,1,"Confirmed Trend"))=0,#N/A,INDIRECT(ADDRESS($B188+1,CP$164,1,1,"Confirmed Trend")))</f>
        <v>#N/A</v>
      </c>
      <c r="CQ188" s="14" t="e" cm="1">
        <f t="array" aca="1" ref="CQ188" ca="1">IF(INDIRECT(ADDRESS($B188+1,CQ$164,1,1,"Confirmed Trend"))=0,#N/A,INDIRECT(ADDRESS($B188+1,CQ$164,1,1,"Confirmed Trend")))</f>
        <v>#N/A</v>
      </c>
      <c r="CR188" s="14" t="e" cm="1">
        <f t="array" aca="1" ref="CR188" ca="1">IF(INDIRECT(ADDRESS($B188+1,CR$164,1,1,"Confirmed Trend"))=0,#N/A,INDIRECT(ADDRESS($B188+1,CR$164,1,1,"Confirmed Trend")))</f>
        <v>#N/A</v>
      </c>
    </row>
    <row r="189" spans="2:96" x14ac:dyDescent="0.25">
      <c r="B189">
        <f t="shared" si="258"/>
        <v>24</v>
      </c>
      <c r="C189" cm="1">
        <f t="array" aca="1" ref="C189" ca="1">INDIRECT(ADDRESS($B189+1,1,1,1,"Confirmed Trend"))</f>
        <v>0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t="e" cm="1">
        <f t="array" aca="1" ref="BF189" ca="1">IF(INDIRECT(ADDRESS($B189+1,BF$164,1,1,"Confirmed Trend"))=0,#N/A,INDIRECT(ADDRESS($B189+1,BF$164,1,1,"Confirmed Trend")))</f>
        <v>#N/A</v>
      </c>
      <c r="BG189" s="14" t="e" cm="1">
        <f t="array" aca="1" ref="BG189" ca="1">IF(INDIRECT(ADDRESS($B189+1,BG$164,1,1,"Confirmed Trend"))=0,#N/A,INDIRECT(ADDRESS($B189+1,BG$164,1,1,"Confirmed Trend")))</f>
        <v>#N/A</v>
      </c>
      <c r="BH189" s="14" t="e" cm="1">
        <f t="array" aca="1" ref="BH189" ca="1">IF(INDIRECT(ADDRESS($B189+1,BH$164,1,1,"Confirmed Trend"))=0,#N/A,INDIRECT(ADDRESS($B189+1,BH$164,1,1,"Confirmed Trend")))</f>
        <v>#N/A</v>
      </c>
      <c r="BI189" s="14" t="e" cm="1">
        <f t="array" aca="1" ref="BI189" ca="1">IF(INDIRECT(ADDRESS($B189+1,BI$164,1,1,"Confirmed Trend"))=0,#N/A,INDIRECT(ADDRESS($B189+1,BI$164,1,1,"Confirmed Trend")))</f>
        <v>#N/A</v>
      </c>
      <c r="BJ189" s="14" t="e" cm="1">
        <f t="array" aca="1" ref="BJ189" ca="1">IF(INDIRECT(ADDRESS($B189+1,BJ$164,1,1,"Confirmed Trend"))=0,#N/A,INDIRECT(ADDRESS($B189+1,BJ$164,1,1,"Confirmed Trend")))</f>
        <v>#N/A</v>
      </c>
      <c r="BK189" s="14" t="e" cm="1">
        <f t="array" aca="1" ref="BK189" ca="1">IF(INDIRECT(ADDRESS($B189+1,BK$164,1,1,"Confirmed Trend"))=0,#N/A,INDIRECT(ADDRESS($B189+1,BK$164,1,1,"Confirmed Trend")))</f>
        <v>#N/A</v>
      </c>
      <c r="BL189" s="14" t="e" cm="1">
        <f t="array" aca="1" ref="BL189" ca="1">IF(INDIRECT(ADDRESS($B189+1,BL$164,1,1,"Confirmed Trend"))=0,#N/A,INDIRECT(ADDRESS($B189+1,BL$164,1,1,"Confirmed Trend")))</f>
        <v>#N/A</v>
      </c>
      <c r="BM189" s="14" t="e" cm="1">
        <f t="array" aca="1" ref="BM189" ca="1">IF(INDIRECT(ADDRESS($B189+1,BM$164,1,1,"Confirmed Trend"))=0,#N/A,INDIRECT(ADDRESS($B189+1,BM$164,1,1,"Confirmed Trend")))</f>
        <v>#N/A</v>
      </c>
      <c r="BN189" s="14" t="e" cm="1">
        <f t="array" aca="1" ref="BN189" ca="1">IF(INDIRECT(ADDRESS($B189+1,BN$164,1,1,"Confirmed Trend"))=0,#N/A,INDIRECT(ADDRESS($B189+1,BN$164,1,1,"Confirmed Trend")))</f>
        <v>#N/A</v>
      </c>
      <c r="BO189" s="14" t="e" cm="1">
        <f t="array" aca="1" ref="BO189" ca="1">IF(INDIRECT(ADDRESS($B189+1,BO$164,1,1,"Confirmed Trend"))=0,#N/A,INDIRECT(ADDRESS($B189+1,BO$164,1,1,"Confirmed Trend")))</f>
        <v>#N/A</v>
      </c>
      <c r="BP189" s="14" t="e" cm="1">
        <f t="array" aca="1" ref="BP189" ca="1">IF(INDIRECT(ADDRESS($B189+1,BP$164,1,1,"Confirmed Trend"))=0,#N/A,INDIRECT(ADDRESS($B189+1,BP$164,1,1,"Confirmed Trend")))</f>
        <v>#N/A</v>
      </c>
      <c r="BQ189" s="14" t="e" cm="1">
        <f t="array" aca="1" ref="BQ189" ca="1">IF(INDIRECT(ADDRESS($B189+1,BQ$164,1,1,"Confirmed Trend"))=0,#N/A,INDIRECT(ADDRESS($B189+1,BQ$164,1,1,"Confirmed Trend")))</f>
        <v>#N/A</v>
      </c>
      <c r="BR189" s="14" t="e" cm="1">
        <f t="array" aca="1" ref="BR189" ca="1">IF(INDIRECT(ADDRESS($B189+1,BR$164,1,1,"Confirmed Trend"))=0,#N/A,INDIRECT(ADDRESS($B189+1,BR$164,1,1,"Confirmed Trend")))</f>
        <v>#N/A</v>
      </c>
      <c r="BS189" s="14" t="e" cm="1">
        <f t="array" aca="1" ref="BS189" ca="1">IF(INDIRECT(ADDRESS($B189+1,BS$164,1,1,"Confirmed Trend"))=0,#N/A,INDIRECT(ADDRESS($B189+1,BS$164,1,1,"Confirmed Trend")))</f>
        <v>#N/A</v>
      </c>
      <c r="BT189" s="14" t="e" cm="1">
        <f t="array" aca="1" ref="BT189" ca="1">IF(INDIRECT(ADDRESS($B189+1,BT$164,1,1,"Confirmed Trend"))=0,#N/A,INDIRECT(ADDRESS($B189+1,BT$164,1,1,"Confirmed Trend")))</f>
        <v>#N/A</v>
      </c>
      <c r="BU189" s="14" t="e" cm="1">
        <f t="array" aca="1" ref="BU189" ca="1">IF(INDIRECT(ADDRESS($B189+1,BU$164,1,1,"Confirmed Trend"))=0,#N/A,INDIRECT(ADDRESS($B189+1,BU$164,1,1,"Confirmed Trend")))</f>
        <v>#N/A</v>
      </c>
      <c r="BV189" s="14" t="e" cm="1">
        <f t="array" aca="1" ref="BV189" ca="1">IF(INDIRECT(ADDRESS($B189+1,BV$164,1,1,"Confirmed Trend"))=0,#N/A,INDIRECT(ADDRESS($B189+1,BV$164,1,1,"Confirmed Trend")))</f>
        <v>#N/A</v>
      </c>
      <c r="BW189" s="14" t="e" cm="1">
        <f t="array" aca="1" ref="BW189" ca="1">IF(INDIRECT(ADDRESS($B189+1,BW$164,1,1,"Confirmed Trend"))=0,#N/A,INDIRECT(ADDRESS($B189+1,BW$164,1,1,"Confirmed Trend")))</f>
        <v>#N/A</v>
      </c>
      <c r="BX189" s="14" t="e" cm="1">
        <f t="array" aca="1" ref="BX189" ca="1">IF(INDIRECT(ADDRESS($B189+1,BX$164,1,1,"Confirmed Trend"))=0,#N/A,INDIRECT(ADDRESS($B189+1,BX$164,1,1,"Confirmed Trend")))</f>
        <v>#N/A</v>
      </c>
      <c r="BY189" s="14" t="e" cm="1">
        <f t="array" aca="1" ref="BY189" ca="1">IF(INDIRECT(ADDRESS($B189+1,BY$164,1,1,"Confirmed Trend"))=0,#N/A,INDIRECT(ADDRESS($B189+1,BY$164,1,1,"Confirmed Trend")))</f>
        <v>#N/A</v>
      </c>
      <c r="BZ189" s="14" t="e" cm="1">
        <f t="array" aca="1" ref="BZ189" ca="1">IF(INDIRECT(ADDRESS($B189+1,BZ$164,1,1,"Confirmed Trend"))=0,#N/A,INDIRECT(ADDRESS($B189+1,BZ$164,1,1,"Confirmed Trend")))</f>
        <v>#N/A</v>
      </c>
      <c r="CA189" s="14" t="e" cm="1">
        <f t="array" aca="1" ref="CA189" ca="1">IF(INDIRECT(ADDRESS($B189+1,CA$164,1,1,"Confirmed Trend"))=0,#N/A,INDIRECT(ADDRESS($B189+1,CA$164,1,1,"Confirmed Trend")))</f>
        <v>#N/A</v>
      </c>
      <c r="CB189" s="14" t="e" cm="1">
        <f t="array" aca="1" ref="CB189" ca="1">IF(INDIRECT(ADDRESS($B189+1,CB$164,1,1,"Confirmed Trend"))=0,#N/A,INDIRECT(ADDRESS($B189+1,CB$164,1,1,"Confirmed Trend")))</f>
        <v>#N/A</v>
      </c>
      <c r="CC189" s="14" t="e" cm="1">
        <f t="array" aca="1" ref="CC189" ca="1">IF(INDIRECT(ADDRESS($B189+1,CC$164,1,1,"Confirmed Trend"))=0,#N/A,INDIRECT(ADDRESS($B189+1,CC$164,1,1,"Confirmed Trend")))</f>
        <v>#N/A</v>
      </c>
      <c r="CD189" s="14" t="e" cm="1">
        <f t="array" aca="1" ref="CD189" ca="1">IF(INDIRECT(ADDRESS($B189+1,CD$164,1,1,"Confirmed Trend"))=0,#N/A,INDIRECT(ADDRESS($B189+1,CD$164,1,1,"Confirmed Trend")))</f>
        <v>#N/A</v>
      </c>
      <c r="CE189" s="14" t="e" cm="1">
        <f t="array" aca="1" ref="CE189" ca="1">IF(INDIRECT(ADDRESS($B189+1,CE$164,1,1,"Confirmed Trend"))=0,#N/A,INDIRECT(ADDRESS($B189+1,CE$164,1,1,"Confirmed Trend")))</f>
        <v>#N/A</v>
      </c>
      <c r="CF189" s="14" t="e" cm="1">
        <f t="array" aca="1" ref="CF189" ca="1">IF(INDIRECT(ADDRESS($B189+1,CF$164,1,1,"Confirmed Trend"))=0,#N/A,INDIRECT(ADDRESS($B189+1,CF$164,1,1,"Confirmed Trend")))</f>
        <v>#N/A</v>
      </c>
      <c r="CG189" s="14" t="e" cm="1">
        <f t="array" aca="1" ref="CG189" ca="1">IF(INDIRECT(ADDRESS($B189+1,CG$164,1,1,"Confirmed Trend"))=0,#N/A,INDIRECT(ADDRESS($B189+1,CG$164,1,1,"Confirmed Trend")))</f>
        <v>#N/A</v>
      </c>
      <c r="CH189" s="14" t="e" cm="1">
        <f t="array" aca="1" ref="CH189" ca="1">IF(INDIRECT(ADDRESS($B189+1,CH$164,1,1,"Confirmed Trend"))=0,#N/A,INDIRECT(ADDRESS($B189+1,CH$164,1,1,"Confirmed Trend")))</f>
        <v>#N/A</v>
      </c>
      <c r="CI189" s="14" t="e" cm="1">
        <f t="array" aca="1" ref="CI189" ca="1">IF(INDIRECT(ADDRESS($B189+1,CI$164,1,1,"Confirmed Trend"))=0,#N/A,INDIRECT(ADDRESS($B189+1,CI$164,1,1,"Confirmed Trend")))</f>
        <v>#N/A</v>
      </c>
      <c r="CJ189" s="14" t="e" cm="1">
        <f t="array" aca="1" ref="CJ189" ca="1">IF(INDIRECT(ADDRESS($B189+1,CJ$164,1,1,"Confirmed Trend"))=0,#N/A,INDIRECT(ADDRESS($B189+1,CJ$164,1,1,"Confirmed Trend")))</f>
        <v>#N/A</v>
      </c>
      <c r="CK189" s="14" t="e" cm="1">
        <f t="array" aca="1" ref="CK189" ca="1">IF(INDIRECT(ADDRESS($B189+1,CK$164,1,1,"Confirmed Trend"))=0,#N/A,INDIRECT(ADDRESS($B189+1,CK$164,1,1,"Confirmed Trend")))</f>
        <v>#N/A</v>
      </c>
      <c r="CL189" s="14" t="e" cm="1">
        <f t="array" aca="1" ref="CL189" ca="1">IF(INDIRECT(ADDRESS($B189+1,CL$164,1,1,"Confirmed Trend"))=0,#N/A,INDIRECT(ADDRESS($B189+1,CL$164,1,1,"Confirmed Trend")))</f>
        <v>#N/A</v>
      </c>
      <c r="CM189" s="14" t="e" cm="1">
        <f t="array" aca="1" ref="CM189" ca="1">IF(INDIRECT(ADDRESS($B189+1,CM$164,1,1,"Confirmed Trend"))=0,#N/A,INDIRECT(ADDRESS($B189+1,CM$164,1,1,"Confirmed Trend")))</f>
        <v>#N/A</v>
      </c>
      <c r="CN189" s="14" t="e" cm="1">
        <f t="array" aca="1" ref="CN189" ca="1">IF(INDIRECT(ADDRESS($B189+1,CN$164,1,1,"Confirmed Trend"))=0,#N/A,INDIRECT(ADDRESS($B189+1,CN$164,1,1,"Confirmed Trend")))</f>
        <v>#N/A</v>
      </c>
      <c r="CO189" s="14" t="e" cm="1">
        <f t="array" aca="1" ref="CO189" ca="1">IF(INDIRECT(ADDRESS($B189+1,CO$164,1,1,"Confirmed Trend"))=0,#N/A,INDIRECT(ADDRESS($B189+1,CO$164,1,1,"Confirmed Trend")))</f>
        <v>#N/A</v>
      </c>
      <c r="CP189" s="14" t="e" cm="1">
        <f t="array" aca="1" ref="CP189" ca="1">IF(INDIRECT(ADDRESS($B189+1,CP$164,1,1,"Confirmed Trend"))=0,#N/A,INDIRECT(ADDRESS($B189+1,CP$164,1,1,"Confirmed Trend")))</f>
        <v>#N/A</v>
      </c>
      <c r="CQ189" s="14" t="e" cm="1">
        <f t="array" aca="1" ref="CQ189" ca="1">IF(INDIRECT(ADDRESS($B189+1,CQ$164,1,1,"Confirmed Trend"))=0,#N/A,INDIRECT(ADDRESS($B189+1,CQ$164,1,1,"Confirmed Trend")))</f>
        <v>#N/A</v>
      </c>
      <c r="CR189" s="14" t="e" cm="1">
        <f t="array" aca="1" ref="CR189" ca="1">IF(INDIRECT(ADDRESS($B189+1,CR$164,1,1,"Confirmed Trend"))=0,#N/A,INDIRECT(ADDRESS($B189+1,CR$164,1,1,"Confirmed Trend")))</f>
        <v>#N/A</v>
      </c>
    </row>
    <row r="190" spans="2:96" x14ac:dyDescent="0.25">
      <c r="B190">
        <f t="shared" si="258"/>
        <v>25</v>
      </c>
      <c r="C190" cm="1">
        <f t="array" aca="1" ref="C190" ca="1">INDIRECT(ADDRESS($B190+1,1,1,1,"Confirmed Trend"))</f>
        <v>0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t="e" cm="1">
        <f t="array" aca="1" ref="BC190" ca="1">IF(INDIRECT(ADDRESS($B190+1,BC$164,1,1,"Confirmed Trend"))=0,#N/A,INDIRECT(ADDRESS($B190+1,BC$164,1,1,"Confirmed Trend")))</f>
        <v>#N/A</v>
      </c>
      <c r="BD190" s="14" t="e" cm="1">
        <f t="array" aca="1" ref="BD190" ca="1">IF(INDIRECT(ADDRESS($B190+1,BD$164,1,1,"Confirmed Trend"))=0,#N/A,INDIRECT(ADDRESS($B190+1,BD$164,1,1,"Confirmed Trend")))</f>
        <v>#N/A</v>
      </c>
      <c r="BE190" s="14" t="e" cm="1">
        <f t="array" aca="1" ref="BE190" ca="1">IF(INDIRECT(ADDRESS($B190+1,BE$164,1,1,"Confirmed Trend"))=0,#N/A,INDIRECT(ADDRESS($B190+1,BE$164,1,1,"Confirmed Trend")))</f>
        <v>#N/A</v>
      </c>
      <c r="BF190" s="14" t="e" cm="1">
        <f t="array" aca="1" ref="BF190" ca="1">IF(INDIRECT(ADDRESS($B190+1,BF$164,1,1,"Confirmed Trend"))=0,#N/A,INDIRECT(ADDRESS($B190+1,BF$164,1,1,"Confirmed Trend")))</f>
        <v>#N/A</v>
      </c>
      <c r="BG190" s="14" t="e" cm="1">
        <f t="array" aca="1" ref="BG190" ca="1">IF(INDIRECT(ADDRESS($B190+1,BG$164,1,1,"Confirmed Trend"))=0,#N/A,INDIRECT(ADDRESS($B190+1,BG$164,1,1,"Confirmed Trend")))</f>
        <v>#N/A</v>
      </c>
      <c r="BH190" s="14" t="e" cm="1">
        <f t="array" aca="1" ref="BH190" ca="1">IF(INDIRECT(ADDRESS($B190+1,BH$164,1,1,"Confirmed Trend"))=0,#N/A,INDIRECT(ADDRESS($B190+1,BH$164,1,1,"Confirmed Trend")))</f>
        <v>#N/A</v>
      </c>
      <c r="BI190" s="14" t="e" cm="1">
        <f t="array" aca="1" ref="BI190" ca="1">IF(INDIRECT(ADDRESS($B190+1,BI$164,1,1,"Confirmed Trend"))=0,#N/A,INDIRECT(ADDRESS($B190+1,BI$164,1,1,"Confirmed Trend")))</f>
        <v>#N/A</v>
      </c>
      <c r="BJ190" s="14" t="e" cm="1">
        <f t="array" aca="1" ref="BJ190" ca="1">IF(INDIRECT(ADDRESS($B190+1,BJ$164,1,1,"Confirmed Trend"))=0,#N/A,INDIRECT(ADDRESS($B190+1,BJ$164,1,1,"Confirmed Trend")))</f>
        <v>#N/A</v>
      </c>
      <c r="BK190" s="14" t="e" cm="1">
        <f t="array" aca="1" ref="BK190" ca="1">IF(INDIRECT(ADDRESS($B190+1,BK$164,1,1,"Confirmed Trend"))=0,#N/A,INDIRECT(ADDRESS($B190+1,BK$164,1,1,"Confirmed Trend")))</f>
        <v>#N/A</v>
      </c>
      <c r="BL190" s="14" t="e" cm="1">
        <f t="array" aca="1" ref="BL190" ca="1">IF(INDIRECT(ADDRESS($B190+1,BL$164,1,1,"Confirmed Trend"))=0,#N/A,INDIRECT(ADDRESS($B190+1,BL$164,1,1,"Confirmed Trend")))</f>
        <v>#N/A</v>
      </c>
      <c r="BM190" s="14" t="e" cm="1">
        <f t="array" aca="1" ref="BM190" ca="1">IF(INDIRECT(ADDRESS($B190+1,BM$164,1,1,"Confirmed Trend"))=0,#N/A,INDIRECT(ADDRESS($B190+1,BM$164,1,1,"Confirmed Trend")))</f>
        <v>#N/A</v>
      </c>
      <c r="BN190" s="14" t="e" cm="1">
        <f t="array" aca="1" ref="BN190" ca="1">IF(INDIRECT(ADDRESS($B190+1,BN$164,1,1,"Confirmed Trend"))=0,#N/A,INDIRECT(ADDRESS($B190+1,BN$164,1,1,"Confirmed Trend")))</f>
        <v>#N/A</v>
      </c>
      <c r="BO190" s="14" t="e" cm="1">
        <f t="array" aca="1" ref="BO190" ca="1">IF(INDIRECT(ADDRESS($B190+1,BO$164,1,1,"Confirmed Trend"))=0,#N/A,INDIRECT(ADDRESS($B190+1,BO$164,1,1,"Confirmed Trend")))</f>
        <v>#N/A</v>
      </c>
      <c r="BP190" s="14" t="e" cm="1">
        <f t="array" aca="1" ref="BP190" ca="1">IF(INDIRECT(ADDRESS($B190+1,BP$164,1,1,"Confirmed Trend"))=0,#N/A,INDIRECT(ADDRESS($B190+1,BP$164,1,1,"Confirmed Trend")))</f>
        <v>#N/A</v>
      </c>
      <c r="BQ190" s="14" t="e" cm="1">
        <f t="array" aca="1" ref="BQ190" ca="1">IF(INDIRECT(ADDRESS($B190+1,BQ$164,1,1,"Confirmed Trend"))=0,#N/A,INDIRECT(ADDRESS($B190+1,BQ$164,1,1,"Confirmed Trend")))</f>
        <v>#N/A</v>
      </c>
      <c r="BR190" s="14" t="e" cm="1">
        <f t="array" aca="1" ref="BR190" ca="1">IF(INDIRECT(ADDRESS($B190+1,BR$164,1,1,"Confirmed Trend"))=0,#N/A,INDIRECT(ADDRESS($B190+1,BR$164,1,1,"Confirmed Trend")))</f>
        <v>#N/A</v>
      </c>
      <c r="BS190" s="14" t="e" cm="1">
        <f t="array" aca="1" ref="BS190" ca="1">IF(INDIRECT(ADDRESS($B190+1,BS$164,1,1,"Confirmed Trend"))=0,#N/A,INDIRECT(ADDRESS($B190+1,BS$164,1,1,"Confirmed Trend")))</f>
        <v>#N/A</v>
      </c>
      <c r="BT190" s="14" t="e" cm="1">
        <f t="array" aca="1" ref="BT190" ca="1">IF(INDIRECT(ADDRESS($B190+1,BT$164,1,1,"Confirmed Trend"))=0,#N/A,INDIRECT(ADDRESS($B190+1,BT$164,1,1,"Confirmed Trend")))</f>
        <v>#N/A</v>
      </c>
      <c r="BU190" s="14" t="e" cm="1">
        <f t="array" aca="1" ref="BU190" ca="1">IF(INDIRECT(ADDRESS($B190+1,BU$164,1,1,"Confirmed Trend"))=0,#N/A,INDIRECT(ADDRESS($B190+1,BU$164,1,1,"Confirmed Trend")))</f>
        <v>#N/A</v>
      </c>
      <c r="BV190" s="14" t="e" cm="1">
        <f t="array" aca="1" ref="BV190" ca="1">IF(INDIRECT(ADDRESS($B190+1,BV$164,1,1,"Confirmed Trend"))=0,#N/A,INDIRECT(ADDRESS($B190+1,BV$164,1,1,"Confirmed Trend")))</f>
        <v>#N/A</v>
      </c>
      <c r="BW190" s="14" t="e" cm="1">
        <f t="array" aca="1" ref="BW190" ca="1">IF(INDIRECT(ADDRESS($B190+1,BW$164,1,1,"Confirmed Trend"))=0,#N/A,INDIRECT(ADDRESS($B190+1,BW$164,1,1,"Confirmed Trend")))</f>
        <v>#N/A</v>
      </c>
      <c r="BX190" s="14" t="e" cm="1">
        <f t="array" aca="1" ref="BX190" ca="1">IF(INDIRECT(ADDRESS($B190+1,BX$164,1,1,"Confirmed Trend"))=0,#N/A,INDIRECT(ADDRESS($B190+1,BX$164,1,1,"Confirmed Trend")))</f>
        <v>#N/A</v>
      </c>
      <c r="BY190" s="14" t="e" cm="1">
        <f t="array" aca="1" ref="BY190" ca="1">IF(INDIRECT(ADDRESS($B190+1,BY$164,1,1,"Confirmed Trend"))=0,#N/A,INDIRECT(ADDRESS($B190+1,BY$164,1,1,"Confirmed Trend")))</f>
        <v>#N/A</v>
      </c>
      <c r="BZ190" s="14" t="e" cm="1">
        <f t="array" aca="1" ref="BZ190" ca="1">IF(INDIRECT(ADDRESS($B190+1,BZ$164,1,1,"Confirmed Trend"))=0,#N/A,INDIRECT(ADDRESS($B190+1,BZ$164,1,1,"Confirmed Trend")))</f>
        <v>#N/A</v>
      </c>
      <c r="CA190" s="14" t="e" cm="1">
        <f t="array" aca="1" ref="CA190" ca="1">IF(INDIRECT(ADDRESS($B190+1,CA$164,1,1,"Confirmed Trend"))=0,#N/A,INDIRECT(ADDRESS($B190+1,CA$164,1,1,"Confirmed Trend")))</f>
        <v>#N/A</v>
      </c>
      <c r="CB190" s="14" t="e" cm="1">
        <f t="array" aca="1" ref="CB190" ca="1">IF(INDIRECT(ADDRESS($B190+1,CB$164,1,1,"Confirmed Trend"))=0,#N/A,INDIRECT(ADDRESS($B190+1,CB$164,1,1,"Confirmed Trend")))</f>
        <v>#N/A</v>
      </c>
      <c r="CC190" s="14" t="e" cm="1">
        <f t="array" aca="1" ref="CC190" ca="1">IF(INDIRECT(ADDRESS($B190+1,CC$164,1,1,"Confirmed Trend"))=0,#N/A,INDIRECT(ADDRESS($B190+1,CC$164,1,1,"Confirmed Trend")))</f>
        <v>#N/A</v>
      </c>
      <c r="CD190" s="14" t="e" cm="1">
        <f t="array" aca="1" ref="CD190" ca="1">IF(INDIRECT(ADDRESS($B190+1,CD$164,1,1,"Confirmed Trend"))=0,#N/A,INDIRECT(ADDRESS($B190+1,CD$164,1,1,"Confirmed Trend")))</f>
        <v>#N/A</v>
      </c>
      <c r="CE190" s="14" t="e" cm="1">
        <f t="array" aca="1" ref="CE190" ca="1">IF(INDIRECT(ADDRESS($B190+1,CE$164,1,1,"Confirmed Trend"))=0,#N/A,INDIRECT(ADDRESS($B190+1,CE$164,1,1,"Confirmed Trend")))</f>
        <v>#N/A</v>
      </c>
      <c r="CF190" s="14" t="e" cm="1">
        <f t="array" aca="1" ref="CF190" ca="1">IF(INDIRECT(ADDRESS($B190+1,CF$164,1,1,"Confirmed Trend"))=0,#N/A,INDIRECT(ADDRESS($B190+1,CF$164,1,1,"Confirmed Trend")))</f>
        <v>#N/A</v>
      </c>
      <c r="CG190" s="14" t="e" cm="1">
        <f t="array" aca="1" ref="CG190" ca="1">IF(INDIRECT(ADDRESS($B190+1,CG$164,1,1,"Confirmed Trend"))=0,#N/A,INDIRECT(ADDRESS($B190+1,CG$164,1,1,"Confirmed Trend")))</f>
        <v>#N/A</v>
      </c>
      <c r="CH190" s="14" t="e" cm="1">
        <f t="array" aca="1" ref="CH190" ca="1">IF(INDIRECT(ADDRESS($B190+1,CH$164,1,1,"Confirmed Trend"))=0,#N/A,INDIRECT(ADDRESS($B190+1,CH$164,1,1,"Confirmed Trend")))</f>
        <v>#N/A</v>
      </c>
      <c r="CI190" s="14" t="e" cm="1">
        <f t="array" aca="1" ref="CI190" ca="1">IF(INDIRECT(ADDRESS($B190+1,CI$164,1,1,"Confirmed Trend"))=0,#N/A,INDIRECT(ADDRESS($B190+1,CI$164,1,1,"Confirmed Trend")))</f>
        <v>#N/A</v>
      </c>
      <c r="CJ190" s="14" t="e" cm="1">
        <f t="array" aca="1" ref="CJ190" ca="1">IF(INDIRECT(ADDRESS($B190+1,CJ$164,1,1,"Confirmed Trend"))=0,#N/A,INDIRECT(ADDRESS($B190+1,CJ$164,1,1,"Confirmed Trend")))</f>
        <v>#N/A</v>
      </c>
      <c r="CK190" s="14" t="e" cm="1">
        <f t="array" aca="1" ref="CK190" ca="1">IF(INDIRECT(ADDRESS($B190+1,CK$164,1,1,"Confirmed Trend"))=0,#N/A,INDIRECT(ADDRESS($B190+1,CK$164,1,1,"Confirmed Trend")))</f>
        <v>#N/A</v>
      </c>
      <c r="CL190" s="14" t="e" cm="1">
        <f t="array" aca="1" ref="CL190" ca="1">IF(INDIRECT(ADDRESS($B190+1,CL$164,1,1,"Confirmed Trend"))=0,#N/A,INDIRECT(ADDRESS($B190+1,CL$164,1,1,"Confirmed Trend")))</f>
        <v>#N/A</v>
      </c>
      <c r="CM190" s="14" t="e" cm="1">
        <f t="array" aca="1" ref="CM190" ca="1">IF(INDIRECT(ADDRESS($B190+1,CM$164,1,1,"Confirmed Trend"))=0,#N/A,INDIRECT(ADDRESS($B190+1,CM$164,1,1,"Confirmed Trend")))</f>
        <v>#N/A</v>
      </c>
      <c r="CN190" s="14" t="e" cm="1">
        <f t="array" aca="1" ref="CN190" ca="1">IF(INDIRECT(ADDRESS($B190+1,CN$164,1,1,"Confirmed Trend"))=0,#N/A,INDIRECT(ADDRESS($B190+1,CN$164,1,1,"Confirmed Trend")))</f>
        <v>#N/A</v>
      </c>
      <c r="CO190" s="14" t="e" cm="1">
        <f t="array" aca="1" ref="CO190" ca="1">IF(INDIRECT(ADDRESS($B190+1,CO$164,1,1,"Confirmed Trend"))=0,#N/A,INDIRECT(ADDRESS($B190+1,CO$164,1,1,"Confirmed Trend")))</f>
        <v>#N/A</v>
      </c>
      <c r="CP190" s="14" t="e" cm="1">
        <f t="array" aca="1" ref="CP190" ca="1">IF(INDIRECT(ADDRESS($B190+1,CP$164,1,1,"Confirmed Trend"))=0,#N/A,INDIRECT(ADDRESS($B190+1,CP$164,1,1,"Confirmed Trend")))</f>
        <v>#N/A</v>
      </c>
      <c r="CQ190" s="14" t="e" cm="1">
        <f t="array" aca="1" ref="CQ190" ca="1">IF(INDIRECT(ADDRESS($B190+1,CQ$164,1,1,"Confirmed Trend"))=0,#N/A,INDIRECT(ADDRESS($B190+1,CQ$164,1,1,"Confirmed Trend")))</f>
        <v>#N/A</v>
      </c>
      <c r="CR190" s="14" t="e" cm="1">
        <f t="array" aca="1" ref="CR190" ca="1">IF(INDIRECT(ADDRESS($B190+1,CR$164,1,1,"Confirmed Trend"))=0,#N/A,INDIRECT(ADDRESS($B190+1,CR$164,1,1,"Confirmed Trend")))</f>
        <v>#N/A</v>
      </c>
    </row>
    <row r="191" spans="2:96" x14ac:dyDescent="0.25">
      <c r="B191">
        <f t="shared" si="258"/>
        <v>26</v>
      </c>
      <c r="C191" cm="1">
        <f t="array" aca="1" ref="C191" ca="1">INDIRECT(ADDRESS($B191+1,1,1,1,"Confirmed Trend"))</f>
        <v>0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t="e" cm="1">
        <f t="array" aca="1" ref="BF191" ca="1">IF(INDIRECT(ADDRESS($B191+1,BF$164,1,1,"Confirmed Trend"))=0,#N/A,INDIRECT(ADDRESS($B191+1,BF$164,1,1,"Confirmed Trend")))</f>
        <v>#N/A</v>
      </c>
      <c r="BG191" s="14" t="e" cm="1">
        <f t="array" aca="1" ref="BG191" ca="1">IF(INDIRECT(ADDRESS($B191+1,BG$164,1,1,"Confirmed Trend"))=0,#N/A,INDIRECT(ADDRESS($B191+1,BG$164,1,1,"Confirmed Trend")))</f>
        <v>#N/A</v>
      </c>
      <c r="BH191" s="14" t="e" cm="1">
        <f t="array" aca="1" ref="BH191" ca="1">IF(INDIRECT(ADDRESS($B191+1,BH$164,1,1,"Confirmed Trend"))=0,#N/A,INDIRECT(ADDRESS($B191+1,BH$164,1,1,"Confirmed Trend")))</f>
        <v>#N/A</v>
      </c>
      <c r="BI191" s="14" t="e" cm="1">
        <f t="array" aca="1" ref="BI191" ca="1">IF(INDIRECT(ADDRESS($B191+1,BI$164,1,1,"Confirmed Trend"))=0,#N/A,INDIRECT(ADDRESS($B191+1,BI$164,1,1,"Confirmed Trend")))</f>
        <v>#N/A</v>
      </c>
      <c r="BJ191" s="14" t="e" cm="1">
        <f t="array" aca="1" ref="BJ191" ca="1">IF(INDIRECT(ADDRESS($B191+1,BJ$164,1,1,"Confirmed Trend"))=0,#N/A,INDIRECT(ADDRESS($B191+1,BJ$164,1,1,"Confirmed Trend")))</f>
        <v>#N/A</v>
      </c>
      <c r="BK191" s="14" t="e" cm="1">
        <f t="array" aca="1" ref="BK191" ca="1">IF(INDIRECT(ADDRESS($B191+1,BK$164,1,1,"Confirmed Trend"))=0,#N/A,INDIRECT(ADDRESS($B191+1,BK$164,1,1,"Confirmed Trend")))</f>
        <v>#N/A</v>
      </c>
      <c r="BL191" s="14" t="e" cm="1">
        <f t="array" aca="1" ref="BL191" ca="1">IF(INDIRECT(ADDRESS($B191+1,BL$164,1,1,"Confirmed Trend"))=0,#N/A,INDIRECT(ADDRESS($B191+1,BL$164,1,1,"Confirmed Trend")))</f>
        <v>#N/A</v>
      </c>
      <c r="BM191" s="14" t="e" cm="1">
        <f t="array" aca="1" ref="BM191" ca="1">IF(INDIRECT(ADDRESS($B191+1,BM$164,1,1,"Confirmed Trend"))=0,#N/A,INDIRECT(ADDRESS($B191+1,BM$164,1,1,"Confirmed Trend")))</f>
        <v>#N/A</v>
      </c>
      <c r="BN191" s="14" t="e" cm="1">
        <f t="array" aca="1" ref="BN191" ca="1">IF(INDIRECT(ADDRESS($B191+1,BN$164,1,1,"Confirmed Trend"))=0,#N/A,INDIRECT(ADDRESS($B191+1,BN$164,1,1,"Confirmed Trend")))</f>
        <v>#N/A</v>
      </c>
      <c r="BO191" s="14" t="e" cm="1">
        <f t="array" aca="1" ref="BO191" ca="1">IF(INDIRECT(ADDRESS($B191+1,BO$164,1,1,"Confirmed Trend"))=0,#N/A,INDIRECT(ADDRESS($B191+1,BO$164,1,1,"Confirmed Trend")))</f>
        <v>#N/A</v>
      </c>
      <c r="BP191" s="14" t="e" cm="1">
        <f t="array" aca="1" ref="BP191" ca="1">IF(INDIRECT(ADDRESS($B191+1,BP$164,1,1,"Confirmed Trend"))=0,#N/A,INDIRECT(ADDRESS($B191+1,BP$164,1,1,"Confirmed Trend")))</f>
        <v>#N/A</v>
      </c>
      <c r="BQ191" s="14" t="e" cm="1">
        <f t="array" aca="1" ref="BQ191" ca="1">IF(INDIRECT(ADDRESS($B191+1,BQ$164,1,1,"Confirmed Trend"))=0,#N/A,INDIRECT(ADDRESS($B191+1,BQ$164,1,1,"Confirmed Trend")))</f>
        <v>#N/A</v>
      </c>
      <c r="BR191" s="14" t="e" cm="1">
        <f t="array" aca="1" ref="BR191" ca="1">IF(INDIRECT(ADDRESS($B191+1,BR$164,1,1,"Confirmed Trend"))=0,#N/A,INDIRECT(ADDRESS($B191+1,BR$164,1,1,"Confirmed Trend")))</f>
        <v>#N/A</v>
      </c>
      <c r="BS191" s="14" t="e" cm="1">
        <f t="array" aca="1" ref="BS191" ca="1">IF(INDIRECT(ADDRESS($B191+1,BS$164,1,1,"Confirmed Trend"))=0,#N/A,INDIRECT(ADDRESS($B191+1,BS$164,1,1,"Confirmed Trend")))</f>
        <v>#N/A</v>
      </c>
      <c r="BT191" s="14" t="e" cm="1">
        <f t="array" aca="1" ref="BT191" ca="1">IF(INDIRECT(ADDRESS($B191+1,BT$164,1,1,"Confirmed Trend"))=0,#N/A,INDIRECT(ADDRESS($B191+1,BT$164,1,1,"Confirmed Trend")))</f>
        <v>#N/A</v>
      </c>
      <c r="BU191" s="14" t="e" cm="1">
        <f t="array" aca="1" ref="BU191" ca="1">IF(INDIRECT(ADDRESS($B191+1,BU$164,1,1,"Confirmed Trend"))=0,#N/A,INDIRECT(ADDRESS($B191+1,BU$164,1,1,"Confirmed Trend")))</f>
        <v>#N/A</v>
      </c>
      <c r="BV191" s="14" t="e" cm="1">
        <f t="array" aca="1" ref="BV191" ca="1">IF(INDIRECT(ADDRESS($B191+1,BV$164,1,1,"Confirmed Trend"))=0,#N/A,INDIRECT(ADDRESS($B191+1,BV$164,1,1,"Confirmed Trend")))</f>
        <v>#N/A</v>
      </c>
      <c r="BW191" s="14" t="e" cm="1">
        <f t="array" aca="1" ref="BW191" ca="1">IF(INDIRECT(ADDRESS($B191+1,BW$164,1,1,"Confirmed Trend"))=0,#N/A,INDIRECT(ADDRESS($B191+1,BW$164,1,1,"Confirmed Trend")))</f>
        <v>#N/A</v>
      </c>
      <c r="BX191" s="14" t="e" cm="1">
        <f t="array" aca="1" ref="BX191" ca="1">IF(INDIRECT(ADDRESS($B191+1,BX$164,1,1,"Confirmed Trend"))=0,#N/A,INDIRECT(ADDRESS($B191+1,BX$164,1,1,"Confirmed Trend")))</f>
        <v>#N/A</v>
      </c>
      <c r="BY191" s="14" t="e" cm="1">
        <f t="array" aca="1" ref="BY191" ca="1">IF(INDIRECT(ADDRESS($B191+1,BY$164,1,1,"Confirmed Trend"))=0,#N/A,INDIRECT(ADDRESS($B191+1,BY$164,1,1,"Confirmed Trend")))</f>
        <v>#N/A</v>
      </c>
      <c r="BZ191" s="14" t="e" cm="1">
        <f t="array" aca="1" ref="BZ191" ca="1">IF(INDIRECT(ADDRESS($B191+1,BZ$164,1,1,"Confirmed Trend"))=0,#N/A,INDIRECT(ADDRESS($B191+1,BZ$164,1,1,"Confirmed Trend")))</f>
        <v>#N/A</v>
      </c>
      <c r="CA191" s="14" t="e" cm="1">
        <f t="array" aca="1" ref="CA191" ca="1">IF(INDIRECT(ADDRESS($B191+1,CA$164,1,1,"Confirmed Trend"))=0,#N/A,INDIRECT(ADDRESS($B191+1,CA$164,1,1,"Confirmed Trend")))</f>
        <v>#N/A</v>
      </c>
      <c r="CB191" s="14" t="e" cm="1">
        <f t="array" aca="1" ref="CB191" ca="1">IF(INDIRECT(ADDRESS($B191+1,CB$164,1,1,"Confirmed Trend"))=0,#N/A,INDIRECT(ADDRESS($B191+1,CB$164,1,1,"Confirmed Trend")))</f>
        <v>#N/A</v>
      </c>
      <c r="CC191" s="14" t="e" cm="1">
        <f t="array" aca="1" ref="CC191" ca="1">IF(INDIRECT(ADDRESS($B191+1,CC$164,1,1,"Confirmed Trend"))=0,#N/A,INDIRECT(ADDRESS($B191+1,CC$164,1,1,"Confirmed Trend")))</f>
        <v>#N/A</v>
      </c>
      <c r="CD191" s="14" t="e" cm="1">
        <f t="array" aca="1" ref="CD191" ca="1">IF(INDIRECT(ADDRESS($B191+1,CD$164,1,1,"Confirmed Trend"))=0,#N/A,INDIRECT(ADDRESS($B191+1,CD$164,1,1,"Confirmed Trend")))</f>
        <v>#N/A</v>
      </c>
      <c r="CE191" s="14" t="e" cm="1">
        <f t="array" aca="1" ref="CE191" ca="1">IF(INDIRECT(ADDRESS($B191+1,CE$164,1,1,"Confirmed Trend"))=0,#N/A,INDIRECT(ADDRESS($B191+1,CE$164,1,1,"Confirmed Trend")))</f>
        <v>#N/A</v>
      </c>
      <c r="CF191" s="14" t="e" cm="1">
        <f t="array" aca="1" ref="CF191" ca="1">IF(INDIRECT(ADDRESS($B191+1,CF$164,1,1,"Confirmed Trend"))=0,#N/A,INDIRECT(ADDRESS($B191+1,CF$164,1,1,"Confirmed Trend")))</f>
        <v>#N/A</v>
      </c>
      <c r="CG191" s="14" t="e" cm="1">
        <f t="array" aca="1" ref="CG191" ca="1">IF(INDIRECT(ADDRESS($B191+1,CG$164,1,1,"Confirmed Trend"))=0,#N/A,INDIRECT(ADDRESS($B191+1,CG$164,1,1,"Confirmed Trend")))</f>
        <v>#N/A</v>
      </c>
      <c r="CH191" s="14" t="e" cm="1">
        <f t="array" aca="1" ref="CH191" ca="1">IF(INDIRECT(ADDRESS($B191+1,CH$164,1,1,"Confirmed Trend"))=0,#N/A,INDIRECT(ADDRESS($B191+1,CH$164,1,1,"Confirmed Trend")))</f>
        <v>#N/A</v>
      </c>
      <c r="CI191" s="14" t="e" cm="1">
        <f t="array" aca="1" ref="CI191" ca="1">IF(INDIRECT(ADDRESS($B191+1,CI$164,1,1,"Confirmed Trend"))=0,#N/A,INDIRECT(ADDRESS($B191+1,CI$164,1,1,"Confirmed Trend")))</f>
        <v>#N/A</v>
      </c>
      <c r="CJ191" s="14" t="e" cm="1">
        <f t="array" aca="1" ref="CJ191" ca="1">IF(INDIRECT(ADDRESS($B191+1,CJ$164,1,1,"Confirmed Trend"))=0,#N/A,INDIRECT(ADDRESS($B191+1,CJ$164,1,1,"Confirmed Trend")))</f>
        <v>#N/A</v>
      </c>
      <c r="CK191" s="14" t="e" cm="1">
        <f t="array" aca="1" ref="CK191" ca="1">IF(INDIRECT(ADDRESS($B191+1,CK$164,1,1,"Confirmed Trend"))=0,#N/A,INDIRECT(ADDRESS($B191+1,CK$164,1,1,"Confirmed Trend")))</f>
        <v>#N/A</v>
      </c>
      <c r="CL191" s="14" t="e" cm="1">
        <f t="array" aca="1" ref="CL191" ca="1">IF(INDIRECT(ADDRESS($B191+1,CL$164,1,1,"Confirmed Trend"))=0,#N/A,INDIRECT(ADDRESS($B191+1,CL$164,1,1,"Confirmed Trend")))</f>
        <v>#N/A</v>
      </c>
      <c r="CM191" s="14" t="e" cm="1">
        <f t="array" aca="1" ref="CM191" ca="1">IF(INDIRECT(ADDRESS($B191+1,CM$164,1,1,"Confirmed Trend"))=0,#N/A,INDIRECT(ADDRESS($B191+1,CM$164,1,1,"Confirmed Trend")))</f>
        <v>#N/A</v>
      </c>
      <c r="CN191" s="14" t="e" cm="1">
        <f t="array" aca="1" ref="CN191" ca="1">IF(INDIRECT(ADDRESS($B191+1,CN$164,1,1,"Confirmed Trend"))=0,#N/A,INDIRECT(ADDRESS($B191+1,CN$164,1,1,"Confirmed Trend")))</f>
        <v>#N/A</v>
      </c>
      <c r="CO191" s="14" t="e" cm="1">
        <f t="array" aca="1" ref="CO191" ca="1">IF(INDIRECT(ADDRESS($B191+1,CO$164,1,1,"Confirmed Trend"))=0,#N/A,INDIRECT(ADDRESS($B191+1,CO$164,1,1,"Confirmed Trend")))</f>
        <v>#N/A</v>
      </c>
      <c r="CP191" s="14" t="e" cm="1">
        <f t="array" aca="1" ref="CP191" ca="1">IF(INDIRECT(ADDRESS($B191+1,CP$164,1,1,"Confirmed Trend"))=0,#N/A,INDIRECT(ADDRESS($B191+1,CP$164,1,1,"Confirmed Trend")))</f>
        <v>#N/A</v>
      </c>
      <c r="CQ191" s="14" t="e" cm="1">
        <f t="array" aca="1" ref="CQ191" ca="1">IF(INDIRECT(ADDRESS($B191+1,CQ$164,1,1,"Confirmed Trend"))=0,#N/A,INDIRECT(ADDRESS($B191+1,CQ$164,1,1,"Confirmed Trend")))</f>
        <v>#N/A</v>
      </c>
      <c r="CR191" s="14" t="e" cm="1">
        <f t="array" aca="1" ref="CR191" ca="1">IF(INDIRECT(ADDRESS($B191+1,CR$164,1,1,"Confirmed Trend"))=0,#N/A,INDIRECT(ADDRESS($B191+1,CR$164,1,1,"Confirmed Trend")))</f>
        <v>#N/A</v>
      </c>
    </row>
    <row r="192" spans="2:96" x14ac:dyDescent="0.25">
      <c r="B192">
        <f t="shared" si="258"/>
        <v>27</v>
      </c>
      <c r="C192" cm="1">
        <f t="array" aca="1" ref="C192" ca="1">INDIRECT(ADDRESS($B192+1,1,1,1,"Confirmed Trend"))</f>
        <v>0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t="e" cm="1">
        <f t="array" aca="1" ref="AY192" ca="1">IF(INDIRECT(ADDRESS($B192+1,AY$164,1,1,"Confirmed Trend"))=0,#N/A,INDIRECT(ADDRESS($B192+1,AY$164,1,1,"Confirmed Trend")))</f>
        <v>#N/A</v>
      </c>
      <c r="AZ192" s="14" t="e" cm="1">
        <f t="array" aca="1" ref="AZ192" ca="1">IF(INDIRECT(ADDRESS($B192+1,AZ$164,1,1,"Confirmed Trend"))=0,#N/A,INDIRECT(ADDRESS($B192+1,AZ$164,1,1,"Confirmed Trend")))</f>
        <v>#N/A</v>
      </c>
      <c r="BA192" s="14" t="e" cm="1">
        <f t="array" aca="1" ref="BA192" ca="1">IF(INDIRECT(ADDRESS($B192+1,BA$164,1,1,"Confirmed Trend"))=0,#N/A,INDIRECT(ADDRESS($B192+1,BA$164,1,1,"Confirmed Trend")))</f>
        <v>#N/A</v>
      </c>
      <c r="BB192" s="14" t="e" cm="1">
        <f t="array" aca="1" ref="BB192" ca="1">IF(INDIRECT(ADDRESS($B192+1,BB$164,1,1,"Confirmed Trend"))=0,#N/A,INDIRECT(ADDRESS($B192+1,BB$164,1,1,"Confirmed Trend")))</f>
        <v>#N/A</v>
      </c>
      <c r="BC192" s="14" t="e" cm="1">
        <f t="array" aca="1" ref="BC192" ca="1">IF(INDIRECT(ADDRESS($B192+1,BC$164,1,1,"Confirmed Trend"))=0,#N/A,INDIRECT(ADDRESS($B192+1,BC$164,1,1,"Confirmed Trend")))</f>
        <v>#N/A</v>
      </c>
      <c r="BD192" s="14" t="e" cm="1">
        <f t="array" aca="1" ref="BD192" ca="1">IF(INDIRECT(ADDRESS($B192+1,BD$164,1,1,"Confirmed Trend"))=0,#N/A,INDIRECT(ADDRESS($B192+1,BD$164,1,1,"Confirmed Trend")))</f>
        <v>#N/A</v>
      </c>
      <c r="BE192" s="14" t="e" cm="1">
        <f t="array" aca="1" ref="BE192" ca="1">IF(INDIRECT(ADDRESS($B192+1,BE$164,1,1,"Confirmed Trend"))=0,#N/A,INDIRECT(ADDRESS($B192+1,BE$164,1,1,"Confirmed Trend")))</f>
        <v>#N/A</v>
      </c>
      <c r="BF192" s="14" t="e" cm="1">
        <f t="array" aca="1" ref="BF192" ca="1">IF(INDIRECT(ADDRESS($B192+1,BF$164,1,1,"Confirmed Trend"))=0,#N/A,INDIRECT(ADDRESS($B192+1,BF$164,1,1,"Confirmed Trend")))</f>
        <v>#N/A</v>
      </c>
      <c r="BG192" s="14" t="e" cm="1">
        <f t="array" aca="1" ref="BG192" ca="1">IF(INDIRECT(ADDRESS($B192+1,BG$164,1,1,"Confirmed Trend"))=0,#N/A,INDIRECT(ADDRESS($B192+1,BG$164,1,1,"Confirmed Trend")))</f>
        <v>#N/A</v>
      </c>
      <c r="BH192" s="14" t="e" cm="1">
        <f t="array" aca="1" ref="BH192" ca="1">IF(INDIRECT(ADDRESS($B192+1,BH$164,1,1,"Confirmed Trend"))=0,#N/A,INDIRECT(ADDRESS($B192+1,BH$164,1,1,"Confirmed Trend")))</f>
        <v>#N/A</v>
      </c>
      <c r="BI192" s="14" t="e" cm="1">
        <f t="array" aca="1" ref="BI192" ca="1">IF(INDIRECT(ADDRESS($B192+1,BI$164,1,1,"Confirmed Trend"))=0,#N/A,INDIRECT(ADDRESS($B192+1,BI$164,1,1,"Confirmed Trend")))</f>
        <v>#N/A</v>
      </c>
      <c r="BJ192" s="14" t="e" cm="1">
        <f t="array" aca="1" ref="BJ192" ca="1">IF(INDIRECT(ADDRESS($B192+1,BJ$164,1,1,"Confirmed Trend"))=0,#N/A,INDIRECT(ADDRESS($B192+1,BJ$164,1,1,"Confirmed Trend")))</f>
        <v>#N/A</v>
      </c>
      <c r="BK192" s="14" t="e" cm="1">
        <f t="array" aca="1" ref="BK192" ca="1">IF(INDIRECT(ADDRESS($B192+1,BK$164,1,1,"Confirmed Trend"))=0,#N/A,INDIRECT(ADDRESS($B192+1,BK$164,1,1,"Confirmed Trend")))</f>
        <v>#N/A</v>
      </c>
      <c r="BL192" s="14" t="e" cm="1">
        <f t="array" aca="1" ref="BL192" ca="1">IF(INDIRECT(ADDRESS($B192+1,BL$164,1,1,"Confirmed Trend"))=0,#N/A,INDIRECT(ADDRESS($B192+1,BL$164,1,1,"Confirmed Trend")))</f>
        <v>#N/A</v>
      </c>
      <c r="BM192" s="14" t="e" cm="1">
        <f t="array" aca="1" ref="BM192" ca="1">IF(INDIRECT(ADDRESS($B192+1,BM$164,1,1,"Confirmed Trend"))=0,#N/A,INDIRECT(ADDRESS($B192+1,BM$164,1,1,"Confirmed Trend")))</f>
        <v>#N/A</v>
      </c>
      <c r="BN192" s="14" t="e" cm="1">
        <f t="array" aca="1" ref="BN192" ca="1">IF(INDIRECT(ADDRESS($B192+1,BN$164,1,1,"Confirmed Trend"))=0,#N/A,INDIRECT(ADDRESS($B192+1,BN$164,1,1,"Confirmed Trend")))</f>
        <v>#N/A</v>
      </c>
      <c r="BO192" s="14" t="e" cm="1">
        <f t="array" aca="1" ref="BO192" ca="1">IF(INDIRECT(ADDRESS($B192+1,BO$164,1,1,"Confirmed Trend"))=0,#N/A,INDIRECT(ADDRESS($B192+1,BO$164,1,1,"Confirmed Trend")))</f>
        <v>#N/A</v>
      </c>
      <c r="BP192" s="14" t="e" cm="1">
        <f t="array" aca="1" ref="BP192" ca="1">IF(INDIRECT(ADDRESS($B192+1,BP$164,1,1,"Confirmed Trend"))=0,#N/A,INDIRECT(ADDRESS($B192+1,BP$164,1,1,"Confirmed Trend")))</f>
        <v>#N/A</v>
      </c>
      <c r="BQ192" s="14" t="e" cm="1">
        <f t="array" aca="1" ref="BQ192" ca="1">IF(INDIRECT(ADDRESS($B192+1,BQ$164,1,1,"Confirmed Trend"))=0,#N/A,INDIRECT(ADDRESS($B192+1,BQ$164,1,1,"Confirmed Trend")))</f>
        <v>#N/A</v>
      </c>
      <c r="BR192" s="14" t="e" cm="1">
        <f t="array" aca="1" ref="BR192" ca="1">IF(INDIRECT(ADDRESS($B192+1,BR$164,1,1,"Confirmed Trend"))=0,#N/A,INDIRECT(ADDRESS($B192+1,BR$164,1,1,"Confirmed Trend")))</f>
        <v>#N/A</v>
      </c>
      <c r="BS192" s="14" t="e" cm="1">
        <f t="array" aca="1" ref="BS192" ca="1">IF(INDIRECT(ADDRESS($B192+1,BS$164,1,1,"Confirmed Trend"))=0,#N/A,INDIRECT(ADDRESS($B192+1,BS$164,1,1,"Confirmed Trend")))</f>
        <v>#N/A</v>
      </c>
      <c r="BT192" s="14" t="e" cm="1">
        <f t="array" aca="1" ref="BT192" ca="1">IF(INDIRECT(ADDRESS($B192+1,BT$164,1,1,"Confirmed Trend"))=0,#N/A,INDIRECT(ADDRESS($B192+1,BT$164,1,1,"Confirmed Trend")))</f>
        <v>#N/A</v>
      </c>
      <c r="BU192" s="14" t="e" cm="1">
        <f t="array" aca="1" ref="BU192" ca="1">IF(INDIRECT(ADDRESS($B192+1,BU$164,1,1,"Confirmed Trend"))=0,#N/A,INDIRECT(ADDRESS($B192+1,BU$164,1,1,"Confirmed Trend")))</f>
        <v>#N/A</v>
      </c>
      <c r="BV192" s="14" t="e" cm="1">
        <f t="array" aca="1" ref="BV192" ca="1">IF(INDIRECT(ADDRESS($B192+1,BV$164,1,1,"Confirmed Trend"))=0,#N/A,INDIRECT(ADDRESS($B192+1,BV$164,1,1,"Confirmed Trend")))</f>
        <v>#N/A</v>
      </c>
      <c r="BW192" s="14" t="e" cm="1">
        <f t="array" aca="1" ref="BW192" ca="1">IF(INDIRECT(ADDRESS($B192+1,BW$164,1,1,"Confirmed Trend"))=0,#N/A,INDIRECT(ADDRESS($B192+1,BW$164,1,1,"Confirmed Trend")))</f>
        <v>#N/A</v>
      </c>
      <c r="BX192" s="14" t="e" cm="1">
        <f t="array" aca="1" ref="BX192" ca="1">IF(INDIRECT(ADDRESS($B192+1,BX$164,1,1,"Confirmed Trend"))=0,#N/A,INDIRECT(ADDRESS($B192+1,BX$164,1,1,"Confirmed Trend")))</f>
        <v>#N/A</v>
      </c>
      <c r="BY192" s="14" t="e" cm="1">
        <f t="array" aca="1" ref="BY192" ca="1">IF(INDIRECT(ADDRESS($B192+1,BY$164,1,1,"Confirmed Trend"))=0,#N/A,INDIRECT(ADDRESS($B192+1,BY$164,1,1,"Confirmed Trend")))</f>
        <v>#N/A</v>
      </c>
      <c r="BZ192" s="14" t="e" cm="1">
        <f t="array" aca="1" ref="BZ192" ca="1">IF(INDIRECT(ADDRESS($B192+1,BZ$164,1,1,"Confirmed Trend"))=0,#N/A,INDIRECT(ADDRESS($B192+1,BZ$164,1,1,"Confirmed Trend")))</f>
        <v>#N/A</v>
      </c>
      <c r="CA192" s="14" t="e" cm="1">
        <f t="array" aca="1" ref="CA192" ca="1">IF(INDIRECT(ADDRESS($B192+1,CA$164,1,1,"Confirmed Trend"))=0,#N/A,INDIRECT(ADDRESS($B192+1,CA$164,1,1,"Confirmed Trend")))</f>
        <v>#N/A</v>
      </c>
      <c r="CB192" s="14" t="e" cm="1">
        <f t="array" aca="1" ref="CB192" ca="1">IF(INDIRECT(ADDRESS($B192+1,CB$164,1,1,"Confirmed Trend"))=0,#N/A,INDIRECT(ADDRESS($B192+1,CB$164,1,1,"Confirmed Trend")))</f>
        <v>#N/A</v>
      </c>
      <c r="CC192" s="14" t="e" cm="1">
        <f t="array" aca="1" ref="CC192" ca="1">IF(INDIRECT(ADDRESS($B192+1,CC$164,1,1,"Confirmed Trend"))=0,#N/A,INDIRECT(ADDRESS($B192+1,CC$164,1,1,"Confirmed Trend")))</f>
        <v>#N/A</v>
      </c>
      <c r="CD192" s="14" t="e" cm="1">
        <f t="array" aca="1" ref="CD192" ca="1">IF(INDIRECT(ADDRESS($B192+1,CD$164,1,1,"Confirmed Trend"))=0,#N/A,INDIRECT(ADDRESS($B192+1,CD$164,1,1,"Confirmed Trend")))</f>
        <v>#N/A</v>
      </c>
      <c r="CE192" s="14" t="e" cm="1">
        <f t="array" aca="1" ref="CE192" ca="1">IF(INDIRECT(ADDRESS($B192+1,CE$164,1,1,"Confirmed Trend"))=0,#N/A,INDIRECT(ADDRESS($B192+1,CE$164,1,1,"Confirmed Trend")))</f>
        <v>#N/A</v>
      </c>
      <c r="CF192" s="14" t="e" cm="1">
        <f t="array" aca="1" ref="CF192" ca="1">IF(INDIRECT(ADDRESS($B192+1,CF$164,1,1,"Confirmed Trend"))=0,#N/A,INDIRECT(ADDRESS($B192+1,CF$164,1,1,"Confirmed Trend")))</f>
        <v>#N/A</v>
      </c>
      <c r="CG192" s="14" t="e" cm="1">
        <f t="array" aca="1" ref="CG192" ca="1">IF(INDIRECT(ADDRESS($B192+1,CG$164,1,1,"Confirmed Trend"))=0,#N/A,INDIRECT(ADDRESS($B192+1,CG$164,1,1,"Confirmed Trend")))</f>
        <v>#N/A</v>
      </c>
      <c r="CH192" s="14" t="e" cm="1">
        <f t="array" aca="1" ref="CH192" ca="1">IF(INDIRECT(ADDRESS($B192+1,CH$164,1,1,"Confirmed Trend"))=0,#N/A,INDIRECT(ADDRESS($B192+1,CH$164,1,1,"Confirmed Trend")))</f>
        <v>#N/A</v>
      </c>
      <c r="CI192" s="14" t="e" cm="1">
        <f t="array" aca="1" ref="CI192" ca="1">IF(INDIRECT(ADDRESS($B192+1,CI$164,1,1,"Confirmed Trend"))=0,#N/A,INDIRECT(ADDRESS($B192+1,CI$164,1,1,"Confirmed Trend")))</f>
        <v>#N/A</v>
      </c>
      <c r="CJ192" s="14" t="e" cm="1">
        <f t="array" aca="1" ref="CJ192" ca="1">IF(INDIRECT(ADDRESS($B192+1,CJ$164,1,1,"Confirmed Trend"))=0,#N/A,INDIRECT(ADDRESS($B192+1,CJ$164,1,1,"Confirmed Trend")))</f>
        <v>#N/A</v>
      </c>
      <c r="CK192" s="14" t="e" cm="1">
        <f t="array" aca="1" ref="CK192" ca="1">IF(INDIRECT(ADDRESS($B192+1,CK$164,1,1,"Confirmed Trend"))=0,#N/A,INDIRECT(ADDRESS($B192+1,CK$164,1,1,"Confirmed Trend")))</f>
        <v>#N/A</v>
      </c>
      <c r="CL192" s="14" t="e" cm="1">
        <f t="array" aca="1" ref="CL192" ca="1">IF(INDIRECT(ADDRESS($B192+1,CL$164,1,1,"Confirmed Trend"))=0,#N/A,INDIRECT(ADDRESS($B192+1,CL$164,1,1,"Confirmed Trend")))</f>
        <v>#N/A</v>
      </c>
      <c r="CM192" s="14" t="e" cm="1">
        <f t="array" aca="1" ref="CM192" ca="1">IF(INDIRECT(ADDRESS($B192+1,CM$164,1,1,"Confirmed Trend"))=0,#N/A,INDIRECT(ADDRESS($B192+1,CM$164,1,1,"Confirmed Trend")))</f>
        <v>#N/A</v>
      </c>
      <c r="CN192" s="14" t="e" cm="1">
        <f t="array" aca="1" ref="CN192" ca="1">IF(INDIRECT(ADDRESS($B192+1,CN$164,1,1,"Confirmed Trend"))=0,#N/A,INDIRECT(ADDRESS($B192+1,CN$164,1,1,"Confirmed Trend")))</f>
        <v>#N/A</v>
      </c>
      <c r="CO192" s="14" t="e" cm="1">
        <f t="array" aca="1" ref="CO192" ca="1">IF(INDIRECT(ADDRESS($B192+1,CO$164,1,1,"Confirmed Trend"))=0,#N/A,INDIRECT(ADDRESS($B192+1,CO$164,1,1,"Confirmed Trend")))</f>
        <v>#N/A</v>
      </c>
      <c r="CP192" s="14" t="e" cm="1">
        <f t="array" aca="1" ref="CP192" ca="1">IF(INDIRECT(ADDRESS($B192+1,CP$164,1,1,"Confirmed Trend"))=0,#N/A,INDIRECT(ADDRESS($B192+1,CP$164,1,1,"Confirmed Trend")))</f>
        <v>#N/A</v>
      </c>
      <c r="CQ192" s="14" t="e" cm="1">
        <f t="array" aca="1" ref="CQ192" ca="1">IF(INDIRECT(ADDRESS($B192+1,CQ$164,1,1,"Confirmed Trend"))=0,#N/A,INDIRECT(ADDRESS($B192+1,CQ$164,1,1,"Confirmed Trend")))</f>
        <v>#N/A</v>
      </c>
      <c r="CR192" s="14" t="e" cm="1">
        <f t="array" aca="1" ref="CR192" ca="1">IF(INDIRECT(ADDRESS($B192+1,CR$164,1,1,"Confirmed Trend"))=0,#N/A,INDIRECT(ADDRESS($B192+1,CR$164,1,1,"Confirmed Trend")))</f>
        <v>#N/A</v>
      </c>
    </row>
    <row r="193" spans="2:96" x14ac:dyDescent="0.25">
      <c r="B193">
        <f t="shared" si="258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</row>
    <row r="194" spans="2:96" x14ac:dyDescent="0.25">
      <c r="B194">
        <f t="shared" si="258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</row>
    <row r="195" spans="2:96" x14ac:dyDescent="0.25">
      <c r="B195">
        <f t="shared" si="258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</row>
    <row r="196" spans="2:96" x14ac:dyDescent="0.25">
      <c r="B196">
        <f t="shared" si="258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</row>
    <row r="197" spans="2:96" x14ac:dyDescent="0.25">
      <c r="B197">
        <f t="shared" si="258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</row>
    <row r="198" spans="2:96" x14ac:dyDescent="0.25">
      <c r="B198">
        <f t="shared" si="258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</row>
    <row r="199" spans="2:96" x14ac:dyDescent="0.25">
      <c r="B199">
        <f t="shared" si="258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</row>
    <row r="200" spans="2:96" x14ac:dyDescent="0.25">
      <c r="B200">
        <f t="shared" si="258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</row>
    <row r="201" spans="2:96" x14ac:dyDescent="0.25">
      <c r="B201">
        <f t="shared" si="258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</row>
    <row r="202" spans="2:96" x14ac:dyDescent="0.25">
      <c r="B202">
        <f t="shared" si="258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</row>
    <row r="203" spans="2:96" x14ac:dyDescent="0.25">
      <c r="B203">
        <f t="shared" si="258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</row>
    <row r="204" spans="2:96" x14ac:dyDescent="0.25">
      <c r="B204">
        <f t="shared" si="258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</row>
    <row r="205" spans="2:96" x14ac:dyDescent="0.25">
      <c r="B205">
        <f t="shared" si="258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</row>
    <row r="206" spans="2:96" x14ac:dyDescent="0.25">
      <c r="B206">
        <f t="shared" si="258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</row>
    <row r="207" spans="2:96" x14ac:dyDescent="0.25">
      <c r="B207">
        <f t="shared" si="258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</row>
    <row r="208" spans="2:96" x14ac:dyDescent="0.25">
      <c r="B208">
        <f t="shared" si="258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</row>
    <row r="209" spans="2:96" x14ac:dyDescent="0.25">
      <c r="B209">
        <f t="shared" si="258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</row>
    <row r="210" spans="2:96" x14ac:dyDescent="0.25">
      <c r="B210">
        <f t="shared" si="258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</row>
    <row r="211" spans="2:96" x14ac:dyDescent="0.25">
      <c r="B211">
        <f t="shared" si="258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</row>
    <row r="212" spans="2:96" x14ac:dyDescent="0.25">
      <c r="B212">
        <f t="shared" si="258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</row>
    <row r="213" spans="2:96" x14ac:dyDescent="0.25">
      <c r="B213">
        <f t="shared" si="258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</row>
    <row r="214" spans="2:96" x14ac:dyDescent="0.25">
      <c r="B214">
        <f t="shared" si="258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</row>
    <row r="215" spans="2:96" x14ac:dyDescent="0.25">
      <c r="B215">
        <f t="shared" si="258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</row>
    <row r="216" spans="2:96" x14ac:dyDescent="0.25">
      <c r="B216">
        <f t="shared" si="258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</row>
    <row r="217" spans="2:96" x14ac:dyDescent="0.25">
      <c r="B217">
        <f t="shared" si="258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</row>
    <row r="218" spans="2:96" x14ac:dyDescent="0.25">
      <c r="B218">
        <f t="shared" si="258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</row>
    <row r="219" spans="2:96" x14ac:dyDescent="0.25">
      <c r="B219">
        <f t="shared" si="258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</row>
    <row r="220" spans="2:96" x14ac:dyDescent="0.25">
      <c r="B220">
        <f t="shared" si="258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</row>
    <row r="221" spans="2:96" x14ac:dyDescent="0.25">
      <c r="B221">
        <f t="shared" si="258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</row>
    <row r="222" spans="2:96" x14ac:dyDescent="0.25">
      <c r="B222">
        <f t="shared" si="258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</row>
    <row r="223" spans="2:96" x14ac:dyDescent="0.25">
      <c r="B223">
        <f t="shared" si="258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</row>
    <row r="224" spans="2:96" x14ac:dyDescent="0.25">
      <c r="B224">
        <f t="shared" si="258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</row>
    <row r="225" spans="2:96" x14ac:dyDescent="0.25">
      <c r="B225">
        <f t="shared" si="258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</row>
    <row r="230" spans="2:96" x14ac:dyDescent="0.25">
      <c r="E230">
        <v>9</v>
      </c>
      <c r="F230">
        <f>E230+1</f>
        <v>10</v>
      </c>
      <c r="G230">
        <f t="shared" ref="G230" si="259">F230+1</f>
        <v>11</v>
      </c>
      <c r="H230">
        <f t="shared" ref="H230" si="260">G230+1</f>
        <v>12</v>
      </c>
      <c r="I230">
        <f t="shared" ref="I230" si="261">H230+1</f>
        <v>13</v>
      </c>
      <c r="J230">
        <f t="shared" ref="J230" si="262">I230+1</f>
        <v>14</v>
      </c>
      <c r="K230">
        <f t="shared" ref="K230" si="263">J230+1</f>
        <v>15</v>
      </c>
      <c r="L230">
        <f t="shared" ref="L230" si="264">K230+1</f>
        <v>16</v>
      </c>
      <c r="M230">
        <f t="shared" ref="M230" si="265">L230+1</f>
        <v>17</v>
      </c>
      <c r="N230">
        <f t="shared" ref="N230" si="266">M230+1</f>
        <v>18</v>
      </c>
      <c r="O230">
        <f t="shared" ref="O230" si="267">N230+1</f>
        <v>19</v>
      </c>
      <c r="P230">
        <f t="shared" ref="P230" si="268">O230+1</f>
        <v>20</v>
      </c>
      <c r="Q230">
        <f t="shared" ref="Q230" si="269">P230+1</f>
        <v>21</v>
      </c>
      <c r="R230">
        <f t="shared" ref="R230" si="270">Q230+1</f>
        <v>22</v>
      </c>
      <c r="S230">
        <f t="shared" ref="S230" si="271">R230+1</f>
        <v>23</v>
      </c>
      <c r="T230">
        <f t="shared" ref="T230" si="272">S230+1</f>
        <v>24</v>
      </c>
      <c r="U230">
        <f t="shared" ref="U230" si="273">T230+1</f>
        <v>25</v>
      </c>
      <c r="V230">
        <f t="shared" ref="V230" si="274">U230+1</f>
        <v>26</v>
      </c>
      <c r="W230">
        <f t="shared" ref="W230" si="275">V230+1</f>
        <v>27</v>
      </c>
      <c r="X230">
        <f t="shared" ref="X230" si="276">W230+1</f>
        <v>28</v>
      </c>
      <c r="Y230">
        <f t="shared" ref="Y230" si="277">X230+1</f>
        <v>29</v>
      </c>
      <c r="Z230">
        <f t="shared" ref="Z230" si="278">Y230+1</f>
        <v>30</v>
      </c>
      <c r="AA230">
        <f t="shared" ref="AA230" si="279">Z230+1</f>
        <v>31</v>
      </c>
      <c r="AB230">
        <f t="shared" ref="AB230" si="280">AA230+1</f>
        <v>32</v>
      </c>
      <c r="AC230">
        <f t="shared" ref="AC230" si="281">AB230+1</f>
        <v>33</v>
      </c>
      <c r="AD230">
        <f t="shared" ref="AD230" si="282">AC230+1</f>
        <v>34</v>
      </c>
      <c r="AE230">
        <f t="shared" ref="AE230" si="283">AD230+1</f>
        <v>35</v>
      </c>
      <c r="AF230">
        <f t="shared" ref="AF230" si="284">AE230+1</f>
        <v>36</v>
      </c>
      <c r="AG230">
        <f t="shared" ref="AG230" si="285">AF230+1</f>
        <v>37</v>
      </c>
      <c r="AH230">
        <f t="shared" ref="AH230" si="286">AG230+1</f>
        <v>38</v>
      </c>
      <c r="AI230">
        <f t="shared" ref="AI230" si="287">AH230+1</f>
        <v>39</v>
      </c>
      <c r="AJ230">
        <f t="shared" ref="AJ230" si="288">AI230+1</f>
        <v>40</v>
      </c>
      <c r="AK230">
        <f t="shared" ref="AK230" si="289">AJ230+1</f>
        <v>41</v>
      </c>
      <c r="AL230">
        <f t="shared" ref="AL230" si="290">AK230+1</f>
        <v>42</v>
      </c>
      <c r="AM230">
        <f t="shared" ref="AM230" si="291">AL230+1</f>
        <v>43</v>
      </c>
      <c r="AN230">
        <f t="shared" ref="AN230" si="292">AM230+1</f>
        <v>44</v>
      </c>
      <c r="AO230">
        <f t="shared" ref="AO230" si="293">AN230+1</f>
        <v>45</v>
      </c>
      <c r="AP230">
        <f t="shared" ref="AP230" si="294">AO230+1</f>
        <v>46</v>
      </c>
      <c r="AQ230">
        <f t="shared" ref="AQ230" si="295">AP230+1</f>
        <v>47</v>
      </c>
      <c r="AR230">
        <f t="shared" ref="AR230" si="296">AQ230+1</f>
        <v>48</v>
      </c>
      <c r="AS230">
        <f t="shared" ref="AS230" si="297">AR230+1</f>
        <v>49</v>
      </c>
      <c r="AT230">
        <f t="shared" ref="AT230" si="298">AS230+1</f>
        <v>50</v>
      </c>
      <c r="AU230">
        <f t="shared" ref="AU230" si="299">AT230+1</f>
        <v>51</v>
      </c>
      <c r="AV230">
        <f t="shared" ref="AV230" si="300">AU230+1</f>
        <v>52</v>
      </c>
      <c r="AW230">
        <f t="shared" ref="AW230" si="301">AV230+1</f>
        <v>53</v>
      </c>
      <c r="AX230">
        <f t="shared" ref="AX230" si="302">AW230+1</f>
        <v>54</v>
      </c>
      <c r="AY230">
        <f t="shared" ref="AY230" si="303">AX230+1</f>
        <v>55</v>
      </c>
      <c r="AZ230">
        <f t="shared" ref="AZ230" si="304">AY230+1</f>
        <v>56</v>
      </c>
      <c r="BA230">
        <f t="shared" ref="BA230" si="305">AZ230+1</f>
        <v>57</v>
      </c>
      <c r="BB230">
        <f t="shared" ref="BB230" si="306">BA230+1</f>
        <v>58</v>
      </c>
      <c r="BC230">
        <f t="shared" ref="BC230" si="307">BB230+1</f>
        <v>59</v>
      </c>
      <c r="BD230">
        <f t="shared" ref="BD230" si="308">BC230+1</f>
        <v>60</v>
      </c>
      <c r="BE230">
        <f t="shared" ref="BE230" si="309">BD230+1</f>
        <v>61</v>
      </c>
      <c r="BF230">
        <f t="shared" ref="BF230" si="310">BE230+1</f>
        <v>62</v>
      </c>
      <c r="BG230">
        <f t="shared" ref="BG230" si="311">BF230+1</f>
        <v>63</v>
      </c>
      <c r="BH230">
        <f t="shared" ref="BH230" si="312">BG230+1</f>
        <v>64</v>
      </c>
      <c r="BI230">
        <f t="shared" ref="BI230" si="313">BH230+1</f>
        <v>65</v>
      </c>
      <c r="BJ230">
        <f t="shared" ref="BJ230" si="314">BI230+1</f>
        <v>66</v>
      </c>
      <c r="BK230">
        <f t="shared" ref="BK230" si="315">BJ230+1</f>
        <v>67</v>
      </c>
      <c r="BL230">
        <f t="shared" ref="BL230" si="316">BK230+1</f>
        <v>68</v>
      </c>
      <c r="BM230">
        <f t="shared" ref="BM230" si="317">BL230+1</f>
        <v>69</v>
      </c>
      <c r="BN230">
        <f t="shared" ref="BN230" si="318">BM230+1</f>
        <v>70</v>
      </c>
      <c r="BO230">
        <f t="shared" ref="BO230" si="319">BN230+1</f>
        <v>71</v>
      </c>
      <c r="BP230">
        <f t="shared" ref="BP230" si="320">BO230+1</f>
        <v>72</v>
      </c>
      <c r="BQ230">
        <f t="shared" ref="BQ230" si="321">BP230+1</f>
        <v>73</v>
      </c>
      <c r="BR230">
        <f t="shared" ref="BR230" si="322">BQ230+1</f>
        <v>74</v>
      </c>
      <c r="BS230">
        <f t="shared" ref="BS230" si="323">BR230+1</f>
        <v>75</v>
      </c>
      <c r="BT230">
        <f t="shared" ref="BT230" si="324">BS230+1</f>
        <v>76</v>
      </c>
      <c r="BU230">
        <f t="shared" ref="BU230" si="325">BT230+1</f>
        <v>77</v>
      </c>
      <c r="BV230">
        <f t="shared" ref="BV230" si="326">BU230+1</f>
        <v>78</v>
      </c>
      <c r="BW230">
        <f t="shared" ref="BW230" si="327">BV230+1</f>
        <v>79</v>
      </c>
      <c r="BX230">
        <f t="shared" ref="BX230" si="328">BW230+1</f>
        <v>80</v>
      </c>
      <c r="BY230">
        <f t="shared" ref="BY230" si="329">BX230+1</f>
        <v>81</v>
      </c>
      <c r="BZ230">
        <f t="shared" ref="BZ230" si="330">BY230+1</f>
        <v>82</v>
      </c>
      <c r="CA230">
        <f t="shared" ref="CA230" si="331">BZ230+1</f>
        <v>83</v>
      </c>
      <c r="CB230">
        <f t="shared" ref="CB230" si="332">CA230+1</f>
        <v>84</v>
      </c>
      <c r="CC230">
        <f t="shared" ref="CC230" si="333">CB230+1</f>
        <v>85</v>
      </c>
      <c r="CD230">
        <f t="shared" ref="CD230" si="334">CC230+1</f>
        <v>86</v>
      </c>
      <c r="CE230">
        <f t="shared" ref="CE230" si="335">CD230+1</f>
        <v>87</v>
      </c>
      <c r="CF230">
        <f t="shared" ref="CF230" si="336">CE230+1</f>
        <v>88</v>
      </c>
      <c r="CG230">
        <f t="shared" ref="CG230" si="337">CF230+1</f>
        <v>89</v>
      </c>
      <c r="CH230">
        <f t="shared" ref="CH230" si="338">CG230+1</f>
        <v>90</v>
      </c>
      <c r="CI230">
        <f t="shared" ref="CI230" si="339">CH230+1</f>
        <v>91</v>
      </c>
      <c r="CJ230">
        <f t="shared" ref="CJ230" si="340">CI230+1</f>
        <v>92</v>
      </c>
      <c r="CK230">
        <f t="shared" ref="CK230" si="341">CJ230+1</f>
        <v>93</v>
      </c>
      <c r="CL230">
        <f t="shared" ref="CL230" si="342">CK230+1</f>
        <v>94</v>
      </c>
      <c r="CM230">
        <f t="shared" ref="CM230" si="343">CL230+1</f>
        <v>95</v>
      </c>
      <c r="CN230">
        <f t="shared" ref="CN230" si="344">CM230+1</f>
        <v>96</v>
      </c>
      <c r="CO230">
        <f t="shared" ref="CO230" si="345">CN230+1</f>
        <v>97</v>
      </c>
      <c r="CP230">
        <f t="shared" ref="CP230" si="346">CO230+1</f>
        <v>98</v>
      </c>
      <c r="CQ230">
        <f t="shared" ref="CQ230" si="347">CP230+1</f>
        <v>99</v>
      </c>
      <c r="CR230">
        <f t="shared" ref="CR230" si="348">CQ230+1</f>
        <v>100</v>
      </c>
    </row>
    <row r="231" spans="2:96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2:96" x14ac:dyDescent="0.25">
      <c r="B232">
        <v>1</v>
      </c>
      <c r="C232" t="str" cm="1">
        <f t="array" aca="1" ref="C232" ca="1">INDIRECT(ADDRESS($B232+1,1,1,1,"Confirmed Trend"))</f>
        <v>Austria</v>
      </c>
      <c r="E232" s="14" t="e" cm="1">
        <f t="array" aca="1" ref="E232" ca="1">IF(INDIRECT(ADDRESS($B232+1,E$230,1,1,"Actively Infected Trend"))=0,#N/A,INDIRECT(ADDRESS($B232+1,E$230,1,1,"Actively Infected Trend")))</f>
        <v>#N/A</v>
      </c>
      <c r="F232" s="14" t="e" cm="1">
        <f t="array" aca="1" ref="F232" ca="1">IF(INDIRECT(ADDRESS($B232+1,F$230,1,1,"Actively Infected Trend"))=0,#N/A,INDIRECT(ADDRESS($B232+1,F$230,1,1,"Actively Infected Trend")))</f>
        <v>#N/A</v>
      </c>
      <c r="G232" s="14" t="e" cm="1">
        <f t="array" aca="1" ref="G232" ca="1">IF(INDIRECT(ADDRESS($B232+1,G$230,1,1,"Actively Infected Trend"))=0,#N/A,INDIRECT(ADDRESS($B232+1,G$230,1,1,"Actively Infected Trend")))</f>
        <v>#N/A</v>
      </c>
      <c r="H232" s="14" t="e" cm="1">
        <f t="array" aca="1" ref="H232" ca="1">IF(INDIRECT(ADDRESS($B232+1,H$230,1,1,"Actively Infected Trend"))=0,#N/A,INDIRECT(ADDRESS($B232+1,H$230,1,1,"Actively Infected Trend")))</f>
        <v>#N/A</v>
      </c>
      <c r="I232" s="14" t="e" cm="1">
        <f t="array" aca="1" ref="I232" ca="1">IF(INDIRECT(ADDRESS($B232+1,I$230,1,1,"Actively Infected Trend"))=0,#N/A,INDIRECT(ADDRESS($B232+1,I$230,1,1,"Actively Infected Trend")))</f>
        <v>#N/A</v>
      </c>
      <c r="J232" s="14" t="e" cm="1">
        <f t="array" aca="1" ref="J232" ca="1">IF(INDIRECT(ADDRESS($B232+1,J$230,1,1,"Actively Infected Trend"))=0,#N/A,INDIRECT(ADDRESS($B232+1,J$230,1,1,"Actively Infected Trend")))</f>
        <v>#N/A</v>
      </c>
      <c r="K232" s="14" t="e" cm="1">
        <f t="array" aca="1" ref="K232" ca="1">IF(INDIRECT(ADDRESS($B232+1,K$230,1,1,"Actively Infected Trend"))=0,#N/A,INDIRECT(ADDRESS($B232+1,K$230,1,1,"Actively Infected Trend")))</f>
        <v>#N/A</v>
      </c>
      <c r="L232" s="14" t="e" cm="1">
        <f t="array" aca="1" ref="L232" ca="1">IF(INDIRECT(ADDRESS($B232+1,L$230,1,1,"Actively Infected Trend"))=0,#N/A,INDIRECT(ADDRESS($B232+1,L$230,1,1,"Actively Infected Trend")))</f>
        <v>#N/A</v>
      </c>
      <c r="M232" s="14" t="e" cm="1">
        <f t="array" aca="1" ref="M232" ca="1">IF(INDIRECT(ADDRESS($B232+1,M$230,1,1,"Actively Infected Trend"))=0,#N/A,INDIRECT(ADDRESS($B232+1,M$230,1,1,"Actively Infected Trend")))</f>
        <v>#N/A</v>
      </c>
      <c r="N232" s="14" t="e" cm="1">
        <f t="array" aca="1" ref="N232" ca="1">IF(INDIRECT(ADDRESS($B232+1,N$230,1,1,"Actively Infected Trend"))=0,#N/A,INDIRECT(ADDRESS($B232+1,N$230,1,1,"Actively Infected Trend")))</f>
        <v>#N/A</v>
      </c>
      <c r="O232" s="14" t="e" cm="1">
        <f t="array" aca="1" ref="O232" ca="1">IF(INDIRECT(ADDRESS($B232+1,O$230,1,1,"Actively Infected Trend"))=0,#N/A,INDIRECT(ADDRESS($B232+1,O$230,1,1,"Actively Infected Trend")))</f>
        <v>#N/A</v>
      </c>
      <c r="P232" s="14" t="e" cm="1">
        <f t="array" aca="1" ref="P232" ca="1">IF(INDIRECT(ADDRESS($B232+1,P$230,1,1,"Actively Infected Trend"))=0,#N/A,INDIRECT(ADDRESS($B232+1,P$230,1,1,"Actively Infected Trend")))</f>
        <v>#N/A</v>
      </c>
      <c r="Q232" s="14" t="e" cm="1">
        <f t="array" aca="1" ref="Q232" ca="1">IF(INDIRECT(ADDRESS($B232+1,Q$230,1,1,"Actively Infected Trend"))=0,#N/A,INDIRECT(ADDRESS($B232+1,Q$230,1,1,"Actively Infected Trend")))</f>
        <v>#N/A</v>
      </c>
      <c r="R232" s="14" t="e" cm="1">
        <f t="array" aca="1" ref="R232" ca="1">IF(INDIRECT(ADDRESS($B232+1,R$230,1,1,"Actively Infected Trend"))=0,#N/A,INDIRECT(ADDRESS($B232+1,R$230,1,1,"Actively Infected Trend")))</f>
        <v>#N/A</v>
      </c>
      <c r="S232" s="14" t="e" cm="1">
        <f t="array" aca="1" ref="S232" ca="1">IF(INDIRECT(ADDRESS($B232+1,S$230,1,1,"Actively Infected Trend"))=0,#N/A,INDIRECT(ADDRESS($B232+1,S$230,1,1,"Actively Infected Trend")))</f>
        <v>#N/A</v>
      </c>
      <c r="T232" s="14" t="e" cm="1">
        <f t="array" aca="1" ref="T232" ca="1">IF(INDIRECT(ADDRESS($B232+1,T$230,1,1,"Actively Infected Trend"))=0,#N/A,INDIRECT(ADDRESS($B232+1,T$230,1,1,"Actively Infected Trend")))</f>
        <v>#N/A</v>
      </c>
      <c r="U232" s="14" t="e" cm="1">
        <f t="array" aca="1" ref="U232" ca="1">IF(INDIRECT(ADDRESS($B232+1,U$230,1,1,"Actively Infected Trend"))=0,#N/A,INDIRECT(ADDRESS($B232+1,U$230,1,1,"Actively Infected Trend")))</f>
        <v>#N/A</v>
      </c>
      <c r="V232" s="14" t="e" cm="1">
        <f t="array" aca="1" ref="V232" ca="1">IF(INDIRECT(ADDRESS($B232+1,V$230,1,1,"Actively Infected Trend"))=0,#N/A,INDIRECT(ADDRESS($B232+1,V$230,1,1,"Actively Infected Trend")))</f>
        <v>#N/A</v>
      </c>
      <c r="W232" s="14" t="e" cm="1">
        <f t="array" aca="1" ref="W232" ca="1">IF(INDIRECT(ADDRESS($B232+1,W$230,1,1,"Actively Infected Trend"))=0,#N/A,INDIRECT(ADDRESS($B232+1,W$230,1,1,"Actively Infected Trend")))</f>
        <v>#N/A</v>
      </c>
      <c r="X232" s="14" t="e" cm="1">
        <f t="array" aca="1" ref="X232" ca="1">IF(INDIRECT(ADDRESS($B232+1,X$230,1,1,"Actively Infected Trend"))=0,#N/A,INDIRECT(ADDRESS($B232+1,X$230,1,1,"Actively Infected Trend")))</f>
        <v>#N/A</v>
      </c>
      <c r="Y232" s="14" t="e" cm="1">
        <f t="array" aca="1" ref="Y232" ca="1">IF(INDIRECT(ADDRESS($B232+1,Y$230,1,1,"Actively Infected Trend"))=0,#N/A,INDIRECT(ADDRESS($B232+1,Y$230,1,1,"Actively Infected Trend")))</f>
        <v>#N/A</v>
      </c>
      <c r="Z232" s="14" t="e" cm="1">
        <f t="array" aca="1" ref="Z232" ca="1">IF(INDIRECT(ADDRESS($B232+1,Z$230,1,1,"Actively Infected Trend"))=0,#N/A,INDIRECT(ADDRESS($B232+1,Z$230,1,1,"Actively Infected Trend")))</f>
        <v>#N/A</v>
      </c>
      <c r="AA232" s="14" t="e" cm="1">
        <f t="array" aca="1" ref="AA232" ca="1">IF(INDIRECT(ADDRESS($B232+1,AA$230,1,1,"Actively Infected Trend"))=0,#N/A,INDIRECT(ADDRESS($B232+1,AA$230,1,1,"Actively Infected Trend")))</f>
        <v>#N/A</v>
      </c>
      <c r="AB232" s="14" t="e" cm="1">
        <f t="array" aca="1" ref="AB232" ca="1">IF(INDIRECT(ADDRESS($B232+1,AB$230,1,1,"Actively Infected Trend"))=0,#N/A,INDIRECT(ADDRESS($B232+1,AB$230,1,1,"Actively Infected Trend")))</f>
        <v>#N/A</v>
      </c>
      <c r="AC232" s="14" t="e" cm="1">
        <f t="array" aca="1" ref="AC232" ca="1">IF(INDIRECT(ADDRESS($B232+1,AC$230,1,1,"Actively Infected Trend"))=0,#N/A,INDIRECT(ADDRESS($B232+1,AC$230,1,1,"Actively Infected Trend")))</f>
        <v>#N/A</v>
      </c>
      <c r="AD232" s="14" t="e" cm="1">
        <f t="array" aca="1" ref="AD232" ca="1">IF(INDIRECT(ADDRESS($B232+1,AD$230,1,1,"Actively Infected Trend"))=0,#N/A,INDIRECT(ADDRESS($B232+1,AD$230,1,1,"Actively Infected Trend")))</f>
        <v>#N/A</v>
      </c>
      <c r="AE232" s="14" t="e" cm="1">
        <f t="array" aca="1" ref="AE232" ca="1">IF(INDIRECT(ADDRESS($B232+1,AE$230,1,1,"Actively Infected Trend"))=0,#N/A,INDIRECT(ADDRESS($B232+1,AE$230,1,1,"Actively Infected Trend")))</f>
        <v>#N/A</v>
      </c>
      <c r="AF232" s="14" t="e" cm="1">
        <f t="array" aca="1" ref="AF232" ca="1">IF(INDIRECT(ADDRESS($B232+1,AF$230,1,1,"Actively Infected Trend"))=0,#N/A,INDIRECT(ADDRESS($B232+1,AF$230,1,1,"Actively Infected Trend")))</f>
        <v>#N/A</v>
      </c>
      <c r="AG232" s="14" t="e" cm="1">
        <f t="array" aca="1" ref="AG232" ca="1">IF(INDIRECT(ADDRESS($B232+1,AG$230,1,1,"Actively Infected Trend"))=0,#N/A,INDIRECT(ADDRESS($B232+1,AG$230,1,1,"Actively Infected Trend")))</f>
        <v>#N/A</v>
      </c>
      <c r="AH232" s="14" t="e" cm="1">
        <f t="array" aca="1" ref="AH232" ca="1">IF(INDIRECT(ADDRESS($B232+1,AH$230,1,1,"Actively Infected Trend"))=0,#N/A,INDIRECT(ADDRESS($B232+1,AH$230,1,1,"Actively Infected Trend")))</f>
        <v>#N/A</v>
      </c>
      <c r="AI232" s="14" t="e" cm="1">
        <f t="array" aca="1" ref="AI232" ca="1">IF(INDIRECT(ADDRESS($B232+1,AI$230,1,1,"Actively Infected Trend"))=0,#N/A,INDIRECT(ADDRESS($B232+1,AI$230,1,1,"Actively Infected Trend")))</f>
        <v>#N/A</v>
      </c>
      <c r="AJ232" s="14" t="e" cm="1">
        <f t="array" aca="1" ref="AJ232" ca="1">IF(INDIRECT(ADDRESS($B232+1,AJ$230,1,1,"Actively Infected Trend"))=0,#N/A,INDIRECT(ADDRESS($B232+1,AJ$230,1,1,"Actively Infected Trend")))</f>
        <v>#N/A</v>
      </c>
      <c r="AK232" s="14" t="e" cm="1">
        <f t="array" aca="1" ref="AK232" ca="1">IF(INDIRECT(ADDRESS($B232+1,AK$230,1,1,"Actively Infected Trend"))=0,#N/A,INDIRECT(ADDRESS($B232+1,AK$230,1,1,"Actively Infected Trend")))</f>
        <v>#N/A</v>
      </c>
      <c r="AL232" s="14" t="e" cm="1">
        <f t="array" aca="1" ref="AL232" ca="1">IF(INDIRECT(ADDRESS($B232+1,AL$230,1,1,"Actively Infected Trend"))=0,#N/A,INDIRECT(ADDRESS($B232+1,AL$230,1,1,"Actively Infected Trend")))</f>
        <v>#N/A</v>
      </c>
      <c r="AM232" s="14" t="e" cm="1">
        <f t="array" aca="1" ref="AM232" ca="1">IF(INDIRECT(ADDRESS($B232+1,AM$230,1,1,"Actively Infected Trend"))=0,#N/A,INDIRECT(ADDRESS($B232+1,AM$230,1,1,"Actively Infected Trend")))</f>
        <v>#N/A</v>
      </c>
      <c r="AN232" s="14" t="e" cm="1">
        <f t="array" aca="1" ref="AN232" ca="1">IF(INDIRECT(ADDRESS($B232+1,AN$230,1,1,"Actively Infected Trend"))=0,#N/A,INDIRECT(ADDRESS($B232+1,AN$230,1,1,"Actively Infected Trend")))</f>
        <v>#N/A</v>
      </c>
      <c r="AO232" s="14" t="e" cm="1">
        <f t="array" aca="1" ref="AO232" ca="1">IF(INDIRECT(ADDRESS($B232+1,AO$230,1,1,"Actively Infected Trend"))=0,#N/A,INDIRECT(ADDRESS($B232+1,AO$230,1,1,"Actively Infected Trend")))</f>
        <v>#N/A</v>
      </c>
      <c r="AP232" s="14" t="e" cm="1">
        <f t="array" aca="1" ref="AP232" ca="1">IF(INDIRECT(ADDRESS($B232+1,AP$230,1,1,"Actively Infected Trend"))=0,#N/A,INDIRECT(ADDRESS($B232+1,AP$230,1,1,"Actively Infected Trend")))</f>
        <v>#N/A</v>
      </c>
      <c r="AQ232" s="14" t="e" cm="1">
        <f t="array" aca="1" ref="AQ232" ca="1">IF(INDIRECT(ADDRESS($B232+1,AQ$230,1,1,"Actively Infected Trend"))=0,#N/A,INDIRECT(ADDRESS($B232+1,AQ$230,1,1,"Actively Infected Trend")))</f>
        <v>#N/A</v>
      </c>
      <c r="AR232" s="14" t="e" cm="1">
        <f t="array" aca="1" ref="AR232" ca="1">IF(INDIRECT(ADDRESS($B232+1,AR$230,1,1,"Actively Infected Trend"))=0,#N/A,INDIRECT(ADDRESS($B232+1,AR$230,1,1,"Actively Infected Trend")))</f>
        <v>#N/A</v>
      </c>
      <c r="AS232" s="14" t="e" cm="1">
        <f t="array" aca="1" ref="AS232" ca="1">IF(INDIRECT(ADDRESS($B232+1,AS$230,1,1,"Actively Infected Trend"))=0,#N/A,INDIRECT(ADDRESS($B232+1,AS$230,1,1,"Actively Infected Trend")))</f>
        <v>#N/A</v>
      </c>
      <c r="AT232" s="14" t="e" cm="1">
        <f t="array" aca="1" ref="AT232" ca="1">IF(INDIRECT(ADDRESS($B232+1,AT$230,1,1,"Actively Infected Trend"))=0,#N/A,INDIRECT(ADDRESS($B232+1,AT$230,1,1,"Actively Infected Trend")))</f>
        <v>#N/A</v>
      </c>
      <c r="AU232" s="14" t="e" cm="1">
        <f t="array" aca="1" ref="AU232" ca="1">IF(INDIRECT(ADDRESS($B232+1,AU$230,1,1,"Actively Infected Trend"))=0,#N/A,INDIRECT(ADDRESS($B232+1,AU$230,1,1,"Actively Infected Trend")))</f>
        <v>#N/A</v>
      </c>
      <c r="AV232" s="14" t="e" cm="1">
        <f t="array" aca="1" ref="AV232" ca="1">IF(INDIRECT(ADDRESS($B232+1,AV$230,1,1,"Actively Infected Trend"))=0,#N/A,INDIRECT(ADDRESS($B232+1,AV$230,1,1,"Actively Infected Trend")))</f>
        <v>#N/A</v>
      </c>
      <c r="AW232" s="14" t="e" cm="1">
        <f t="array" aca="1" ref="AW232" ca="1">IF(INDIRECT(ADDRESS($B232+1,AW$230,1,1,"Actively Infected Trend"))=0,#N/A,INDIRECT(ADDRESS($B232+1,AW$230,1,1,"Actively Infected Trend")))</f>
        <v>#N/A</v>
      </c>
      <c r="AX232" s="14" cm="1">
        <f t="array" aca="1" ref="AX232" ca="1">IF(INDIRECT(ADDRESS($B232+1,AX$230,1,1,"Actively Infected Trend"))=0,#N/A,INDIRECT(ADDRESS($B232+1,AX$230,1,1,"Actively Infected Trend")))</f>
        <v>0.34800202549999998</v>
      </c>
      <c r="AY232" s="14" cm="1">
        <f t="array" aca="1" ref="AY232" ca="1">IF(INDIRECT(ADDRESS($B232+1,AY$230,1,1,"Actively Infected Trend"))=0,#N/A,INDIRECT(ADDRESS($B232+1,AY$230,1,1,"Actively Infected Trend")))</f>
        <v>0.3677823999</v>
      </c>
      <c r="AZ232" s="14" cm="1">
        <f t="array" aca="1" ref="AZ232" ca="1">IF(INDIRECT(ADDRESS($B232+1,AZ$230,1,1,"Actively Infected Trend"))=0,#N/A,INDIRECT(ADDRESS($B232+1,AZ$230,1,1,"Actively Infected Trend")))</f>
        <v>0.36292533300000002</v>
      </c>
      <c r="BA232" s="14" cm="1">
        <f t="array" aca="1" ref="BA232" ca="1">IF(INDIRECT(ADDRESS($B232+1,BA$230,1,1,"Actively Infected Trend"))=0,#N/A,INDIRECT(ADDRESS($B232+1,BA$230,1,1,"Actively Infected Trend")))</f>
        <v>0.3553755395</v>
      </c>
      <c r="BB232" s="14" cm="1">
        <f t="array" aca="1" ref="BB232" ca="1">IF(INDIRECT(ADDRESS($B232+1,BB$230,1,1,"Actively Infected Trend"))=0,#N/A,INDIRECT(ADDRESS($B232+1,BB$230,1,1,"Actively Infected Trend")))</f>
        <v>0.33964445710000002</v>
      </c>
      <c r="BC232" s="14" cm="1">
        <f t="array" aca="1" ref="BC232" ca="1">IF(INDIRECT(ADDRESS($B232+1,BC$230,1,1,"Actively Infected Trend"))=0,#N/A,INDIRECT(ADDRESS($B232+1,BC$230,1,1,"Actively Infected Trend")))</f>
        <v>0.32663049030000002</v>
      </c>
      <c r="BD232" s="14" cm="1">
        <f t="array" aca="1" ref="BD232" ca="1">IF(INDIRECT(ADDRESS($B232+1,BD$230,1,1,"Actively Infected Trend"))=0,#N/A,INDIRECT(ADDRESS($B232+1,BD$230,1,1,"Actively Infected Trend")))</f>
        <v>0.35503143190000003</v>
      </c>
      <c r="BE232" s="14" cm="1">
        <f t="array" aca="1" ref="BE232" ca="1">IF(INDIRECT(ADDRESS($B232+1,BE$230,1,1,"Actively Infected Trend"))=0,#N/A,INDIRECT(ADDRESS($B232+1,BE$230,1,1,"Actively Infected Trend")))</f>
        <v>0.37326249649999999</v>
      </c>
      <c r="BF232" s="14" cm="1">
        <f t="array" aca="1" ref="BF232" ca="1">IF(INDIRECT(ADDRESS($B232+1,BF$230,1,1,"Actively Infected Trend"))=0,#N/A,INDIRECT(ADDRESS($B232+1,BF$230,1,1,"Actively Infected Trend")))</f>
        <v>0.38484218790000002</v>
      </c>
      <c r="BG232" s="14" cm="1">
        <f t="array" aca="1" ref="BG232" ca="1">IF(INDIRECT(ADDRESS($B232+1,BG$230,1,1,"Actively Infected Trend"))=0,#N/A,INDIRECT(ADDRESS($B232+1,BG$230,1,1,"Actively Infected Trend")))</f>
        <v>0.37139541199999998</v>
      </c>
      <c r="BH232" s="14" cm="1">
        <f t="array" aca="1" ref="BH232" ca="1">IF(INDIRECT(ADDRESS($B232+1,BH$230,1,1,"Actively Infected Trend"))=0,#N/A,INDIRECT(ADDRESS($B232+1,BH$230,1,1,"Actively Infected Trend")))</f>
        <v>0.32682041610000001</v>
      </c>
      <c r="BI232" s="14" cm="1">
        <f t="array" aca="1" ref="BI232" ca="1">IF(INDIRECT(ADDRESS($B232+1,BI$230,1,1,"Actively Infected Trend"))=0,#N/A,INDIRECT(ADDRESS($B232+1,BI$230,1,1,"Actively Infected Trend")))</f>
        <v>0.2911378342</v>
      </c>
      <c r="BJ232" s="14" cm="1">
        <f t="array" aca="1" ref="BJ232" ca="1">IF(INDIRECT(ADDRESS($B232+1,BJ$230,1,1,"Actively Infected Trend"))=0,#N/A,INDIRECT(ADDRESS($B232+1,BJ$230,1,1,"Actively Infected Trend")))</f>
        <v>0.25917858980000003</v>
      </c>
      <c r="BK232" s="14" cm="1">
        <f t="array" aca="1" ref="BK232" ca="1">IF(INDIRECT(ADDRESS($B232+1,BK$230,1,1,"Actively Infected Trend"))=0,#N/A,INDIRECT(ADDRESS($B232+1,BK$230,1,1,"Actively Infected Trend")))</f>
        <v>0.24874351710000001</v>
      </c>
      <c r="BL232" s="14" cm="1">
        <f t="array" aca="1" ref="BL232" ca="1">IF(INDIRECT(ADDRESS($B232+1,BL$230,1,1,"Actively Infected Trend"))=0,#N/A,INDIRECT(ADDRESS($B232+1,BL$230,1,1,"Actively Infected Trend")))</f>
        <v>0.23090932619999999</v>
      </c>
      <c r="BM232" s="14" cm="1">
        <f t="array" aca="1" ref="BM232" ca="1">IF(INDIRECT(ADDRESS($B232+1,BM$230,1,1,"Actively Infected Trend"))=0,#N/A,INDIRECT(ADDRESS($B232+1,BM$230,1,1,"Actively Infected Trend")))</f>
        <v>0.2241415873</v>
      </c>
      <c r="BN232" s="14" cm="1">
        <f t="array" aca="1" ref="BN232" ca="1">IF(INDIRECT(ADDRESS($B232+1,BN$230,1,1,"Actively Infected Trend"))=0,#N/A,INDIRECT(ADDRESS($B232+1,BN$230,1,1,"Actively Infected Trend")))</f>
        <v>0.22129557050000001</v>
      </c>
      <c r="BO232" s="14" cm="1">
        <f t="array" aca="1" ref="BO232" ca="1">IF(INDIRECT(ADDRESS($B232+1,BO$230,1,1,"Actively Infected Trend"))=0,#N/A,INDIRECT(ADDRESS($B232+1,BO$230,1,1,"Actively Infected Trend")))</f>
        <v>0.2265001951</v>
      </c>
      <c r="BP232" s="14" cm="1">
        <f t="array" aca="1" ref="BP232" ca="1">IF(INDIRECT(ADDRESS($B232+1,BP$230,1,1,"Actively Infected Trend"))=0,#N/A,INDIRECT(ADDRESS($B232+1,BP$230,1,1,"Actively Infected Trend")))</f>
        <v>0.2171877492</v>
      </c>
      <c r="BQ232" s="14" cm="1">
        <f t="array" aca="1" ref="BQ232" ca="1">IF(INDIRECT(ADDRESS($B232+1,BQ$230,1,1,"Actively Infected Trend"))=0,#N/A,INDIRECT(ADDRESS($B232+1,BQ$230,1,1,"Actively Infected Trend")))</f>
        <v>0.20159038930000001</v>
      </c>
      <c r="BR232" s="14" cm="1">
        <f t="array" aca="1" ref="BR232" ca="1">IF(INDIRECT(ADDRESS($B232+1,BR$230,1,1,"Actively Infected Trend"))=0,#N/A,INDIRECT(ADDRESS($B232+1,BR$230,1,1,"Actively Infected Trend")))</f>
        <v>0.1786577164</v>
      </c>
      <c r="BS232" s="14" cm="1">
        <f t="array" aca="1" ref="BS232" ca="1">IF(INDIRECT(ADDRESS($B232+1,BS$230,1,1,"Actively Infected Trend"))=0,#N/A,INDIRECT(ADDRESS($B232+1,BS$230,1,1,"Actively Infected Trend")))</f>
        <v>0.1562497803</v>
      </c>
      <c r="BT232" s="14" cm="1">
        <f t="array" aca="1" ref="BT232" ca="1">IF(INDIRECT(ADDRESS($B232+1,BT$230,1,1,"Actively Infected Trend"))=0,#N/A,INDIRECT(ADDRESS($B232+1,BT$230,1,1,"Actively Infected Trend")))</f>
        <v>0.14028443560000001</v>
      </c>
      <c r="BU232" s="14" cm="1">
        <f t="array" aca="1" ref="BU232" ca="1">IF(INDIRECT(ADDRESS($B232+1,BU$230,1,1,"Actively Infected Trend"))=0,#N/A,INDIRECT(ADDRESS($B232+1,BU$230,1,1,"Actively Infected Trend")))</f>
        <v>0.11939128659999999</v>
      </c>
      <c r="BV232" s="14" cm="1">
        <f t="array" aca="1" ref="BV232" ca="1">IF(INDIRECT(ADDRESS($B232+1,BV$230,1,1,"Actively Infected Trend"))=0,#N/A,INDIRECT(ADDRESS($B232+1,BV$230,1,1,"Actively Infected Trend")))</f>
        <v>0.1050557433</v>
      </c>
      <c r="BW232" s="14" cm="1">
        <f t="array" aca="1" ref="BW232" ca="1">IF(INDIRECT(ADDRESS($B232+1,BW$230,1,1,"Actively Infected Trend"))=0,#N/A,INDIRECT(ADDRESS($B232+1,BW$230,1,1,"Actively Infected Trend")))</f>
        <v>8.8731697499999998E-2</v>
      </c>
      <c r="BX232" s="14" cm="1">
        <f t="array" aca="1" ref="BX232" ca="1">IF(INDIRECT(ADDRESS($B232+1,BX$230,1,1,"Actively Infected Trend"))=0,#N/A,INDIRECT(ADDRESS($B232+1,BX$230,1,1,"Actively Infected Trend")))</f>
        <v>8.1634116399999998E-2</v>
      </c>
      <c r="BY232" s="14" cm="1">
        <f t="array" aca="1" ref="BY232" ca="1">IF(INDIRECT(ADDRESS($B232+1,BY$230,1,1,"Actively Infected Trend"))=0,#N/A,INDIRECT(ADDRESS($B232+1,BY$230,1,1,"Actively Infected Trend")))</f>
        <v>7.2544618599999999E-2</v>
      </c>
      <c r="BZ232" s="14" cm="1">
        <f t="array" aca="1" ref="BZ232" ca="1">IF(INDIRECT(ADDRESS($B232+1,BZ$230,1,1,"Actively Infected Trend"))=0,#N/A,INDIRECT(ADDRESS($B232+1,BZ$230,1,1,"Actively Infected Trend")))</f>
        <v>6.2579005199999996E-2</v>
      </c>
      <c r="CA232" s="14" cm="1">
        <f t="array" aca="1" ref="CA232" ca="1">IF(INDIRECT(ADDRESS($B232+1,CA$230,1,1,"Actively Infected Trend"))=0,#N/A,INDIRECT(ADDRESS($B232+1,CA$230,1,1,"Actively Infected Trend")))</f>
        <v>5.3431095599999999E-2</v>
      </c>
      <c r="CB232" s="14" cm="1">
        <f t="array" aca="1" ref="CB232" ca="1">IF(INDIRECT(ADDRESS($B232+1,CB$230,1,1,"Actively Infected Trend"))=0,#N/A,INDIRECT(ADDRESS($B232+1,CB$230,1,1,"Actively Infected Trend")))</f>
        <v>4.8169309799999997E-2</v>
      </c>
      <c r="CC232" s="14" cm="1">
        <f t="array" aca="1" ref="CC232" ca="1">IF(INDIRECT(ADDRESS($B232+1,CC$230,1,1,"Actively Infected Trend"))=0,#N/A,INDIRECT(ADDRESS($B232+1,CC$230,1,1,"Actively Infected Trend")))</f>
        <v>4.4857165599999999E-2</v>
      </c>
      <c r="CD232" s="14" cm="1">
        <f t="array" aca="1" ref="CD232" ca="1">IF(INDIRECT(ADDRESS($B232+1,CD$230,1,1,"Actively Infected Trend"))=0,#N/A,INDIRECT(ADDRESS($B232+1,CD$230,1,1,"Actively Infected Trend")))</f>
        <v>4.2443819899999999E-2</v>
      </c>
      <c r="CE232" s="14" cm="1">
        <f t="array" aca="1" ref="CE232" ca="1">IF(INDIRECT(ADDRESS($B232+1,CE$230,1,1,"Actively Infected Trend"))=0,#N/A,INDIRECT(ADDRESS($B232+1,CE$230,1,1,"Actively Infected Trend")))</f>
        <v>4.9495077300000002E-2</v>
      </c>
      <c r="CF232" s="14" cm="1">
        <f t="array" aca="1" ref="CF232" ca="1">IF(INDIRECT(ADDRESS($B232+1,CF$230,1,1,"Actively Infected Trend"))=0,#N/A,INDIRECT(ADDRESS($B232+1,CF$230,1,1,"Actively Infected Trend")))</f>
        <v>5.5405639600000001E-2</v>
      </c>
      <c r="CG232" s="14" cm="1">
        <f t="array" aca="1" ref="CG232" ca="1">IF(INDIRECT(ADDRESS($B232+1,CG$230,1,1,"Actively Infected Trend"))=0,#N/A,INDIRECT(ADDRESS($B232+1,CG$230,1,1,"Actively Infected Trend")))</f>
        <v>5.8879357600000001E-2</v>
      </c>
      <c r="CH232" s="14" cm="1">
        <f t="array" aca="1" ref="CH232" ca="1">IF(INDIRECT(ADDRESS($B232+1,CH$230,1,1,"Actively Infected Trend"))=0,#N/A,INDIRECT(ADDRESS($B232+1,CH$230,1,1,"Actively Infected Trend")))</f>
        <v>5.9207681300000002E-2</v>
      </c>
      <c r="CI232" s="14" cm="1">
        <f t="array" aca="1" ref="CI232" ca="1">IF(INDIRECT(ADDRESS($B232+1,CI$230,1,1,"Actively Infected Trend"))=0,#N/A,INDIRECT(ADDRESS($B232+1,CI$230,1,1,"Actively Infected Trend")))</f>
        <v>5.8985065099999998E-2</v>
      </c>
      <c r="CJ232" s="14" cm="1">
        <f t="array" aca="1" ref="CJ232" ca="1">IF(INDIRECT(ADDRESS($B232+1,CJ$230,1,1,"Actively Infected Trend"))=0,#N/A,INDIRECT(ADDRESS($B232+1,CJ$230,1,1,"Actively Infected Trend")))</f>
        <v>5.3425086900000002E-2</v>
      </c>
      <c r="CK232" s="14" cm="1">
        <f t="array" aca="1" ref="CK232" ca="1">IF(INDIRECT(ADDRESS($B232+1,CK$230,1,1,"Actively Infected Trend"))=0,#N/A,INDIRECT(ADDRESS($B232+1,CK$230,1,1,"Actively Infected Trend")))</f>
        <v>4.7776471199999997E-2</v>
      </c>
      <c r="CL232" s="14" cm="1">
        <f t="array" aca="1" ref="CL232" ca="1">IF(INDIRECT(ADDRESS($B232+1,CL$230,1,1,"Actively Infected Trend"))=0,#N/A,INDIRECT(ADDRESS($B232+1,CL$230,1,1,"Actively Infected Trend")))</f>
        <v>4.4642590900000001E-2</v>
      </c>
      <c r="CM232" s="14" cm="1">
        <f t="array" aca="1" ref="CM232" ca="1">IF(INDIRECT(ADDRESS($B232+1,CM$230,1,1,"Actively Infected Trend"))=0,#N/A,INDIRECT(ADDRESS($B232+1,CM$230,1,1,"Actively Infected Trend")))</f>
        <v>4.5263100000000001E-2</v>
      </c>
      <c r="CN232" s="14" t="e" cm="1">
        <f t="array" aca="1" ref="CN232" ca="1">IF(INDIRECT(ADDRESS($B232+1,CN$230,1,1,"Actively Infected Trend"))=0,#N/A,INDIRECT(ADDRESS($B232+1,CN$230,1,1,"Actively Infected Trend")))</f>
        <v>#N/A</v>
      </c>
      <c r="CO232" s="14" t="e" cm="1">
        <f t="array" aca="1" ref="CO232" ca="1">IF(INDIRECT(ADDRESS($B232+1,CO$230,1,1,"Actively Infected Trend"))=0,#N/A,INDIRECT(ADDRESS($B232+1,CO$230,1,1,"Actively Infected Trend")))</f>
        <v>#N/A</v>
      </c>
      <c r="CP232" s="14" t="e" cm="1">
        <f t="array" aca="1" ref="CP232" ca="1">IF(INDIRECT(ADDRESS($B232+1,CP$230,1,1,"Actively Infected Trend"))=0,#N/A,INDIRECT(ADDRESS($B232+1,CP$230,1,1,"Actively Infected Trend")))</f>
        <v>#N/A</v>
      </c>
      <c r="CQ232" s="14" t="e" cm="1">
        <f t="array" aca="1" ref="CQ232" ca="1">IF(INDIRECT(ADDRESS($B232+1,CQ$230,1,1,"Actively Infected Trend"))=0,#N/A,INDIRECT(ADDRESS($B232+1,CQ$230,1,1,"Actively Infected Trend")))</f>
        <v>#N/A</v>
      </c>
      <c r="CR232" s="14" t="e" cm="1">
        <f t="array" aca="1" ref="CR232" ca="1">IF(INDIRECT(ADDRESS($B232+1,CR$230,1,1,"Actively Infected Trend"))=0,#N/A,INDIRECT(ADDRESS($B232+1,CR$230,1,1,"Actively Infected Trend")))</f>
        <v>#N/A</v>
      </c>
    </row>
    <row r="233" spans="2:96" x14ac:dyDescent="0.25">
      <c r="B233">
        <f>B232+1</f>
        <v>2</v>
      </c>
      <c r="C233" t="str" cm="1">
        <f t="array" aca="1" ref="C233" ca="1">INDIRECT(ADDRESS($B233+1,1,1,1,"Actively Infected Trend"))</f>
        <v>Belgium</v>
      </c>
      <c r="E233" s="14" t="e" cm="1">
        <f t="array" aca="1" ref="E233" ca="1">IF(INDIRECT(ADDRESS($B233+1,E$230,1,1,"Actively Infected Trend"))=0,#N/A,INDIRECT(ADDRESS($B233+1,E$230,1,1,"Actively Infected Trend")))</f>
        <v>#N/A</v>
      </c>
      <c r="F233" s="14" t="e" cm="1">
        <f t="array" aca="1" ref="F233" ca="1">IF(INDIRECT(ADDRESS($B233+1,F$230,1,1,"Actively Infected Trend"))=0,#N/A,INDIRECT(ADDRESS($B233+1,F$230,1,1,"Actively Infected Trend")))</f>
        <v>#N/A</v>
      </c>
      <c r="G233" s="14" t="e" cm="1">
        <f t="array" aca="1" ref="G233" ca="1">IF(INDIRECT(ADDRESS($B233+1,G$230,1,1,"Actively Infected Trend"))=0,#N/A,INDIRECT(ADDRESS($B233+1,G$230,1,1,"Actively Infected Trend")))</f>
        <v>#N/A</v>
      </c>
      <c r="H233" s="14" t="e" cm="1">
        <f t="array" aca="1" ref="H233" ca="1">IF(INDIRECT(ADDRESS($B233+1,H$230,1,1,"Actively Infected Trend"))=0,#N/A,INDIRECT(ADDRESS($B233+1,H$230,1,1,"Actively Infected Trend")))</f>
        <v>#N/A</v>
      </c>
      <c r="I233" s="14" t="e" cm="1">
        <f t="array" aca="1" ref="I233" ca="1">IF(INDIRECT(ADDRESS($B233+1,I$230,1,1,"Actively Infected Trend"))=0,#N/A,INDIRECT(ADDRESS($B233+1,I$230,1,1,"Actively Infected Trend")))</f>
        <v>#N/A</v>
      </c>
      <c r="J233" s="14" t="e" cm="1">
        <f t="array" aca="1" ref="J233" ca="1">IF(INDIRECT(ADDRESS($B233+1,J$230,1,1,"Actively Infected Trend"))=0,#N/A,INDIRECT(ADDRESS($B233+1,J$230,1,1,"Actively Infected Trend")))</f>
        <v>#N/A</v>
      </c>
      <c r="K233" s="14" t="e" cm="1">
        <f t="array" aca="1" ref="K233" ca="1">IF(INDIRECT(ADDRESS($B233+1,K$230,1,1,"Actively Infected Trend"))=0,#N/A,INDIRECT(ADDRESS($B233+1,K$230,1,1,"Actively Infected Trend")))</f>
        <v>#N/A</v>
      </c>
      <c r="L233" s="14" t="e" cm="1">
        <f t="array" aca="1" ref="L233" ca="1">IF(INDIRECT(ADDRESS($B233+1,L$230,1,1,"Actively Infected Trend"))=0,#N/A,INDIRECT(ADDRESS($B233+1,L$230,1,1,"Actively Infected Trend")))</f>
        <v>#N/A</v>
      </c>
      <c r="M233" s="14" t="e" cm="1">
        <f t="array" aca="1" ref="M233" ca="1">IF(INDIRECT(ADDRESS($B233+1,M$230,1,1,"Actively Infected Trend"))=0,#N/A,INDIRECT(ADDRESS($B233+1,M$230,1,1,"Actively Infected Trend")))</f>
        <v>#N/A</v>
      </c>
      <c r="N233" s="14" t="e" cm="1">
        <f t="array" aca="1" ref="N233" ca="1">IF(INDIRECT(ADDRESS($B233+1,N$230,1,1,"Actively Infected Trend"))=0,#N/A,INDIRECT(ADDRESS($B233+1,N$230,1,1,"Actively Infected Trend")))</f>
        <v>#N/A</v>
      </c>
      <c r="O233" s="14" t="e" cm="1">
        <f t="array" aca="1" ref="O233" ca="1">IF(INDIRECT(ADDRESS($B233+1,O$230,1,1,"Actively Infected Trend"))=0,#N/A,INDIRECT(ADDRESS($B233+1,O$230,1,1,"Actively Infected Trend")))</f>
        <v>#N/A</v>
      </c>
      <c r="P233" s="14" t="e" cm="1">
        <f t="array" aca="1" ref="P233" ca="1">IF(INDIRECT(ADDRESS($B233+1,P$230,1,1,"Actively Infected Trend"))=0,#N/A,INDIRECT(ADDRESS($B233+1,P$230,1,1,"Actively Infected Trend")))</f>
        <v>#N/A</v>
      </c>
      <c r="Q233" s="14" t="e" cm="1">
        <f t="array" aca="1" ref="Q233" ca="1">IF(INDIRECT(ADDRESS($B233+1,Q$230,1,1,"Actively Infected Trend"))=0,#N/A,INDIRECT(ADDRESS($B233+1,Q$230,1,1,"Actively Infected Trend")))</f>
        <v>#N/A</v>
      </c>
      <c r="R233" s="14" t="e" cm="1">
        <f t="array" aca="1" ref="R233" ca="1">IF(INDIRECT(ADDRESS($B233+1,R$230,1,1,"Actively Infected Trend"))=0,#N/A,INDIRECT(ADDRESS($B233+1,R$230,1,1,"Actively Infected Trend")))</f>
        <v>#N/A</v>
      </c>
      <c r="S233" s="14" t="e" cm="1">
        <f t="array" aca="1" ref="S233" ca="1">IF(INDIRECT(ADDRESS($B233+1,S$230,1,1,"Actively Infected Trend"))=0,#N/A,INDIRECT(ADDRESS($B233+1,S$230,1,1,"Actively Infected Trend")))</f>
        <v>#N/A</v>
      </c>
      <c r="T233" s="14" t="e" cm="1">
        <f t="array" aca="1" ref="T233" ca="1">IF(INDIRECT(ADDRESS($B233+1,T$230,1,1,"Actively Infected Trend"))=0,#N/A,INDIRECT(ADDRESS($B233+1,T$230,1,1,"Actively Infected Trend")))</f>
        <v>#N/A</v>
      </c>
      <c r="U233" s="14" t="e" cm="1">
        <f t="array" aca="1" ref="U233" ca="1">IF(INDIRECT(ADDRESS($B233+1,U$230,1,1,"Actively Infected Trend"))=0,#N/A,INDIRECT(ADDRESS($B233+1,U$230,1,1,"Actively Infected Trend")))</f>
        <v>#N/A</v>
      </c>
      <c r="V233" s="14" t="e" cm="1">
        <f t="array" aca="1" ref="V233" ca="1">IF(INDIRECT(ADDRESS($B233+1,V$230,1,1,"Actively Infected Trend"))=0,#N/A,INDIRECT(ADDRESS($B233+1,V$230,1,1,"Actively Infected Trend")))</f>
        <v>#N/A</v>
      </c>
      <c r="W233" s="14" t="e" cm="1">
        <f t="array" aca="1" ref="W233" ca="1">IF(INDIRECT(ADDRESS($B233+1,W$230,1,1,"Actively Infected Trend"))=0,#N/A,INDIRECT(ADDRESS($B233+1,W$230,1,1,"Actively Infected Trend")))</f>
        <v>#N/A</v>
      </c>
      <c r="X233" s="14" t="e" cm="1">
        <f t="array" aca="1" ref="X233" ca="1">IF(INDIRECT(ADDRESS($B233+1,X$230,1,1,"Actively Infected Trend"))=0,#N/A,INDIRECT(ADDRESS($B233+1,X$230,1,1,"Actively Infected Trend")))</f>
        <v>#N/A</v>
      </c>
      <c r="Y233" s="14" t="e" cm="1">
        <f t="array" aca="1" ref="Y233" ca="1">IF(INDIRECT(ADDRESS($B233+1,Y$230,1,1,"Actively Infected Trend"))=0,#N/A,INDIRECT(ADDRESS($B233+1,Y$230,1,1,"Actively Infected Trend")))</f>
        <v>#N/A</v>
      </c>
      <c r="Z233" s="14" t="e" cm="1">
        <f t="array" aca="1" ref="Z233" ca="1">IF(INDIRECT(ADDRESS($B233+1,Z$230,1,1,"Actively Infected Trend"))=0,#N/A,INDIRECT(ADDRESS($B233+1,Z$230,1,1,"Actively Infected Trend")))</f>
        <v>#N/A</v>
      </c>
      <c r="AA233" s="14" t="e" cm="1">
        <f t="array" aca="1" ref="AA233" ca="1">IF(INDIRECT(ADDRESS($B233+1,AA$230,1,1,"Actively Infected Trend"))=0,#N/A,INDIRECT(ADDRESS($B233+1,AA$230,1,1,"Actively Infected Trend")))</f>
        <v>#N/A</v>
      </c>
      <c r="AB233" s="14" t="e" cm="1">
        <f t="array" aca="1" ref="AB233" ca="1">IF(INDIRECT(ADDRESS($B233+1,AB$230,1,1,"Actively Infected Trend"))=0,#N/A,INDIRECT(ADDRESS($B233+1,AB$230,1,1,"Actively Infected Trend")))</f>
        <v>#N/A</v>
      </c>
      <c r="AC233" s="14" t="e" cm="1">
        <f t="array" aca="1" ref="AC233" ca="1">IF(INDIRECT(ADDRESS($B233+1,AC$230,1,1,"Actively Infected Trend"))=0,#N/A,INDIRECT(ADDRESS($B233+1,AC$230,1,1,"Actively Infected Trend")))</f>
        <v>#N/A</v>
      </c>
      <c r="AD233" s="14" t="e" cm="1">
        <f t="array" aca="1" ref="AD233" ca="1">IF(INDIRECT(ADDRESS($B233+1,AD$230,1,1,"Actively Infected Trend"))=0,#N/A,INDIRECT(ADDRESS($B233+1,AD$230,1,1,"Actively Infected Trend")))</f>
        <v>#N/A</v>
      </c>
      <c r="AE233" s="14" t="e" cm="1">
        <f t="array" aca="1" ref="AE233" ca="1">IF(INDIRECT(ADDRESS($B233+1,AE$230,1,1,"Actively Infected Trend"))=0,#N/A,INDIRECT(ADDRESS($B233+1,AE$230,1,1,"Actively Infected Trend")))</f>
        <v>#N/A</v>
      </c>
      <c r="AF233" s="14" t="e" cm="1">
        <f t="array" aca="1" ref="AF233" ca="1">IF(INDIRECT(ADDRESS($B233+1,AF$230,1,1,"Actively Infected Trend"))=0,#N/A,INDIRECT(ADDRESS($B233+1,AF$230,1,1,"Actively Infected Trend")))</f>
        <v>#N/A</v>
      </c>
      <c r="AG233" s="14" t="e" cm="1">
        <f t="array" aca="1" ref="AG233" ca="1">IF(INDIRECT(ADDRESS($B233+1,AG$230,1,1,"Actively Infected Trend"))=0,#N/A,INDIRECT(ADDRESS($B233+1,AG$230,1,1,"Actively Infected Trend")))</f>
        <v>#N/A</v>
      </c>
      <c r="AH233" s="14" t="e" cm="1">
        <f t="array" aca="1" ref="AH233" ca="1">IF(INDIRECT(ADDRESS($B233+1,AH$230,1,1,"Actively Infected Trend"))=0,#N/A,INDIRECT(ADDRESS($B233+1,AH$230,1,1,"Actively Infected Trend")))</f>
        <v>#N/A</v>
      </c>
      <c r="AI233" s="14" t="e" cm="1">
        <f t="array" aca="1" ref="AI233" ca="1">IF(INDIRECT(ADDRESS($B233+1,AI$230,1,1,"Actively Infected Trend"))=0,#N/A,INDIRECT(ADDRESS($B233+1,AI$230,1,1,"Actively Infected Trend")))</f>
        <v>#N/A</v>
      </c>
      <c r="AJ233" s="14" t="e" cm="1">
        <f t="array" aca="1" ref="AJ233" ca="1">IF(INDIRECT(ADDRESS($B233+1,AJ$230,1,1,"Actively Infected Trend"))=0,#N/A,INDIRECT(ADDRESS($B233+1,AJ$230,1,1,"Actively Infected Trend")))</f>
        <v>#N/A</v>
      </c>
      <c r="AK233" s="14" t="e" cm="1">
        <f t="array" aca="1" ref="AK233" ca="1">IF(INDIRECT(ADDRESS($B233+1,AK$230,1,1,"Actively Infected Trend"))=0,#N/A,INDIRECT(ADDRESS($B233+1,AK$230,1,1,"Actively Infected Trend")))</f>
        <v>#N/A</v>
      </c>
      <c r="AL233" s="14" t="e" cm="1">
        <f t="array" aca="1" ref="AL233" ca="1">IF(INDIRECT(ADDRESS($B233+1,AL$230,1,1,"Actively Infected Trend"))=0,#N/A,INDIRECT(ADDRESS($B233+1,AL$230,1,1,"Actively Infected Trend")))</f>
        <v>#N/A</v>
      </c>
      <c r="AM233" s="14" t="e" cm="1">
        <f t="array" aca="1" ref="AM233" ca="1">IF(INDIRECT(ADDRESS($B233+1,AM$230,1,1,"Actively Infected Trend"))=0,#N/A,INDIRECT(ADDRESS($B233+1,AM$230,1,1,"Actively Infected Trend")))</f>
        <v>#N/A</v>
      </c>
      <c r="AN233" s="14" t="e" cm="1">
        <f t="array" aca="1" ref="AN233" ca="1">IF(INDIRECT(ADDRESS($B233+1,AN$230,1,1,"Actively Infected Trend"))=0,#N/A,INDIRECT(ADDRESS($B233+1,AN$230,1,1,"Actively Infected Trend")))</f>
        <v>#N/A</v>
      </c>
      <c r="AO233" s="14" t="e" cm="1">
        <f t="array" aca="1" ref="AO233" ca="1">IF(INDIRECT(ADDRESS($B233+1,AO$230,1,1,"Actively Infected Trend"))=0,#N/A,INDIRECT(ADDRESS($B233+1,AO$230,1,1,"Actively Infected Trend")))</f>
        <v>#N/A</v>
      </c>
      <c r="AP233" s="14" t="e" cm="1">
        <f t="array" aca="1" ref="AP233" ca="1">IF(INDIRECT(ADDRESS($B233+1,AP$230,1,1,"Actively Infected Trend"))=0,#N/A,INDIRECT(ADDRESS($B233+1,AP$230,1,1,"Actively Infected Trend")))</f>
        <v>#N/A</v>
      </c>
      <c r="AQ233" s="14" t="e" cm="1">
        <f t="array" aca="1" ref="AQ233" ca="1">IF(INDIRECT(ADDRESS($B233+1,AQ$230,1,1,"Actively Infected Trend"))=0,#N/A,INDIRECT(ADDRESS($B233+1,AQ$230,1,1,"Actively Infected Trend")))</f>
        <v>#N/A</v>
      </c>
      <c r="AR233" s="14" t="e" cm="1">
        <f t="array" aca="1" ref="AR233" ca="1">IF(INDIRECT(ADDRESS($B233+1,AR$230,1,1,"Actively Infected Trend"))=0,#N/A,INDIRECT(ADDRESS($B233+1,AR$230,1,1,"Actively Infected Trend")))</f>
        <v>#N/A</v>
      </c>
      <c r="AS233" s="14" t="e" cm="1">
        <f t="array" aca="1" ref="AS233" ca="1">IF(INDIRECT(ADDRESS($B233+1,AS$230,1,1,"Actively Infected Trend"))=0,#N/A,INDIRECT(ADDRESS($B233+1,AS$230,1,1,"Actively Infected Trend")))</f>
        <v>#N/A</v>
      </c>
      <c r="AT233" s="14" t="e" cm="1">
        <f t="array" aca="1" ref="AT233" ca="1">IF(INDIRECT(ADDRESS($B233+1,AT$230,1,1,"Actively Infected Trend"))=0,#N/A,INDIRECT(ADDRESS($B233+1,AT$230,1,1,"Actively Infected Trend")))</f>
        <v>#N/A</v>
      </c>
      <c r="AU233" s="14" t="e" cm="1">
        <f t="array" aca="1" ref="AU233" ca="1">IF(INDIRECT(ADDRESS($B233+1,AU$230,1,1,"Actively Infected Trend"))=0,#N/A,INDIRECT(ADDRESS($B233+1,AU$230,1,1,"Actively Infected Trend")))</f>
        <v>#N/A</v>
      </c>
      <c r="AV233" s="14" t="e" cm="1">
        <f t="array" aca="1" ref="AV233" ca="1">IF(INDIRECT(ADDRESS($B233+1,AV$230,1,1,"Actively Infected Trend"))=0,#N/A,INDIRECT(ADDRESS($B233+1,AV$230,1,1,"Actively Infected Trend")))</f>
        <v>#N/A</v>
      </c>
      <c r="AW233" s="14" t="e" cm="1">
        <f t="array" aca="1" ref="AW233" ca="1">IF(INDIRECT(ADDRESS($B233+1,AW$230,1,1,"Actively Infected Trend"))=0,#N/A,INDIRECT(ADDRESS($B233+1,AW$230,1,1,"Actively Infected Trend")))</f>
        <v>#N/A</v>
      </c>
      <c r="AX233" s="14" t="e" cm="1">
        <f t="array" aca="1" ref="AX233" ca="1">IF(INDIRECT(ADDRESS($B233+1,AX$230,1,1,"Actively Infected Trend"))=0,#N/A,INDIRECT(ADDRESS($B233+1,AX$230,1,1,"Actively Infected Trend")))</f>
        <v>#N/A</v>
      </c>
      <c r="AY233" s="14" t="e" cm="1">
        <f t="array" aca="1" ref="AY233" ca="1">IF(INDIRECT(ADDRESS($B233+1,AY$230,1,1,"Actively Infected Trend"))=0,#N/A,INDIRECT(ADDRESS($B233+1,AY$230,1,1,"Actively Infected Trend")))</f>
        <v>#N/A</v>
      </c>
      <c r="AZ233" s="14" cm="1">
        <f t="array" aca="1" ref="AZ233" ca="1">IF(INDIRECT(ADDRESS($B233+1,AZ$230,1,1,"Actively Infected Trend"))=0,#N/A,INDIRECT(ADDRESS($B233+1,AZ$230,1,1,"Actively Infected Trend")))</f>
        <v>0.63326407330000001</v>
      </c>
      <c r="BA233" s="14" cm="1">
        <f t="array" aca="1" ref="BA233" ca="1">IF(INDIRECT(ADDRESS($B233+1,BA$230,1,1,"Actively Infected Trend"))=0,#N/A,INDIRECT(ADDRESS($B233+1,BA$230,1,1,"Actively Infected Trend")))</f>
        <v>0.40492256170000002</v>
      </c>
      <c r="BB233" s="14" cm="1">
        <f t="array" aca="1" ref="BB233" ca="1">IF(INDIRECT(ADDRESS($B233+1,BB$230,1,1,"Actively Infected Trend"))=0,#N/A,INDIRECT(ADDRESS($B233+1,BB$230,1,1,"Actively Infected Trend")))</f>
        <v>0.25991671039999997</v>
      </c>
      <c r="BC233" s="14" cm="1">
        <f t="array" aca="1" ref="BC233" ca="1">IF(INDIRECT(ADDRESS($B233+1,BC$230,1,1,"Actively Infected Trend"))=0,#N/A,INDIRECT(ADDRESS($B233+1,BC$230,1,1,"Actively Infected Trend")))</f>
        <v>0.2093265694</v>
      </c>
      <c r="BD233" s="14" cm="1">
        <f t="array" aca="1" ref="BD233" ca="1">IF(INDIRECT(ADDRESS($B233+1,BD$230,1,1,"Actively Infected Trend"))=0,#N/A,INDIRECT(ADDRESS($B233+1,BD$230,1,1,"Actively Infected Trend")))</f>
        <v>0.2125768572</v>
      </c>
      <c r="BE233" s="14" cm="1">
        <f t="array" aca="1" ref="BE233" ca="1">IF(INDIRECT(ADDRESS($B233+1,BE$230,1,1,"Actively Infected Trend"))=0,#N/A,INDIRECT(ADDRESS($B233+1,BE$230,1,1,"Actively Infected Trend")))</f>
        <v>0.24426194779999999</v>
      </c>
      <c r="BF233" s="14" cm="1">
        <f t="array" aca="1" ref="BF233" ca="1">IF(INDIRECT(ADDRESS($B233+1,BF$230,1,1,"Actively Infected Trend"))=0,#N/A,INDIRECT(ADDRESS($B233+1,BF$230,1,1,"Actively Infected Trend")))</f>
        <v>0.27134616789999999</v>
      </c>
      <c r="BG233" s="14" cm="1">
        <f t="array" aca="1" ref="BG233" ca="1">IF(INDIRECT(ADDRESS($B233+1,BG$230,1,1,"Actively Infected Trend"))=0,#N/A,INDIRECT(ADDRESS($B233+1,BG$230,1,1,"Actively Infected Trend")))</f>
        <v>0.27036513579999999</v>
      </c>
      <c r="BH233" s="14" cm="1">
        <f t="array" aca="1" ref="BH233" ca="1">IF(INDIRECT(ADDRESS($B233+1,BH$230,1,1,"Actively Infected Trend"))=0,#N/A,INDIRECT(ADDRESS($B233+1,BH$230,1,1,"Actively Infected Trend")))</f>
        <v>0.25165118510000001</v>
      </c>
      <c r="BI233" s="14" cm="1">
        <f t="array" aca="1" ref="BI233" ca="1">IF(INDIRECT(ADDRESS($B233+1,BI$230,1,1,"Actively Infected Trend"))=0,#N/A,INDIRECT(ADDRESS($B233+1,BI$230,1,1,"Actively Infected Trend")))</f>
        <v>0.22802161060000001</v>
      </c>
      <c r="BJ233" s="14" cm="1">
        <f t="array" aca="1" ref="BJ233" ca="1">IF(INDIRECT(ADDRESS($B233+1,BJ$230,1,1,"Actively Infected Trend"))=0,#N/A,INDIRECT(ADDRESS($B233+1,BJ$230,1,1,"Actively Infected Trend")))</f>
        <v>0.2125732843</v>
      </c>
      <c r="BK233" s="14" cm="1">
        <f t="array" aca="1" ref="BK233" ca="1">IF(INDIRECT(ADDRESS($B233+1,BK$230,1,1,"Actively Infected Trend"))=0,#N/A,INDIRECT(ADDRESS($B233+1,BK$230,1,1,"Actively Infected Trend")))</f>
        <v>0.21464047989999999</v>
      </c>
      <c r="BL233" s="14" cm="1">
        <f t="array" aca="1" ref="BL233" ca="1">IF(INDIRECT(ADDRESS($B233+1,BL$230,1,1,"Actively Infected Trend"))=0,#N/A,INDIRECT(ADDRESS($B233+1,BL$230,1,1,"Actively Infected Trend")))</f>
        <v>0.2250762516</v>
      </c>
      <c r="BM233" s="14" cm="1">
        <f t="array" aca="1" ref="BM233" ca="1">IF(INDIRECT(ADDRESS($B233+1,BM$230,1,1,"Actively Infected Trend"))=0,#N/A,INDIRECT(ADDRESS($B233+1,BM$230,1,1,"Actively Infected Trend")))</f>
        <v>0.23696012899999999</v>
      </c>
      <c r="BN233" s="14" cm="1">
        <f t="array" aca="1" ref="BN233" ca="1">IF(INDIRECT(ADDRESS($B233+1,BN$230,1,1,"Actively Infected Trend"))=0,#N/A,INDIRECT(ADDRESS($B233+1,BN$230,1,1,"Actively Infected Trend")))</f>
        <v>0.23294717370000001</v>
      </c>
      <c r="BO233" s="14" cm="1">
        <f t="array" aca="1" ref="BO233" ca="1">IF(INDIRECT(ADDRESS($B233+1,BO$230,1,1,"Actively Infected Trend"))=0,#N/A,INDIRECT(ADDRESS($B233+1,BO$230,1,1,"Actively Infected Trend")))</f>
        <v>0.2113714458</v>
      </c>
      <c r="BP233" s="14" cm="1">
        <f t="array" aca="1" ref="BP233" ca="1">IF(INDIRECT(ADDRESS($B233+1,BP$230,1,1,"Actively Infected Trend"))=0,#N/A,INDIRECT(ADDRESS($B233+1,BP$230,1,1,"Actively Infected Trend")))</f>
        <v>0.18350864380000001</v>
      </c>
      <c r="BQ233" s="14" cm="1">
        <f t="array" aca="1" ref="BQ233" ca="1">IF(INDIRECT(ADDRESS($B233+1,BQ$230,1,1,"Actively Infected Trend"))=0,#N/A,INDIRECT(ADDRESS($B233+1,BQ$230,1,1,"Actively Infected Trend")))</f>
        <v>0.17406106360000001</v>
      </c>
      <c r="BR233" s="14" cm="1">
        <f t="array" aca="1" ref="BR233" ca="1">IF(INDIRECT(ADDRESS($B233+1,BR$230,1,1,"Actively Infected Trend"))=0,#N/A,INDIRECT(ADDRESS($B233+1,BR$230,1,1,"Actively Infected Trend")))</f>
        <v>0.1806184254</v>
      </c>
      <c r="BS233" s="14" cm="1">
        <f t="array" aca="1" ref="BS233" ca="1">IF(INDIRECT(ADDRESS($B233+1,BS$230,1,1,"Actively Infected Trend"))=0,#N/A,INDIRECT(ADDRESS($B233+1,BS$230,1,1,"Actively Infected Trend")))</f>
        <v>0.2021998388</v>
      </c>
      <c r="BT233" s="14" cm="1">
        <f t="array" aca="1" ref="BT233" ca="1">IF(INDIRECT(ADDRESS($B233+1,BT$230,1,1,"Actively Infected Trend"))=0,#N/A,INDIRECT(ADDRESS($B233+1,BT$230,1,1,"Actively Infected Trend")))</f>
        <v>0.22268468199999999</v>
      </c>
      <c r="BU233" s="14" cm="1">
        <f t="array" aca="1" ref="BU233" ca="1">IF(INDIRECT(ADDRESS($B233+1,BU$230,1,1,"Actively Infected Trend"))=0,#N/A,INDIRECT(ADDRESS($B233+1,BU$230,1,1,"Actively Infected Trend")))</f>
        <v>0.2179787752</v>
      </c>
      <c r="BV233" s="14" cm="1">
        <f t="array" aca="1" ref="BV233" ca="1">IF(INDIRECT(ADDRESS($B233+1,BV$230,1,1,"Actively Infected Trend"))=0,#N/A,INDIRECT(ADDRESS($B233+1,BV$230,1,1,"Actively Infected Trend")))</f>
        <v>0.19690962410000001</v>
      </c>
      <c r="BW233" s="14" cm="1">
        <f t="array" aca="1" ref="BW233" ca="1">IF(INDIRECT(ADDRESS($B233+1,BW$230,1,1,"Actively Infected Trend"))=0,#N/A,INDIRECT(ADDRESS($B233+1,BW$230,1,1,"Actively Infected Trend")))</f>
        <v>0.15981187399999999</v>
      </c>
      <c r="BX233" s="14" cm="1">
        <f t="array" aca="1" ref="BX233" ca="1">IF(INDIRECT(ADDRESS($B233+1,BX$230,1,1,"Actively Infected Trend"))=0,#N/A,INDIRECT(ADDRESS($B233+1,BX$230,1,1,"Actively Infected Trend")))</f>
        <v>0.12995349849999999</v>
      </c>
      <c r="BY233" s="14" cm="1">
        <f t="array" aca="1" ref="BY233" ca="1">IF(INDIRECT(ADDRESS($B233+1,BY$230,1,1,"Actively Infected Trend"))=0,#N/A,INDIRECT(ADDRESS($B233+1,BY$230,1,1,"Actively Infected Trend")))</f>
        <v>0.111600878</v>
      </c>
      <c r="BZ233" s="14" cm="1">
        <f t="array" aca="1" ref="BZ233" ca="1">IF(INDIRECT(ADDRESS($B233+1,BZ$230,1,1,"Actively Infected Trend"))=0,#N/A,INDIRECT(ADDRESS($B233+1,BZ$230,1,1,"Actively Infected Trend")))</f>
        <v>0.1089340188</v>
      </c>
      <c r="CA233" s="14" cm="1">
        <f t="array" aca="1" ref="CA233" ca="1">IF(INDIRECT(ADDRESS($B233+1,CA$230,1,1,"Actively Infected Trend"))=0,#N/A,INDIRECT(ADDRESS($B233+1,CA$230,1,1,"Actively Infected Trend")))</f>
        <v>0.11090664359999999</v>
      </c>
      <c r="CB233" s="14" cm="1">
        <f t="array" aca="1" ref="CB233" ca="1">IF(INDIRECT(ADDRESS($B233+1,CB$230,1,1,"Actively Infected Trend"))=0,#N/A,INDIRECT(ADDRESS($B233+1,CB$230,1,1,"Actively Infected Trend")))</f>
        <v>0.1070789364</v>
      </c>
      <c r="CC233" s="14" cm="1">
        <f t="array" aca="1" ref="CC233" ca="1">IF(INDIRECT(ADDRESS($B233+1,CC$230,1,1,"Actively Infected Trend"))=0,#N/A,INDIRECT(ADDRESS($B233+1,CC$230,1,1,"Actively Infected Trend")))</f>
        <v>9.9079101700000005E-2</v>
      </c>
      <c r="CD233" s="14" cm="1">
        <f t="array" aca="1" ref="CD233" ca="1">IF(INDIRECT(ADDRESS($B233+1,CD$230,1,1,"Actively Infected Trend"))=0,#N/A,INDIRECT(ADDRESS($B233+1,CD$230,1,1,"Actively Infected Trend")))</f>
        <v>8.9489795100000005E-2</v>
      </c>
      <c r="CE233" s="14" cm="1">
        <f t="array" aca="1" ref="CE233" ca="1">IF(INDIRECT(ADDRESS($B233+1,CE$230,1,1,"Actively Infected Trend"))=0,#N/A,INDIRECT(ADDRESS($B233+1,CE$230,1,1,"Actively Infected Trend")))</f>
        <v>8.6432491400000006E-2</v>
      </c>
      <c r="CF233" s="14" cm="1">
        <f t="array" aca="1" ref="CF233" ca="1">IF(INDIRECT(ADDRESS($B233+1,CF$230,1,1,"Actively Infected Trend"))=0,#N/A,INDIRECT(ADDRESS($B233+1,CF$230,1,1,"Actively Infected Trend")))</f>
        <v>8.57108018E-2</v>
      </c>
      <c r="CG233" s="14" cm="1">
        <f t="array" aca="1" ref="CG233" ca="1">IF(INDIRECT(ADDRESS($B233+1,CG$230,1,1,"Actively Infected Trend"))=0,#N/A,INDIRECT(ADDRESS($B233+1,CG$230,1,1,"Actively Infected Trend")))</f>
        <v>9.1558203199999993E-2</v>
      </c>
      <c r="CH233" s="14" cm="1">
        <f t="array" aca="1" ref="CH233" ca="1">IF(INDIRECT(ADDRESS($B233+1,CH$230,1,1,"Actively Infected Trend"))=0,#N/A,INDIRECT(ADDRESS($B233+1,CH$230,1,1,"Actively Infected Trend")))</f>
        <v>9.6996537199999996E-2</v>
      </c>
      <c r="CI233" s="14" cm="1">
        <f t="array" aca="1" ref="CI233" ca="1">IF(INDIRECT(ADDRESS($B233+1,CI$230,1,1,"Actively Infected Trend"))=0,#N/A,INDIRECT(ADDRESS($B233+1,CI$230,1,1,"Actively Infected Trend")))</f>
        <v>9.4038905899999997E-2</v>
      </c>
      <c r="CJ233" s="14" cm="1">
        <f t="array" aca="1" ref="CJ233" ca="1">IF(INDIRECT(ADDRESS($B233+1,CJ$230,1,1,"Actively Infected Trend"))=0,#N/A,INDIRECT(ADDRESS($B233+1,CJ$230,1,1,"Actively Infected Trend")))</f>
        <v>8.5443223400000004E-2</v>
      </c>
      <c r="CK233" s="14" cm="1">
        <f t="array" aca="1" ref="CK233" ca="1">IF(INDIRECT(ADDRESS($B233+1,CK$230,1,1,"Actively Infected Trend"))=0,#N/A,INDIRECT(ADDRESS($B233+1,CK$230,1,1,"Actively Infected Trend")))</f>
        <v>7.83408139E-2</v>
      </c>
      <c r="CL233" s="14" cm="1">
        <f t="array" aca="1" ref="CL233" ca="1">IF(INDIRECT(ADDRESS($B233+1,CL$230,1,1,"Actively Infected Trend"))=0,#N/A,INDIRECT(ADDRESS($B233+1,CL$230,1,1,"Actively Infected Trend")))</f>
        <v>7.5514227700000006E-2</v>
      </c>
      <c r="CM233" s="14" cm="1">
        <f t="array" aca="1" ref="CM233" ca="1">IF(INDIRECT(ADDRESS($B233+1,CM$230,1,1,"Actively Infected Trend"))=0,#N/A,INDIRECT(ADDRESS($B233+1,CM$230,1,1,"Actively Infected Trend")))</f>
        <v>8.0599253900000001E-2</v>
      </c>
      <c r="CN233" s="14" t="e" cm="1">
        <f t="array" aca="1" ref="CN233" ca="1">IF(INDIRECT(ADDRESS($B233+1,CN$230,1,1,"Actively Infected Trend"))=0,#N/A,INDIRECT(ADDRESS($B233+1,CN$230,1,1,"Actively Infected Trend")))</f>
        <v>#N/A</v>
      </c>
      <c r="CO233" s="14" t="e" cm="1">
        <f t="array" aca="1" ref="CO233" ca="1">IF(INDIRECT(ADDRESS($B233+1,CO$230,1,1,"Actively Infected Trend"))=0,#N/A,INDIRECT(ADDRESS($B233+1,CO$230,1,1,"Actively Infected Trend")))</f>
        <v>#N/A</v>
      </c>
      <c r="CP233" s="14" t="e" cm="1">
        <f t="array" aca="1" ref="CP233" ca="1">IF(INDIRECT(ADDRESS($B233+1,CP$230,1,1,"Actively Infected Trend"))=0,#N/A,INDIRECT(ADDRESS($B233+1,CP$230,1,1,"Actively Infected Trend")))</f>
        <v>#N/A</v>
      </c>
      <c r="CQ233" s="14" t="e" cm="1">
        <f t="array" aca="1" ref="CQ233" ca="1">IF(INDIRECT(ADDRESS($B233+1,CQ$230,1,1,"Actively Infected Trend"))=0,#N/A,INDIRECT(ADDRESS($B233+1,CQ$230,1,1,"Actively Infected Trend")))</f>
        <v>#N/A</v>
      </c>
      <c r="CR233" s="14" t="e" cm="1">
        <f t="array" aca="1" ref="CR233" ca="1">IF(INDIRECT(ADDRESS($B233+1,CR$230,1,1,"Actively Infected Trend"))=0,#N/A,INDIRECT(ADDRESS($B233+1,CR$230,1,1,"Actively Infected Trend")))</f>
        <v>#N/A</v>
      </c>
    </row>
    <row r="234" spans="2:96" x14ac:dyDescent="0.25">
      <c r="B234">
        <f t="shared" ref="B234:B291" si="349">B233+1</f>
        <v>3</v>
      </c>
      <c r="C234" t="str" cm="1">
        <f t="array" aca="1" ref="C234" ca="1">INDIRECT(ADDRESS($B234+1,1,1,1,"Actively Infected Trend"))</f>
        <v>Canada</v>
      </c>
      <c r="E234" s="14" t="e" cm="1">
        <f t="array" aca="1" ref="E234" ca="1">IF(INDIRECT(ADDRESS($B234+1,E$230,1,1,"Actively Infected Trend"))=0,#N/A,INDIRECT(ADDRESS($B234+1,E$230,1,1,"Actively Infected Trend")))</f>
        <v>#N/A</v>
      </c>
      <c r="F234" s="14" t="e" cm="1">
        <f t="array" aca="1" ref="F234" ca="1">IF(INDIRECT(ADDRESS($B234+1,F$230,1,1,"Actively Infected Trend"))=0,#N/A,INDIRECT(ADDRESS($B234+1,F$230,1,1,"Actively Infected Trend")))</f>
        <v>#N/A</v>
      </c>
      <c r="G234" s="14" t="e" cm="1">
        <f t="array" aca="1" ref="G234" ca="1">IF(INDIRECT(ADDRESS($B234+1,G$230,1,1,"Actively Infected Trend"))=0,#N/A,INDIRECT(ADDRESS($B234+1,G$230,1,1,"Actively Infected Trend")))</f>
        <v>#N/A</v>
      </c>
      <c r="H234" s="14" t="e" cm="1">
        <f t="array" aca="1" ref="H234" ca="1">IF(INDIRECT(ADDRESS($B234+1,H$230,1,1,"Actively Infected Trend"))=0,#N/A,INDIRECT(ADDRESS($B234+1,H$230,1,1,"Actively Infected Trend")))</f>
        <v>#N/A</v>
      </c>
      <c r="I234" s="14" t="e" cm="1">
        <f t="array" aca="1" ref="I234" ca="1">IF(INDIRECT(ADDRESS($B234+1,I$230,1,1,"Actively Infected Trend"))=0,#N/A,INDIRECT(ADDRESS($B234+1,I$230,1,1,"Actively Infected Trend")))</f>
        <v>#N/A</v>
      </c>
      <c r="J234" s="14" t="e" cm="1">
        <f t="array" aca="1" ref="J234" ca="1">IF(INDIRECT(ADDRESS($B234+1,J$230,1,1,"Actively Infected Trend"))=0,#N/A,INDIRECT(ADDRESS($B234+1,J$230,1,1,"Actively Infected Trend")))</f>
        <v>#N/A</v>
      </c>
      <c r="K234" s="14" t="e" cm="1">
        <f t="array" aca="1" ref="K234" ca="1">IF(INDIRECT(ADDRESS($B234+1,K$230,1,1,"Actively Infected Trend"))=0,#N/A,INDIRECT(ADDRESS($B234+1,K$230,1,1,"Actively Infected Trend")))</f>
        <v>#N/A</v>
      </c>
      <c r="L234" s="14" t="e" cm="1">
        <f t="array" aca="1" ref="L234" ca="1">IF(INDIRECT(ADDRESS($B234+1,L$230,1,1,"Actively Infected Trend"))=0,#N/A,INDIRECT(ADDRESS($B234+1,L$230,1,1,"Actively Infected Trend")))</f>
        <v>#N/A</v>
      </c>
      <c r="M234" s="14" t="e" cm="1">
        <f t="array" aca="1" ref="M234" ca="1">IF(INDIRECT(ADDRESS($B234+1,M$230,1,1,"Actively Infected Trend"))=0,#N/A,INDIRECT(ADDRESS($B234+1,M$230,1,1,"Actively Infected Trend")))</f>
        <v>#N/A</v>
      </c>
      <c r="N234" s="14" t="e" cm="1">
        <f t="array" aca="1" ref="N234" ca="1">IF(INDIRECT(ADDRESS($B234+1,N$230,1,1,"Actively Infected Trend"))=0,#N/A,INDIRECT(ADDRESS($B234+1,N$230,1,1,"Actively Infected Trend")))</f>
        <v>#N/A</v>
      </c>
      <c r="O234" s="14" t="e" cm="1">
        <f t="array" aca="1" ref="O234" ca="1">IF(INDIRECT(ADDRESS($B234+1,O$230,1,1,"Actively Infected Trend"))=0,#N/A,INDIRECT(ADDRESS($B234+1,O$230,1,1,"Actively Infected Trend")))</f>
        <v>#N/A</v>
      </c>
      <c r="P234" s="14" t="e" cm="1">
        <f t="array" aca="1" ref="P234" ca="1">IF(INDIRECT(ADDRESS($B234+1,P$230,1,1,"Actively Infected Trend"))=0,#N/A,INDIRECT(ADDRESS($B234+1,P$230,1,1,"Actively Infected Trend")))</f>
        <v>#N/A</v>
      </c>
      <c r="Q234" s="14" t="e" cm="1">
        <f t="array" aca="1" ref="Q234" ca="1">IF(INDIRECT(ADDRESS($B234+1,Q$230,1,1,"Actively Infected Trend"))=0,#N/A,INDIRECT(ADDRESS($B234+1,Q$230,1,1,"Actively Infected Trend")))</f>
        <v>#N/A</v>
      </c>
      <c r="R234" s="14" t="e" cm="1">
        <f t="array" aca="1" ref="R234" ca="1">IF(INDIRECT(ADDRESS($B234+1,R$230,1,1,"Actively Infected Trend"))=0,#N/A,INDIRECT(ADDRESS($B234+1,R$230,1,1,"Actively Infected Trend")))</f>
        <v>#N/A</v>
      </c>
      <c r="S234" s="14" t="e" cm="1">
        <f t="array" aca="1" ref="S234" ca="1">IF(INDIRECT(ADDRESS($B234+1,S$230,1,1,"Actively Infected Trend"))=0,#N/A,INDIRECT(ADDRESS($B234+1,S$230,1,1,"Actively Infected Trend")))</f>
        <v>#N/A</v>
      </c>
      <c r="T234" s="14" t="e" cm="1">
        <f t="array" aca="1" ref="T234" ca="1">IF(INDIRECT(ADDRESS($B234+1,T$230,1,1,"Actively Infected Trend"))=0,#N/A,INDIRECT(ADDRESS($B234+1,T$230,1,1,"Actively Infected Trend")))</f>
        <v>#N/A</v>
      </c>
      <c r="U234" s="14" t="e" cm="1">
        <f t="array" aca="1" ref="U234" ca="1">IF(INDIRECT(ADDRESS($B234+1,U$230,1,1,"Actively Infected Trend"))=0,#N/A,INDIRECT(ADDRESS($B234+1,U$230,1,1,"Actively Infected Trend")))</f>
        <v>#N/A</v>
      </c>
      <c r="V234" s="14" t="e" cm="1">
        <f t="array" aca="1" ref="V234" ca="1">IF(INDIRECT(ADDRESS($B234+1,V$230,1,1,"Actively Infected Trend"))=0,#N/A,INDIRECT(ADDRESS($B234+1,V$230,1,1,"Actively Infected Trend")))</f>
        <v>#N/A</v>
      </c>
      <c r="W234" s="14" t="e" cm="1">
        <f t="array" aca="1" ref="W234" ca="1">IF(INDIRECT(ADDRESS($B234+1,W$230,1,1,"Actively Infected Trend"))=0,#N/A,INDIRECT(ADDRESS($B234+1,W$230,1,1,"Actively Infected Trend")))</f>
        <v>#N/A</v>
      </c>
      <c r="X234" s="14" t="e" cm="1">
        <f t="array" aca="1" ref="X234" ca="1">IF(INDIRECT(ADDRESS($B234+1,X$230,1,1,"Actively Infected Trend"))=0,#N/A,INDIRECT(ADDRESS($B234+1,X$230,1,1,"Actively Infected Trend")))</f>
        <v>#N/A</v>
      </c>
      <c r="Y234" s="14" t="e" cm="1">
        <f t="array" aca="1" ref="Y234" ca="1">IF(INDIRECT(ADDRESS($B234+1,Y$230,1,1,"Actively Infected Trend"))=0,#N/A,INDIRECT(ADDRESS($B234+1,Y$230,1,1,"Actively Infected Trend")))</f>
        <v>#N/A</v>
      </c>
      <c r="Z234" s="14" t="e" cm="1">
        <f t="array" aca="1" ref="Z234" ca="1">IF(INDIRECT(ADDRESS($B234+1,Z$230,1,1,"Actively Infected Trend"))=0,#N/A,INDIRECT(ADDRESS($B234+1,Z$230,1,1,"Actively Infected Trend")))</f>
        <v>#N/A</v>
      </c>
      <c r="AA234" s="14" t="e" cm="1">
        <f t="array" aca="1" ref="AA234" ca="1">IF(INDIRECT(ADDRESS($B234+1,AA$230,1,1,"Actively Infected Trend"))=0,#N/A,INDIRECT(ADDRESS($B234+1,AA$230,1,1,"Actively Infected Trend")))</f>
        <v>#N/A</v>
      </c>
      <c r="AB234" s="14" t="e" cm="1">
        <f t="array" aca="1" ref="AB234" ca="1">IF(INDIRECT(ADDRESS($B234+1,AB$230,1,1,"Actively Infected Trend"))=0,#N/A,INDIRECT(ADDRESS($B234+1,AB$230,1,1,"Actively Infected Trend")))</f>
        <v>#N/A</v>
      </c>
      <c r="AC234" s="14" t="e" cm="1">
        <f t="array" aca="1" ref="AC234" ca="1">IF(INDIRECT(ADDRESS($B234+1,AC$230,1,1,"Actively Infected Trend"))=0,#N/A,INDIRECT(ADDRESS($B234+1,AC$230,1,1,"Actively Infected Trend")))</f>
        <v>#N/A</v>
      </c>
      <c r="AD234" s="14" t="e" cm="1">
        <f t="array" aca="1" ref="AD234" ca="1">IF(INDIRECT(ADDRESS($B234+1,AD$230,1,1,"Actively Infected Trend"))=0,#N/A,INDIRECT(ADDRESS($B234+1,AD$230,1,1,"Actively Infected Trend")))</f>
        <v>#N/A</v>
      </c>
      <c r="AE234" s="14" t="e" cm="1">
        <f t="array" aca="1" ref="AE234" ca="1">IF(INDIRECT(ADDRESS($B234+1,AE$230,1,1,"Actively Infected Trend"))=0,#N/A,INDIRECT(ADDRESS($B234+1,AE$230,1,1,"Actively Infected Trend")))</f>
        <v>#N/A</v>
      </c>
      <c r="AF234" s="14" t="e" cm="1">
        <f t="array" aca="1" ref="AF234" ca="1">IF(INDIRECT(ADDRESS($B234+1,AF$230,1,1,"Actively Infected Trend"))=0,#N/A,INDIRECT(ADDRESS($B234+1,AF$230,1,1,"Actively Infected Trend")))</f>
        <v>#N/A</v>
      </c>
      <c r="AG234" s="14" t="e" cm="1">
        <f t="array" aca="1" ref="AG234" ca="1">IF(INDIRECT(ADDRESS($B234+1,AG$230,1,1,"Actively Infected Trend"))=0,#N/A,INDIRECT(ADDRESS($B234+1,AG$230,1,1,"Actively Infected Trend")))</f>
        <v>#N/A</v>
      </c>
      <c r="AH234" s="14" t="e" cm="1">
        <f t="array" aca="1" ref="AH234" ca="1">IF(INDIRECT(ADDRESS($B234+1,AH$230,1,1,"Actively Infected Trend"))=0,#N/A,INDIRECT(ADDRESS($B234+1,AH$230,1,1,"Actively Infected Trend")))</f>
        <v>#N/A</v>
      </c>
      <c r="AI234" s="14" t="e" cm="1">
        <f t="array" aca="1" ref="AI234" ca="1">IF(INDIRECT(ADDRESS($B234+1,AI$230,1,1,"Actively Infected Trend"))=0,#N/A,INDIRECT(ADDRESS($B234+1,AI$230,1,1,"Actively Infected Trend")))</f>
        <v>#N/A</v>
      </c>
      <c r="AJ234" s="14" t="e" cm="1">
        <f t="array" aca="1" ref="AJ234" ca="1">IF(INDIRECT(ADDRESS($B234+1,AJ$230,1,1,"Actively Infected Trend"))=0,#N/A,INDIRECT(ADDRESS($B234+1,AJ$230,1,1,"Actively Infected Trend")))</f>
        <v>#N/A</v>
      </c>
      <c r="AK234" s="14" t="e" cm="1">
        <f t="array" aca="1" ref="AK234" ca="1">IF(INDIRECT(ADDRESS($B234+1,AK$230,1,1,"Actively Infected Trend"))=0,#N/A,INDIRECT(ADDRESS($B234+1,AK$230,1,1,"Actively Infected Trend")))</f>
        <v>#N/A</v>
      </c>
      <c r="AL234" s="14" t="e" cm="1">
        <f t="array" aca="1" ref="AL234" ca="1">IF(INDIRECT(ADDRESS($B234+1,AL$230,1,1,"Actively Infected Trend"))=0,#N/A,INDIRECT(ADDRESS($B234+1,AL$230,1,1,"Actively Infected Trend")))</f>
        <v>#N/A</v>
      </c>
      <c r="AM234" s="14" t="e" cm="1">
        <f t="array" aca="1" ref="AM234" ca="1">IF(INDIRECT(ADDRESS($B234+1,AM$230,1,1,"Actively Infected Trend"))=0,#N/A,INDIRECT(ADDRESS($B234+1,AM$230,1,1,"Actively Infected Trend")))</f>
        <v>#N/A</v>
      </c>
      <c r="AN234" s="14" t="e" cm="1">
        <f t="array" aca="1" ref="AN234" ca="1">IF(INDIRECT(ADDRESS($B234+1,AN$230,1,1,"Actively Infected Trend"))=0,#N/A,INDIRECT(ADDRESS($B234+1,AN$230,1,1,"Actively Infected Trend")))</f>
        <v>#N/A</v>
      </c>
      <c r="AO234" s="14" t="e" cm="1">
        <f t="array" aca="1" ref="AO234" ca="1">IF(INDIRECT(ADDRESS($B234+1,AO$230,1,1,"Actively Infected Trend"))=0,#N/A,INDIRECT(ADDRESS($B234+1,AO$230,1,1,"Actively Infected Trend")))</f>
        <v>#N/A</v>
      </c>
      <c r="AP234" s="14" t="e" cm="1">
        <f t="array" aca="1" ref="AP234" ca="1">IF(INDIRECT(ADDRESS($B234+1,AP$230,1,1,"Actively Infected Trend"))=0,#N/A,INDIRECT(ADDRESS($B234+1,AP$230,1,1,"Actively Infected Trend")))</f>
        <v>#N/A</v>
      </c>
      <c r="AQ234" s="14" t="e" cm="1">
        <f t="array" aca="1" ref="AQ234" ca="1">IF(INDIRECT(ADDRESS($B234+1,AQ$230,1,1,"Actively Infected Trend"))=0,#N/A,INDIRECT(ADDRESS($B234+1,AQ$230,1,1,"Actively Infected Trend")))</f>
        <v>#N/A</v>
      </c>
      <c r="AR234" s="14" cm="1">
        <f t="array" aca="1" ref="AR234" ca="1">IF(INDIRECT(ADDRESS($B234+1,AR$230,1,1,"Actively Infected Trend"))=0,#N/A,INDIRECT(ADDRESS($B234+1,AR$230,1,1,"Actively Infected Trend")))</f>
        <v>0.22569848470000001</v>
      </c>
      <c r="AS234" s="14" cm="1">
        <f t="array" aca="1" ref="AS234" ca="1">IF(INDIRECT(ADDRESS($B234+1,AS$230,1,1,"Actively Infected Trend"))=0,#N/A,INDIRECT(ADDRESS($B234+1,AS$230,1,1,"Actively Infected Trend")))</f>
        <v>0.262974659</v>
      </c>
      <c r="AT234" s="14" cm="1">
        <f t="array" aca="1" ref="AT234" ca="1">IF(INDIRECT(ADDRESS($B234+1,AT$230,1,1,"Actively Infected Trend"))=0,#N/A,INDIRECT(ADDRESS($B234+1,AT$230,1,1,"Actively Infected Trend")))</f>
        <v>0.27652480080000003</v>
      </c>
      <c r="AU234" s="14" cm="1">
        <f t="array" aca="1" ref="AU234" ca="1">IF(INDIRECT(ADDRESS($B234+1,AU$230,1,1,"Actively Infected Trend"))=0,#N/A,INDIRECT(ADDRESS($B234+1,AU$230,1,1,"Actively Infected Trend")))</f>
        <v>0.23753121569999999</v>
      </c>
      <c r="AV234" s="14" cm="1">
        <f t="array" aca="1" ref="AV234" ca="1">IF(INDIRECT(ADDRESS($B234+1,AV$230,1,1,"Actively Infected Trend"))=0,#N/A,INDIRECT(ADDRESS($B234+1,AV$230,1,1,"Actively Infected Trend")))</f>
        <v>0.19107741759999999</v>
      </c>
      <c r="AW234" s="14" cm="1">
        <f t="array" aca="1" ref="AW234" ca="1">IF(INDIRECT(ADDRESS($B234+1,AW$230,1,1,"Actively Infected Trend"))=0,#N/A,INDIRECT(ADDRESS($B234+1,AW$230,1,1,"Actively Infected Trend")))</f>
        <v>0.16882497439999999</v>
      </c>
      <c r="AX234" s="14" cm="1">
        <f t="array" aca="1" ref="AX234" ca="1">IF(INDIRECT(ADDRESS($B234+1,AX$230,1,1,"Actively Infected Trend"))=0,#N/A,INDIRECT(ADDRESS($B234+1,AX$230,1,1,"Actively Infected Trend")))</f>
        <v>0.17722905920000001</v>
      </c>
      <c r="AY234" s="14" cm="1">
        <f t="array" aca="1" ref="AY234" ca="1">IF(INDIRECT(ADDRESS($B234+1,AY$230,1,1,"Actively Infected Trend"))=0,#N/A,INDIRECT(ADDRESS($B234+1,AY$230,1,1,"Actively Infected Trend")))</f>
        <v>0.19686243680000001</v>
      </c>
      <c r="AZ234" s="14" cm="1">
        <f t="array" aca="1" ref="AZ234" ca="1">IF(INDIRECT(ADDRESS($B234+1,AZ$230,1,1,"Actively Infected Trend"))=0,#N/A,INDIRECT(ADDRESS($B234+1,AZ$230,1,1,"Actively Infected Trend")))</f>
        <v>0.20882383509999999</v>
      </c>
      <c r="BA234" s="14" cm="1">
        <f t="array" aca="1" ref="BA234" ca="1">IF(INDIRECT(ADDRESS($B234+1,BA$230,1,1,"Actively Infected Trend"))=0,#N/A,INDIRECT(ADDRESS($B234+1,BA$230,1,1,"Actively Infected Trend")))</f>
        <v>0.19291650860000001</v>
      </c>
      <c r="BB234" s="14" cm="1">
        <f t="array" aca="1" ref="BB234" ca="1">IF(INDIRECT(ADDRESS($B234+1,BB$230,1,1,"Actively Infected Trend"))=0,#N/A,INDIRECT(ADDRESS($B234+1,BB$230,1,1,"Actively Infected Trend")))</f>
        <v>0.19332198680000001</v>
      </c>
      <c r="BC234" s="14" cm="1">
        <f t="array" aca="1" ref="BC234" ca="1">IF(INDIRECT(ADDRESS($B234+1,BC$230,1,1,"Actively Infected Trend"))=0,#N/A,INDIRECT(ADDRESS($B234+1,BC$230,1,1,"Actively Infected Trend")))</f>
        <v>0.18174786909999999</v>
      </c>
      <c r="BD234" s="14" cm="1">
        <f t="array" aca="1" ref="BD234" ca="1">IF(INDIRECT(ADDRESS($B234+1,BD$230,1,1,"Actively Infected Trend"))=0,#N/A,INDIRECT(ADDRESS($B234+1,BD$230,1,1,"Actively Infected Trend")))</f>
        <v>0.22504565169999999</v>
      </c>
      <c r="BE234" s="14" cm="1">
        <f t="array" aca="1" ref="BE234" ca="1">IF(INDIRECT(ADDRESS($B234+1,BE$230,1,1,"Actively Infected Trend"))=0,#N/A,INDIRECT(ADDRESS($B234+1,BE$230,1,1,"Actively Infected Trend")))</f>
        <v>0.25644187219999998</v>
      </c>
      <c r="BF234" s="14" cm="1">
        <f t="array" aca="1" ref="BF234" ca="1">IF(INDIRECT(ADDRESS($B234+1,BF$230,1,1,"Actively Infected Trend"))=0,#N/A,INDIRECT(ADDRESS($B234+1,BF$230,1,1,"Actively Infected Trend")))</f>
        <v>0.27249156479999997</v>
      </c>
      <c r="BG234" s="14" cm="1">
        <f t="array" aca="1" ref="BG234" ca="1">IF(INDIRECT(ADDRESS($B234+1,BG$230,1,1,"Actively Infected Trend"))=0,#N/A,INDIRECT(ADDRESS($B234+1,BG$230,1,1,"Actively Infected Trend")))</f>
        <v>0.31726319079999998</v>
      </c>
      <c r="BH234" s="14" cm="1">
        <f t="array" aca="1" ref="BH234" ca="1">IF(INDIRECT(ADDRESS($B234+1,BH$230,1,1,"Actively Infected Trend"))=0,#N/A,INDIRECT(ADDRESS($B234+1,BH$230,1,1,"Actively Infected Trend")))</f>
        <v>0.30405581720000002</v>
      </c>
      <c r="BI234" s="14" cm="1">
        <f t="array" aca="1" ref="BI234" ca="1">IF(INDIRECT(ADDRESS($B234+1,BI$230,1,1,"Actively Infected Trend"))=0,#N/A,INDIRECT(ADDRESS($B234+1,BI$230,1,1,"Actively Infected Trend")))</f>
        <v>0.33737004520000002</v>
      </c>
      <c r="BJ234" s="14" cm="1">
        <f t="array" aca="1" ref="BJ234" ca="1">IF(INDIRECT(ADDRESS($B234+1,BJ$230,1,1,"Actively Infected Trend"))=0,#N/A,INDIRECT(ADDRESS($B234+1,BJ$230,1,1,"Actively Infected Trend")))</f>
        <v>0.33122289519999998</v>
      </c>
      <c r="BK234" s="14" cm="1">
        <f t="array" aca="1" ref="BK234" ca="1">IF(INDIRECT(ADDRESS($B234+1,BK$230,1,1,"Actively Infected Trend"))=0,#N/A,INDIRECT(ADDRESS($B234+1,BK$230,1,1,"Actively Infected Trend")))</f>
        <v>0.3051052622</v>
      </c>
      <c r="BL234" s="14" cm="1">
        <f t="array" aca="1" ref="BL234" ca="1">IF(INDIRECT(ADDRESS($B234+1,BL$230,1,1,"Actively Infected Trend"))=0,#N/A,INDIRECT(ADDRESS($B234+1,BL$230,1,1,"Actively Infected Trend")))</f>
        <v>0.28689419220000001</v>
      </c>
      <c r="BM234" s="14" cm="1">
        <f t="array" aca="1" ref="BM234" ca="1">IF(INDIRECT(ADDRESS($B234+1,BM$230,1,1,"Actively Infected Trend"))=0,#N/A,INDIRECT(ADDRESS($B234+1,BM$230,1,1,"Actively Infected Trend")))</f>
        <v>0.25428204920000003</v>
      </c>
      <c r="BN234" s="14" cm="1">
        <f t="array" aca="1" ref="BN234" ca="1">IF(INDIRECT(ADDRESS($B234+1,BN$230,1,1,"Actively Infected Trend"))=0,#N/A,INDIRECT(ADDRESS($B234+1,BN$230,1,1,"Actively Infected Trend")))</f>
        <v>0.26909543670000002</v>
      </c>
      <c r="BO234" s="14" cm="1">
        <f t="array" aca="1" ref="BO234" ca="1">IF(INDIRECT(ADDRESS($B234+1,BO$230,1,1,"Actively Infected Trend"))=0,#N/A,INDIRECT(ADDRESS($B234+1,BO$230,1,1,"Actively Infected Trend")))</f>
        <v>0.28512096990000002</v>
      </c>
      <c r="BP234" s="14" cm="1">
        <f t="array" aca="1" ref="BP234" ca="1">IF(INDIRECT(ADDRESS($B234+1,BP$230,1,1,"Actively Infected Trend"))=0,#N/A,INDIRECT(ADDRESS($B234+1,BP$230,1,1,"Actively Infected Trend")))</f>
        <v>0.2921732279</v>
      </c>
      <c r="BQ234" s="14" cm="1">
        <f t="array" aca="1" ref="BQ234" ca="1">IF(INDIRECT(ADDRESS($B234+1,BQ$230,1,1,"Actively Infected Trend"))=0,#N/A,INDIRECT(ADDRESS($B234+1,BQ$230,1,1,"Actively Infected Trend")))</f>
        <v>0.29603104219999998</v>
      </c>
      <c r="BR234" s="14" cm="1">
        <f t="array" aca="1" ref="BR234" ca="1">IF(INDIRECT(ADDRESS($B234+1,BR$230,1,1,"Actively Infected Trend"))=0,#N/A,INDIRECT(ADDRESS($B234+1,BR$230,1,1,"Actively Infected Trend")))</f>
        <v>0.26679855660000001</v>
      </c>
      <c r="BS234" s="14" cm="1">
        <f t="array" aca="1" ref="BS234" ca="1">IF(INDIRECT(ADDRESS($B234+1,BS$230,1,1,"Actively Infected Trend"))=0,#N/A,INDIRECT(ADDRESS($B234+1,BS$230,1,1,"Actively Infected Trend")))</f>
        <v>0.2344702508</v>
      </c>
      <c r="BT234" s="14" cm="1">
        <f t="array" aca="1" ref="BT234" ca="1">IF(INDIRECT(ADDRESS($B234+1,BT$230,1,1,"Actively Infected Trend"))=0,#N/A,INDIRECT(ADDRESS($B234+1,BT$230,1,1,"Actively Infected Trend")))</f>
        <v>0.20312889789999999</v>
      </c>
      <c r="BU234" s="14" cm="1">
        <f t="array" aca="1" ref="BU234" ca="1">IF(INDIRECT(ADDRESS($B234+1,BU$230,1,1,"Actively Infected Trend"))=0,#N/A,INDIRECT(ADDRESS($B234+1,BU$230,1,1,"Actively Infected Trend")))</f>
        <v>0.18650056470000001</v>
      </c>
      <c r="BV234" s="14" cm="1">
        <f t="array" aca="1" ref="BV234" ca="1">IF(INDIRECT(ADDRESS($B234+1,BV$230,1,1,"Actively Infected Trend"))=0,#N/A,INDIRECT(ADDRESS($B234+1,BV$230,1,1,"Actively Infected Trend")))</f>
        <v>0.17714522290000001</v>
      </c>
      <c r="BW234" s="14" cm="1">
        <f t="array" aca="1" ref="BW234" ca="1">IF(INDIRECT(ADDRESS($B234+1,BW$230,1,1,"Actively Infected Trend"))=0,#N/A,INDIRECT(ADDRESS($B234+1,BW$230,1,1,"Actively Infected Trend")))</f>
        <v>0.1671012201</v>
      </c>
      <c r="BX234" s="14" cm="1">
        <f t="array" aca="1" ref="BX234" ca="1">IF(INDIRECT(ADDRESS($B234+1,BX$230,1,1,"Actively Infected Trend"))=0,#N/A,INDIRECT(ADDRESS($B234+1,BX$230,1,1,"Actively Infected Trend")))</f>
        <v>0.16638159050000001</v>
      </c>
      <c r="BY234" s="14" cm="1">
        <f t="array" aca="1" ref="BY234" ca="1">IF(INDIRECT(ADDRESS($B234+1,BY$230,1,1,"Actively Infected Trend"))=0,#N/A,INDIRECT(ADDRESS($B234+1,BY$230,1,1,"Actively Infected Trend")))</f>
        <v>0.15878781180000001</v>
      </c>
      <c r="BZ234" s="14" cm="1">
        <f t="array" aca="1" ref="BZ234" ca="1">IF(INDIRECT(ADDRESS($B234+1,BZ$230,1,1,"Actively Infected Trend"))=0,#N/A,INDIRECT(ADDRESS($B234+1,BZ$230,1,1,"Actively Infected Trend")))</f>
        <v>0.1485517039</v>
      </c>
      <c r="CA234" s="14" cm="1">
        <f t="array" aca="1" ref="CA234" ca="1">IF(INDIRECT(ADDRESS($B234+1,CA$230,1,1,"Actively Infected Trend"))=0,#N/A,INDIRECT(ADDRESS($B234+1,CA$230,1,1,"Actively Infected Trend")))</f>
        <v>0.14056093289999999</v>
      </c>
      <c r="CB234" s="14" cm="1">
        <f t="array" aca="1" ref="CB234" ca="1">IF(INDIRECT(ADDRESS($B234+1,CB$230,1,1,"Actively Infected Trend"))=0,#N/A,INDIRECT(ADDRESS($B234+1,CB$230,1,1,"Actively Infected Trend")))</f>
        <v>0.1309381372</v>
      </c>
      <c r="CC234" s="14" cm="1">
        <f t="array" aca="1" ref="CC234" ca="1">IF(INDIRECT(ADDRESS($B234+1,CC$230,1,1,"Actively Infected Trend"))=0,#N/A,INDIRECT(ADDRESS($B234+1,CC$230,1,1,"Actively Infected Trend")))</f>
        <v>0.12821960969999999</v>
      </c>
      <c r="CD234" s="14" cm="1">
        <f t="array" aca="1" ref="CD234" ca="1">IF(INDIRECT(ADDRESS($B234+1,CD$230,1,1,"Actively Infected Trend"))=0,#N/A,INDIRECT(ADDRESS($B234+1,CD$230,1,1,"Actively Infected Trend")))</f>
        <v>0.1195324077</v>
      </c>
      <c r="CE234" s="14" cm="1">
        <f t="array" aca="1" ref="CE234" ca="1">IF(INDIRECT(ADDRESS($B234+1,CE$230,1,1,"Actively Infected Trend"))=0,#N/A,INDIRECT(ADDRESS($B234+1,CE$230,1,1,"Actively Infected Trend")))</f>
        <v>0.10929498579999999</v>
      </c>
      <c r="CF234" s="14" cm="1">
        <f t="array" aca="1" ref="CF234" ca="1">IF(INDIRECT(ADDRESS($B234+1,CF$230,1,1,"Actively Infected Trend"))=0,#N/A,INDIRECT(ADDRESS($B234+1,CF$230,1,1,"Actively Infected Trend")))</f>
        <v>0.10283935399999999</v>
      </c>
      <c r="CG234" s="14" cm="1">
        <f t="array" aca="1" ref="CG234" ca="1">IF(INDIRECT(ADDRESS($B234+1,CG$230,1,1,"Actively Infected Trend"))=0,#N/A,INDIRECT(ADDRESS($B234+1,CG$230,1,1,"Actively Infected Trend")))</f>
        <v>9.3290449299999995E-2</v>
      </c>
      <c r="CH234" s="14" cm="1">
        <f t="array" aca="1" ref="CH234" ca="1">IF(INDIRECT(ADDRESS($B234+1,CH$230,1,1,"Actively Infected Trend"))=0,#N/A,INDIRECT(ADDRESS($B234+1,CH$230,1,1,"Actively Infected Trend")))</f>
        <v>9.1558012800000005E-2</v>
      </c>
      <c r="CI234" s="14" cm="1">
        <f t="array" aca="1" ref="CI234" ca="1">IF(INDIRECT(ADDRESS($B234+1,CI$230,1,1,"Actively Infected Trend"))=0,#N/A,INDIRECT(ADDRESS($B234+1,CI$230,1,1,"Actively Infected Trend")))</f>
        <v>8.6797332500000005E-2</v>
      </c>
      <c r="CJ234" s="14" cm="1">
        <f t="array" aca="1" ref="CJ234" ca="1">IF(INDIRECT(ADDRESS($B234+1,CJ$230,1,1,"Actively Infected Trend"))=0,#N/A,INDIRECT(ADDRESS($B234+1,CJ$230,1,1,"Actively Infected Trend")))</f>
        <v>8.2293705800000005E-2</v>
      </c>
      <c r="CK234" s="14" cm="1">
        <f t="array" aca="1" ref="CK234" ca="1">IF(INDIRECT(ADDRESS($B234+1,CK$230,1,1,"Actively Infected Trend"))=0,#N/A,INDIRECT(ADDRESS($B234+1,CK$230,1,1,"Actively Infected Trend")))</f>
        <v>7.8919746700000001E-2</v>
      </c>
      <c r="CL234" s="14" cm="1">
        <f t="array" aca="1" ref="CL234" ca="1">IF(INDIRECT(ADDRESS($B234+1,CL$230,1,1,"Actively Infected Trend"))=0,#N/A,INDIRECT(ADDRESS($B234+1,CL$230,1,1,"Actively Infected Trend")))</f>
        <v>8.5534884000000005E-2</v>
      </c>
      <c r="CM234" s="14" cm="1">
        <f t="array" aca="1" ref="CM234" ca="1">IF(INDIRECT(ADDRESS($B234+1,CM$230,1,1,"Actively Infected Trend"))=0,#N/A,INDIRECT(ADDRESS($B234+1,CM$230,1,1,"Actively Infected Trend")))</f>
        <v>9.3386234100000007E-2</v>
      </c>
      <c r="CN234" s="14" t="e" cm="1">
        <f t="array" aca="1" ref="CN234" ca="1">IF(INDIRECT(ADDRESS($B234+1,CN$230,1,1,"Actively Infected Trend"))=0,#N/A,INDIRECT(ADDRESS($B234+1,CN$230,1,1,"Actively Infected Trend")))</f>
        <v>#N/A</v>
      </c>
      <c r="CO234" s="14" t="e" cm="1">
        <f t="array" aca="1" ref="CO234" ca="1">IF(INDIRECT(ADDRESS($B234+1,CO$230,1,1,"Actively Infected Trend"))=0,#N/A,INDIRECT(ADDRESS($B234+1,CO$230,1,1,"Actively Infected Trend")))</f>
        <v>#N/A</v>
      </c>
      <c r="CP234" s="14" t="e" cm="1">
        <f t="array" aca="1" ref="CP234" ca="1">IF(INDIRECT(ADDRESS($B234+1,CP$230,1,1,"Actively Infected Trend"))=0,#N/A,INDIRECT(ADDRESS($B234+1,CP$230,1,1,"Actively Infected Trend")))</f>
        <v>#N/A</v>
      </c>
      <c r="CQ234" s="14" t="e" cm="1">
        <f t="array" aca="1" ref="CQ234" ca="1">IF(INDIRECT(ADDRESS($B234+1,CQ$230,1,1,"Actively Infected Trend"))=0,#N/A,INDIRECT(ADDRESS($B234+1,CQ$230,1,1,"Actively Infected Trend")))</f>
        <v>#N/A</v>
      </c>
      <c r="CR234" s="14" t="e" cm="1">
        <f t="array" aca="1" ref="CR234" ca="1">IF(INDIRECT(ADDRESS($B234+1,CR$230,1,1,"Actively Infected Trend"))=0,#N/A,INDIRECT(ADDRESS($B234+1,CR$230,1,1,"Actively Infected Trend")))</f>
        <v>#N/A</v>
      </c>
    </row>
    <row r="235" spans="2:96" x14ac:dyDescent="0.25">
      <c r="B235">
        <f t="shared" si="349"/>
        <v>4</v>
      </c>
      <c r="C235" t="str" cm="1">
        <f t="array" aca="1" ref="C235" ca="1">INDIRECT(ADDRESS($B235+1,1,1,1,"Actively Infected Trend"))</f>
        <v>China</v>
      </c>
      <c r="E235" s="14" t="e" cm="1">
        <f t="array" aca="1" ref="E235" ca="1">IF(INDIRECT(ADDRESS($B235+1,E$230,1,1,"Actively Infected Trend"))=0,#N/A,INDIRECT(ADDRESS($B235+1,E$230,1,1,"Actively Infected Trend")))</f>
        <v>#N/A</v>
      </c>
      <c r="F235" s="14" t="e" cm="1">
        <f t="array" aca="1" ref="F235" ca="1">IF(INDIRECT(ADDRESS($B235+1,F$230,1,1,"Actively Infected Trend"))=0,#N/A,INDIRECT(ADDRESS($B235+1,F$230,1,1,"Actively Infected Trend")))</f>
        <v>#N/A</v>
      </c>
      <c r="G235" s="14" t="e" cm="1">
        <f t="array" aca="1" ref="G235" ca="1">IF(INDIRECT(ADDRESS($B235+1,G$230,1,1,"Actively Infected Trend"))=0,#N/A,INDIRECT(ADDRESS($B235+1,G$230,1,1,"Actively Infected Trend")))</f>
        <v>#N/A</v>
      </c>
      <c r="H235" s="14" t="e" cm="1">
        <f t="array" aca="1" ref="H235" ca="1">IF(INDIRECT(ADDRESS($B235+1,H$230,1,1,"Actively Infected Trend"))=0,#N/A,INDIRECT(ADDRESS($B235+1,H$230,1,1,"Actively Infected Trend")))</f>
        <v>#N/A</v>
      </c>
      <c r="I235" s="14" t="e" cm="1">
        <f t="array" aca="1" ref="I235" ca="1">IF(INDIRECT(ADDRESS($B235+1,I$230,1,1,"Actively Infected Trend"))=0,#N/A,INDIRECT(ADDRESS($B235+1,I$230,1,1,"Actively Infected Trend")))</f>
        <v>#N/A</v>
      </c>
      <c r="J235" s="14" t="e" cm="1">
        <f t="array" aca="1" ref="J235" ca="1">IF(INDIRECT(ADDRESS($B235+1,J$230,1,1,"Actively Infected Trend"))=0,#N/A,INDIRECT(ADDRESS($B235+1,J$230,1,1,"Actively Infected Trend")))</f>
        <v>#N/A</v>
      </c>
      <c r="K235" s="14" cm="1">
        <f t="array" aca="1" ref="K235" ca="1">IF(INDIRECT(ADDRESS($B235+1,K$230,1,1,"Actively Infected Trend"))=0,#N/A,INDIRECT(ADDRESS($B235+1,K$230,1,1,"Actively Infected Trend")))</f>
        <v>0.50399289380000001</v>
      </c>
      <c r="L235" s="14" cm="1">
        <f t="array" aca="1" ref="L235" ca="1">IF(INDIRECT(ADDRESS($B235+1,L$230,1,1,"Actively Infected Trend"))=0,#N/A,INDIRECT(ADDRESS($B235+1,L$230,1,1,"Actively Infected Trend")))</f>
        <v>0.49674528220000003</v>
      </c>
      <c r="M235" s="14" cm="1">
        <f t="array" aca="1" ref="M235" ca="1">IF(INDIRECT(ADDRESS($B235+1,M$230,1,1,"Actively Infected Trend"))=0,#N/A,INDIRECT(ADDRESS($B235+1,M$230,1,1,"Actively Infected Trend")))</f>
        <v>0.46499991950000003</v>
      </c>
      <c r="N235" s="14" cm="1">
        <f t="array" aca="1" ref="N235" ca="1">IF(INDIRECT(ADDRESS($B235+1,N$230,1,1,"Actively Infected Trend"))=0,#N/A,INDIRECT(ADDRESS($B235+1,N$230,1,1,"Actively Infected Trend")))</f>
        <v>0.40306540790000001</v>
      </c>
      <c r="O235" s="14" cm="1">
        <f t="array" aca="1" ref="O235" ca="1">IF(INDIRECT(ADDRESS($B235+1,O$230,1,1,"Actively Infected Trend"))=0,#N/A,INDIRECT(ADDRESS($B235+1,O$230,1,1,"Actively Infected Trend")))</f>
        <v>0.30619406430000001</v>
      </c>
      <c r="P235" s="14" cm="1">
        <f t="array" aca="1" ref="P235" ca="1">IF(INDIRECT(ADDRESS($B235+1,P$230,1,1,"Actively Infected Trend"))=0,#N/A,INDIRECT(ADDRESS($B235+1,P$230,1,1,"Actively Infected Trend")))</f>
        <v>0.28174760640000002</v>
      </c>
      <c r="Q235" s="14" cm="1">
        <f t="array" aca="1" ref="Q235" ca="1">IF(INDIRECT(ADDRESS($B235+1,Q$230,1,1,"Actively Infected Trend"))=0,#N/A,INDIRECT(ADDRESS($B235+1,Q$230,1,1,"Actively Infected Trend")))</f>
        <v>0.25584541890000001</v>
      </c>
      <c r="R235" s="14" cm="1">
        <f t="array" aca="1" ref="R235" ca="1">IF(INDIRECT(ADDRESS($B235+1,R$230,1,1,"Actively Infected Trend"))=0,#N/A,INDIRECT(ADDRESS($B235+1,R$230,1,1,"Actively Infected Trend")))</f>
        <v>0.26276037099999999</v>
      </c>
      <c r="S235" s="14" cm="1">
        <f t="array" aca="1" ref="S235" ca="1">IF(INDIRECT(ADDRESS($B235+1,S$230,1,1,"Actively Infected Trend"))=0,#N/A,INDIRECT(ADDRESS($B235+1,S$230,1,1,"Actively Infected Trend")))</f>
        <v>0.24650123979999999</v>
      </c>
      <c r="T235" s="14" cm="1">
        <f t="array" aca="1" ref="T235" ca="1">IF(INDIRECT(ADDRESS($B235+1,T$230,1,1,"Actively Infected Trend"))=0,#N/A,INDIRECT(ADDRESS($B235+1,T$230,1,1,"Actively Infected Trend")))</f>
        <v>0.21294639260000001</v>
      </c>
      <c r="U235" s="14" cm="1">
        <f t="array" aca="1" ref="U235" ca="1">IF(INDIRECT(ADDRESS($B235+1,U$230,1,1,"Actively Infected Trend"))=0,#N/A,INDIRECT(ADDRESS($B235+1,U$230,1,1,"Actively Infected Trend")))</f>
        <v>0.18047824800000001</v>
      </c>
      <c r="V235" s="14" cm="1">
        <f t="array" aca="1" ref="V235" ca="1">IF(INDIRECT(ADDRESS($B235+1,V$230,1,1,"Actively Infected Trend"))=0,#N/A,INDIRECT(ADDRESS($B235+1,V$230,1,1,"Actively Infected Trend")))</f>
        <v>0.14580415999999999</v>
      </c>
      <c r="W235" s="14" cm="1">
        <f t="array" aca="1" ref="W235" ca="1">IF(INDIRECT(ADDRESS($B235+1,W$230,1,1,"Actively Infected Trend"))=0,#N/A,INDIRECT(ADDRESS($B235+1,W$230,1,1,"Actively Infected Trend")))</f>
        <v>0.1245999832</v>
      </c>
      <c r="X235" s="14" cm="1">
        <f t="array" aca="1" ref="X235" ca="1">IF(INDIRECT(ADDRESS($B235+1,X$230,1,1,"Actively Infected Trend"))=0,#N/A,INDIRECT(ADDRESS($B235+1,X$230,1,1,"Actively Infected Trend")))</f>
        <v>0.1056330266</v>
      </c>
      <c r="Y235" s="14" cm="1">
        <f t="array" aca="1" ref="Y235" ca="1">IF(INDIRECT(ADDRESS($B235+1,Y$230,1,1,"Actively Infected Trend"))=0,#N/A,INDIRECT(ADDRESS($B235+1,Y$230,1,1,"Actively Infected Trend")))</f>
        <v>9.4319771400000002E-2</v>
      </c>
      <c r="Z235" s="14" cm="1">
        <f t="array" aca="1" ref="Z235" ca="1">IF(INDIRECT(ADDRESS($B235+1,Z$230,1,1,"Actively Infected Trend"))=0,#N/A,INDIRECT(ADDRESS($B235+1,Z$230,1,1,"Actively Infected Trend")))</f>
        <v>7.7369321300000002E-2</v>
      </c>
      <c r="AA235" s="14" cm="1">
        <f t="array" aca="1" ref="AA235" ca="1">IF(INDIRECT(ADDRESS($B235+1,AA$230,1,1,"Actively Infected Trend"))=0,#N/A,INDIRECT(ADDRESS($B235+1,AA$230,1,1,"Actively Infected Trend")))</f>
        <v>8.9172893599999997E-2</v>
      </c>
      <c r="AB235" s="14" cm="1">
        <f t="array" aca="1" ref="AB235" ca="1">IF(INDIRECT(ADDRESS($B235+1,AB$230,1,1,"Actively Infected Trend"))=0,#N/A,INDIRECT(ADDRESS($B235+1,AB$230,1,1,"Actively Infected Trend")))</f>
        <v>0.1113422271</v>
      </c>
      <c r="AC235" s="14" cm="1">
        <f t="array" aca="1" ref="AC235" ca="1">IF(INDIRECT(ADDRESS($B235+1,AC$230,1,1,"Actively Infected Trend"))=0,#N/A,INDIRECT(ADDRESS($B235+1,AC$230,1,1,"Actively Infected Trend")))</f>
        <v>0.13753455919999999</v>
      </c>
      <c r="AD235" s="14" cm="1">
        <f t="array" aca="1" ref="AD235" ca="1">IF(INDIRECT(ADDRESS($B235+1,AD$230,1,1,"Actively Infected Trend"))=0,#N/A,INDIRECT(ADDRESS($B235+1,AD$230,1,1,"Actively Infected Trend")))</f>
        <v>0.15413679490000001</v>
      </c>
      <c r="AE235" s="14" cm="1">
        <f t="array" aca="1" ref="AE235" ca="1">IF(INDIRECT(ADDRESS($B235+1,AE$230,1,1,"Actively Infected Trend"))=0,#N/A,INDIRECT(ADDRESS($B235+1,AE$230,1,1,"Actively Infected Trend")))</f>
        <v>0.1253963716</v>
      </c>
      <c r="AF235" s="14" cm="1">
        <f t="array" aca="1" ref="AF235" ca="1">IF(INDIRECT(ADDRESS($B235+1,AF$230,1,1,"Actively Infected Trend"))=0,#N/A,INDIRECT(ADDRESS($B235+1,AF$230,1,1,"Actively Infected Trend")))</f>
        <v>9.0430796499999994E-2</v>
      </c>
      <c r="AG235" s="14" cm="1">
        <f t="array" aca="1" ref="AG235" ca="1">IF(INDIRECT(ADDRESS($B235+1,AG$230,1,1,"Actively Infected Trend"))=0,#N/A,INDIRECT(ADDRESS($B235+1,AG$230,1,1,"Actively Infected Trend")))</f>
        <v>5.1459269299999999E-2</v>
      </c>
      <c r="AH235" s="14" cm="1">
        <f t="array" aca="1" ref="AH235" ca="1">IF(INDIRECT(ADDRESS($B235+1,AH$230,1,1,"Actively Infected Trend"))=0,#N/A,INDIRECT(ADDRESS($B235+1,AH$230,1,1,"Actively Infected Trend")))</f>
        <v>3.7034708200000002E-2</v>
      </c>
      <c r="AI235" s="14" cm="1">
        <f t="array" aca="1" ref="AI235" ca="1">IF(INDIRECT(ADDRESS($B235+1,AI$230,1,1,"Actively Infected Trend"))=0,#N/A,INDIRECT(ADDRESS($B235+1,AI$230,1,1,"Actively Infected Trend")))</f>
        <v>2.92332802E-2</v>
      </c>
      <c r="AJ235" s="14" cm="1">
        <f t="array" aca="1" ref="AJ235" ca="1">IF(INDIRECT(ADDRESS($B235+1,AJ$230,1,1,"Actively Infected Trend"))=0,#N/A,INDIRECT(ADDRESS($B235+1,AJ$230,1,1,"Actively Infected Trend")))</f>
        <v>2.2688998500000002E-2</v>
      </c>
      <c r="AK235" s="14" cm="1">
        <f t="array" aca="1" ref="AK235" ca="1">IF(INDIRECT(ADDRESS($B235+1,AK$230,1,1,"Actively Infected Trend"))=0,#N/A,INDIRECT(ADDRESS($B235+1,AK$230,1,1,"Actively Infected Trend")))</f>
        <v>1.91736487E-2</v>
      </c>
      <c r="AL235" s="14" cm="1">
        <f t="array" aca="1" ref="AL235" ca="1">IF(INDIRECT(ADDRESS($B235+1,AL$230,1,1,"Actively Infected Trend"))=0,#N/A,INDIRECT(ADDRESS($B235+1,AL$230,1,1,"Actively Infected Trend")))</f>
        <v>1.79669553E-2</v>
      </c>
      <c r="AM235" s="14" cm="1">
        <f t="array" aca="1" ref="AM235" ca="1">IF(INDIRECT(ADDRESS($B235+1,AM$230,1,1,"Actively Infected Trend"))=0,#N/A,INDIRECT(ADDRESS($B235+1,AM$230,1,1,"Actively Infected Trend")))</f>
        <v>1.73176874E-2</v>
      </c>
      <c r="AN235" s="14" cm="1">
        <f t="array" aca="1" ref="AN235" ca="1">IF(INDIRECT(ADDRESS($B235+1,AN$230,1,1,"Actively Infected Trend"))=0,#N/A,INDIRECT(ADDRESS($B235+1,AN$230,1,1,"Actively Infected Trend")))</f>
        <v>1.40907558E-2</v>
      </c>
      <c r="AO235" s="14" cm="1">
        <f t="array" aca="1" ref="AO235" ca="1">IF(INDIRECT(ADDRESS($B235+1,AO$230,1,1,"Actively Infected Trend"))=0,#N/A,INDIRECT(ADDRESS($B235+1,AO$230,1,1,"Actively Infected Trend")))</f>
        <v>2.2456707499999999E-2</v>
      </c>
      <c r="AP235" s="14" cm="1">
        <f t="array" aca="1" ref="AP235" ca="1">IF(INDIRECT(ADDRESS($B235+1,AP$230,1,1,"Actively Infected Trend"))=0,#N/A,INDIRECT(ADDRESS($B235+1,AP$230,1,1,"Actively Infected Trend")))</f>
        <v>2.9856247799999999E-2</v>
      </c>
      <c r="AQ235" s="14" cm="1">
        <f t="array" aca="1" ref="AQ235" ca="1">IF(INDIRECT(ADDRESS($B235+1,AQ$230,1,1,"Actively Infected Trend"))=0,#N/A,INDIRECT(ADDRESS($B235+1,AQ$230,1,1,"Actively Infected Trend")))</f>
        <v>3.7734329099999998E-2</v>
      </c>
      <c r="AR235" s="14" cm="1">
        <f t="array" aca="1" ref="AR235" ca="1">IF(INDIRECT(ADDRESS($B235+1,AR$230,1,1,"Actively Infected Trend"))=0,#N/A,INDIRECT(ADDRESS($B235+1,AR$230,1,1,"Actively Infected Trend")))</f>
        <v>4.56268201E-2</v>
      </c>
      <c r="AS235" s="14" cm="1">
        <f t="array" aca="1" ref="AS235" ca="1">IF(INDIRECT(ADDRESS($B235+1,AS$230,1,1,"Actively Infected Trend"))=0,#N/A,INDIRECT(ADDRESS($B235+1,AS$230,1,1,"Actively Infected Trend")))</f>
        <v>5.3970574299999997E-2</v>
      </c>
      <c r="AT235" s="14" cm="1">
        <f t="array" aca="1" ref="AT235" ca="1">IF(INDIRECT(ADDRESS($B235+1,AT$230,1,1,"Actively Infected Trend"))=0,#N/A,INDIRECT(ADDRESS($B235+1,AT$230,1,1,"Actively Infected Trend")))</f>
        <v>6.4745913200000005E-2</v>
      </c>
      <c r="AU235" s="14" cm="1">
        <f t="array" aca="1" ref="AU235" ca="1">IF(INDIRECT(ADDRESS($B235+1,AU$230,1,1,"Actively Infected Trend"))=0,#N/A,INDIRECT(ADDRESS($B235+1,AU$230,1,1,"Actively Infected Trend")))</f>
        <v>5.7006539699999997E-2</v>
      </c>
      <c r="AV235" s="14" cm="1">
        <f t="array" aca="1" ref="AV235" ca="1">IF(INDIRECT(ADDRESS($B235+1,AV$230,1,1,"Actively Infected Trend"))=0,#N/A,INDIRECT(ADDRESS($B235+1,AV$230,1,1,"Actively Infected Trend")))</f>
        <v>4.5731621200000003E-2</v>
      </c>
      <c r="AW235" s="14" cm="1">
        <f t="array" aca="1" ref="AW235" ca="1">IF(INDIRECT(ADDRESS($B235+1,AW$230,1,1,"Actively Infected Trend"))=0,#N/A,INDIRECT(ADDRESS($B235+1,AW$230,1,1,"Actively Infected Trend")))</f>
        <v>3.5759467400000002E-2</v>
      </c>
      <c r="AX235" s="14" cm="1">
        <f t="array" aca="1" ref="AX235" ca="1">IF(INDIRECT(ADDRESS($B235+1,AX$230,1,1,"Actively Infected Trend"))=0,#N/A,INDIRECT(ADDRESS($B235+1,AX$230,1,1,"Actively Infected Trend")))</f>
        <v>3.7087417400000003E-2</v>
      </c>
      <c r="AY235" s="14" cm="1">
        <f t="array" aca="1" ref="AY235" ca="1">IF(INDIRECT(ADDRESS($B235+1,AY$230,1,1,"Actively Infected Trend"))=0,#N/A,INDIRECT(ADDRESS($B235+1,AY$230,1,1,"Actively Infected Trend")))</f>
        <v>3.30392729E-2</v>
      </c>
      <c r="AZ235" s="14" cm="1">
        <f t="array" aca="1" ref="AZ235" ca="1">IF(INDIRECT(ADDRESS($B235+1,AZ$230,1,1,"Actively Infected Trend"))=0,#N/A,INDIRECT(ADDRESS($B235+1,AZ$230,1,1,"Actively Infected Trend")))</f>
        <v>2.9332100199999999E-2</v>
      </c>
      <c r="BA235" s="14" cm="1">
        <f t="array" aca="1" ref="BA235" ca="1">IF(INDIRECT(ADDRESS($B235+1,BA$230,1,1,"Actively Infected Trend"))=0,#N/A,INDIRECT(ADDRESS($B235+1,BA$230,1,1,"Actively Infected Trend")))</f>
        <v>2.5527361500000002E-2</v>
      </c>
      <c r="BB235" s="14" cm="1">
        <f t="array" aca="1" ref="BB235" ca="1">IF(INDIRECT(ADDRESS($B235+1,BB$230,1,1,"Actively Infected Trend"))=0,#N/A,INDIRECT(ADDRESS($B235+1,BB$230,1,1,"Actively Infected Trend")))</f>
        <v>2.0339538899999999E-2</v>
      </c>
      <c r="BC235" s="14" cm="1">
        <f t="array" aca="1" ref="BC235" ca="1">IF(INDIRECT(ADDRESS($B235+1,BC$230,1,1,"Actively Infected Trend"))=0,#N/A,INDIRECT(ADDRESS($B235+1,BC$230,1,1,"Actively Infected Trend")))</f>
        <v>1.6353775099999999E-2</v>
      </c>
      <c r="BD235" s="14" cm="1">
        <f t="array" aca="1" ref="BD235" ca="1">IF(INDIRECT(ADDRESS($B235+1,BD$230,1,1,"Actively Infected Trend"))=0,#N/A,INDIRECT(ADDRESS($B235+1,BD$230,1,1,"Actively Infected Trend")))</f>
        <v>1.42686892E-2</v>
      </c>
      <c r="BE235" s="14" cm="1">
        <f t="array" aca="1" ref="BE235" ca="1">IF(INDIRECT(ADDRESS($B235+1,BE$230,1,1,"Actively Infected Trend"))=0,#N/A,INDIRECT(ADDRESS($B235+1,BE$230,1,1,"Actively Infected Trend")))</f>
        <v>1.4615354400000001E-2</v>
      </c>
      <c r="BF235" s="14" cm="1">
        <f t="array" aca="1" ref="BF235" ca="1">IF(INDIRECT(ADDRESS($B235+1,BF$230,1,1,"Actively Infected Trend"))=0,#N/A,INDIRECT(ADDRESS($B235+1,BF$230,1,1,"Actively Infected Trend")))</f>
        <v>2.0017036299999999E-2</v>
      </c>
      <c r="BG235" s="14" cm="1">
        <f t="array" aca="1" ref="BG235" ca="1">IF(INDIRECT(ADDRESS($B235+1,BG$230,1,1,"Actively Infected Trend"))=0,#N/A,INDIRECT(ADDRESS($B235+1,BG$230,1,1,"Actively Infected Trend")))</f>
        <v>2.53891204E-2</v>
      </c>
      <c r="BH235" s="14" cm="1">
        <f t="array" aca="1" ref="BH235" ca="1">IF(INDIRECT(ADDRESS($B235+1,BH$230,1,1,"Actively Infected Trend"))=0,#N/A,INDIRECT(ADDRESS($B235+1,BH$230,1,1,"Actively Infected Trend")))</f>
        <v>3.09831645E-2</v>
      </c>
      <c r="BI235" s="14" cm="1">
        <f t="array" aca="1" ref="BI235" ca="1">IF(INDIRECT(ADDRESS($B235+1,BI$230,1,1,"Actively Infected Trend"))=0,#N/A,INDIRECT(ADDRESS($B235+1,BI$230,1,1,"Actively Infected Trend")))</f>
        <v>3.9508069100000001E-2</v>
      </c>
      <c r="BJ235" s="14" cm="1">
        <f t="array" aca="1" ref="BJ235" ca="1">IF(INDIRECT(ADDRESS($B235+1,BJ$230,1,1,"Actively Infected Trend"))=0,#N/A,INDIRECT(ADDRESS($B235+1,BJ$230,1,1,"Actively Infected Trend")))</f>
        <v>5.2724509699999998E-2</v>
      </c>
      <c r="BK235" s="14" cm="1">
        <f t="array" aca="1" ref="BK235" ca="1">IF(INDIRECT(ADDRESS($B235+1,BK$230,1,1,"Actively Infected Trend"))=0,#N/A,INDIRECT(ADDRESS($B235+1,BK$230,1,1,"Actively Infected Trend")))</f>
        <v>7.3827740000000003E-2</v>
      </c>
      <c r="BL235" s="14" cm="1">
        <f t="array" aca="1" ref="BL235" ca="1">IF(INDIRECT(ADDRESS($B235+1,BL$230,1,1,"Actively Infected Trend"))=0,#N/A,INDIRECT(ADDRESS($B235+1,BL$230,1,1,"Actively Infected Trend")))</f>
        <v>9.6338856799999997E-2</v>
      </c>
      <c r="BM235" s="14" cm="1">
        <f t="array" aca="1" ref="BM235" ca="1">IF(INDIRECT(ADDRESS($B235+1,BM$230,1,1,"Actively Infected Trend"))=0,#N/A,INDIRECT(ADDRESS($B235+1,BM$230,1,1,"Actively Infected Trend")))</f>
        <v>0.1088864591</v>
      </c>
      <c r="BN235" s="14" cm="1">
        <f t="array" aca="1" ref="BN235" ca="1">IF(INDIRECT(ADDRESS($B235+1,BN$230,1,1,"Actively Infected Trend"))=0,#N/A,INDIRECT(ADDRESS($B235+1,BN$230,1,1,"Actively Infected Trend")))</f>
        <v>0.12083989489999999</v>
      </c>
      <c r="BO235" s="14" cm="1">
        <f t="array" aca="1" ref="BO235" ca="1">IF(INDIRECT(ADDRESS($B235+1,BO$230,1,1,"Actively Infected Trend"))=0,#N/A,INDIRECT(ADDRESS($B235+1,BO$230,1,1,"Actively Infected Trend")))</f>
        <v>0.1207012286</v>
      </c>
      <c r="BP235" s="14" cm="1">
        <f t="array" aca="1" ref="BP235" ca="1">IF(INDIRECT(ADDRESS($B235+1,BP$230,1,1,"Actively Infected Trend"))=0,#N/A,INDIRECT(ADDRESS($B235+1,BP$230,1,1,"Actively Infected Trend")))</f>
        <v>0.11742761309999999</v>
      </c>
      <c r="BQ235" s="14" cm="1">
        <f t="array" aca="1" ref="BQ235" ca="1">IF(INDIRECT(ADDRESS($B235+1,BQ$230,1,1,"Actively Infected Trend"))=0,#N/A,INDIRECT(ADDRESS($B235+1,BQ$230,1,1,"Actively Infected Trend")))</f>
        <v>0.1027570433</v>
      </c>
      <c r="BR235" s="14" cm="1">
        <f t="array" aca="1" ref="BR235" ca="1">IF(INDIRECT(ADDRESS($B235+1,BR$230,1,1,"Actively Infected Trend"))=0,#N/A,INDIRECT(ADDRESS($B235+1,BR$230,1,1,"Actively Infected Trend")))</f>
        <v>9.6873698800000005E-2</v>
      </c>
      <c r="BS235" s="14" cm="1">
        <f t="array" aca="1" ref="BS235" ca="1">IF(INDIRECT(ADDRESS($B235+1,BS$230,1,1,"Actively Infected Trend"))=0,#N/A,INDIRECT(ADDRESS($B235+1,BS$230,1,1,"Actively Infected Trend")))</f>
        <v>9.4496305500000002E-2</v>
      </c>
      <c r="BT235" s="14" cm="1">
        <f t="array" aca="1" ref="BT235" ca="1">IF(INDIRECT(ADDRESS($B235+1,BT$230,1,1,"Actively Infected Trend"))=0,#N/A,INDIRECT(ADDRESS($B235+1,BT$230,1,1,"Actively Infected Trend")))</f>
        <v>9.4868919600000004E-2</v>
      </c>
      <c r="BU235" s="14" cm="1">
        <f t="array" aca="1" ref="BU235" ca="1">IF(INDIRECT(ADDRESS($B235+1,BU$230,1,1,"Actively Infected Trend"))=0,#N/A,INDIRECT(ADDRESS($B235+1,BU$230,1,1,"Actively Infected Trend")))</f>
        <v>9.2320856600000001E-2</v>
      </c>
      <c r="BV235" s="14" cm="1">
        <f t="array" aca="1" ref="BV235" ca="1">IF(INDIRECT(ADDRESS($B235+1,BV$230,1,1,"Actively Infected Trend"))=0,#N/A,INDIRECT(ADDRESS($B235+1,BV$230,1,1,"Actively Infected Trend")))</f>
        <v>8.6285272999999996E-2</v>
      </c>
      <c r="BW235" s="14" cm="1">
        <f t="array" aca="1" ref="BW235" ca="1">IF(INDIRECT(ADDRESS($B235+1,BW$230,1,1,"Actively Infected Trend"))=0,#N/A,INDIRECT(ADDRESS($B235+1,BW$230,1,1,"Actively Infected Trend")))</f>
        <v>7.7083262599999994E-2</v>
      </c>
      <c r="BX235" s="14" cm="1">
        <f t="array" aca="1" ref="BX235" ca="1">IF(INDIRECT(ADDRESS($B235+1,BX$230,1,1,"Actively Infected Trend"))=0,#N/A,INDIRECT(ADDRESS($B235+1,BX$230,1,1,"Actively Infected Trend")))</f>
        <v>6.9081594900000001E-2</v>
      </c>
      <c r="BY235" s="14" cm="1">
        <f t="array" aca="1" ref="BY235" ca="1">IF(INDIRECT(ADDRESS($B235+1,BY$230,1,1,"Actively Infected Trend"))=0,#N/A,INDIRECT(ADDRESS($B235+1,BY$230,1,1,"Actively Infected Trend")))</f>
        <v>6.5316793799999995E-2</v>
      </c>
      <c r="BZ235" s="14" cm="1">
        <f t="array" aca="1" ref="BZ235" ca="1">IF(INDIRECT(ADDRESS($B235+1,BZ$230,1,1,"Actively Infected Trend"))=0,#N/A,INDIRECT(ADDRESS($B235+1,BZ$230,1,1,"Actively Infected Trend")))</f>
        <v>5.98751987E-2</v>
      </c>
      <c r="CA235" s="14" cm="1">
        <f t="array" aca="1" ref="CA235" ca="1">IF(INDIRECT(ADDRESS($B235+1,CA$230,1,1,"Actively Infected Trend"))=0,#N/A,INDIRECT(ADDRESS($B235+1,CA$230,1,1,"Actively Infected Trend")))</f>
        <v>5.85682155E-2</v>
      </c>
      <c r="CB235" s="14" cm="1">
        <f t="array" aca="1" ref="CB235" ca="1">IF(INDIRECT(ADDRESS($B235+1,CB$230,1,1,"Actively Infected Trend"))=0,#N/A,INDIRECT(ADDRESS($B235+1,CB$230,1,1,"Actively Infected Trend")))</f>
        <v>5.2836953300000003E-2</v>
      </c>
      <c r="CC235" s="14" cm="1">
        <f t="array" aca="1" ref="CC235" ca="1">IF(INDIRECT(ADDRESS($B235+1,CC$230,1,1,"Actively Infected Trend"))=0,#N/A,INDIRECT(ADDRESS($B235+1,CC$230,1,1,"Actively Infected Trend")))</f>
        <v>5.0475903500000002E-2</v>
      </c>
      <c r="CD235" s="14" cm="1">
        <f t="array" aca="1" ref="CD235" ca="1">IF(INDIRECT(ADDRESS($B235+1,CD$230,1,1,"Actively Infected Trend"))=0,#N/A,INDIRECT(ADDRESS($B235+1,CD$230,1,1,"Actively Infected Trend")))</f>
        <v>5.1388466600000002E-2</v>
      </c>
      <c r="CE235" s="14" cm="1">
        <f t="array" aca="1" ref="CE235" ca="1">IF(INDIRECT(ADDRESS($B235+1,CE$230,1,1,"Actively Infected Trend"))=0,#N/A,INDIRECT(ADDRESS($B235+1,CE$230,1,1,"Actively Infected Trend")))</f>
        <v>5.7232856999999998E-2</v>
      </c>
      <c r="CF235" s="14" cm="1">
        <f t="array" aca="1" ref="CF235" ca="1">IF(INDIRECT(ADDRESS($B235+1,CF$230,1,1,"Actively Infected Trend"))=0,#N/A,INDIRECT(ADDRESS($B235+1,CF$230,1,1,"Actively Infected Trend")))</f>
        <v>6.5879400699999993E-2</v>
      </c>
      <c r="CG235" s="14" cm="1">
        <f t="array" aca="1" ref="CG235" ca="1">IF(INDIRECT(ADDRESS($B235+1,CG$230,1,1,"Actively Infected Trend"))=0,#N/A,INDIRECT(ADDRESS($B235+1,CG$230,1,1,"Actively Infected Trend")))</f>
        <v>7.0240803500000004E-2</v>
      </c>
      <c r="CH235" s="14" cm="1">
        <f t="array" aca="1" ref="CH235" ca="1">IF(INDIRECT(ADDRESS($B235+1,CH$230,1,1,"Actively Infected Trend"))=0,#N/A,INDIRECT(ADDRESS($B235+1,CH$230,1,1,"Actively Infected Trend")))</f>
        <v>7.4123358799999997E-2</v>
      </c>
      <c r="CI235" s="14" cm="1">
        <f t="array" aca="1" ref="CI235" ca="1">IF(INDIRECT(ADDRESS($B235+1,CI$230,1,1,"Actively Infected Trend"))=0,#N/A,INDIRECT(ADDRESS($B235+1,CI$230,1,1,"Actively Infected Trend")))</f>
        <v>7.8352713099999999E-2</v>
      </c>
      <c r="CJ235" s="14" cm="1">
        <f t="array" aca="1" ref="CJ235" ca="1">IF(INDIRECT(ADDRESS($B235+1,CJ$230,1,1,"Actively Infected Trend"))=0,#N/A,INDIRECT(ADDRESS($B235+1,CJ$230,1,1,"Actively Infected Trend")))</f>
        <v>8.3065410300000003E-2</v>
      </c>
      <c r="CK235" s="14" cm="1">
        <f t="array" aca="1" ref="CK235" ca="1">IF(INDIRECT(ADDRESS($B235+1,CK$230,1,1,"Actively Infected Trend"))=0,#N/A,INDIRECT(ADDRESS($B235+1,CK$230,1,1,"Actively Infected Trend")))</f>
        <v>8.7144157400000005E-2</v>
      </c>
      <c r="CL235" s="14" cm="1">
        <f t="array" aca="1" ref="CL235" ca="1">IF(INDIRECT(ADDRESS($B235+1,CL$230,1,1,"Actively Infected Trend"))=0,#N/A,INDIRECT(ADDRESS($B235+1,CL$230,1,1,"Actively Infected Trend")))</f>
        <v>8.4015724299999997E-2</v>
      </c>
      <c r="CM235" s="14" cm="1">
        <f t="array" aca="1" ref="CM235" ca="1">IF(INDIRECT(ADDRESS($B235+1,CM$230,1,1,"Actively Infected Trend"))=0,#N/A,INDIRECT(ADDRESS($B235+1,CM$230,1,1,"Actively Infected Trend")))</f>
        <v>7.7721172199999994E-2</v>
      </c>
      <c r="CN235" s="14" t="e" cm="1">
        <f t="array" aca="1" ref="CN235" ca="1">IF(INDIRECT(ADDRESS($B235+1,CN$230,1,1,"Actively Infected Trend"))=0,#N/A,INDIRECT(ADDRESS($B235+1,CN$230,1,1,"Actively Infected Trend")))</f>
        <v>#N/A</v>
      </c>
      <c r="CO235" s="14" t="e" cm="1">
        <f t="array" aca="1" ref="CO235" ca="1">IF(INDIRECT(ADDRESS($B235+1,CO$230,1,1,"Actively Infected Trend"))=0,#N/A,INDIRECT(ADDRESS($B235+1,CO$230,1,1,"Actively Infected Trend")))</f>
        <v>#N/A</v>
      </c>
      <c r="CP235" s="14" t="e" cm="1">
        <f t="array" aca="1" ref="CP235" ca="1">IF(INDIRECT(ADDRESS($B235+1,CP$230,1,1,"Actively Infected Trend"))=0,#N/A,INDIRECT(ADDRESS($B235+1,CP$230,1,1,"Actively Infected Trend")))</f>
        <v>#N/A</v>
      </c>
      <c r="CQ235" s="14" t="e" cm="1">
        <f t="array" aca="1" ref="CQ235" ca="1">IF(INDIRECT(ADDRESS($B235+1,CQ$230,1,1,"Actively Infected Trend"))=0,#N/A,INDIRECT(ADDRESS($B235+1,CQ$230,1,1,"Actively Infected Trend")))</f>
        <v>#N/A</v>
      </c>
      <c r="CR235" s="14" t="e" cm="1">
        <f t="array" aca="1" ref="CR235" ca="1">IF(INDIRECT(ADDRESS($B235+1,CR$230,1,1,"Actively Infected Trend"))=0,#N/A,INDIRECT(ADDRESS($B235+1,CR$230,1,1,"Actively Infected Trend")))</f>
        <v>#N/A</v>
      </c>
    </row>
    <row r="236" spans="2:96" x14ac:dyDescent="0.25">
      <c r="B236">
        <f t="shared" si="349"/>
        <v>5</v>
      </c>
      <c r="C236" t="str" cm="1">
        <f t="array" aca="1" ref="C236" ca="1">INDIRECT(ADDRESS($B236+1,1,1,1,"Actively Infected Trend"))</f>
        <v>Finland</v>
      </c>
      <c r="E236" s="14" t="e" cm="1">
        <f t="array" aca="1" ref="E236" ca="1">IF(INDIRECT(ADDRESS($B236+1,E$230,1,1,"Actively Infected Trend"))=0,#N/A,INDIRECT(ADDRESS($B236+1,E$230,1,1,"Actively Infected Trend")))</f>
        <v>#N/A</v>
      </c>
      <c r="F236" s="14" t="e" cm="1">
        <f t="array" aca="1" ref="F236" ca="1">IF(INDIRECT(ADDRESS($B236+1,F$230,1,1,"Actively Infected Trend"))=0,#N/A,INDIRECT(ADDRESS($B236+1,F$230,1,1,"Actively Infected Trend")))</f>
        <v>#N/A</v>
      </c>
      <c r="G236" s="14" t="e" cm="1">
        <f t="array" aca="1" ref="G236" ca="1">IF(INDIRECT(ADDRESS($B236+1,G$230,1,1,"Actively Infected Trend"))=0,#N/A,INDIRECT(ADDRESS($B236+1,G$230,1,1,"Actively Infected Trend")))</f>
        <v>#N/A</v>
      </c>
      <c r="H236" s="14" t="e" cm="1">
        <f t="array" aca="1" ref="H236" ca="1">IF(INDIRECT(ADDRESS($B236+1,H$230,1,1,"Actively Infected Trend"))=0,#N/A,INDIRECT(ADDRESS($B236+1,H$230,1,1,"Actively Infected Trend")))</f>
        <v>#N/A</v>
      </c>
      <c r="I236" s="14" t="e" cm="1">
        <f t="array" aca="1" ref="I236" ca="1">IF(INDIRECT(ADDRESS($B236+1,I$230,1,1,"Actively Infected Trend"))=0,#N/A,INDIRECT(ADDRESS($B236+1,I$230,1,1,"Actively Infected Trend")))</f>
        <v>#N/A</v>
      </c>
      <c r="J236" s="14" t="e" cm="1">
        <f t="array" aca="1" ref="J236" ca="1">IF(INDIRECT(ADDRESS($B236+1,J$230,1,1,"Actively Infected Trend"))=0,#N/A,INDIRECT(ADDRESS($B236+1,J$230,1,1,"Actively Infected Trend")))</f>
        <v>#N/A</v>
      </c>
      <c r="K236" s="14" t="e" cm="1">
        <f t="array" aca="1" ref="K236" ca="1">IF(INDIRECT(ADDRESS($B236+1,K$230,1,1,"Actively Infected Trend"))=0,#N/A,INDIRECT(ADDRESS($B236+1,K$230,1,1,"Actively Infected Trend")))</f>
        <v>#N/A</v>
      </c>
      <c r="L236" s="14" t="e" cm="1">
        <f t="array" aca="1" ref="L236" ca="1">IF(INDIRECT(ADDRESS($B236+1,L$230,1,1,"Actively Infected Trend"))=0,#N/A,INDIRECT(ADDRESS($B236+1,L$230,1,1,"Actively Infected Trend")))</f>
        <v>#N/A</v>
      </c>
      <c r="M236" s="14" t="e" cm="1">
        <f t="array" aca="1" ref="M236" ca="1">IF(INDIRECT(ADDRESS($B236+1,M$230,1,1,"Actively Infected Trend"))=0,#N/A,INDIRECT(ADDRESS($B236+1,M$230,1,1,"Actively Infected Trend")))</f>
        <v>#N/A</v>
      </c>
      <c r="N236" s="14" t="e" cm="1">
        <f t="array" aca="1" ref="N236" ca="1">IF(INDIRECT(ADDRESS($B236+1,N$230,1,1,"Actively Infected Trend"))=0,#N/A,INDIRECT(ADDRESS($B236+1,N$230,1,1,"Actively Infected Trend")))</f>
        <v>#N/A</v>
      </c>
      <c r="O236" s="14" t="e" cm="1">
        <f t="array" aca="1" ref="O236" ca="1">IF(INDIRECT(ADDRESS($B236+1,O$230,1,1,"Actively Infected Trend"))=0,#N/A,INDIRECT(ADDRESS($B236+1,O$230,1,1,"Actively Infected Trend")))</f>
        <v>#N/A</v>
      </c>
      <c r="P236" s="14" t="e" cm="1">
        <f t="array" aca="1" ref="P236" ca="1">IF(INDIRECT(ADDRESS($B236+1,P$230,1,1,"Actively Infected Trend"))=0,#N/A,INDIRECT(ADDRESS($B236+1,P$230,1,1,"Actively Infected Trend")))</f>
        <v>#N/A</v>
      </c>
      <c r="Q236" s="14" t="e" cm="1">
        <f t="array" aca="1" ref="Q236" ca="1">IF(INDIRECT(ADDRESS($B236+1,Q$230,1,1,"Actively Infected Trend"))=0,#N/A,INDIRECT(ADDRESS($B236+1,Q$230,1,1,"Actively Infected Trend")))</f>
        <v>#N/A</v>
      </c>
      <c r="R236" s="14" t="e" cm="1">
        <f t="array" aca="1" ref="R236" ca="1">IF(INDIRECT(ADDRESS($B236+1,R$230,1,1,"Actively Infected Trend"))=0,#N/A,INDIRECT(ADDRESS($B236+1,R$230,1,1,"Actively Infected Trend")))</f>
        <v>#N/A</v>
      </c>
      <c r="S236" s="14" t="e" cm="1">
        <f t="array" aca="1" ref="S236" ca="1">IF(INDIRECT(ADDRESS($B236+1,S$230,1,1,"Actively Infected Trend"))=0,#N/A,INDIRECT(ADDRESS($B236+1,S$230,1,1,"Actively Infected Trend")))</f>
        <v>#N/A</v>
      </c>
      <c r="T236" s="14" t="e" cm="1">
        <f t="array" aca="1" ref="T236" ca="1">IF(INDIRECT(ADDRESS($B236+1,T$230,1,1,"Actively Infected Trend"))=0,#N/A,INDIRECT(ADDRESS($B236+1,T$230,1,1,"Actively Infected Trend")))</f>
        <v>#N/A</v>
      </c>
      <c r="U236" s="14" t="e" cm="1">
        <f t="array" aca="1" ref="U236" ca="1">IF(INDIRECT(ADDRESS($B236+1,U$230,1,1,"Actively Infected Trend"))=0,#N/A,INDIRECT(ADDRESS($B236+1,U$230,1,1,"Actively Infected Trend")))</f>
        <v>#N/A</v>
      </c>
      <c r="V236" s="14" t="e" cm="1">
        <f t="array" aca="1" ref="V236" ca="1">IF(INDIRECT(ADDRESS($B236+1,V$230,1,1,"Actively Infected Trend"))=0,#N/A,INDIRECT(ADDRESS($B236+1,V$230,1,1,"Actively Infected Trend")))</f>
        <v>#N/A</v>
      </c>
      <c r="W236" s="14" t="e" cm="1">
        <f t="array" aca="1" ref="W236" ca="1">IF(INDIRECT(ADDRESS($B236+1,W$230,1,1,"Actively Infected Trend"))=0,#N/A,INDIRECT(ADDRESS($B236+1,W$230,1,1,"Actively Infected Trend")))</f>
        <v>#N/A</v>
      </c>
      <c r="X236" s="14" t="e" cm="1">
        <f t="array" aca="1" ref="X236" ca="1">IF(INDIRECT(ADDRESS($B236+1,X$230,1,1,"Actively Infected Trend"))=0,#N/A,INDIRECT(ADDRESS($B236+1,X$230,1,1,"Actively Infected Trend")))</f>
        <v>#N/A</v>
      </c>
      <c r="Y236" s="14" t="e" cm="1">
        <f t="array" aca="1" ref="Y236" ca="1">IF(INDIRECT(ADDRESS($B236+1,Y$230,1,1,"Actively Infected Trend"))=0,#N/A,INDIRECT(ADDRESS($B236+1,Y$230,1,1,"Actively Infected Trend")))</f>
        <v>#N/A</v>
      </c>
      <c r="Z236" s="14" t="e" cm="1">
        <f t="array" aca="1" ref="Z236" ca="1">IF(INDIRECT(ADDRESS($B236+1,Z$230,1,1,"Actively Infected Trend"))=0,#N/A,INDIRECT(ADDRESS($B236+1,Z$230,1,1,"Actively Infected Trend")))</f>
        <v>#N/A</v>
      </c>
      <c r="AA236" s="14" t="e" cm="1">
        <f t="array" aca="1" ref="AA236" ca="1">IF(INDIRECT(ADDRESS($B236+1,AA$230,1,1,"Actively Infected Trend"))=0,#N/A,INDIRECT(ADDRESS($B236+1,AA$230,1,1,"Actively Infected Trend")))</f>
        <v>#N/A</v>
      </c>
      <c r="AB236" s="14" t="e" cm="1">
        <f t="array" aca="1" ref="AB236" ca="1">IF(INDIRECT(ADDRESS($B236+1,AB$230,1,1,"Actively Infected Trend"))=0,#N/A,INDIRECT(ADDRESS($B236+1,AB$230,1,1,"Actively Infected Trend")))</f>
        <v>#N/A</v>
      </c>
      <c r="AC236" s="14" t="e" cm="1">
        <f t="array" aca="1" ref="AC236" ca="1">IF(INDIRECT(ADDRESS($B236+1,AC$230,1,1,"Actively Infected Trend"))=0,#N/A,INDIRECT(ADDRESS($B236+1,AC$230,1,1,"Actively Infected Trend")))</f>
        <v>#N/A</v>
      </c>
      <c r="AD236" s="14" t="e" cm="1">
        <f t="array" aca="1" ref="AD236" ca="1">IF(INDIRECT(ADDRESS($B236+1,AD$230,1,1,"Actively Infected Trend"))=0,#N/A,INDIRECT(ADDRESS($B236+1,AD$230,1,1,"Actively Infected Trend")))</f>
        <v>#N/A</v>
      </c>
      <c r="AE236" s="14" t="e" cm="1">
        <f t="array" aca="1" ref="AE236" ca="1">IF(INDIRECT(ADDRESS($B236+1,AE$230,1,1,"Actively Infected Trend"))=0,#N/A,INDIRECT(ADDRESS($B236+1,AE$230,1,1,"Actively Infected Trend")))</f>
        <v>#N/A</v>
      </c>
      <c r="AF236" s="14" t="e" cm="1">
        <f t="array" aca="1" ref="AF236" ca="1">IF(INDIRECT(ADDRESS($B236+1,AF$230,1,1,"Actively Infected Trend"))=0,#N/A,INDIRECT(ADDRESS($B236+1,AF$230,1,1,"Actively Infected Trend")))</f>
        <v>#N/A</v>
      </c>
      <c r="AG236" s="14" t="e" cm="1">
        <f t="array" aca="1" ref="AG236" ca="1">IF(INDIRECT(ADDRESS($B236+1,AG$230,1,1,"Actively Infected Trend"))=0,#N/A,INDIRECT(ADDRESS($B236+1,AG$230,1,1,"Actively Infected Trend")))</f>
        <v>#N/A</v>
      </c>
      <c r="AH236" s="14" t="e" cm="1">
        <f t="array" aca="1" ref="AH236" ca="1">IF(INDIRECT(ADDRESS($B236+1,AH$230,1,1,"Actively Infected Trend"))=0,#N/A,INDIRECT(ADDRESS($B236+1,AH$230,1,1,"Actively Infected Trend")))</f>
        <v>#N/A</v>
      </c>
      <c r="AI236" s="14" t="e" cm="1">
        <f t="array" aca="1" ref="AI236" ca="1">IF(INDIRECT(ADDRESS($B236+1,AI$230,1,1,"Actively Infected Trend"))=0,#N/A,INDIRECT(ADDRESS($B236+1,AI$230,1,1,"Actively Infected Trend")))</f>
        <v>#N/A</v>
      </c>
      <c r="AJ236" s="14" t="e" cm="1">
        <f t="array" aca="1" ref="AJ236" ca="1">IF(INDIRECT(ADDRESS($B236+1,AJ$230,1,1,"Actively Infected Trend"))=0,#N/A,INDIRECT(ADDRESS($B236+1,AJ$230,1,1,"Actively Infected Trend")))</f>
        <v>#N/A</v>
      </c>
      <c r="AK236" s="14" t="e" cm="1">
        <f t="array" aca="1" ref="AK236" ca="1">IF(INDIRECT(ADDRESS($B236+1,AK$230,1,1,"Actively Infected Trend"))=0,#N/A,INDIRECT(ADDRESS($B236+1,AK$230,1,1,"Actively Infected Trend")))</f>
        <v>#N/A</v>
      </c>
      <c r="AL236" s="14" t="e" cm="1">
        <f t="array" aca="1" ref="AL236" ca="1">IF(INDIRECT(ADDRESS($B236+1,AL$230,1,1,"Actively Infected Trend"))=0,#N/A,INDIRECT(ADDRESS($B236+1,AL$230,1,1,"Actively Infected Trend")))</f>
        <v>#N/A</v>
      </c>
      <c r="AM236" s="14" t="e" cm="1">
        <f t="array" aca="1" ref="AM236" ca="1">IF(INDIRECT(ADDRESS($B236+1,AM$230,1,1,"Actively Infected Trend"))=0,#N/A,INDIRECT(ADDRESS($B236+1,AM$230,1,1,"Actively Infected Trend")))</f>
        <v>#N/A</v>
      </c>
      <c r="AN236" s="14" t="e" cm="1">
        <f t="array" aca="1" ref="AN236" ca="1">IF(INDIRECT(ADDRESS($B236+1,AN$230,1,1,"Actively Infected Trend"))=0,#N/A,INDIRECT(ADDRESS($B236+1,AN$230,1,1,"Actively Infected Trend")))</f>
        <v>#N/A</v>
      </c>
      <c r="AO236" s="14" t="e" cm="1">
        <f t="array" aca="1" ref="AO236" ca="1">IF(INDIRECT(ADDRESS($B236+1,AO$230,1,1,"Actively Infected Trend"))=0,#N/A,INDIRECT(ADDRESS($B236+1,AO$230,1,1,"Actively Infected Trend")))</f>
        <v>#N/A</v>
      </c>
      <c r="AP236" s="14" t="e" cm="1">
        <f t="array" aca="1" ref="AP236" ca="1">IF(INDIRECT(ADDRESS($B236+1,AP$230,1,1,"Actively Infected Trend"))=0,#N/A,INDIRECT(ADDRESS($B236+1,AP$230,1,1,"Actively Infected Trend")))</f>
        <v>#N/A</v>
      </c>
      <c r="AQ236" s="14" t="e" cm="1">
        <f t="array" aca="1" ref="AQ236" ca="1">IF(INDIRECT(ADDRESS($B236+1,AQ$230,1,1,"Actively Infected Trend"))=0,#N/A,INDIRECT(ADDRESS($B236+1,AQ$230,1,1,"Actively Infected Trend")))</f>
        <v>#N/A</v>
      </c>
      <c r="AR236" s="14" t="e" cm="1">
        <f t="array" aca="1" ref="AR236" ca="1">IF(INDIRECT(ADDRESS($B236+1,AR$230,1,1,"Actively Infected Trend"))=0,#N/A,INDIRECT(ADDRESS($B236+1,AR$230,1,1,"Actively Infected Trend")))</f>
        <v>#N/A</v>
      </c>
      <c r="AS236" s="14" t="e" cm="1">
        <f t="array" aca="1" ref="AS236" ca="1">IF(INDIRECT(ADDRESS($B236+1,AS$230,1,1,"Actively Infected Trend"))=0,#N/A,INDIRECT(ADDRESS($B236+1,AS$230,1,1,"Actively Infected Trend")))</f>
        <v>#N/A</v>
      </c>
      <c r="AT236" s="14" t="e" cm="1">
        <f t="array" aca="1" ref="AT236" ca="1">IF(INDIRECT(ADDRESS($B236+1,AT$230,1,1,"Actively Infected Trend"))=0,#N/A,INDIRECT(ADDRESS($B236+1,AT$230,1,1,"Actively Infected Trend")))</f>
        <v>#N/A</v>
      </c>
      <c r="AU236" s="14" t="e" cm="1">
        <f t="array" aca="1" ref="AU236" ca="1">IF(INDIRECT(ADDRESS($B236+1,AU$230,1,1,"Actively Infected Trend"))=0,#N/A,INDIRECT(ADDRESS($B236+1,AU$230,1,1,"Actively Infected Trend")))</f>
        <v>#N/A</v>
      </c>
      <c r="AV236" s="14" t="e" cm="1">
        <f t="array" aca="1" ref="AV236" ca="1">IF(INDIRECT(ADDRESS($B236+1,AV$230,1,1,"Actively Infected Trend"))=0,#N/A,INDIRECT(ADDRESS($B236+1,AV$230,1,1,"Actively Infected Trend")))</f>
        <v>#N/A</v>
      </c>
      <c r="AW236" s="14" t="e" cm="1">
        <f t="array" aca="1" ref="AW236" ca="1">IF(INDIRECT(ADDRESS($B236+1,AW$230,1,1,"Actively Infected Trend"))=0,#N/A,INDIRECT(ADDRESS($B236+1,AW$230,1,1,"Actively Infected Trend")))</f>
        <v>#N/A</v>
      </c>
      <c r="AX236" s="14" t="e" cm="1">
        <f t="array" aca="1" ref="AX236" ca="1">IF(INDIRECT(ADDRESS($B236+1,AX$230,1,1,"Actively Infected Trend"))=0,#N/A,INDIRECT(ADDRESS($B236+1,AX$230,1,1,"Actively Infected Trend")))</f>
        <v>#N/A</v>
      </c>
      <c r="AY236" s="14" t="e" cm="1">
        <f t="array" aca="1" ref="AY236" ca="1">IF(INDIRECT(ADDRESS($B236+1,AY$230,1,1,"Actively Infected Trend"))=0,#N/A,INDIRECT(ADDRESS($B236+1,AY$230,1,1,"Actively Infected Trend")))</f>
        <v>#N/A</v>
      </c>
      <c r="AZ236" s="14" t="e" cm="1">
        <f t="array" aca="1" ref="AZ236" ca="1">IF(INDIRECT(ADDRESS($B236+1,AZ$230,1,1,"Actively Infected Trend"))=0,#N/A,INDIRECT(ADDRESS($B236+1,AZ$230,1,1,"Actively Infected Trend")))</f>
        <v>#N/A</v>
      </c>
      <c r="BA236" s="14" cm="1">
        <f t="array" aca="1" ref="BA236" ca="1">IF(INDIRECT(ADDRESS($B236+1,BA$230,1,1,"Actively Infected Trend"))=0,#N/A,INDIRECT(ADDRESS($B236+1,BA$230,1,1,"Actively Infected Trend")))</f>
        <v>0.26144716179999999</v>
      </c>
      <c r="BB236" s="14" cm="1">
        <f t="array" aca="1" ref="BB236" ca="1">IF(INDIRECT(ADDRESS($B236+1,BB$230,1,1,"Actively Infected Trend"))=0,#N/A,INDIRECT(ADDRESS($B236+1,BB$230,1,1,"Actively Infected Trend")))</f>
        <v>0.30438886380000002</v>
      </c>
      <c r="BC236" s="14" cm="1">
        <f t="array" aca="1" ref="BC236" ca="1">IF(INDIRECT(ADDRESS($B236+1,BC$230,1,1,"Actively Infected Trend"))=0,#N/A,INDIRECT(ADDRESS($B236+1,BC$230,1,1,"Actively Infected Trend")))</f>
        <v>0.38600493850000001</v>
      </c>
      <c r="BD236" s="14" cm="1">
        <f t="array" aca="1" ref="BD236" ca="1">IF(INDIRECT(ADDRESS($B236+1,BD$230,1,1,"Actively Infected Trend"))=0,#N/A,INDIRECT(ADDRESS($B236+1,BD$230,1,1,"Actively Infected Trend")))</f>
        <v>0.45901484660000003</v>
      </c>
      <c r="BE236" s="14" cm="1">
        <f t="array" aca="1" ref="BE236" ca="1">IF(INDIRECT(ADDRESS($B236+1,BE$230,1,1,"Actively Infected Trend"))=0,#N/A,INDIRECT(ADDRESS($B236+1,BE$230,1,1,"Actively Infected Trend")))</f>
        <v>0.51965907820000001</v>
      </c>
      <c r="BF236" s="14" cm="1">
        <f t="array" aca="1" ref="BF236" ca="1">IF(INDIRECT(ADDRESS($B236+1,BF$230,1,1,"Actively Infected Trend"))=0,#N/A,INDIRECT(ADDRESS($B236+1,BF$230,1,1,"Actively Infected Trend")))</f>
        <v>0.49520296790000001</v>
      </c>
      <c r="BG236" s="14" cm="1">
        <f t="array" aca="1" ref="BG236" ca="1">IF(INDIRECT(ADDRESS($B236+1,BG$230,1,1,"Actively Infected Trend"))=0,#N/A,INDIRECT(ADDRESS($B236+1,BG$230,1,1,"Actively Infected Trend")))</f>
        <v>0.39004880829999999</v>
      </c>
      <c r="BH236" s="14" cm="1">
        <f t="array" aca="1" ref="BH236" ca="1">IF(INDIRECT(ADDRESS($B236+1,BH$230,1,1,"Actively Infected Trend"))=0,#N/A,INDIRECT(ADDRESS($B236+1,BH$230,1,1,"Actively Infected Trend")))</f>
        <v>0.28049314520000002</v>
      </c>
      <c r="BI236" s="14" cm="1">
        <f t="array" aca="1" ref="BI236" ca="1">IF(INDIRECT(ADDRESS($B236+1,BI$230,1,1,"Actively Infected Trend"))=0,#N/A,INDIRECT(ADDRESS($B236+1,BI$230,1,1,"Actively Infected Trend")))</f>
        <v>0.18250831379999999</v>
      </c>
      <c r="BJ236" s="14" cm="1">
        <f t="array" aca="1" ref="BJ236" ca="1">IF(INDIRECT(ADDRESS($B236+1,BJ$230,1,1,"Actively Infected Trend"))=0,#N/A,INDIRECT(ADDRESS($B236+1,BJ$230,1,1,"Actively Infected Trend")))</f>
        <v>0.14519007940000001</v>
      </c>
      <c r="BK236" s="14" cm="1">
        <f t="array" aca="1" ref="BK236" ca="1">IF(INDIRECT(ADDRESS($B236+1,BK$230,1,1,"Actively Infected Trend"))=0,#N/A,INDIRECT(ADDRESS($B236+1,BK$230,1,1,"Actively Infected Trend")))</f>
        <v>0.12712558330000001</v>
      </c>
      <c r="BL236" s="14" cm="1">
        <f t="array" aca="1" ref="BL236" ca="1">IF(INDIRECT(ADDRESS($B236+1,BL$230,1,1,"Actively Infected Trend"))=0,#N/A,INDIRECT(ADDRESS($B236+1,BL$230,1,1,"Actively Infected Trend")))</f>
        <v>0.13493094759999999</v>
      </c>
      <c r="BM236" s="14" cm="1">
        <f t="array" aca="1" ref="BM236" ca="1">IF(INDIRECT(ADDRESS($B236+1,BM$230,1,1,"Actively Infected Trend"))=0,#N/A,INDIRECT(ADDRESS($B236+1,BM$230,1,1,"Actively Infected Trend")))</f>
        <v>0.14935409769999999</v>
      </c>
      <c r="BN236" s="14" cm="1">
        <f t="array" aca="1" ref="BN236" ca="1">IF(INDIRECT(ADDRESS($B236+1,BN$230,1,1,"Actively Infected Trend"))=0,#N/A,INDIRECT(ADDRESS($B236+1,BN$230,1,1,"Actively Infected Trend")))</f>
        <v>0.15676522230000001</v>
      </c>
      <c r="BO236" s="14" cm="1">
        <f t="array" aca="1" ref="BO236" ca="1">IF(INDIRECT(ADDRESS($B236+1,BO$230,1,1,"Actively Infected Trend"))=0,#N/A,INDIRECT(ADDRESS($B236+1,BO$230,1,1,"Actively Infected Trend")))</f>
        <v>0.16430483200000001</v>
      </c>
      <c r="BP236" s="14" cm="1">
        <f t="array" aca="1" ref="BP236" ca="1">IF(INDIRECT(ADDRESS($B236+1,BP$230,1,1,"Actively Infected Trend"))=0,#N/A,INDIRECT(ADDRESS($B236+1,BP$230,1,1,"Actively Infected Trend")))</f>
        <v>0.1569911672</v>
      </c>
      <c r="BQ236" s="14" cm="1">
        <f t="array" aca="1" ref="BQ236" ca="1">IF(INDIRECT(ADDRESS($B236+1,BQ$230,1,1,"Actively Infected Trend"))=0,#N/A,INDIRECT(ADDRESS($B236+1,BQ$230,1,1,"Actively Infected Trend")))</f>
        <v>0.1491263779</v>
      </c>
      <c r="BR236" s="14" cm="1">
        <f t="array" aca="1" ref="BR236" ca="1">IF(INDIRECT(ADDRESS($B236+1,BR$230,1,1,"Actively Infected Trend"))=0,#N/A,INDIRECT(ADDRESS($B236+1,BR$230,1,1,"Actively Infected Trend")))</f>
        <v>0.1375379501</v>
      </c>
      <c r="BS236" s="14" cm="1">
        <f t="array" aca="1" ref="BS236" ca="1">IF(INDIRECT(ADDRESS($B236+1,BS$230,1,1,"Actively Infected Trend"))=0,#N/A,INDIRECT(ADDRESS($B236+1,BS$230,1,1,"Actively Infected Trend")))</f>
        <v>0.13097497860000001</v>
      </c>
      <c r="BT236" s="14" cm="1">
        <f t="array" aca="1" ref="BT236" ca="1">IF(INDIRECT(ADDRESS($B236+1,BT$230,1,1,"Actively Infected Trend"))=0,#N/A,INDIRECT(ADDRESS($B236+1,BT$230,1,1,"Actively Infected Trend")))</f>
        <v>0.1220420361</v>
      </c>
      <c r="BU236" s="14" cm="1">
        <f t="array" aca="1" ref="BU236" ca="1">IF(INDIRECT(ADDRESS($B236+1,BU$230,1,1,"Actively Infected Trend"))=0,#N/A,INDIRECT(ADDRESS($B236+1,BU$230,1,1,"Actively Infected Trend")))</f>
        <v>0.11746702739999999</v>
      </c>
      <c r="BV236" s="14" cm="1">
        <f t="array" aca="1" ref="BV236" ca="1">IF(INDIRECT(ADDRESS($B236+1,BV$230,1,1,"Actively Infected Trend"))=0,#N/A,INDIRECT(ADDRESS($B236+1,BV$230,1,1,"Actively Infected Trend")))</f>
        <v>0.11163651469999999</v>
      </c>
      <c r="BW236" s="14" cm="1">
        <f t="array" aca="1" ref="BW236" ca="1">IF(INDIRECT(ADDRESS($B236+1,BW$230,1,1,"Actively Infected Trend"))=0,#N/A,INDIRECT(ADDRESS($B236+1,BW$230,1,1,"Actively Infected Trend")))</f>
        <v>9.6700092700000004E-2</v>
      </c>
      <c r="BX236" s="14" cm="1">
        <f t="array" aca="1" ref="BX236" ca="1">IF(INDIRECT(ADDRESS($B236+1,BX$230,1,1,"Actively Infected Trend"))=0,#N/A,INDIRECT(ADDRESS($B236+1,BX$230,1,1,"Actively Infected Trend")))</f>
        <v>8.3856332199999994E-2</v>
      </c>
      <c r="BY236" s="14" cm="1">
        <f t="array" aca="1" ref="BY236" ca="1">IF(INDIRECT(ADDRESS($B236+1,BY$230,1,1,"Actively Infected Trend"))=0,#N/A,INDIRECT(ADDRESS($B236+1,BY$230,1,1,"Actively Infected Trend")))</f>
        <v>7.0102083100000004E-2</v>
      </c>
      <c r="BZ236" s="14" cm="1">
        <f t="array" aca="1" ref="BZ236" ca="1">IF(INDIRECT(ADDRESS($B236+1,BZ$230,1,1,"Actively Infected Trend"))=0,#N/A,INDIRECT(ADDRESS($B236+1,BZ$230,1,1,"Actively Infected Trend")))</f>
        <v>7.9632669399999995E-2</v>
      </c>
      <c r="CA236" s="14" cm="1">
        <f t="array" aca="1" ref="CA236" ca="1">IF(INDIRECT(ADDRESS($B236+1,CA$230,1,1,"Actively Infected Trend"))=0,#N/A,INDIRECT(ADDRESS($B236+1,CA$230,1,1,"Actively Infected Trend")))</f>
        <v>9.6294690700000005E-2</v>
      </c>
      <c r="CB236" s="14" cm="1">
        <f t="array" aca="1" ref="CB236" ca="1">IF(INDIRECT(ADDRESS($B236+1,CB$230,1,1,"Actively Infected Trend"))=0,#N/A,INDIRECT(ADDRESS($B236+1,CB$230,1,1,"Actively Infected Trend")))</f>
        <v>0.1194962891</v>
      </c>
      <c r="CC236" s="14" cm="1">
        <f t="array" aca="1" ref="CC236" ca="1">IF(INDIRECT(ADDRESS($B236+1,CC$230,1,1,"Actively Infected Trend"))=0,#N/A,INDIRECT(ADDRESS($B236+1,CC$230,1,1,"Actively Infected Trend")))</f>
        <v>0.13362996269999999</v>
      </c>
      <c r="CD236" s="14" cm="1">
        <f t="array" aca="1" ref="CD236" ca="1">IF(INDIRECT(ADDRESS($B236+1,CD$230,1,1,"Actively Infected Trend"))=0,#N/A,INDIRECT(ADDRESS($B236+1,CD$230,1,1,"Actively Infected Trend")))</f>
        <v>0.13280842879999999</v>
      </c>
      <c r="CE236" s="14" cm="1">
        <f t="array" aca="1" ref="CE236" ca="1">IF(INDIRECT(ADDRESS($B236+1,CE$230,1,1,"Actively Infected Trend"))=0,#N/A,INDIRECT(ADDRESS($B236+1,CE$230,1,1,"Actively Infected Trend")))</f>
        <v>0.12773022340000001</v>
      </c>
      <c r="CF236" s="14" cm="1">
        <f t="array" aca="1" ref="CF236" ca="1">IF(INDIRECT(ADDRESS($B236+1,CF$230,1,1,"Actively Infected Trend"))=0,#N/A,INDIRECT(ADDRESS($B236+1,CF$230,1,1,"Actively Infected Trend")))</f>
        <v>0.11303747109999999</v>
      </c>
      <c r="CG236" s="14" cm="1">
        <f t="array" aca="1" ref="CG236" ca="1">IF(INDIRECT(ADDRESS($B236+1,CG$230,1,1,"Actively Infected Trend"))=0,#N/A,INDIRECT(ADDRESS($B236+1,CG$230,1,1,"Actively Infected Trend")))</f>
        <v>0.1103403407</v>
      </c>
      <c r="CH236" s="14" cm="1">
        <f t="array" aca="1" ref="CH236" ca="1">IF(INDIRECT(ADDRESS($B236+1,CH$230,1,1,"Actively Infected Trend"))=0,#N/A,INDIRECT(ADDRESS($B236+1,CH$230,1,1,"Actively Infected Trend")))</f>
        <v>9.4967304200000005E-2</v>
      </c>
      <c r="CI236" s="14" cm="1">
        <f t="array" aca="1" ref="CI236" ca="1">IF(INDIRECT(ADDRESS($B236+1,CI$230,1,1,"Actively Infected Trend"))=0,#N/A,INDIRECT(ADDRESS($B236+1,CI$230,1,1,"Actively Infected Trend")))</f>
        <v>8.6777390800000007E-2</v>
      </c>
      <c r="CJ236" s="14" cm="1">
        <f t="array" aca="1" ref="CJ236" ca="1">IF(INDIRECT(ADDRESS($B236+1,CJ$230,1,1,"Actively Infected Trend"))=0,#N/A,INDIRECT(ADDRESS($B236+1,CJ$230,1,1,"Actively Infected Trend")))</f>
        <v>7.2682162800000005E-2</v>
      </c>
      <c r="CK236" s="14" cm="1">
        <f t="array" aca="1" ref="CK236" ca="1">IF(INDIRECT(ADDRESS($B236+1,CK$230,1,1,"Actively Infected Trend"))=0,#N/A,INDIRECT(ADDRESS($B236+1,CK$230,1,1,"Actively Infected Trend")))</f>
        <v>6.1367652000000002E-2</v>
      </c>
      <c r="CL236" s="14" cm="1">
        <f t="array" aca="1" ref="CL236" ca="1">IF(INDIRECT(ADDRESS($B236+1,CL$230,1,1,"Actively Infected Trend"))=0,#N/A,INDIRECT(ADDRESS($B236+1,CL$230,1,1,"Actively Infected Trend")))</f>
        <v>5.6218698800000001E-2</v>
      </c>
      <c r="CM236" s="14" cm="1">
        <f t="array" aca="1" ref="CM236" ca="1">IF(INDIRECT(ADDRESS($B236+1,CM$230,1,1,"Actively Infected Trend"))=0,#N/A,INDIRECT(ADDRESS($B236+1,CM$230,1,1,"Actively Infected Trend")))</f>
        <v>5.7260869399999997E-2</v>
      </c>
      <c r="CN236" s="14" t="e" cm="1">
        <f t="array" aca="1" ref="CN236" ca="1">IF(INDIRECT(ADDRESS($B236+1,CN$230,1,1,"Actively Infected Trend"))=0,#N/A,INDIRECT(ADDRESS($B236+1,CN$230,1,1,"Actively Infected Trend")))</f>
        <v>#N/A</v>
      </c>
      <c r="CO236" s="14" t="e" cm="1">
        <f t="array" aca="1" ref="CO236" ca="1">IF(INDIRECT(ADDRESS($B236+1,CO$230,1,1,"Actively Infected Trend"))=0,#N/A,INDIRECT(ADDRESS($B236+1,CO$230,1,1,"Actively Infected Trend")))</f>
        <v>#N/A</v>
      </c>
      <c r="CP236" s="14" t="e" cm="1">
        <f t="array" aca="1" ref="CP236" ca="1">IF(INDIRECT(ADDRESS($B236+1,CP$230,1,1,"Actively Infected Trend"))=0,#N/A,INDIRECT(ADDRESS($B236+1,CP$230,1,1,"Actively Infected Trend")))</f>
        <v>#N/A</v>
      </c>
      <c r="CQ236" s="14" t="e" cm="1">
        <f t="array" aca="1" ref="CQ236" ca="1">IF(INDIRECT(ADDRESS($B236+1,CQ$230,1,1,"Actively Infected Trend"))=0,#N/A,INDIRECT(ADDRESS($B236+1,CQ$230,1,1,"Actively Infected Trend")))</f>
        <v>#N/A</v>
      </c>
      <c r="CR236" s="14" t="e" cm="1">
        <f t="array" aca="1" ref="CR236" ca="1">IF(INDIRECT(ADDRESS($B236+1,CR$230,1,1,"Actively Infected Trend"))=0,#N/A,INDIRECT(ADDRESS($B236+1,CR$230,1,1,"Actively Infected Trend")))</f>
        <v>#N/A</v>
      </c>
    </row>
    <row r="237" spans="2:96" x14ac:dyDescent="0.25">
      <c r="B237">
        <f t="shared" si="349"/>
        <v>6</v>
      </c>
      <c r="C237" t="str" cm="1">
        <f t="array" aca="1" ref="C237" ca="1">INDIRECT(ADDRESS($B237+1,1,1,1,"Actively Infected Trend"))</f>
        <v>France</v>
      </c>
      <c r="E237" s="14" t="e" cm="1">
        <f t="array" aca="1" ref="E237" ca="1">IF(INDIRECT(ADDRESS($B237+1,E$230,1,1,"Actively Infected Trend"))=0,#N/A,INDIRECT(ADDRESS($B237+1,E$230,1,1,"Actively Infected Trend")))</f>
        <v>#N/A</v>
      </c>
      <c r="F237" s="14" t="e" cm="1">
        <f t="array" aca="1" ref="F237" ca="1">IF(INDIRECT(ADDRESS($B237+1,F$230,1,1,"Actively Infected Trend"))=0,#N/A,INDIRECT(ADDRESS($B237+1,F$230,1,1,"Actively Infected Trend")))</f>
        <v>#N/A</v>
      </c>
      <c r="G237" s="14" t="e" cm="1">
        <f t="array" aca="1" ref="G237" ca="1">IF(INDIRECT(ADDRESS($B237+1,G$230,1,1,"Actively Infected Trend"))=0,#N/A,INDIRECT(ADDRESS($B237+1,G$230,1,1,"Actively Infected Trend")))</f>
        <v>#N/A</v>
      </c>
      <c r="H237" s="14" t="e" cm="1">
        <f t="array" aca="1" ref="H237" ca="1">IF(INDIRECT(ADDRESS($B237+1,H$230,1,1,"Actively Infected Trend"))=0,#N/A,INDIRECT(ADDRESS($B237+1,H$230,1,1,"Actively Infected Trend")))</f>
        <v>#N/A</v>
      </c>
      <c r="I237" s="14" t="e" cm="1">
        <f t="array" aca="1" ref="I237" ca="1">IF(INDIRECT(ADDRESS($B237+1,I$230,1,1,"Actively Infected Trend"))=0,#N/A,INDIRECT(ADDRESS($B237+1,I$230,1,1,"Actively Infected Trend")))</f>
        <v>#N/A</v>
      </c>
      <c r="J237" s="14" t="e" cm="1">
        <f t="array" aca="1" ref="J237" ca="1">IF(INDIRECT(ADDRESS($B237+1,J$230,1,1,"Actively Infected Trend"))=0,#N/A,INDIRECT(ADDRESS($B237+1,J$230,1,1,"Actively Infected Trend")))</f>
        <v>#N/A</v>
      </c>
      <c r="K237" s="14" t="e" cm="1">
        <f t="array" aca="1" ref="K237" ca="1">IF(INDIRECT(ADDRESS($B237+1,K$230,1,1,"Actively Infected Trend"))=0,#N/A,INDIRECT(ADDRESS($B237+1,K$230,1,1,"Actively Infected Trend")))</f>
        <v>#N/A</v>
      </c>
      <c r="L237" s="14" t="e" cm="1">
        <f t="array" aca="1" ref="L237" ca="1">IF(INDIRECT(ADDRESS($B237+1,L$230,1,1,"Actively Infected Trend"))=0,#N/A,INDIRECT(ADDRESS($B237+1,L$230,1,1,"Actively Infected Trend")))</f>
        <v>#N/A</v>
      </c>
      <c r="M237" s="14" t="e" cm="1">
        <f t="array" aca="1" ref="M237" ca="1">IF(INDIRECT(ADDRESS($B237+1,M$230,1,1,"Actively Infected Trend"))=0,#N/A,INDIRECT(ADDRESS($B237+1,M$230,1,1,"Actively Infected Trend")))</f>
        <v>#N/A</v>
      </c>
      <c r="N237" s="14" t="e" cm="1">
        <f t="array" aca="1" ref="N237" ca="1">IF(INDIRECT(ADDRESS($B237+1,N$230,1,1,"Actively Infected Trend"))=0,#N/A,INDIRECT(ADDRESS($B237+1,N$230,1,1,"Actively Infected Trend")))</f>
        <v>#N/A</v>
      </c>
      <c r="O237" s="14" t="e" cm="1">
        <f t="array" aca="1" ref="O237" ca="1">IF(INDIRECT(ADDRESS($B237+1,O$230,1,1,"Actively Infected Trend"))=0,#N/A,INDIRECT(ADDRESS($B237+1,O$230,1,1,"Actively Infected Trend")))</f>
        <v>#N/A</v>
      </c>
      <c r="P237" s="14" t="e" cm="1">
        <f t="array" aca="1" ref="P237" ca="1">IF(INDIRECT(ADDRESS($B237+1,P$230,1,1,"Actively Infected Trend"))=0,#N/A,INDIRECT(ADDRESS($B237+1,P$230,1,1,"Actively Infected Trend")))</f>
        <v>#N/A</v>
      </c>
      <c r="Q237" s="14" t="e" cm="1">
        <f t="array" aca="1" ref="Q237" ca="1">IF(INDIRECT(ADDRESS($B237+1,Q$230,1,1,"Actively Infected Trend"))=0,#N/A,INDIRECT(ADDRESS($B237+1,Q$230,1,1,"Actively Infected Trend")))</f>
        <v>#N/A</v>
      </c>
      <c r="R237" s="14" t="e" cm="1">
        <f t="array" aca="1" ref="R237" ca="1">IF(INDIRECT(ADDRESS($B237+1,R$230,1,1,"Actively Infected Trend"))=0,#N/A,INDIRECT(ADDRESS($B237+1,R$230,1,1,"Actively Infected Trend")))</f>
        <v>#N/A</v>
      </c>
      <c r="S237" s="14" t="e" cm="1">
        <f t="array" aca="1" ref="S237" ca="1">IF(INDIRECT(ADDRESS($B237+1,S$230,1,1,"Actively Infected Trend"))=0,#N/A,INDIRECT(ADDRESS($B237+1,S$230,1,1,"Actively Infected Trend")))</f>
        <v>#N/A</v>
      </c>
      <c r="T237" s="14" t="e" cm="1">
        <f t="array" aca="1" ref="T237" ca="1">IF(INDIRECT(ADDRESS($B237+1,T$230,1,1,"Actively Infected Trend"))=0,#N/A,INDIRECT(ADDRESS($B237+1,T$230,1,1,"Actively Infected Trend")))</f>
        <v>#N/A</v>
      </c>
      <c r="U237" s="14" t="e" cm="1">
        <f t="array" aca="1" ref="U237" ca="1">IF(INDIRECT(ADDRESS($B237+1,U$230,1,1,"Actively Infected Trend"))=0,#N/A,INDIRECT(ADDRESS($B237+1,U$230,1,1,"Actively Infected Trend")))</f>
        <v>#N/A</v>
      </c>
      <c r="V237" s="14" t="e" cm="1">
        <f t="array" aca="1" ref="V237" ca="1">IF(INDIRECT(ADDRESS($B237+1,V$230,1,1,"Actively Infected Trend"))=0,#N/A,INDIRECT(ADDRESS($B237+1,V$230,1,1,"Actively Infected Trend")))</f>
        <v>#N/A</v>
      </c>
      <c r="W237" s="14" t="e" cm="1">
        <f t="array" aca="1" ref="W237" ca="1">IF(INDIRECT(ADDRESS($B237+1,W$230,1,1,"Actively Infected Trend"))=0,#N/A,INDIRECT(ADDRESS($B237+1,W$230,1,1,"Actively Infected Trend")))</f>
        <v>#N/A</v>
      </c>
      <c r="X237" s="14" t="e" cm="1">
        <f t="array" aca="1" ref="X237" ca="1">IF(INDIRECT(ADDRESS($B237+1,X$230,1,1,"Actively Infected Trend"))=0,#N/A,INDIRECT(ADDRESS($B237+1,X$230,1,1,"Actively Infected Trend")))</f>
        <v>#N/A</v>
      </c>
      <c r="Y237" s="14" t="e" cm="1">
        <f t="array" aca="1" ref="Y237" ca="1">IF(INDIRECT(ADDRESS($B237+1,Y$230,1,1,"Actively Infected Trend"))=0,#N/A,INDIRECT(ADDRESS($B237+1,Y$230,1,1,"Actively Infected Trend")))</f>
        <v>#N/A</v>
      </c>
      <c r="Z237" s="14" t="e" cm="1">
        <f t="array" aca="1" ref="Z237" ca="1">IF(INDIRECT(ADDRESS($B237+1,Z$230,1,1,"Actively Infected Trend"))=0,#N/A,INDIRECT(ADDRESS($B237+1,Z$230,1,1,"Actively Infected Trend")))</f>
        <v>#N/A</v>
      </c>
      <c r="AA237" s="14" cm="1">
        <f t="array" aca="1" ref="AA237" ca="1">IF(INDIRECT(ADDRESS($B237+1,AA$230,1,1,"Actively Infected Trend"))=0,#N/A,INDIRECT(ADDRESS($B237+1,AA$230,1,1,"Actively Infected Trend")))</f>
        <v>3.1527758000000003E-2</v>
      </c>
      <c r="AB237" s="14" cm="1">
        <f t="array" aca="1" ref="AB237" ca="1">IF(INDIRECT(ADDRESS($B237+1,AB$230,1,1,"Actively Infected Trend"))=0,#N/A,INDIRECT(ADDRESS($B237+1,AB$230,1,1,"Actively Infected Trend")))</f>
        <v>2.4097625300000002E-2</v>
      </c>
      <c r="AC237" s="14" cm="1">
        <f t="array" aca="1" ref="AC237" ca="1">IF(INDIRECT(ADDRESS($B237+1,AC$230,1,1,"Actively Infected Trend"))=0,#N/A,INDIRECT(ADDRESS($B237+1,AC$230,1,1,"Actively Infected Trend")))</f>
        <v>2.4849485000000001E-2</v>
      </c>
      <c r="AD237" s="14" cm="1">
        <f t="array" aca="1" ref="AD237" ca="1">IF(INDIRECT(ADDRESS($B237+1,AD$230,1,1,"Actively Infected Trend"))=0,#N/A,INDIRECT(ADDRESS($B237+1,AD$230,1,1,"Actively Infected Trend")))</f>
        <v>2.81857605E-2</v>
      </c>
      <c r="AE237" s="14" cm="1">
        <f t="array" aca="1" ref="AE237" ca="1">IF(INDIRECT(ADDRESS($B237+1,AE$230,1,1,"Actively Infected Trend"))=0,#N/A,INDIRECT(ADDRESS($B237+1,AE$230,1,1,"Actively Infected Trend")))</f>
        <v>3.3203652600000001E-2</v>
      </c>
      <c r="AF237" s="14" cm="1">
        <f t="array" aca="1" ref="AF237" ca="1">IF(INDIRECT(ADDRESS($B237+1,AF$230,1,1,"Actively Infected Trend"))=0,#N/A,INDIRECT(ADDRESS($B237+1,AF$230,1,1,"Actively Infected Trend")))</f>
        <v>4.0491305800000002E-2</v>
      </c>
      <c r="AG237" s="14" cm="1">
        <f t="array" aca="1" ref="AG237" ca="1">IF(INDIRECT(ADDRESS($B237+1,AG$230,1,1,"Actively Infected Trend"))=0,#N/A,INDIRECT(ADDRESS($B237+1,AG$230,1,1,"Actively Infected Trend")))</f>
        <v>4.9694132199999998E-2</v>
      </c>
      <c r="AH237" s="14" cm="1">
        <f t="array" aca="1" ref="AH237" ca="1">IF(INDIRECT(ADDRESS($B237+1,AH$230,1,1,"Actively Infected Trend"))=0,#N/A,INDIRECT(ADDRESS($B237+1,AH$230,1,1,"Actively Infected Trend")))</f>
        <v>6.0145752300000001E-2</v>
      </c>
      <c r="AI237" s="14" cm="1">
        <f t="array" aca="1" ref="AI237" ca="1">IF(INDIRECT(ADDRESS($B237+1,AI$230,1,1,"Actively Infected Trend"))=0,#N/A,INDIRECT(ADDRESS($B237+1,AI$230,1,1,"Actively Infected Trend")))</f>
        <v>7.2493608099999995E-2</v>
      </c>
      <c r="AJ237" s="14" cm="1">
        <f t="array" aca="1" ref="AJ237" ca="1">IF(INDIRECT(ADDRESS($B237+1,AJ$230,1,1,"Actively Infected Trend"))=0,#N/A,INDIRECT(ADDRESS($B237+1,AJ$230,1,1,"Actively Infected Trend")))</f>
        <v>8.7953568800000007E-2</v>
      </c>
      <c r="AK237" s="14" cm="1">
        <f t="array" aca="1" ref="AK237" ca="1">IF(INDIRECT(ADDRESS($B237+1,AK$230,1,1,"Actively Infected Trend"))=0,#N/A,INDIRECT(ADDRESS($B237+1,AK$230,1,1,"Actively Infected Trend")))</f>
        <v>8.5837749699999993E-2</v>
      </c>
      <c r="AL237" s="14" cm="1">
        <f t="array" aca="1" ref="AL237" ca="1">IF(INDIRECT(ADDRESS($B237+1,AL$230,1,1,"Actively Infected Trend"))=0,#N/A,INDIRECT(ADDRESS($B237+1,AL$230,1,1,"Actively Infected Trend")))</f>
        <v>8.3820217399999994E-2</v>
      </c>
      <c r="AM237" s="14" cm="1">
        <f t="array" aca="1" ref="AM237" ca="1">IF(INDIRECT(ADDRESS($B237+1,AM$230,1,1,"Actively Infected Trend"))=0,#N/A,INDIRECT(ADDRESS($B237+1,AM$230,1,1,"Actively Infected Trend")))</f>
        <v>8.1894326099999998E-2</v>
      </c>
      <c r="AN237" s="14" cm="1">
        <f t="array" aca="1" ref="AN237" ca="1">IF(INDIRECT(ADDRESS($B237+1,AN$230,1,1,"Actively Infected Trend"))=0,#N/A,INDIRECT(ADDRESS($B237+1,AN$230,1,1,"Actively Infected Trend")))</f>
        <v>0.1036923765</v>
      </c>
      <c r="AO237" s="14" cm="1">
        <f t="array" aca="1" ref="AO237" ca="1">IF(INDIRECT(ADDRESS($B237+1,AO$230,1,1,"Actively Infected Trend"))=0,#N/A,INDIRECT(ADDRESS($B237+1,AO$230,1,1,"Actively Infected Trend")))</f>
        <v>0.21501197620000001</v>
      </c>
      <c r="AP237" s="14" cm="1">
        <f t="array" aca="1" ref="AP237" ca="1">IF(INDIRECT(ADDRESS($B237+1,AP$230,1,1,"Actively Infected Trend"))=0,#N/A,INDIRECT(ADDRESS($B237+1,AP$230,1,1,"Actively Infected Trend")))</f>
        <v>0.36622661890000002</v>
      </c>
      <c r="AQ237" s="14" cm="1">
        <f t="array" aca="1" ref="AQ237" ca="1">IF(INDIRECT(ADDRESS($B237+1,AQ$230,1,1,"Actively Infected Trend"))=0,#N/A,INDIRECT(ADDRESS($B237+1,AQ$230,1,1,"Actively Infected Trend")))</f>
        <v>0.53771515879999998</v>
      </c>
      <c r="AR237" s="14" cm="1">
        <f t="array" aca="1" ref="AR237" ca="1">IF(INDIRECT(ADDRESS($B237+1,AR$230,1,1,"Actively Infected Trend"))=0,#N/A,INDIRECT(ADDRESS($B237+1,AR$230,1,1,"Actively Infected Trend")))</f>
        <v>0.64246650500000002</v>
      </c>
      <c r="AS237" s="14" cm="1">
        <f t="array" aca="1" ref="AS237" ca="1">IF(INDIRECT(ADDRESS($B237+1,AS$230,1,1,"Actively Infected Trend"))=0,#N/A,INDIRECT(ADDRESS($B237+1,AS$230,1,1,"Actively Infected Trend")))</f>
        <v>0.60531316550000003</v>
      </c>
      <c r="AT237" s="14" cm="1">
        <f t="array" aca="1" ref="AT237" ca="1">IF(INDIRECT(ADDRESS($B237+1,AT$230,1,1,"Actively Infected Trend"))=0,#N/A,INDIRECT(ADDRESS($B237+1,AT$230,1,1,"Actively Infected Trend")))</f>
        <v>0.49896787929999997</v>
      </c>
      <c r="AU237" s="14" cm="1">
        <f t="array" aca="1" ref="AU237" ca="1">IF(INDIRECT(ADDRESS($B237+1,AU$230,1,1,"Actively Infected Trend"))=0,#N/A,INDIRECT(ADDRESS($B237+1,AU$230,1,1,"Actively Infected Trend")))</f>
        <v>0.38376383689999999</v>
      </c>
      <c r="AV237" s="14" cm="1">
        <f t="array" aca="1" ref="AV237" ca="1">IF(INDIRECT(ADDRESS($B237+1,AV$230,1,1,"Actively Infected Trend"))=0,#N/A,INDIRECT(ADDRESS($B237+1,AV$230,1,1,"Actively Infected Trend")))</f>
        <v>0.3293369907</v>
      </c>
      <c r="AW237" s="14" cm="1">
        <f t="array" aca="1" ref="AW237" ca="1">IF(INDIRECT(ADDRESS($B237+1,AW$230,1,1,"Actively Infected Trend"))=0,#N/A,INDIRECT(ADDRESS($B237+1,AW$230,1,1,"Actively Infected Trend")))</f>
        <v>0.33621236920000003</v>
      </c>
      <c r="AX237" s="14" cm="1">
        <f t="array" aca="1" ref="AX237" ca="1">IF(INDIRECT(ADDRESS($B237+1,AX$230,1,1,"Actively Infected Trend"))=0,#N/A,INDIRECT(ADDRESS($B237+1,AX$230,1,1,"Actively Infected Trend")))</f>
        <v>0.39902080179999999</v>
      </c>
      <c r="AY237" s="14" cm="1">
        <f t="array" aca="1" ref="AY237" ca="1">IF(INDIRECT(ADDRESS($B237+1,AY$230,1,1,"Actively Infected Trend"))=0,#N/A,INDIRECT(ADDRESS($B237+1,AY$230,1,1,"Actively Infected Trend")))</f>
        <v>0.4223794649</v>
      </c>
      <c r="AZ237" s="14" cm="1">
        <f t="array" aca="1" ref="AZ237" ca="1">IF(INDIRECT(ADDRESS($B237+1,AZ$230,1,1,"Actively Infected Trend"))=0,#N/A,INDIRECT(ADDRESS($B237+1,AZ$230,1,1,"Actively Infected Trend")))</f>
        <v>0.40178687010000003</v>
      </c>
      <c r="BA237" s="14" cm="1">
        <f t="array" aca="1" ref="BA237" ca="1">IF(INDIRECT(ADDRESS($B237+1,BA$230,1,1,"Actively Infected Trend"))=0,#N/A,INDIRECT(ADDRESS($B237+1,BA$230,1,1,"Actively Infected Trend")))</f>
        <v>0.33657775909999998</v>
      </c>
      <c r="BB237" s="14" cm="1">
        <f t="array" aca="1" ref="BB237" ca="1">IF(INDIRECT(ADDRESS($B237+1,BB$230,1,1,"Actively Infected Trend"))=0,#N/A,INDIRECT(ADDRESS($B237+1,BB$230,1,1,"Actively Infected Trend")))</f>
        <v>0.28365340480000001</v>
      </c>
      <c r="BC237" s="14" cm="1">
        <f t="array" aca="1" ref="BC237" ca="1">IF(INDIRECT(ADDRESS($B237+1,BC$230,1,1,"Actively Infected Trend"))=0,#N/A,INDIRECT(ADDRESS($B237+1,BC$230,1,1,"Actively Infected Trend")))</f>
        <v>0.27166256560000002</v>
      </c>
      <c r="BD237" s="14" cm="1">
        <f t="array" aca="1" ref="BD237" ca="1">IF(INDIRECT(ADDRESS($B237+1,BD$230,1,1,"Actively Infected Trend"))=0,#N/A,INDIRECT(ADDRESS($B237+1,BD$230,1,1,"Actively Infected Trend")))</f>
        <v>0.28978065380000001</v>
      </c>
      <c r="BE237" s="14" cm="1">
        <f t="array" aca="1" ref="BE237" ca="1">IF(INDIRECT(ADDRESS($B237+1,BE$230,1,1,"Actively Infected Trend"))=0,#N/A,INDIRECT(ADDRESS($B237+1,BE$230,1,1,"Actively Infected Trend")))</f>
        <v>0.28771365199999999</v>
      </c>
      <c r="BF237" s="14" cm="1">
        <f t="array" aca="1" ref="BF237" ca="1">IF(INDIRECT(ADDRESS($B237+1,BF$230,1,1,"Actively Infected Trend"))=0,#N/A,INDIRECT(ADDRESS($B237+1,BF$230,1,1,"Actively Infected Trend")))</f>
        <v>0.25122139370000002</v>
      </c>
      <c r="BG237" s="14" cm="1">
        <f t="array" aca="1" ref="BG237" ca="1">IF(INDIRECT(ADDRESS($B237+1,BG$230,1,1,"Actively Infected Trend"))=0,#N/A,INDIRECT(ADDRESS($B237+1,BG$230,1,1,"Actively Infected Trend")))</f>
        <v>0.226802899</v>
      </c>
      <c r="BH237" s="14" cm="1">
        <f t="array" aca="1" ref="BH237" ca="1">IF(INDIRECT(ADDRESS($B237+1,BH$230,1,1,"Actively Infected Trend"))=0,#N/A,INDIRECT(ADDRESS($B237+1,BH$230,1,1,"Actively Infected Trend")))</f>
        <v>0.21048379859999999</v>
      </c>
      <c r="BI237" s="14" cm="1">
        <f t="array" aca="1" ref="BI237" ca="1">IF(INDIRECT(ADDRESS($B237+1,BI$230,1,1,"Actively Infected Trend"))=0,#N/A,INDIRECT(ADDRESS($B237+1,BI$230,1,1,"Actively Infected Trend")))</f>
        <v>0.21064526920000001</v>
      </c>
      <c r="BJ237" s="14" cm="1">
        <f t="array" aca="1" ref="BJ237" ca="1">IF(INDIRECT(ADDRESS($B237+1,BJ$230,1,1,"Actively Infected Trend"))=0,#N/A,INDIRECT(ADDRESS($B237+1,BJ$230,1,1,"Actively Infected Trend")))</f>
        <v>0.22323098120000001</v>
      </c>
      <c r="BK237" s="14" cm="1">
        <f t="array" aca="1" ref="BK237" ca="1">IF(INDIRECT(ADDRESS($B237+1,BK$230,1,1,"Actively Infected Trend"))=0,#N/A,INDIRECT(ADDRESS($B237+1,BK$230,1,1,"Actively Infected Trend")))</f>
        <v>0.2126361262</v>
      </c>
      <c r="BL237" s="14" cm="1">
        <f t="array" aca="1" ref="BL237" ca="1">IF(INDIRECT(ADDRESS($B237+1,BL$230,1,1,"Actively Infected Trend"))=0,#N/A,INDIRECT(ADDRESS($B237+1,BL$230,1,1,"Actively Infected Trend")))</f>
        <v>0.20434095699999999</v>
      </c>
      <c r="BM237" s="14" cm="1">
        <f t="array" aca="1" ref="BM237" ca="1">IF(INDIRECT(ADDRESS($B237+1,BM$230,1,1,"Actively Infected Trend"))=0,#N/A,INDIRECT(ADDRESS($B237+1,BM$230,1,1,"Actively Infected Trend")))</f>
        <v>0.17704133180000001</v>
      </c>
      <c r="BN237" s="14" cm="1">
        <f t="array" aca="1" ref="BN237" ca="1">IF(INDIRECT(ADDRESS($B237+1,BN$230,1,1,"Actively Infected Trend"))=0,#N/A,INDIRECT(ADDRESS($B237+1,BN$230,1,1,"Actively Infected Trend")))</f>
        <v>0.171880116</v>
      </c>
      <c r="BO237" s="14" cm="1">
        <f t="array" aca="1" ref="BO237" ca="1">IF(INDIRECT(ADDRESS($B237+1,BO$230,1,1,"Actively Infected Trend"))=0,#N/A,INDIRECT(ADDRESS($B237+1,BO$230,1,1,"Actively Infected Trend")))</f>
        <v>0.1700666653</v>
      </c>
      <c r="BP237" s="14" cm="1">
        <f t="array" aca="1" ref="BP237" ca="1">IF(INDIRECT(ADDRESS($B237+1,BP$230,1,1,"Actively Infected Trend"))=0,#N/A,INDIRECT(ADDRESS($B237+1,BP$230,1,1,"Actively Infected Trend")))</f>
        <v>0.1712796154</v>
      </c>
      <c r="BQ237" s="14" cm="1">
        <f t="array" aca="1" ref="BQ237" ca="1">IF(INDIRECT(ADDRESS($B237+1,BQ$230,1,1,"Actively Infected Trend"))=0,#N/A,INDIRECT(ADDRESS($B237+1,BQ$230,1,1,"Actively Infected Trend")))</f>
        <v>0.17395266049999999</v>
      </c>
      <c r="BR237" s="14" cm="1">
        <f t="array" aca="1" ref="BR237" ca="1">IF(INDIRECT(ADDRESS($B237+1,BR$230,1,1,"Actively Infected Trend"))=0,#N/A,INDIRECT(ADDRESS($B237+1,BR$230,1,1,"Actively Infected Trend")))</f>
        <v>0.16736983629999999</v>
      </c>
      <c r="BS237" s="14" cm="1">
        <f t="array" aca="1" ref="BS237" ca="1">IF(INDIRECT(ADDRESS($B237+1,BS$230,1,1,"Actively Infected Trend"))=0,#N/A,INDIRECT(ADDRESS($B237+1,BS$230,1,1,"Actively Infected Trend")))</f>
        <v>0.16359273439999999</v>
      </c>
      <c r="BT237" s="14" cm="1">
        <f t="array" aca="1" ref="BT237" ca="1">IF(INDIRECT(ADDRESS($B237+1,BT$230,1,1,"Actively Infected Trend"))=0,#N/A,INDIRECT(ADDRESS($B237+1,BT$230,1,1,"Actively Infected Trend")))</f>
        <v>0.14879200749999999</v>
      </c>
      <c r="BU237" s="14" cm="1">
        <f t="array" aca="1" ref="BU237" ca="1">IF(INDIRECT(ADDRESS($B237+1,BU$230,1,1,"Actively Infected Trend"))=0,#N/A,INDIRECT(ADDRESS($B237+1,BU$230,1,1,"Actively Infected Trend")))</f>
        <v>0.14539362980000001</v>
      </c>
      <c r="BV237" s="14" cm="1">
        <f t="array" aca="1" ref="BV237" ca="1">IF(INDIRECT(ADDRESS($B237+1,BV$230,1,1,"Actively Infected Trend"))=0,#N/A,INDIRECT(ADDRESS($B237+1,BV$230,1,1,"Actively Infected Trend")))</f>
        <v>0.13921548049999999</v>
      </c>
      <c r="BW237" s="14" cm="1">
        <f t="array" aca="1" ref="BW237" ca="1">IF(INDIRECT(ADDRESS($B237+1,BW$230,1,1,"Actively Infected Trend"))=0,#N/A,INDIRECT(ADDRESS($B237+1,BW$230,1,1,"Actively Infected Trend")))</f>
        <v>0.1357839961</v>
      </c>
      <c r="BX237" s="14" cm="1">
        <f t="array" aca="1" ref="BX237" ca="1">IF(INDIRECT(ADDRESS($B237+1,BX$230,1,1,"Actively Infected Trend"))=0,#N/A,INDIRECT(ADDRESS($B237+1,BX$230,1,1,"Actively Infected Trend")))</f>
        <v>0.1350990121</v>
      </c>
      <c r="BY237" s="14" cm="1">
        <f t="array" aca="1" ref="BY237" ca="1">IF(INDIRECT(ADDRESS($B237+1,BY$230,1,1,"Actively Infected Trend"))=0,#N/A,INDIRECT(ADDRESS($B237+1,BY$230,1,1,"Actively Infected Trend")))</f>
        <v>0.12699959669999999</v>
      </c>
      <c r="BZ237" s="14" cm="1">
        <f t="array" aca="1" ref="BZ237" ca="1">IF(INDIRECT(ADDRESS($B237+1,BZ$230,1,1,"Actively Infected Trend"))=0,#N/A,INDIRECT(ADDRESS($B237+1,BZ$230,1,1,"Actively Infected Trend")))</f>
        <v>0.1116447132</v>
      </c>
      <c r="CA237" s="14" cm="1">
        <f t="array" aca="1" ref="CA237" ca="1">IF(INDIRECT(ADDRESS($B237+1,CA$230,1,1,"Actively Infected Trend"))=0,#N/A,INDIRECT(ADDRESS($B237+1,CA$230,1,1,"Actively Infected Trend")))</f>
        <v>9.4004552599999999E-2</v>
      </c>
      <c r="CB237" s="14" cm="1">
        <f t="array" aca="1" ref="CB237" ca="1">IF(INDIRECT(ADDRESS($B237+1,CB$230,1,1,"Actively Infected Trend"))=0,#N/A,INDIRECT(ADDRESS($B237+1,CB$230,1,1,"Actively Infected Trend")))</f>
        <v>8.3709116200000003E-2</v>
      </c>
      <c r="CC237" s="14" cm="1">
        <f t="array" aca="1" ref="CC237" ca="1">IF(INDIRECT(ADDRESS($B237+1,CC$230,1,1,"Actively Infected Trend"))=0,#N/A,INDIRECT(ADDRESS($B237+1,CC$230,1,1,"Actively Infected Trend")))</f>
        <v>7.6152040899999995E-2</v>
      </c>
      <c r="CD237" s="14" cm="1">
        <f t="array" aca="1" ref="CD237" ca="1">IF(INDIRECT(ADDRESS($B237+1,CD$230,1,1,"Actively Infected Trend"))=0,#N/A,INDIRECT(ADDRESS($B237+1,CD$230,1,1,"Actively Infected Trend")))</f>
        <v>7.4101840299999999E-2</v>
      </c>
      <c r="CE237" s="14" cm="1">
        <f t="array" aca="1" ref="CE237" ca="1">IF(INDIRECT(ADDRESS($B237+1,CE$230,1,1,"Actively Infected Trend"))=0,#N/A,INDIRECT(ADDRESS($B237+1,CE$230,1,1,"Actively Infected Trend")))</f>
        <v>7.4354375200000003E-2</v>
      </c>
      <c r="CF237" s="14" cm="1">
        <f t="array" aca="1" ref="CF237" ca="1">IF(INDIRECT(ADDRESS($B237+1,CF$230,1,1,"Actively Infected Trend"))=0,#N/A,INDIRECT(ADDRESS($B237+1,CF$230,1,1,"Actively Infected Trend")))</f>
        <v>7.7891437100000002E-2</v>
      </c>
      <c r="CG237" s="14" cm="1">
        <f t="array" aca="1" ref="CG237" ca="1">IF(INDIRECT(ADDRESS($B237+1,CG$230,1,1,"Actively Infected Trend"))=0,#N/A,INDIRECT(ADDRESS($B237+1,CG$230,1,1,"Actively Infected Trend")))</f>
        <v>8.2935242300000003E-2</v>
      </c>
      <c r="CH237" s="14" cm="1">
        <f t="array" aca="1" ref="CH237" ca="1">IF(INDIRECT(ADDRESS($B237+1,CH$230,1,1,"Actively Infected Trend"))=0,#N/A,INDIRECT(ADDRESS($B237+1,CH$230,1,1,"Actively Infected Trend")))</f>
        <v>0.10178581220000001</v>
      </c>
      <c r="CI237" s="14" cm="1">
        <f t="array" aca="1" ref="CI237" ca="1">IF(INDIRECT(ADDRESS($B237+1,CI$230,1,1,"Actively Infected Trend"))=0,#N/A,INDIRECT(ADDRESS($B237+1,CI$230,1,1,"Actively Infected Trend")))</f>
        <v>0.12880809930000001</v>
      </c>
      <c r="CJ237" s="14" cm="1">
        <f t="array" aca="1" ref="CJ237" ca="1">IF(INDIRECT(ADDRESS($B237+1,CJ$230,1,1,"Actively Infected Trend"))=0,#N/A,INDIRECT(ADDRESS($B237+1,CJ$230,1,1,"Actively Infected Trend")))</f>
        <v>0.16174401399999999</v>
      </c>
      <c r="CK237" s="14" cm="1">
        <f t="array" aca="1" ref="CK237" ca="1">IF(INDIRECT(ADDRESS($B237+1,CK$230,1,1,"Actively Infected Trend"))=0,#N/A,INDIRECT(ADDRESS($B237+1,CK$230,1,1,"Actively Infected Trend")))</f>
        <v>0.1641939771</v>
      </c>
      <c r="CL237" s="14" cm="1">
        <f t="array" aca="1" ref="CL237" ca="1">IF(INDIRECT(ADDRESS($B237+1,CL$230,1,1,"Actively Infected Trend"))=0,#N/A,INDIRECT(ADDRESS($B237+1,CL$230,1,1,"Actively Infected Trend")))</f>
        <v>0.12850739820000001</v>
      </c>
      <c r="CM237" s="14" cm="1">
        <f t="array" aca="1" ref="CM237" ca="1">IF(INDIRECT(ADDRESS($B237+1,CM$230,1,1,"Actively Infected Trend"))=0,#N/A,INDIRECT(ADDRESS($B237+1,CM$230,1,1,"Actively Infected Trend")))</f>
        <v>0.10590794150000001</v>
      </c>
      <c r="CN237" s="14" t="e" cm="1">
        <f t="array" aca="1" ref="CN237" ca="1">IF(INDIRECT(ADDRESS($B237+1,CN$230,1,1,"Actively Infected Trend"))=0,#N/A,INDIRECT(ADDRESS($B237+1,CN$230,1,1,"Actively Infected Trend")))</f>
        <v>#N/A</v>
      </c>
      <c r="CO237" s="14" t="e" cm="1">
        <f t="array" aca="1" ref="CO237" ca="1">IF(INDIRECT(ADDRESS($B237+1,CO$230,1,1,"Actively Infected Trend"))=0,#N/A,INDIRECT(ADDRESS($B237+1,CO$230,1,1,"Actively Infected Trend")))</f>
        <v>#N/A</v>
      </c>
      <c r="CP237" s="14" t="e" cm="1">
        <f t="array" aca="1" ref="CP237" ca="1">IF(INDIRECT(ADDRESS($B237+1,CP$230,1,1,"Actively Infected Trend"))=0,#N/A,INDIRECT(ADDRESS($B237+1,CP$230,1,1,"Actively Infected Trend")))</f>
        <v>#N/A</v>
      </c>
      <c r="CQ237" s="14" t="e" cm="1">
        <f t="array" aca="1" ref="CQ237" ca="1">IF(INDIRECT(ADDRESS($B237+1,CQ$230,1,1,"Actively Infected Trend"))=0,#N/A,INDIRECT(ADDRESS($B237+1,CQ$230,1,1,"Actively Infected Trend")))</f>
        <v>#N/A</v>
      </c>
      <c r="CR237" s="14" t="e" cm="1">
        <f t="array" aca="1" ref="CR237" ca="1">IF(INDIRECT(ADDRESS($B237+1,CR$230,1,1,"Actively Infected Trend"))=0,#N/A,INDIRECT(ADDRESS($B237+1,CR$230,1,1,"Actively Infected Trend")))</f>
        <v>#N/A</v>
      </c>
    </row>
    <row r="238" spans="2:96" x14ac:dyDescent="0.25">
      <c r="B238">
        <f t="shared" si="349"/>
        <v>7</v>
      </c>
      <c r="C238" t="str" cm="1">
        <f t="array" aca="1" ref="C238" ca="1">INDIRECT(ADDRESS($B238+1,1,1,1,"Actively Infected Trend"))</f>
        <v>Germany</v>
      </c>
      <c r="E238" s="14" t="e" cm="1">
        <f t="array" aca="1" ref="E238" ca="1">IF(INDIRECT(ADDRESS($B238+1,E$230,1,1,"Actively Infected Trend"))=0,#N/A,INDIRECT(ADDRESS($B238+1,E$230,1,1,"Actively Infected Trend")))</f>
        <v>#N/A</v>
      </c>
      <c r="F238" s="14" t="e" cm="1">
        <f t="array" aca="1" ref="F238" ca="1">IF(INDIRECT(ADDRESS($B238+1,F$230,1,1,"Actively Infected Trend"))=0,#N/A,INDIRECT(ADDRESS($B238+1,F$230,1,1,"Actively Infected Trend")))</f>
        <v>#N/A</v>
      </c>
      <c r="G238" s="14" t="e" cm="1">
        <f t="array" aca="1" ref="G238" ca="1">IF(INDIRECT(ADDRESS($B238+1,G$230,1,1,"Actively Infected Trend"))=0,#N/A,INDIRECT(ADDRESS($B238+1,G$230,1,1,"Actively Infected Trend")))</f>
        <v>#N/A</v>
      </c>
      <c r="H238" s="14" t="e" cm="1">
        <f t="array" aca="1" ref="H238" ca="1">IF(INDIRECT(ADDRESS($B238+1,H$230,1,1,"Actively Infected Trend"))=0,#N/A,INDIRECT(ADDRESS($B238+1,H$230,1,1,"Actively Infected Trend")))</f>
        <v>#N/A</v>
      </c>
      <c r="I238" s="14" t="e" cm="1">
        <f t="array" aca="1" ref="I238" ca="1">IF(INDIRECT(ADDRESS($B238+1,I$230,1,1,"Actively Infected Trend"))=0,#N/A,INDIRECT(ADDRESS($B238+1,I$230,1,1,"Actively Infected Trend")))</f>
        <v>#N/A</v>
      </c>
      <c r="J238" s="14" t="e" cm="1">
        <f t="array" aca="1" ref="J238" ca="1">IF(INDIRECT(ADDRESS($B238+1,J$230,1,1,"Actively Infected Trend"))=0,#N/A,INDIRECT(ADDRESS($B238+1,J$230,1,1,"Actively Infected Trend")))</f>
        <v>#N/A</v>
      </c>
      <c r="K238" s="14" t="e" cm="1">
        <f t="array" aca="1" ref="K238" ca="1">IF(INDIRECT(ADDRESS($B238+1,K$230,1,1,"Actively Infected Trend"))=0,#N/A,INDIRECT(ADDRESS($B238+1,K$230,1,1,"Actively Infected Trend")))</f>
        <v>#N/A</v>
      </c>
      <c r="L238" s="14" t="e" cm="1">
        <f t="array" aca="1" ref="L238" ca="1">IF(INDIRECT(ADDRESS($B238+1,L$230,1,1,"Actively Infected Trend"))=0,#N/A,INDIRECT(ADDRESS($B238+1,L$230,1,1,"Actively Infected Trend")))</f>
        <v>#N/A</v>
      </c>
      <c r="M238" s="14" t="e" cm="1">
        <f t="array" aca="1" ref="M238" ca="1">IF(INDIRECT(ADDRESS($B238+1,M$230,1,1,"Actively Infected Trend"))=0,#N/A,INDIRECT(ADDRESS($B238+1,M$230,1,1,"Actively Infected Trend")))</f>
        <v>#N/A</v>
      </c>
      <c r="N238" s="14" t="e" cm="1">
        <f t="array" aca="1" ref="N238" ca="1">IF(INDIRECT(ADDRESS($B238+1,N$230,1,1,"Actively Infected Trend"))=0,#N/A,INDIRECT(ADDRESS($B238+1,N$230,1,1,"Actively Infected Trend")))</f>
        <v>#N/A</v>
      </c>
      <c r="O238" s="14" t="e" cm="1">
        <f t="array" aca="1" ref="O238" ca="1">IF(INDIRECT(ADDRESS($B238+1,O$230,1,1,"Actively Infected Trend"))=0,#N/A,INDIRECT(ADDRESS($B238+1,O$230,1,1,"Actively Infected Trend")))</f>
        <v>#N/A</v>
      </c>
      <c r="P238" s="14" t="e" cm="1">
        <f t="array" aca="1" ref="P238" ca="1">IF(INDIRECT(ADDRESS($B238+1,P$230,1,1,"Actively Infected Trend"))=0,#N/A,INDIRECT(ADDRESS($B238+1,P$230,1,1,"Actively Infected Trend")))</f>
        <v>#N/A</v>
      </c>
      <c r="Q238" s="14" t="e" cm="1">
        <f t="array" aca="1" ref="Q238" ca="1">IF(INDIRECT(ADDRESS($B238+1,Q$230,1,1,"Actively Infected Trend"))=0,#N/A,INDIRECT(ADDRESS($B238+1,Q$230,1,1,"Actively Infected Trend")))</f>
        <v>#N/A</v>
      </c>
      <c r="R238" s="14" t="e" cm="1">
        <f t="array" aca="1" ref="R238" ca="1">IF(INDIRECT(ADDRESS($B238+1,R$230,1,1,"Actively Infected Trend"))=0,#N/A,INDIRECT(ADDRESS($B238+1,R$230,1,1,"Actively Infected Trend")))</f>
        <v>#N/A</v>
      </c>
      <c r="S238" s="14" t="e" cm="1">
        <f t="array" aca="1" ref="S238" ca="1">IF(INDIRECT(ADDRESS($B238+1,S$230,1,1,"Actively Infected Trend"))=0,#N/A,INDIRECT(ADDRESS($B238+1,S$230,1,1,"Actively Infected Trend")))</f>
        <v>#N/A</v>
      </c>
      <c r="T238" s="14" t="e" cm="1">
        <f t="array" aca="1" ref="T238" ca="1">IF(INDIRECT(ADDRESS($B238+1,T$230,1,1,"Actively Infected Trend"))=0,#N/A,INDIRECT(ADDRESS($B238+1,T$230,1,1,"Actively Infected Trend")))</f>
        <v>#N/A</v>
      </c>
      <c r="U238" s="14" t="e" cm="1">
        <f t="array" aca="1" ref="U238" ca="1">IF(INDIRECT(ADDRESS($B238+1,U$230,1,1,"Actively Infected Trend"))=0,#N/A,INDIRECT(ADDRESS($B238+1,U$230,1,1,"Actively Infected Trend")))</f>
        <v>#N/A</v>
      </c>
      <c r="V238" s="14" cm="1">
        <f t="array" aca="1" ref="V238" ca="1">IF(INDIRECT(ADDRESS($B238+1,V$230,1,1,"Actively Infected Trend"))=0,#N/A,INDIRECT(ADDRESS($B238+1,V$230,1,1,"Actively Infected Trend")))</f>
        <v>3.4653119099999997E-2</v>
      </c>
      <c r="W238" s="14" cm="1">
        <f t="array" aca="1" ref="W238" ca="1">IF(INDIRECT(ADDRESS($B238+1,W$230,1,1,"Actively Infected Trend"))=0,#N/A,INDIRECT(ADDRESS($B238+1,W$230,1,1,"Actively Infected Trend")))</f>
        <v>2.4588365300000001E-2</v>
      </c>
      <c r="X238" s="14" cm="1">
        <f t="array" aca="1" ref="X238" ca="1">IF(INDIRECT(ADDRESS($B238+1,X$230,1,1,"Actively Infected Trend"))=0,#N/A,INDIRECT(ADDRESS($B238+1,X$230,1,1,"Actively Infected Trend")))</f>
        <v>3.4055880900000002E-2</v>
      </c>
      <c r="Y238" s="14" cm="1">
        <f t="array" aca="1" ref="Y238" ca="1">IF(INDIRECT(ADDRESS($B238+1,Y$230,1,1,"Actively Infected Trend"))=0,#N/A,INDIRECT(ADDRESS($B238+1,Y$230,1,1,"Actively Infected Trend")))</f>
        <v>5.5288550399999997E-2</v>
      </c>
      <c r="Z238" s="14" cm="1">
        <f t="array" aca="1" ref="Z238" ca="1">IF(INDIRECT(ADDRESS($B238+1,Z$230,1,1,"Actively Infected Trend"))=0,#N/A,INDIRECT(ADDRESS($B238+1,Z$230,1,1,"Actively Infected Trend")))</f>
        <v>6.3633986000000003E-2</v>
      </c>
      <c r="AA238" s="14" cm="1">
        <f t="array" aca="1" ref="AA238" ca="1">IF(INDIRECT(ADDRESS($B238+1,AA$230,1,1,"Actively Infected Trend"))=0,#N/A,INDIRECT(ADDRESS($B238+1,AA$230,1,1,"Actively Infected Trend")))</f>
        <v>6.2668965100000001E-2</v>
      </c>
      <c r="AB238" s="14" cm="1">
        <f t="array" aca="1" ref="AB238" ca="1">IF(INDIRECT(ADDRESS($B238+1,AB$230,1,1,"Actively Infected Trend"))=0,#N/A,INDIRECT(ADDRESS($B238+1,AB$230,1,1,"Actively Infected Trend")))</f>
        <v>4.7981168300000002E-2</v>
      </c>
      <c r="AC238" s="14" cm="1">
        <f t="array" aca="1" ref="AC238" ca="1">IF(INDIRECT(ADDRESS($B238+1,AC$230,1,1,"Actively Infected Trend"))=0,#N/A,INDIRECT(ADDRESS($B238+1,AC$230,1,1,"Actively Infected Trend")))</f>
        <v>3.8624799699999997E-2</v>
      </c>
      <c r="AD238" s="14" cm="1">
        <f t="array" aca="1" ref="AD238" ca="1">IF(INDIRECT(ADDRESS($B238+1,AD$230,1,1,"Actively Infected Trend"))=0,#N/A,INDIRECT(ADDRESS($B238+1,AD$230,1,1,"Actively Infected Trend")))</f>
        <v>2.4063154E-2</v>
      </c>
      <c r="AE238" s="14" cm="1">
        <f t="array" aca="1" ref="AE238" ca="1">IF(INDIRECT(ADDRESS($B238+1,AE$230,1,1,"Actively Infected Trend"))=0,#N/A,INDIRECT(ADDRESS($B238+1,AE$230,1,1,"Actively Infected Trend")))</f>
        <v>1.6378665000000001E-2</v>
      </c>
      <c r="AF238" s="14" cm="1">
        <f t="array" aca="1" ref="AF238" ca="1">IF(INDIRECT(ADDRESS($B238+1,AF$230,1,1,"Actively Infected Trend"))=0,#N/A,INDIRECT(ADDRESS($B238+1,AF$230,1,1,"Actively Infected Trend")))</f>
        <v>1.7065698800000001E-2</v>
      </c>
      <c r="AG238" s="14" cm="1">
        <f t="array" aca="1" ref="AG238" ca="1">IF(INDIRECT(ADDRESS($B238+1,AG$230,1,1,"Actively Infected Trend"))=0,#N/A,INDIRECT(ADDRESS($B238+1,AG$230,1,1,"Actively Infected Trend")))</f>
        <v>1.78130097E-2</v>
      </c>
      <c r="AH238" s="14" cm="1">
        <f t="array" aca="1" ref="AH238" ca="1">IF(INDIRECT(ADDRESS($B238+1,AH$230,1,1,"Actively Infected Trend"))=0,#N/A,INDIRECT(ADDRESS($B238+1,AH$230,1,1,"Actively Infected Trend")))</f>
        <v>1.8628891700000001E-2</v>
      </c>
      <c r="AI238" s="14" cm="1">
        <f t="array" aca="1" ref="AI238" ca="1">IF(INDIRECT(ADDRESS($B238+1,AI$230,1,1,"Actively Infected Trend"))=0,#N/A,INDIRECT(ADDRESS($B238+1,AI$230,1,1,"Actively Infected Trend")))</f>
        <v>1.9523234699999999E-2</v>
      </c>
      <c r="AJ238" s="14" cm="1">
        <f t="array" aca="1" ref="AJ238" ca="1">IF(INDIRECT(ADDRESS($B238+1,AJ$230,1,1,"Actively Infected Trend"))=0,#N/A,INDIRECT(ADDRESS($B238+1,AJ$230,1,1,"Actively Infected Trend")))</f>
        <v>2.20683136E-2</v>
      </c>
      <c r="AK238" s="14" cm="1">
        <f t="array" aca="1" ref="AK238" ca="1">IF(INDIRECT(ADDRESS($B238+1,AK$230,1,1,"Actively Infected Trend"))=0,#N/A,INDIRECT(ADDRESS($B238+1,AK$230,1,1,"Actively Infected Trend")))</f>
        <v>2.5376929600000001E-2</v>
      </c>
      <c r="AL238" s="14" cm="1">
        <f t="array" aca="1" ref="AL238" ca="1">IF(INDIRECT(ADDRESS($B238+1,AL$230,1,1,"Actively Infected Trend"))=0,#N/A,INDIRECT(ADDRESS($B238+1,AL$230,1,1,"Actively Infected Trend")))</f>
        <v>3.7593055899999998E-2</v>
      </c>
      <c r="AM238" s="14" cm="1">
        <f t="array" aca="1" ref="AM238" ca="1">IF(INDIRECT(ADDRESS($B238+1,AM$230,1,1,"Actively Infected Trend"))=0,#N/A,INDIRECT(ADDRESS($B238+1,AM$230,1,1,"Actively Infected Trend")))</f>
        <v>7.2496314699999995E-2</v>
      </c>
      <c r="AN238" s="14" cm="1">
        <f t="array" aca="1" ref="AN238" ca="1">IF(INDIRECT(ADDRESS($B238+1,AN$230,1,1,"Actively Infected Trend"))=0,#N/A,INDIRECT(ADDRESS($B238+1,AN$230,1,1,"Actively Infected Trend")))</f>
        <v>0.1233124793</v>
      </c>
      <c r="AO238" s="14" cm="1">
        <f t="array" aca="1" ref="AO238" ca="1">IF(INDIRECT(ADDRESS($B238+1,AO$230,1,1,"Actively Infected Trend"))=0,#N/A,INDIRECT(ADDRESS($B238+1,AO$230,1,1,"Actively Infected Trend")))</f>
        <v>0.24070345979999999</v>
      </c>
      <c r="AP238" s="14" cm="1">
        <f t="array" aca="1" ref="AP238" ca="1">IF(INDIRECT(ADDRESS($B238+1,AP$230,1,1,"Actively Infected Trend"))=0,#N/A,INDIRECT(ADDRESS($B238+1,AP$230,1,1,"Actively Infected Trend")))</f>
        <v>0.368033422</v>
      </c>
      <c r="AQ238" s="14" cm="1">
        <f t="array" aca="1" ref="AQ238" ca="1">IF(INDIRECT(ADDRESS($B238+1,AQ$230,1,1,"Actively Infected Trend"))=0,#N/A,INDIRECT(ADDRESS($B238+1,AQ$230,1,1,"Actively Infected Trend")))</f>
        <v>0.4516606567</v>
      </c>
      <c r="AR238" s="14" cm="1">
        <f t="array" aca="1" ref="AR238" ca="1">IF(INDIRECT(ADDRESS($B238+1,AR$230,1,1,"Actively Infected Trend"))=0,#N/A,INDIRECT(ADDRESS($B238+1,AR$230,1,1,"Actively Infected Trend")))</f>
        <v>0.49544388719999999</v>
      </c>
      <c r="AS238" s="14" cm="1">
        <f t="array" aca="1" ref="AS238" ca="1">IF(INDIRECT(ADDRESS($B238+1,AS$230,1,1,"Actively Infected Trend"))=0,#N/A,INDIRECT(ADDRESS($B238+1,AS$230,1,1,"Actively Infected Trend")))</f>
        <v>0.47063357509999998</v>
      </c>
      <c r="AT238" s="14" cm="1">
        <f t="array" aca="1" ref="AT238" ca="1">IF(INDIRECT(ADDRESS($B238+1,AT$230,1,1,"Actively Infected Trend"))=0,#N/A,INDIRECT(ADDRESS($B238+1,AT$230,1,1,"Actively Infected Trend")))</f>
        <v>0.45308591609999999</v>
      </c>
      <c r="AU238" s="14" cm="1">
        <f t="array" aca="1" ref="AU238" ca="1">IF(INDIRECT(ADDRESS($B238+1,AU$230,1,1,"Actively Infected Trend"))=0,#N/A,INDIRECT(ADDRESS($B238+1,AU$230,1,1,"Actively Infected Trend")))</f>
        <v>0.39949929779999999</v>
      </c>
      <c r="AV238" s="14" cm="1">
        <f t="array" aca="1" ref="AV238" ca="1">IF(INDIRECT(ADDRESS($B238+1,AV$230,1,1,"Actively Infected Trend"))=0,#N/A,INDIRECT(ADDRESS($B238+1,AV$230,1,1,"Actively Infected Trend")))</f>
        <v>0.3966199661</v>
      </c>
      <c r="AW238" s="14" cm="1">
        <f t="array" aca="1" ref="AW238" ca="1">IF(INDIRECT(ADDRESS($B238+1,AW$230,1,1,"Actively Infected Trend"))=0,#N/A,INDIRECT(ADDRESS($B238+1,AW$230,1,1,"Actively Infected Trend")))</f>
        <v>0.41030791490000001</v>
      </c>
      <c r="AX238" s="14" cm="1">
        <f t="array" aca="1" ref="AX238" ca="1">IF(INDIRECT(ADDRESS($B238+1,AX$230,1,1,"Actively Infected Trend"))=0,#N/A,INDIRECT(ADDRESS($B238+1,AX$230,1,1,"Actively Infected Trend")))</f>
        <v>0.42514562900000002</v>
      </c>
      <c r="AY238" s="14" cm="1">
        <f t="array" aca="1" ref="AY238" ca="1">IF(INDIRECT(ADDRESS($B238+1,AY$230,1,1,"Actively Infected Trend"))=0,#N/A,INDIRECT(ADDRESS($B238+1,AY$230,1,1,"Actively Infected Trend")))</f>
        <v>0.42697147009999997</v>
      </c>
      <c r="AZ238" s="14" cm="1">
        <f t="array" aca="1" ref="AZ238" ca="1">IF(INDIRECT(ADDRESS($B238+1,AZ$230,1,1,"Actively Infected Trend"))=0,#N/A,INDIRECT(ADDRESS($B238+1,AZ$230,1,1,"Actively Infected Trend")))</f>
        <v>0.34319841000000001</v>
      </c>
      <c r="BA238" s="14" cm="1">
        <f t="array" aca="1" ref="BA238" ca="1">IF(INDIRECT(ADDRESS($B238+1,BA$230,1,1,"Actively Infected Trend"))=0,#N/A,INDIRECT(ADDRESS($B238+1,BA$230,1,1,"Actively Infected Trend")))</f>
        <v>0.27271169010000001</v>
      </c>
      <c r="BB238" s="14" cm="1">
        <f t="array" aca="1" ref="BB238" ca="1">IF(INDIRECT(ADDRESS($B238+1,BB$230,1,1,"Actively Infected Trend"))=0,#N/A,INDIRECT(ADDRESS($B238+1,BB$230,1,1,"Actively Infected Trend")))</f>
        <v>0.23853648120000001</v>
      </c>
      <c r="BC238" s="14" cm="1">
        <f t="array" aca="1" ref="BC238" ca="1">IF(INDIRECT(ADDRESS($B238+1,BC$230,1,1,"Actively Infected Trend"))=0,#N/A,INDIRECT(ADDRESS($B238+1,BC$230,1,1,"Actively Infected Trend")))</f>
        <v>0.21846072520000001</v>
      </c>
      <c r="BD238" s="14" cm="1">
        <f t="array" aca="1" ref="BD238" ca="1">IF(INDIRECT(ADDRESS($B238+1,BD$230,1,1,"Actively Infected Trend"))=0,#N/A,INDIRECT(ADDRESS($B238+1,BD$230,1,1,"Actively Infected Trend")))</f>
        <v>0.26602740619999998</v>
      </c>
      <c r="BE238" s="14" cm="1">
        <f t="array" aca="1" ref="BE238" ca="1">IF(INDIRECT(ADDRESS($B238+1,BE$230,1,1,"Actively Infected Trend"))=0,#N/A,INDIRECT(ADDRESS($B238+1,BE$230,1,1,"Actively Infected Trend")))</f>
        <v>0.3004272831</v>
      </c>
      <c r="BF238" s="14" cm="1">
        <f t="array" aca="1" ref="BF238" ca="1">IF(INDIRECT(ADDRESS($B238+1,BF$230,1,1,"Actively Infected Trend"))=0,#N/A,INDIRECT(ADDRESS($B238+1,BF$230,1,1,"Actively Infected Trend")))</f>
        <v>0.33387559360000002</v>
      </c>
      <c r="BG238" s="14" cm="1">
        <f t="array" aca="1" ref="BG238" ca="1">IF(INDIRECT(ADDRESS($B238+1,BG$230,1,1,"Actively Infected Trend"))=0,#N/A,INDIRECT(ADDRESS($B238+1,BG$230,1,1,"Actively Infected Trend")))</f>
        <v>0.34960184960000001</v>
      </c>
      <c r="BH238" s="14" cm="1">
        <f t="array" aca="1" ref="BH238" ca="1">IF(INDIRECT(ADDRESS($B238+1,BH$230,1,1,"Actively Infected Trend"))=0,#N/A,INDIRECT(ADDRESS($B238+1,BH$230,1,1,"Actively Infected Trend")))</f>
        <v>0.31316752170000001</v>
      </c>
      <c r="BI238" s="14" cm="1">
        <f t="array" aca="1" ref="BI238" ca="1">IF(INDIRECT(ADDRESS($B238+1,BI$230,1,1,"Actively Infected Trend"))=0,#N/A,INDIRECT(ADDRESS($B238+1,BI$230,1,1,"Actively Infected Trend")))</f>
        <v>0.29891067919999997</v>
      </c>
      <c r="BJ238" s="14" cm="1">
        <f t="array" aca="1" ref="BJ238" ca="1">IF(INDIRECT(ADDRESS($B238+1,BJ$230,1,1,"Actively Infected Trend"))=0,#N/A,INDIRECT(ADDRESS($B238+1,BJ$230,1,1,"Actively Infected Trend")))</f>
        <v>0.2818144413</v>
      </c>
      <c r="BK238" s="14" cm="1">
        <f t="array" aca="1" ref="BK238" ca="1">IF(INDIRECT(ADDRESS($B238+1,BK$230,1,1,"Actively Infected Trend"))=0,#N/A,INDIRECT(ADDRESS($B238+1,BK$230,1,1,"Actively Infected Trend")))</f>
        <v>0.29055558479999999</v>
      </c>
      <c r="BL238" s="14" cm="1">
        <f t="array" aca="1" ref="BL238" ca="1">IF(INDIRECT(ADDRESS($B238+1,BL$230,1,1,"Actively Infected Trend"))=0,#N/A,INDIRECT(ADDRESS($B238+1,BL$230,1,1,"Actively Infected Trend")))</f>
        <v>0.27612253139999998</v>
      </c>
      <c r="BM238" s="14" cm="1">
        <f t="array" aca="1" ref="BM238" ca="1">IF(INDIRECT(ADDRESS($B238+1,BM$230,1,1,"Actively Infected Trend"))=0,#N/A,INDIRECT(ADDRESS($B238+1,BM$230,1,1,"Actively Infected Trend")))</f>
        <v>0.24432226679999999</v>
      </c>
      <c r="BN238" s="14" cm="1">
        <f t="array" aca="1" ref="BN238" ca="1">IF(INDIRECT(ADDRESS($B238+1,BN$230,1,1,"Actively Infected Trend"))=0,#N/A,INDIRECT(ADDRESS($B238+1,BN$230,1,1,"Actively Infected Trend")))</f>
        <v>0.2068719383</v>
      </c>
      <c r="BO238" s="14" cm="1">
        <f t="array" aca="1" ref="BO238" ca="1">IF(INDIRECT(ADDRESS($B238+1,BO$230,1,1,"Actively Infected Trend"))=0,#N/A,INDIRECT(ADDRESS($B238+1,BO$230,1,1,"Actively Infected Trend")))</f>
        <v>0.170622107</v>
      </c>
      <c r="BP238" s="14" cm="1">
        <f t="array" aca="1" ref="BP238" ca="1">IF(INDIRECT(ADDRESS($B238+1,BP$230,1,1,"Actively Infected Trend"))=0,#N/A,INDIRECT(ADDRESS($B238+1,BP$230,1,1,"Actively Infected Trend")))</f>
        <v>0.15506697999999999</v>
      </c>
      <c r="BQ238" s="14" cm="1">
        <f t="array" aca="1" ref="BQ238" ca="1">IF(INDIRECT(ADDRESS($B238+1,BQ$230,1,1,"Actively Infected Trend"))=0,#N/A,INDIRECT(ADDRESS($B238+1,BQ$230,1,1,"Actively Infected Trend")))</f>
        <v>0.15010780770000001</v>
      </c>
      <c r="BR238" s="14" cm="1">
        <f t="array" aca="1" ref="BR238" ca="1">IF(INDIRECT(ADDRESS($B238+1,BR$230,1,1,"Actively Infected Trend"))=0,#N/A,INDIRECT(ADDRESS($B238+1,BR$230,1,1,"Actively Infected Trend")))</f>
        <v>0.1592509144</v>
      </c>
      <c r="BS238" s="14" cm="1">
        <f t="array" aca="1" ref="BS238" ca="1">IF(INDIRECT(ADDRESS($B238+1,BS$230,1,1,"Actively Infected Trend"))=0,#N/A,INDIRECT(ADDRESS($B238+1,BS$230,1,1,"Actively Infected Trend")))</f>
        <v>0.16395324650000001</v>
      </c>
      <c r="BT238" s="14" cm="1">
        <f t="array" aca="1" ref="BT238" ca="1">IF(INDIRECT(ADDRESS($B238+1,BT$230,1,1,"Actively Infected Trend"))=0,#N/A,INDIRECT(ADDRESS($B238+1,BT$230,1,1,"Actively Infected Trend")))</f>
        <v>0.15969155269999999</v>
      </c>
      <c r="BU238" s="14" cm="1">
        <f t="array" aca="1" ref="BU238" ca="1">IF(INDIRECT(ADDRESS($B238+1,BU$230,1,1,"Actively Infected Trend"))=0,#N/A,INDIRECT(ADDRESS($B238+1,BU$230,1,1,"Actively Infected Trend")))</f>
        <v>0.14653544360000001</v>
      </c>
      <c r="BV238" s="14" cm="1">
        <f t="array" aca="1" ref="BV238" ca="1">IF(INDIRECT(ADDRESS($B238+1,BV$230,1,1,"Actively Infected Trend"))=0,#N/A,INDIRECT(ADDRESS($B238+1,BV$230,1,1,"Actively Infected Trend")))</f>
        <v>0.12660023770000001</v>
      </c>
      <c r="BW238" s="14" cm="1">
        <f t="array" aca="1" ref="BW238" ca="1">IF(INDIRECT(ADDRESS($B238+1,BW$230,1,1,"Actively Infected Trend"))=0,#N/A,INDIRECT(ADDRESS($B238+1,BW$230,1,1,"Actively Infected Trend")))</f>
        <v>0.1088666581</v>
      </c>
      <c r="BX238" s="14" cm="1">
        <f t="array" aca="1" ref="BX238" ca="1">IF(INDIRECT(ADDRESS($B238+1,BX$230,1,1,"Actively Infected Trend"))=0,#N/A,INDIRECT(ADDRESS($B238+1,BX$230,1,1,"Actively Infected Trend")))</f>
        <v>0.1008816446</v>
      </c>
      <c r="BY238" s="14" cm="1">
        <f t="array" aca="1" ref="BY238" ca="1">IF(INDIRECT(ADDRESS($B238+1,BY$230,1,1,"Actively Infected Trend"))=0,#N/A,INDIRECT(ADDRESS($B238+1,BY$230,1,1,"Actively Infected Trend")))</f>
        <v>0.1020702941</v>
      </c>
      <c r="BZ238" s="14" cm="1">
        <f t="array" aca="1" ref="BZ238" ca="1">IF(INDIRECT(ADDRESS($B238+1,BZ$230,1,1,"Actively Infected Trend"))=0,#N/A,INDIRECT(ADDRESS($B238+1,BZ$230,1,1,"Actively Infected Trend")))</f>
        <v>0.1026050585</v>
      </c>
      <c r="CA238" s="14" cm="1">
        <f t="array" aca="1" ref="CA238" ca="1">IF(INDIRECT(ADDRESS($B238+1,CA$230,1,1,"Actively Infected Trend"))=0,#N/A,INDIRECT(ADDRESS($B238+1,CA$230,1,1,"Actively Infected Trend")))</f>
        <v>9.7507640899999998E-2</v>
      </c>
      <c r="CB238" s="14" cm="1">
        <f t="array" aca="1" ref="CB238" ca="1">IF(INDIRECT(ADDRESS($B238+1,CB$230,1,1,"Actively Infected Trend"))=0,#N/A,INDIRECT(ADDRESS($B238+1,CB$230,1,1,"Actively Infected Trend")))</f>
        <v>8.7884778699999999E-2</v>
      </c>
      <c r="CC238" s="14" cm="1">
        <f t="array" aca="1" ref="CC238" ca="1">IF(INDIRECT(ADDRESS($B238+1,CC$230,1,1,"Actively Infected Trend"))=0,#N/A,INDIRECT(ADDRESS($B238+1,CC$230,1,1,"Actively Infected Trend")))</f>
        <v>7.5306614999999993E-2</v>
      </c>
      <c r="CD238" s="14" cm="1">
        <f t="array" aca="1" ref="CD238" ca="1">IF(INDIRECT(ADDRESS($B238+1,CD$230,1,1,"Actively Infected Trend"))=0,#N/A,INDIRECT(ADDRESS($B238+1,CD$230,1,1,"Actively Infected Trend")))</f>
        <v>6.7004044200000001E-2</v>
      </c>
      <c r="CE238" s="14" cm="1">
        <f t="array" aca="1" ref="CE238" ca="1">IF(INDIRECT(ADDRESS($B238+1,CE$230,1,1,"Actively Infected Trend"))=0,#N/A,INDIRECT(ADDRESS($B238+1,CE$230,1,1,"Actively Infected Trend")))</f>
        <v>6.7296067900000006E-2</v>
      </c>
      <c r="CF238" s="14" cm="1">
        <f t="array" aca="1" ref="CF238" ca="1">IF(INDIRECT(ADDRESS($B238+1,CF$230,1,1,"Actively Infected Trend"))=0,#N/A,INDIRECT(ADDRESS($B238+1,CF$230,1,1,"Actively Infected Trend")))</f>
        <v>7.2556612899999998E-2</v>
      </c>
      <c r="CG238" s="14" cm="1">
        <f t="array" aca="1" ref="CG238" ca="1">IF(INDIRECT(ADDRESS($B238+1,CG$230,1,1,"Actively Infected Trend"))=0,#N/A,INDIRECT(ADDRESS($B238+1,CG$230,1,1,"Actively Infected Trend")))</f>
        <v>7.5988481600000005E-2</v>
      </c>
      <c r="CH238" s="14" cm="1">
        <f t="array" aca="1" ref="CH238" ca="1">IF(INDIRECT(ADDRESS($B238+1,CH$230,1,1,"Actively Infected Trend"))=0,#N/A,INDIRECT(ADDRESS($B238+1,CH$230,1,1,"Actively Infected Trend")))</f>
        <v>7.1761425700000006E-2</v>
      </c>
      <c r="CI238" s="14" cm="1">
        <f t="array" aca="1" ref="CI238" ca="1">IF(INDIRECT(ADDRESS($B238+1,CI$230,1,1,"Actively Infected Trend"))=0,#N/A,INDIRECT(ADDRESS($B238+1,CI$230,1,1,"Actively Infected Trend")))</f>
        <v>6.3321756100000001E-2</v>
      </c>
      <c r="CJ238" s="14" cm="1">
        <f t="array" aca="1" ref="CJ238" ca="1">IF(INDIRECT(ADDRESS($B238+1,CJ$230,1,1,"Actively Infected Trend"))=0,#N/A,INDIRECT(ADDRESS($B238+1,CJ$230,1,1,"Actively Infected Trend")))</f>
        <v>5.3585609700000002E-2</v>
      </c>
      <c r="CK238" s="14" cm="1">
        <f t="array" aca="1" ref="CK238" ca="1">IF(INDIRECT(ADDRESS($B238+1,CK$230,1,1,"Actively Infected Trend"))=0,#N/A,INDIRECT(ADDRESS($B238+1,CK$230,1,1,"Actively Infected Trend")))</f>
        <v>4.8624727800000003E-2</v>
      </c>
      <c r="CL238" s="14" cm="1">
        <f t="array" aca="1" ref="CL238" ca="1">IF(INDIRECT(ADDRESS($B238+1,CL$230,1,1,"Actively Infected Trend"))=0,#N/A,INDIRECT(ADDRESS($B238+1,CL$230,1,1,"Actively Infected Trend")))</f>
        <v>4.8730444300000002E-2</v>
      </c>
      <c r="CM238" s="14" cm="1">
        <f t="array" aca="1" ref="CM238" ca="1">IF(INDIRECT(ADDRESS($B238+1,CM$230,1,1,"Actively Infected Trend"))=0,#N/A,INDIRECT(ADDRESS($B238+1,CM$230,1,1,"Actively Infected Trend")))</f>
        <v>5.5348495900000003E-2</v>
      </c>
      <c r="CN238" s="14" t="e" cm="1">
        <f t="array" aca="1" ref="CN238" ca="1">IF(INDIRECT(ADDRESS($B238+1,CN$230,1,1,"Actively Infected Trend"))=0,#N/A,INDIRECT(ADDRESS($B238+1,CN$230,1,1,"Actively Infected Trend")))</f>
        <v>#N/A</v>
      </c>
      <c r="CO238" s="14" t="e" cm="1">
        <f t="array" aca="1" ref="CO238" ca="1">IF(INDIRECT(ADDRESS($B238+1,CO$230,1,1,"Actively Infected Trend"))=0,#N/A,INDIRECT(ADDRESS($B238+1,CO$230,1,1,"Actively Infected Trend")))</f>
        <v>#N/A</v>
      </c>
      <c r="CP238" s="14" t="e" cm="1">
        <f t="array" aca="1" ref="CP238" ca="1">IF(INDIRECT(ADDRESS($B238+1,CP$230,1,1,"Actively Infected Trend"))=0,#N/A,INDIRECT(ADDRESS($B238+1,CP$230,1,1,"Actively Infected Trend")))</f>
        <v>#N/A</v>
      </c>
      <c r="CQ238" s="14" t="e" cm="1">
        <f t="array" aca="1" ref="CQ238" ca="1">IF(INDIRECT(ADDRESS($B238+1,CQ$230,1,1,"Actively Infected Trend"))=0,#N/A,INDIRECT(ADDRESS($B238+1,CQ$230,1,1,"Actively Infected Trend")))</f>
        <v>#N/A</v>
      </c>
      <c r="CR238" s="14" t="e" cm="1">
        <f t="array" aca="1" ref="CR238" ca="1">IF(INDIRECT(ADDRESS($B238+1,CR$230,1,1,"Actively Infected Trend"))=0,#N/A,INDIRECT(ADDRESS($B238+1,CR$230,1,1,"Actively Infected Trend")))</f>
        <v>#N/A</v>
      </c>
    </row>
    <row r="239" spans="2:96" x14ac:dyDescent="0.25">
      <c r="B239">
        <f t="shared" si="349"/>
        <v>8</v>
      </c>
      <c r="C239" t="str" cm="1">
        <f t="array" aca="1" ref="C239" ca="1">INDIRECT(ADDRESS($B239+1,1,1,1,"Actively Infected Trend"))</f>
        <v>India</v>
      </c>
      <c r="E239" s="14" t="e" cm="1">
        <f t="array" aca="1" ref="E239" ca="1">IF(INDIRECT(ADDRESS($B239+1,E$230,1,1,"Actively Infected Trend"))=0,#N/A,INDIRECT(ADDRESS($B239+1,E$230,1,1,"Actively Infected Trend")))</f>
        <v>#N/A</v>
      </c>
      <c r="F239" s="14" t="e" cm="1">
        <f t="array" aca="1" ref="F239" ca="1">IF(INDIRECT(ADDRESS($B239+1,F$230,1,1,"Actively Infected Trend"))=0,#N/A,INDIRECT(ADDRESS($B239+1,F$230,1,1,"Actively Infected Trend")))</f>
        <v>#N/A</v>
      </c>
      <c r="G239" s="14" t="e" cm="1">
        <f t="array" aca="1" ref="G239" ca="1">IF(INDIRECT(ADDRESS($B239+1,G$230,1,1,"Actively Infected Trend"))=0,#N/A,INDIRECT(ADDRESS($B239+1,G$230,1,1,"Actively Infected Trend")))</f>
        <v>#N/A</v>
      </c>
      <c r="H239" s="14" t="e" cm="1">
        <f t="array" aca="1" ref="H239" ca="1">IF(INDIRECT(ADDRESS($B239+1,H$230,1,1,"Actively Infected Trend"))=0,#N/A,INDIRECT(ADDRESS($B239+1,H$230,1,1,"Actively Infected Trend")))</f>
        <v>#N/A</v>
      </c>
      <c r="I239" s="14" t="e" cm="1">
        <f t="array" aca="1" ref="I239" ca="1">IF(INDIRECT(ADDRESS($B239+1,I$230,1,1,"Actively Infected Trend"))=0,#N/A,INDIRECT(ADDRESS($B239+1,I$230,1,1,"Actively Infected Trend")))</f>
        <v>#N/A</v>
      </c>
      <c r="J239" s="14" t="e" cm="1">
        <f t="array" aca="1" ref="J239" ca="1">IF(INDIRECT(ADDRESS($B239+1,J$230,1,1,"Actively Infected Trend"))=0,#N/A,INDIRECT(ADDRESS($B239+1,J$230,1,1,"Actively Infected Trend")))</f>
        <v>#N/A</v>
      </c>
      <c r="K239" s="14" t="e" cm="1">
        <f t="array" aca="1" ref="K239" ca="1">IF(INDIRECT(ADDRESS($B239+1,K$230,1,1,"Actively Infected Trend"))=0,#N/A,INDIRECT(ADDRESS($B239+1,K$230,1,1,"Actively Infected Trend")))</f>
        <v>#N/A</v>
      </c>
      <c r="L239" s="14" t="e" cm="1">
        <f t="array" aca="1" ref="L239" ca="1">IF(INDIRECT(ADDRESS($B239+1,L$230,1,1,"Actively Infected Trend"))=0,#N/A,INDIRECT(ADDRESS($B239+1,L$230,1,1,"Actively Infected Trend")))</f>
        <v>#N/A</v>
      </c>
      <c r="M239" s="14" t="e" cm="1">
        <f t="array" aca="1" ref="M239" ca="1">IF(INDIRECT(ADDRESS($B239+1,M$230,1,1,"Actively Infected Trend"))=0,#N/A,INDIRECT(ADDRESS($B239+1,M$230,1,1,"Actively Infected Trend")))</f>
        <v>#N/A</v>
      </c>
      <c r="N239" s="14" t="e" cm="1">
        <f t="array" aca="1" ref="N239" ca="1">IF(INDIRECT(ADDRESS($B239+1,N$230,1,1,"Actively Infected Trend"))=0,#N/A,INDIRECT(ADDRESS($B239+1,N$230,1,1,"Actively Infected Trend")))</f>
        <v>#N/A</v>
      </c>
      <c r="O239" s="14" t="e" cm="1">
        <f t="array" aca="1" ref="O239" ca="1">IF(INDIRECT(ADDRESS($B239+1,O$230,1,1,"Actively Infected Trend"))=0,#N/A,INDIRECT(ADDRESS($B239+1,O$230,1,1,"Actively Infected Trend")))</f>
        <v>#N/A</v>
      </c>
      <c r="P239" s="14" t="e" cm="1">
        <f t="array" aca="1" ref="P239" ca="1">IF(INDIRECT(ADDRESS($B239+1,P$230,1,1,"Actively Infected Trend"))=0,#N/A,INDIRECT(ADDRESS($B239+1,P$230,1,1,"Actively Infected Trend")))</f>
        <v>#N/A</v>
      </c>
      <c r="Q239" s="14" t="e" cm="1">
        <f t="array" aca="1" ref="Q239" ca="1">IF(INDIRECT(ADDRESS($B239+1,Q$230,1,1,"Actively Infected Trend"))=0,#N/A,INDIRECT(ADDRESS($B239+1,Q$230,1,1,"Actively Infected Trend")))</f>
        <v>#N/A</v>
      </c>
      <c r="R239" s="14" t="e" cm="1">
        <f t="array" aca="1" ref="R239" ca="1">IF(INDIRECT(ADDRESS($B239+1,R$230,1,1,"Actively Infected Trend"))=0,#N/A,INDIRECT(ADDRESS($B239+1,R$230,1,1,"Actively Infected Trend")))</f>
        <v>#N/A</v>
      </c>
      <c r="S239" s="14" t="e" cm="1">
        <f t="array" aca="1" ref="S239" ca="1">IF(INDIRECT(ADDRESS($B239+1,S$230,1,1,"Actively Infected Trend"))=0,#N/A,INDIRECT(ADDRESS($B239+1,S$230,1,1,"Actively Infected Trend")))</f>
        <v>#N/A</v>
      </c>
      <c r="T239" s="14" t="e" cm="1">
        <f t="array" aca="1" ref="T239" ca="1">IF(INDIRECT(ADDRESS($B239+1,T$230,1,1,"Actively Infected Trend"))=0,#N/A,INDIRECT(ADDRESS($B239+1,T$230,1,1,"Actively Infected Trend")))</f>
        <v>#N/A</v>
      </c>
      <c r="U239" s="14" t="e" cm="1">
        <f t="array" aca="1" ref="U239" ca="1">IF(INDIRECT(ADDRESS($B239+1,U$230,1,1,"Actively Infected Trend"))=0,#N/A,INDIRECT(ADDRESS($B239+1,U$230,1,1,"Actively Infected Trend")))</f>
        <v>#N/A</v>
      </c>
      <c r="V239" s="14" t="e" cm="1">
        <f t="array" aca="1" ref="V239" ca="1">IF(INDIRECT(ADDRESS($B239+1,V$230,1,1,"Actively Infected Trend"))=0,#N/A,INDIRECT(ADDRESS($B239+1,V$230,1,1,"Actively Infected Trend")))</f>
        <v>#N/A</v>
      </c>
      <c r="W239" s="14" t="e" cm="1">
        <f t="array" aca="1" ref="W239" ca="1">IF(INDIRECT(ADDRESS($B239+1,W$230,1,1,"Actively Infected Trend"))=0,#N/A,INDIRECT(ADDRESS($B239+1,W$230,1,1,"Actively Infected Trend")))</f>
        <v>#N/A</v>
      </c>
      <c r="X239" s="14" t="e" cm="1">
        <f t="array" aca="1" ref="X239" ca="1">IF(INDIRECT(ADDRESS($B239+1,X$230,1,1,"Actively Infected Trend"))=0,#N/A,INDIRECT(ADDRESS($B239+1,X$230,1,1,"Actively Infected Trend")))</f>
        <v>#N/A</v>
      </c>
      <c r="Y239" s="14" t="e" cm="1">
        <f t="array" aca="1" ref="Y239" ca="1">IF(INDIRECT(ADDRESS($B239+1,Y$230,1,1,"Actively Infected Trend"))=0,#N/A,INDIRECT(ADDRESS($B239+1,Y$230,1,1,"Actively Infected Trend")))</f>
        <v>#N/A</v>
      </c>
      <c r="Z239" s="14" t="e" cm="1">
        <f t="array" aca="1" ref="Z239" ca="1">IF(INDIRECT(ADDRESS($B239+1,Z$230,1,1,"Actively Infected Trend"))=0,#N/A,INDIRECT(ADDRESS($B239+1,Z$230,1,1,"Actively Infected Trend")))</f>
        <v>#N/A</v>
      </c>
      <c r="AA239" s="14" t="e" cm="1">
        <f t="array" aca="1" ref="AA239" ca="1">IF(INDIRECT(ADDRESS($B239+1,AA$230,1,1,"Actively Infected Trend"))=0,#N/A,INDIRECT(ADDRESS($B239+1,AA$230,1,1,"Actively Infected Trend")))</f>
        <v>#N/A</v>
      </c>
      <c r="AB239" s="14" t="e" cm="1">
        <f t="array" aca="1" ref="AB239" ca="1">IF(INDIRECT(ADDRESS($B239+1,AB$230,1,1,"Actively Infected Trend"))=0,#N/A,INDIRECT(ADDRESS($B239+1,AB$230,1,1,"Actively Infected Trend")))</f>
        <v>#N/A</v>
      </c>
      <c r="AC239" s="14" t="e" cm="1">
        <f t="array" aca="1" ref="AC239" ca="1">IF(INDIRECT(ADDRESS($B239+1,AC$230,1,1,"Actively Infected Trend"))=0,#N/A,INDIRECT(ADDRESS($B239+1,AC$230,1,1,"Actively Infected Trend")))</f>
        <v>#N/A</v>
      </c>
      <c r="AD239" s="14" t="e" cm="1">
        <f t="array" aca="1" ref="AD239" ca="1">IF(INDIRECT(ADDRESS($B239+1,AD$230,1,1,"Actively Infected Trend"))=0,#N/A,INDIRECT(ADDRESS($B239+1,AD$230,1,1,"Actively Infected Trend")))</f>
        <v>#N/A</v>
      </c>
      <c r="AE239" s="14" t="e" cm="1">
        <f t="array" aca="1" ref="AE239" ca="1">IF(INDIRECT(ADDRESS($B239+1,AE$230,1,1,"Actively Infected Trend"))=0,#N/A,INDIRECT(ADDRESS($B239+1,AE$230,1,1,"Actively Infected Trend")))</f>
        <v>#N/A</v>
      </c>
      <c r="AF239" s="14" t="e" cm="1">
        <f t="array" aca="1" ref="AF239" ca="1">IF(INDIRECT(ADDRESS($B239+1,AF$230,1,1,"Actively Infected Trend"))=0,#N/A,INDIRECT(ADDRESS($B239+1,AF$230,1,1,"Actively Infected Trend")))</f>
        <v>#N/A</v>
      </c>
      <c r="AG239" s="14" t="e" cm="1">
        <f t="array" aca="1" ref="AG239" ca="1">IF(INDIRECT(ADDRESS($B239+1,AG$230,1,1,"Actively Infected Trend"))=0,#N/A,INDIRECT(ADDRESS($B239+1,AG$230,1,1,"Actively Infected Trend")))</f>
        <v>#N/A</v>
      </c>
      <c r="AH239" s="14" t="e" cm="1">
        <f t="array" aca="1" ref="AH239" ca="1">IF(INDIRECT(ADDRESS($B239+1,AH$230,1,1,"Actively Infected Trend"))=0,#N/A,INDIRECT(ADDRESS($B239+1,AH$230,1,1,"Actively Infected Trend")))</f>
        <v>#N/A</v>
      </c>
      <c r="AI239" s="14" t="e" cm="1">
        <f t="array" aca="1" ref="AI239" ca="1">IF(INDIRECT(ADDRESS($B239+1,AI$230,1,1,"Actively Infected Trend"))=0,#N/A,INDIRECT(ADDRESS($B239+1,AI$230,1,1,"Actively Infected Trend")))</f>
        <v>#N/A</v>
      </c>
      <c r="AJ239" s="14" t="e" cm="1">
        <f t="array" aca="1" ref="AJ239" ca="1">IF(INDIRECT(ADDRESS($B239+1,AJ$230,1,1,"Actively Infected Trend"))=0,#N/A,INDIRECT(ADDRESS($B239+1,AJ$230,1,1,"Actively Infected Trend")))</f>
        <v>#N/A</v>
      </c>
      <c r="AK239" s="14" t="e" cm="1">
        <f t="array" aca="1" ref="AK239" ca="1">IF(INDIRECT(ADDRESS($B239+1,AK$230,1,1,"Actively Infected Trend"))=0,#N/A,INDIRECT(ADDRESS($B239+1,AK$230,1,1,"Actively Infected Trend")))</f>
        <v>#N/A</v>
      </c>
      <c r="AL239" s="14" t="e" cm="1">
        <f t="array" aca="1" ref="AL239" ca="1">IF(INDIRECT(ADDRESS($B239+1,AL$230,1,1,"Actively Infected Trend"))=0,#N/A,INDIRECT(ADDRESS($B239+1,AL$230,1,1,"Actively Infected Trend")))</f>
        <v>#N/A</v>
      </c>
      <c r="AM239" s="14" t="e" cm="1">
        <f t="array" aca="1" ref="AM239" ca="1">IF(INDIRECT(ADDRESS($B239+1,AM$230,1,1,"Actively Infected Trend"))=0,#N/A,INDIRECT(ADDRESS($B239+1,AM$230,1,1,"Actively Infected Trend")))</f>
        <v>#N/A</v>
      </c>
      <c r="AN239" s="14" t="e" cm="1">
        <f t="array" aca="1" ref="AN239" ca="1">IF(INDIRECT(ADDRESS($B239+1,AN$230,1,1,"Actively Infected Trend"))=0,#N/A,INDIRECT(ADDRESS($B239+1,AN$230,1,1,"Actively Infected Trend")))</f>
        <v>#N/A</v>
      </c>
      <c r="AO239" s="14" t="e" cm="1">
        <f t="array" aca="1" ref="AO239" ca="1">IF(INDIRECT(ADDRESS($B239+1,AO$230,1,1,"Actively Infected Trend"))=0,#N/A,INDIRECT(ADDRESS($B239+1,AO$230,1,1,"Actively Infected Trend")))</f>
        <v>#N/A</v>
      </c>
      <c r="AP239" s="14" t="e" cm="1">
        <f t="array" aca="1" ref="AP239" ca="1">IF(INDIRECT(ADDRESS($B239+1,AP$230,1,1,"Actively Infected Trend"))=0,#N/A,INDIRECT(ADDRESS($B239+1,AP$230,1,1,"Actively Infected Trend")))</f>
        <v>#N/A</v>
      </c>
      <c r="AQ239" s="14" t="e" cm="1">
        <f t="array" aca="1" ref="AQ239" ca="1">IF(INDIRECT(ADDRESS($B239+1,AQ$230,1,1,"Actively Infected Trend"))=0,#N/A,INDIRECT(ADDRESS($B239+1,AQ$230,1,1,"Actively Infected Trend")))</f>
        <v>#N/A</v>
      </c>
      <c r="AR239" s="14" t="e" cm="1">
        <f t="array" aca="1" ref="AR239" ca="1">IF(INDIRECT(ADDRESS($B239+1,AR$230,1,1,"Actively Infected Trend"))=0,#N/A,INDIRECT(ADDRESS($B239+1,AR$230,1,1,"Actively Infected Trend")))</f>
        <v>#N/A</v>
      </c>
      <c r="AS239" s="14" t="e" cm="1">
        <f t="array" aca="1" ref="AS239" ca="1">IF(INDIRECT(ADDRESS($B239+1,AS$230,1,1,"Actively Infected Trend"))=0,#N/A,INDIRECT(ADDRESS($B239+1,AS$230,1,1,"Actively Infected Trend")))</f>
        <v>#N/A</v>
      </c>
      <c r="AT239" s="14" t="e" cm="1">
        <f t="array" aca="1" ref="AT239" ca="1">IF(INDIRECT(ADDRESS($B239+1,AT$230,1,1,"Actively Infected Trend"))=0,#N/A,INDIRECT(ADDRESS($B239+1,AT$230,1,1,"Actively Infected Trend")))</f>
        <v>#N/A</v>
      </c>
      <c r="AU239" s="14" t="e" cm="1">
        <f t="array" aca="1" ref="AU239" ca="1">IF(INDIRECT(ADDRESS($B239+1,AU$230,1,1,"Actively Infected Trend"))=0,#N/A,INDIRECT(ADDRESS($B239+1,AU$230,1,1,"Actively Infected Trend")))</f>
        <v>#N/A</v>
      </c>
      <c r="AV239" s="14" t="e" cm="1">
        <f t="array" aca="1" ref="AV239" ca="1">IF(INDIRECT(ADDRESS($B239+1,AV$230,1,1,"Actively Infected Trend"))=0,#N/A,INDIRECT(ADDRESS($B239+1,AV$230,1,1,"Actively Infected Trend")))</f>
        <v>#N/A</v>
      </c>
      <c r="AW239" s="14" t="e" cm="1">
        <f t="array" aca="1" ref="AW239" ca="1">IF(INDIRECT(ADDRESS($B239+1,AW$230,1,1,"Actively Infected Trend"))=0,#N/A,INDIRECT(ADDRESS($B239+1,AW$230,1,1,"Actively Infected Trend")))</f>
        <v>#N/A</v>
      </c>
      <c r="AX239" s="14" t="e" cm="1">
        <f t="array" aca="1" ref="AX239" ca="1">IF(INDIRECT(ADDRESS($B239+1,AX$230,1,1,"Actively Infected Trend"))=0,#N/A,INDIRECT(ADDRESS($B239+1,AX$230,1,1,"Actively Infected Trend")))</f>
        <v>#N/A</v>
      </c>
      <c r="AY239" s="14" t="e" cm="1">
        <f t="array" aca="1" ref="AY239" ca="1">IF(INDIRECT(ADDRESS($B239+1,AY$230,1,1,"Actively Infected Trend"))=0,#N/A,INDIRECT(ADDRESS($B239+1,AY$230,1,1,"Actively Infected Trend")))</f>
        <v>#N/A</v>
      </c>
      <c r="AZ239" s="14" cm="1">
        <f t="array" aca="1" ref="AZ239" ca="1">IF(INDIRECT(ADDRESS($B239+1,AZ$230,1,1,"Actively Infected Trend"))=0,#N/A,INDIRECT(ADDRESS($B239+1,AZ$230,1,1,"Actively Infected Trend")))</f>
        <v>0.12583653689999999</v>
      </c>
      <c r="BA239" s="14" cm="1">
        <f t="array" aca="1" ref="BA239" ca="1">IF(INDIRECT(ADDRESS($B239+1,BA$230,1,1,"Actively Infected Trend"))=0,#N/A,INDIRECT(ADDRESS($B239+1,BA$230,1,1,"Actively Infected Trend")))</f>
        <v>0.1224522119</v>
      </c>
      <c r="BB239" s="14" cm="1">
        <f t="array" aca="1" ref="BB239" ca="1">IF(INDIRECT(ADDRESS($B239+1,BB$230,1,1,"Actively Infected Trend"))=0,#N/A,INDIRECT(ADDRESS($B239+1,BB$230,1,1,"Actively Infected Trend")))</f>
        <v>0.1481416716</v>
      </c>
      <c r="BC239" s="14" cm="1">
        <f t="array" aca="1" ref="BC239" ca="1">IF(INDIRECT(ADDRESS($B239+1,BC$230,1,1,"Actively Infected Trend"))=0,#N/A,INDIRECT(ADDRESS($B239+1,BC$230,1,1,"Actively Infected Trend")))</f>
        <v>0.17116002159999999</v>
      </c>
      <c r="BD239" s="14" cm="1">
        <f t="array" aca="1" ref="BD239" ca="1">IF(INDIRECT(ADDRESS($B239+1,BD$230,1,1,"Actively Infected Trend"))=0,#N/A,INDIRECT(ADDRESS($B239+1,BD$230,1,1,"Actively Infected Trend")))</f>
        <v>0.1759372958</v>
      </c>
      <c r="BE239" s="14" cm="1">
        <f t="array" aca="1" ref="BE239" ca="1">IF(INDIRECT(ADDRESS($B239+1,BE$230,1,1,"Actively Infected Trend"))=0,#N/A,INDIRECT(ADDRESS($B239+1,BE$230,1,1,"Actively Infected Trend")))</f>
        <v>0.17328673589999999</v>
      </c>
      <c r="BF239" s="14" cm="1">
        <f t="array" aca="1" ref="BF239" ca="1">IF(INDIRECT(ADDRESS($B239+1,BF$230,1,1,"Actively Infected Trend"))=0,#N/A,INDIRECT(ADDRESS($B239+1,BF$230,1,1,"Actively Infected Trend")))</f>
        <v>0.16993194110000001</v>
      </c>
      <c r="BG239" s="14" cm="1">
        <f t="array" aca="1" ref="BG239" ca="1">IF(INDIRECT(ADDRESS($B239+1,BG$230,1,1,"Actively Infected Trend"))=0,#N/A,INDIRECT(ADDRESS($B239+1,BG$230,1,1,"Actively Infected Trend")))</f>
        <v>0.1565248675</v>
      </c>
      <c r="BH239" s="14" cm="1">
        <f t="array" aca="1" ref="BH239" ca="1">IF(INDIRECT(ADDRESS($B239+1,BH$230,1,1,"Actively Infected Trend"))=0,#N/A,INDIRECT(ADDRESS($B239+1,BH$230,1,1,"Actively Infected Trend")))</f>
        <v>0.16495145880000001</v>
      </c>
      <c r="BI239" s="14" cm="1">
        <f t="array" aca="1" ref="BI239" ca="1">IF(INDIRECT(ADDRESS($B239+1,BI$230,1,1,"Actively Infected Trend"))=0,#N/A,INDIRECT(ADDRESS($B239+1,BI$230,1,1,"Actively Infected Trend")))</f>
        <v>0.15676509790000001</v>
      </c>
      <c r="BJ239" s="14" cm="1">
        <f t="array" aca="1" ref="BJ239" ca="1">IF(INDIRECT(ADDRESS($B239+1,BJ$230,1,1,"Actively Infected Trend"))=0,#N/A,INDIRECT(ADDRESS($B239+1,BJ$230,1,1,"Actively Infected Trend")))</f>
        <v>0.15909643740000001</v>
      </c>
      <c r="BK239" s="14" cm="1">
        <f t="array" aca="1" ref="BK239" ca="1">IF(INDIRECT(ADDRESS($B239+1,BK$230,1,1,"Actively Infected Trend"))=0,#N/A,INDIRECT(ADDRESS($B239+1,BK$230,1,1,"Actively Infected Trend")))</f>
        <v>0.17733938360000001</v>
      </c>
      <c r="BL239" s="14" cm="1">
        <f t="array" aca="1" ref="BL239" ca="1">IF(INDIRECT(ADDRESS($B239+1,BL$230,1,1,"Actively Infected Trend"))=0,#N/A,INDIRECT(ADDRESS($B239+1,BL$230,1,1,"Actively Infected Trend")))</f>
        <v>0.21971519980000001</v>
      </c>
      <c r="BM239" s="14" cm="1">
        <f t="array" aca="1" ref="BM239" ca="1">IF(INDIRECT(ADDRESS($B239+1,BM$230,1,1,"Actively Infected Trend"))=0,#N/A,INDIRECT(ADDRESS($B239+1,BM$230,1,1,"Actively Infected Trend")))</f>
        <v>0.2606469153</v>
      </c>
      <c r="BN239" s="14" cm="1">
        <f t="array" aca="1" ref="BN239" ca="1">IF(INDIRECT(ADDRESS($B239+1,BN$230,1,1,"Actively Infected Trend"))=0,#N/A,INDIRECT(ADDRESS($B239+1,BN$230,1,1,"Actively Infected Trend")))</f>
        <v>0.28030843249999998</v>
      </c>
      <c r="BO239" s="14" cm="1">
        <f t="array" aca="1" ref="BO239" ca="1">IF(INDIRECT(ADDRESS($B239+1,BO$230,1,1,"Actively Infected Trend"))=0,#N/A,INDIRECT(ADDRESS($B239+1,BO$230,1,1,"Actively Infected Trend")))</f>
        <v>0.27452462189999999</v>
      </c>
      <c r="BP239" s="14" cm="1">
        <f t="array" aca="1" ref="BP239" ca="1">IF(INDIRECT(ADDRESS($B239+1,BP$230,1,1,"Actively Infected Trend"))=0,#N/A,INDIRECT(ADDRESS($B239+1,BP$230,1,1,"Actively Infected Trend")))</f>
        <v>0.2410643888</v>
      </c>
      <c r="BQ239" s="14" cm="1">
        <f t="array" aca="1" ref="BQ239" ca="1">IF(INDIRECT(ADDRESS($B239+1,BQ$230,1,1,"Actively Infected Trend"))=0,#N/A,INDIRECT(ADDRESS($B239+1,BQ$230,1,1,"Actively Infected Trend")))</f>
        <v>0.20690623129999999</v>
      </c>
      <c r="BR239" s="14" cm="1">
        <f t="array" aca="1" ref="BR239" ca="1">IF(INDIRECT(ADDRESS($B239+1,BR$230,1,1,"Actively Infected Trend"))=0,#N/A,INDIRECT(ADDRESS($B239+1,BR$230,1,1,"Actively Infected Trend")))</f>
        <v>0.18386138630000001</v>
      </c>
      <c r="BS239" s="14" cm="1">
        <f t="array" aca="1" ref="BS239" ca="1">IF(INDIRECT(ADDRESS($B239+1,BS$230,1,1,"Actively Infected Trend"))=0,#N/A,INDIRECT(ADDRESS($B239+1,BS$230,1,1,"Actively Infected Trend")))</f>
        <v>0.17968401959999999</v>
      </c>
      <c r="BT239" s="14" cm="1">
        <f t="array" aca="1" ref="BT239" ca="1">IF(INDIRECT(ADDRESS($B239+1,BT$230,1,1,"Actively Infected Trend"))=0,#N/A,INDIRECT(ADDRESS($B239+1,BT$230,1,1,"Actively Infected Trend")))</f>
        <v>0.16185719330000001</v>
      </c>
      <c r="BU239" s="14" cm="1">
        <f t="array" aca="1" ref="BU239" ca="1">IF(INDIRECT(ADDRESS($B239+1,BU$230,1,1,"Actively Infected Trend"))=0,#N/A,INDIRECT(ADDRESS($B239+1,BU$230,1,1,"Actively Infected Trend")))</f>
        <v>0.1565776666</v>
      </c>
      <c r="BV239" s="14" cm="1">
        <f t="array" aca="1" ref="BV239" ca="1">IF(INDIRECT(ADDRESS($B239+1,BV$230,1,1,"Actively Infected Trend"))=0,#N/A,INDIRECT(ADDRESS($B239+1,BV$230,1,1,"Actively Infected Trend")))</f>
        <v>0.14208477050000001</v>
      </c>
      <c r="BW239" s="14" cm="1">
        <f t="array" aca="1" ref="BW239" ca="1">IF(INDIRECT(ADDRESS($B239+1,BW$230,1,1,"Actively Infected Trend"))=0,#N/A,INDIRECT(ADDRESS($B239+1,BW$230,1,1,"Actively Infected Trend")))</f>
        <v>0.1692893349</v>
      </c>
      <c r="BX239" s="14" cm="1">
        <f t="array" aca="1" ref="BX239" ca="1">IF(INDIRECT(ADDRESS($B239+1,BX$230,1,1,"Actively Infected Trend"))=0,#N/A,INDIRECT(ADDRESS($B239+1,BX$230,1,1,"Actively Infected Trend")))</f>
        <v>0.21264733550000001</v>
      </c>
      <c r="BY239" s="14" cm="1">
        <f t="array" aca="1" ref="BY239" ca="1">IF(INDIRECT(ADDRESS($B239+1,BY$230,1,1,"Actively Infected Trend"))=0,#N/A,INDIRECT(ADDRESS($B239+1,BY$230,1,1,"Actively Infected Trend")))</f>
        <v>0.23755067769999999</v>
      </c>
      <c r="BZ239" s="14" cm="1">
        <f t="array" aca="1" ref="BZ239" ca="1">IF(INDIRECT(ADDRESS($B239+1,BZ$230,1,1,"Actively Infected Trend"))=0,#N/A,INDIRECT(ADDRESS($B239+1,BZ$230,1,1,"Actively Infected Trend")))</f>
        <v>0.2487801352</v>
      </c>
      <c r="CA239" s="14" cm="1">
        <f t="array" aca="1" ref="CA239" ca="1">IF(INDIRECT(ADDRESS($B239+1,CA$230,1,1,"Actively Infected Trend"))=0,#N/A,INDIRECT(ADDRESS($B239+1,CA$230,1,1,"Actively Infected Trend")))</f>
        <v>0.21069770730000001</v>
      </c>
      <c r="CB239" s="14" cm="1">
        <f t="array" aca="1" ref="CB239" ca="1">IF(INDIRECT(ADDRESS($B239+1,CB$230,1,1,"Actively Infected Trend"))=0,#N/A,INDIRECT(ADDRESS($B239+1,CB$230,1,1,"Actively Infected Trend")))</f>
        <v>0.19914256359999999</v>
      </c>
      <c r="CC239" s="14" cm="1">
        <f t="array" aca="1" ref="CC239" ca="1">IF(INDIRECT(ADDRESS($B239+1,CC$230,1,1,"Actively Infected Trend"))=0,#N/A,INDIRECT(ADDRESS($B239+1,CC$230,1,1,"Actively Infected Trend")))</f>
        <v>0.19772602850000001</v>
      </c>
      <c r="CD239" s="14" cm="1">
        <f t="array" aca="1" ref="CD239" ca="1">IF(INDIRECT(ADDRESS($B239+1,CD$230,1,1,"Actively Infected Trend"))=0,#N/A,INDIRECT(ADDRESS($B239+1,CD$230,1,1,"Actively Infected Trend")))</f>
        <v>0.20504003079999999</v>
      </c>
      <c r="CE239" s="14" cm="1">
        <f t="array" aca="1" ref="CE239" ca="1">IF(INDIRECT(ADDRESS($B239+1,CE$230,1,1,"Actively Infected Trend"))=0,#N/A,INDIRECT(ADDRESS($B239+1,CE$230,1,1,"Actively Infected Trend")))</f>
        <v>0.20262013449999999</v>
      </c>
      <c r="CF239" s="14" cm="1">
        <f t="array" aca="1" ref="CF239" ca="1">IF(INDIRECT(ADDRESS($B239+1,CF$230,1,1,"Actively Infected Trend"))=0,#N/A,INDIRECT(ADDRESS($B239+1,CF$230,1,1,"Actively Infected Trend")))</f>
        <v>0.1733290327</v>
      </c>
      <c r="CG239" s="14" cm="1">
        <f t="array" aca="1" ref="CG239" ca="1">IF(INDIRECT(ADDRESS($B239+1,CG$230,1,1,"Actively Infected Trend"))=0,#N/A,INDIRECT(ADDRESS($B239+1,CG$230,1,1,"Actively Infected Trend")))</f>
        <v>0.1538773497</v>
      </c>
      <c r="CH239" s="14" cm="1">
        <f t="array" aca="1" ref="CH239" ca="1">IF(INDIRECT(ADDRESS($B239+1,CH$230,1,1,"Actively Infected Trend"))=0,#N/A,INDIRECT(ADDRESS($B239+1,CH$230,1,1,"Actively Infected Trend")))</f>
        <v>0.13583030039999999</v>
      </c>
      <c r="CI239" s="14" cm="1">
        <f t="array" aca="1" ref="CI239" ca="1">IF(INDIRECT(ADDRESS($B239+1,CI$230,1,1,"Actively Infected Trend"))=0,#N/A,INDIRECT(ADDRESS($B239+1,CI$230,1,1,"Actively Infected Trend")))</f>
        <v>0.13469136009999999</v>
      </c>
      <c r="CJ239" s="14" cm="1">
        <f t="array" aca="1" ref="CJ239" ca="1">IF(INDIRECT(ADDRESS($B239+1,CJ$230,1,1,"Actively Infected Trend"))=0,#N/A,INDIRECT(ADDRESS($B239+1,CJ$230,1,1,"Actively Infected Trend")))</f>
        <v>0.1295344722</v>
      </c>
      <c r="CK239" s="14" cm="1">
        <f t="array" aca="1" ref="CK239" ca="1">IF(INDIRECT(ADDRESS($B239+1,CK$230,1,1,"Actively Infected Trend"))=0,#N/A,INDIRECT(ADDRESS($B239+1,CK$230,1,1,"Actively Infected Trend")))</f>
        <v>0.12837582210000001</v>
      </c>
      <c r="CL239" s="14" cm="1">
        <f t="array" aca="1" ref="CL239" ca="1">IF(INDIRECT(ADDRESS($B239+1,CL$230,1,1,"Actively Infected Trend"))=0,#N/A,INDIRECT(ADDRESS($B239+1,CL$230,1,1,"Actively Infected Trend")))</f>
        <v>0.1258467768</v>
      </c>
      <c r="CM239" s="14" cm="1">
        <f t="array" aca="1" ref="CM239" ca="1">IF(INDIRECT(ADDRESS($B239+1,CM$230,1,1,"Actively Infected Trend"))=0,#N/A,INDIRECT(ADDRESS($B239+1,CM$230,1,1,"Actively Infected Trend")))</f>
        <v>0.1132103809</v>
      </c>
      <c r="CN239" s="14" t="e" cm="1">
        <f t="array" aca="1" ref="CN239" ca="1">IF(INDIRECT(ADDRESS($B239+1,CN$230,1,1,"Actively Infected Trend"))=0,#N/A,INDIRECT(ADDRESS($B239+1,CN$230,1,1,"Actively Infected Trend")))</f>
        <v>#N/A</v>
      </c>
      <c r="CO239" s="14" t="e" cm="1">
        <f t="array" aca="1" ref="CO239" ca="1">IF(INDIRECT(ADDRESS($B239+1,CO$230,1,1,"Actively Infected Trend"))=0,#N/A,INDIRECT(ADDRESS($B239+1,CO$230,1,1,"Actively Infected Trend")))</f>
        <v>#N/A</v>
      </c>
      <c r="CP239" s="14" t="e" cm="1">
        <f t="array" aca="1" ref="CP239" ca="1">IF(INDIRECT(ADDRESS($B239+1,CP$230,1,1,"Actively Infected Trend"))=0,#N/A,INDIRECT(ADDRESS($B239+1,CP$230,1,1,"Actively Infected Trend")))</f>
        <v>#N/A</v>
      </c>
      <c r="CQ239" s="14" t="e" cm="1">
        <f t="array" aca="1" ref="CQ239" ca="1">IF(INDIRECT(ADDRESS($B239+1,CQ$230,1,1,"Actively Infected Trend"))=0,#N/A,INDIRECT(ADDRESS($B239+1,CQ$230,1,1,"Actively Infected Trend")))</f>
        <v>#N/A</v>
      </c>
      <c r="CR239" s="14" t="e" cm="1">
        <f t="array" aca="1" ref="CR239" ca="1">IF(INDIRECT(ADDRESS($B239+1,CR$230,1,1,"Actively Infected Trend"))=0,#N/A,INDIRECT(ADDRESS($B239+1,CR$230,1,1,"Actively Infected Trend")))</f>
        <v>#N/A</v>
      </c>
    </row>
    <row r="240" spans="2:96" x14ac:dyDescent="0.25">
      <c r="B240">
        <f t="shared" si="349"/>
        <v>9</v>
      </c>
      <c r="C240" t="str" cm="1">
        <f t="array" aca="1" ref="C240" ca="1">INDIRECT(ADDRESS($B240+1,1,1,1,"Actively Infected Trend"))</f>
        <v>Iran</v>
      </c>
      <c r="E240" s="14" t="e" cm="1">
        <f t="array" aca="1" ref="E240" ca="1">IF(INDIRECT(ADDRESS($B240+1,E$230,1,1,"Actively Infected Trend"))=0,#N/A,INDIRECT(ADDRESS($B240+1,E$230,1,1,"Actively Infected Trend")))</f>
        <v>#N/A</v>
      </c>
      <c r="F240" s="14" t="e" cm="1">
        <f t="array" aca="1" ref="F240" ca="1">IF(INDIRECT(ADDRESS($B240+1,F$230,1,1,"Actively Infected Trend"))=0,#N/A,INDIRECT(ADDRESS($B240+1,F$230,1,1,"Actively Infected Trend")))</f>
        <v>#N/A</v>
      </c>
      <c r="G240" s="14" t="e" cm="1">
        <f t="array" aca="1" ref="G240" ca="1">IF(INDIRECT(ADDRESS($B240+1,G$230,1,1,"Actively Infected Trend"))=0,#N/A,INDIRECT(ADDRESS($B240+1,G$230,1,1,"Actively Infected Trend")))</f>
        <v>#N/A</v>
      </c>
      <c r="H240" s="14" t="e" cm="1">
        <f t="array" aca="1" ref="H240" ca="1">IF(INDIRECT(ADDRESS($B240+1,H$230,1,1,"Actively Infected Trend"))=0,#N/A,INDIRECT(ADDRESS($B240+1,H$230,1,1,"Actively Infected Trend")))</f>
        <v>#N/A</v>
      </c>
      <c r="I240" s="14" t="e" cm="1">
        <f t="array" aca="1" ref="I240" ca="1">IF(INDIRECT(ADDRESS($B240+1,I$230,1,1,"Actively Infected Trend"))=0,#N/A,INDIRECT(ADDRESS($B240+1,I$230,1,1,"Actively Infected Trend")))</f>
        <v>#N/A</v>
      </c>
      <c r="J240" s="14" t="e" cm="1">
        <f t="array" aca="1" ref="J240" ca="1">IF(INDIRECT(ADDRESS($B240+1,J$230,1,1,"Actively Infected Trend"))=0,#N/A,INDIRECT(ADDRESS($B240+1,J$230,1,1,"Actively Infected Trend")))</f>
        <v>#N/A</v>
      </c>
      <c r="K240" s="14" t="e" cm="1">
        <f t="array" aca="1" ref="K240" ca="1">IF(INDIRECT(ADDRESS($B240+1,K$230,1,1,"Actively Infected Trend"))=0,#N/A,INDIRECT(ADDRESS($B240+1,K$230,1,1,"Actively Infected Trend")))</f>
        <v>#N/A</v>
      </c>
      <c r="L240" s="14" t="e" cm="1">
        <f t="array" aca="1" ref="L240" ca="1">IF(INDIRECT(ADDRESS($B240+1,L$230,1,1,"Actively Infected Trend"))=0,#N/A,INDIRECT(ADDRESS($B240+1,L$230,1,1,"Actively Infected Trend")))</f>
        <v>#N/A</v>
      </c>
      <c r="M240" s="14" t="e" cm="1">
        <f t="array" aca="1" ref="M240" ca="1">IF(INDIRECT(ADDRESS($B240+1,M$230,1,1,"Actively Infected Trend"))=0,#N/A,INDIRECT(ADDRESS($B240+1,M$230,1,1,"Actively Infected Trend")))</f>
        <v>#N/A</v>
      </c>
      <c r="N240" s="14" t="e" cm="1">
        <f t="array" aca="1" ref="N240" ca="1">IF(INDIRECT(ADDRESS($B240+1,N$230,1,1,"Actively Infected Trend"))=0,#N/A,INDIRECT(ADDRESS($B240+1,N$230,1,1,"Actively Infected Trend")))</f>
        <v>#N/A</v>
      </c>
      <c r="O240" s="14" t="e" cm="1">
        <f t="array" aca="1" ref="O240" ca="1">IF(INDIRECT(ADDRESS($B240+1,O$230,1,1,"Actively Infected Trend"))=0,#N/A,INDIRECT(ADDRESS($B240+1,O$230,1,1,"Actively Infected Trend")))</f>
        <v>#N/A</v>
      </c>
      <c r="P240" s="14" t="e" cm="1">
        <f t="array" aca="1" ref="P240" ca="1">IF(INDIRECT(ADDRESS($B240+1,P$230,1,1,"Actively Infected Trend"))=0,#N/A,INDIRECT(ADDRESS($B240+1,P$230,1,1,"Actively Infected Trend")))</f>
        <v>#N/A</v>
      </c>
      <c r="Q240" s="14" t="e" cm="1">
        <f t="array" aca="1" ref="Q240" ca="1">IF(INDIRECT(ADDRESS($B240+1,Q$230,1,1,"Actively Infected Trend"))=0,#N/A,INDIRECT(ADDRESS($B240+1,Q$230,1,1,"Actively Infected Trend")))</f>
        <v>#N/A</v>
      </c>
      <c r="R240" s="14" t="e" cm="1">
        <f t="array" aca="1" ref="R240" ca="1">IF(INDIRECT(ADDRESS($B240+1,R$230,1,1,"Actively Infected Trend"))=0,#N/A,INDIRECT(ADDRESS($B240+1,R$230,1,1,"Actively Infected Trend")))</f>
        <v>#N/A</v>
      </c>
      <c r="S240" s="14" t="e" cm="1">
        <f t="array" aca="1" ref="S240" ca="1">IF(INDIRECT(ADDRESS($B240+1,S$230,1,1,"Actively Infected Trend"))=0,#N/A,INDIRECT(ADDRESS($B240+1,S$230,1,1,"Actively Infected Trend")))</f>
        <v>#N/A</v>
      </c>
      <c r="T240" s="14" t="e" cm="1">
        <f t="array" aca="1" ref="T240" ca="1">IF(INDIRECT(ADDRESS($B240+1,T$230,1,1,"Actively Infected Trend"))=0,#N/A,INDIRECT(ADDRESS($B240+1,T$230,1,1,"Actively Infected Trend")))</f>
        <v>#N/A</v>
      </c>
      <c r="U240" s="14" t="e" cm="1">
        <f t="array" aca="1" ref="U240" ca="1">IF(INDIRECT(ADDRESS($B240+1,U$230,1,1,"Actively Infected Trend"))=0,#N/A,INDIRECT(ADDRESS($B240+1,U$230,1,1,"Actively Infected Trend")))</f>
        <v>#N/A</v>
      </c>
      <c r="V240" s="14" t="e" cm="1">
        <f t="array" aca="1" ref="V240" ca="1">IF(INDIRECT(ADDRESS($B240+1,V$230,1,1,"Actively Infected Trend"))=0,#N/A,INDIRECT(ADDRESS($B240+1,V$230,1,1,"Actively Infected Trend")))</f>
        <v>#N/A</v>
      </c>
      <c r="W240" s="14" t="e" cm="1">
        <f t="array" aca="1" ref="W240" ca="1">IF(INDIRECT(ADDRESS($B240+1,W$230,1,1,"Actively Infected Trend"))=0,#N/A,INDIRECT(ADDRESS($B240+1,W$230,1,1,"Actively Infected Trend")))</f>
        <v>#N/A</v>
      </c>
      <c r="X240" s="14" t="e" cm="1">
        <f t="array" aca="1" ref="X240" ca="1">IF(INDIRECT(ADDRESS($B240+1,X$230,1,1,"Actively Infected Trend"))=0,#N/A,INDIRECT(ADDRESS($B240+1,X$230,1,1,"Actively Infected Trend")))</f>
        <v>#N/A</v>
      </c>
      <c r="Y240" s="14" t="e" cm="1">
        <f t="array" aca="1" ref="Y240" ca="1">IF(INDIRECT(ADDRESS($B240+1,Y$230,1,1,"Actively Infected Trend"))=0,#N/A,INDIRECT(ADDRESS($B240+1,Y$230,1,1,"Actively Infected Trend")))</f>
        <v>#N/A</v>
      </c>
      <c r="Z240" s="14" t="e" cm="1">
        <f t="array" aca="1" ref="Z240" ca="1">IF(INDIRECT(ADDRESS($B240+1,Z$230,1,1,"Actively Infected Trend"))=0,#N/A,INDIRECT(ADDRESS($B240+1,Z$230,1,1,"Actively Infected Trend")))</f>
        <v>#N/A</v>
      </c>
      <c r="AA240" s="14" t="e" cm="1">
        <f t="array" aca="1" ref="AA240" ca="1">IF(INDIRECT(ADDRESS($B240+1,AA$230,1,1,"Actively Infected Trend"))=0,#N/A,INDIRECT(ADDRESS($B240+1,AA$230,1,1,"Actively Infected Trend")))</f>
        <v>#N/A</v>
      </c>
      <c r="AB240" s="14" t="e" cm="1">
        <f t="array" aca="1" ref="AB240" ca="1">IF(INDIRECT(ADDRESS($B240+1,AB$230,1,1,"Actively Infected Trend"))=0,#N/A,INDIRECT(ADDRESS($B240+1,AB$230,1,1,"Actively Infected Trend")))</f>
        <v>#N/A</v>
      </c>
      <c r="AC240" s="14" t="e" cm="1">
        <f t="array" aca="1" ref="AC240" ca="1">IF(INDIRECT(ADDRESS($B240+1,AC$230,1,1,"Actively Infected Trend"))=0,#N/A,INDIRECT(ADDRESS($B240+1,AC$230,1,1,"Actively Infected Trend")))</f>
        <v>#N/A</v>
      </c>
      <c r="AD240" s="14" t="e" cm="1">
        <f t="array" aca="1" ref="AD240" ca="1">IF(INDIRECT(ADDRESS($B240+1,AD$230,1,1,"Actively Infected Trend"))=0,#N/A,INDIRECT(ADDRESS($B240+1,AD$230,1,1,"Actively Infected Trend")))</f>
        <v>#N/A</v>
      </c>
      <c r="AE240" s="14" t="e" cm="1">
        <f t="array" aca="1" ref="AE240" ca="1">IF(INDIRECT(ADDRESS($B240+1,AE$230,1,1,"Actively Infected Trend"))=0,#N/A,INDIRECT(ADDRESS($B240+1,AE$230,1,1,"Actively Infected Trend")))</f>
        <v>#N/A</v>
      </c>
      <c r="AF240" s="14" t="e" cm="1">
        <f t="array" aca="1" ref="AF240" ca="1">IF(INDIRECT(ADDRESS($B240+1,AF$230,1,1,"Actively Infected Trend"))=0,#N/A,INDIRECT(ADDRESS($B240+1,AF$230,1,1,"Actively Infected Trend")))</f>
        <v>#N/A</v>
      </c>
      <c r="AG240" s="14" t="e" cm="1">
        <f t="array" aca="1" ref="AG240" ca="1">IF(INDIRECT(ADDRESS($B240+1,AG$230,1,1,"Actively Infected Trend"))=0,#N/A,INDIRECT(ADDRESS($B240+1,AG$230,1,1,"Actively Infected Trend")))</f>
        <v>#N/A</v>
      </c>
      <c r="AH240" s="14" t="e" cm="1">
        <f t="array" aca="1" ref="AH240" ca="1">IF(INDIRECT(ADDRESS($B240+1,AH$230,1,1,"Actively Infected Trend"))=0,#N/A,INDIRECT(ADDRESS($B240+1,AH$230,1,1,"Actively Infected Trend")))</f>
        <v>#N/A</v>
      </c>
      <c r="AI240" s="14" t="e" cm="1">
        <f t="array" aca="1" ref="AI240" ca="1">IF(INDIRECT(ADDRESS($B240+1,AI$230,1,1,"Actively Infected Trend"))=0,#N/A,INDIRECT(ADDRESS($B240+1,AI$230,1,1,"Actively Infected Trend")))</f>
        <v>#N/A</v>
      </c>
      <c r="AJ240" s="14" t="e" cm="1">
        <f t="array" aca="1" ref="AJ240" ca="1">IF(INDIRECT(ADDRESS($B240+1,AJ$230,1,1,"Actively Infected Trend"))=0,#N/A,INDIRECT(ADDRESS($B240+1,AJ$230,1,1,"Actively Infected Trend")))</f>
        <v>#N/A</v>
      </c>
      <c r="AK240" s="14" t="e" cm="1">
        <f t="array" aca="1" ref="AK240" ca="1">IF(INDIRECT(ADDRESS($B240+1,AK$230,1,1,"Actively Infected Trend"))=0,#N/A,INDIRECT(ADDRESS($B240+1,AK$230,1,1,"Actively Infected Trend")))</f>
        <v>#N/A</v>
      </c>
      <c r="AL240" s="14" t="e" cm="1">
        <f t="array" aca="1" ref="AL240" ca="1">IF(INDIRECT(ADDRESS($B240+1,AL$230,1,1,"Actively Infected Trend"))=0,#N/A,INDIRECT(ADDRESS($B240+1,AL$230,1,1,"Actively Infected Trend")))</f>
        <v>#N/A</v>
      </c>
      <c r="AM240" s="14" t="e" cm="1">
        <f t="array" aca="1" ref="AM240" ca="1">IF(INDIRECT(ADDRESS($B240+1,AM$230,1,1,"Actively Infected Trend"))=0,#N/A,INDIRECT(ADDRESS($B240+1,AM$230,1,1,"Actively Infected Trend")))</f>
        <v>#N/A</v>
      </c>
      <c r="AN240" s="14" t="e" cm="1">
        <f t="array" aca="1" ref="AN240" ca="1">IF(INDIRECT(ADDRESS($B240+1,AN$230,1,1,"Actively Infected Trend"))=0,#N/A,INDIRECT(ADDRESS($B240+1,AN$230,1,1,"Actively Infected Trend")))</f>
        <v>#N/A</v>
      </c>
      <c r="AO240" s="14" cm="1">
        <f t="array" aca="1" ref="AO240" ca="1">IF(INDIRECT(ADDRESS($B240+1,AO$230,1,1,"Actively Infected Trend"))=0,#N/A,INDIRECT(ADDRESS($B240+1,AO$230,1,1,"Actively Infected Trend")))</f>
        <v>0.58523442150000005</v>
      </c>
      <c r="AP240" s="14" cm="1">
        <f t="array" aca="1" ref="AP240" ca="1">IF(INDIRECT(ADDRESS($B240+1,AP$230,1,1,"Actively Infected Trend"))=0,#N/A,INDIRECT(ADDRESS($B240+1,AP$230,1,1,"Actively Infected Trend")))</f>
        <v>0.60842458300000002</v>
      </c>
      <c r="AQ240" s="14" cm="1">
        <f t="array" aca="1" ref="AQ240" ca="1">IF(INDIRECT(ADDRESS($B240+1,AQ$230,1,1,"Actively Infected Trend"))=0,#N/A,INDIRECT(ADDRESS($B240+1,AQ$230,1,1,"Actively Infected Trend")))</f>
        <v>0.62045820360000004</v>
      </c>
      <c r="AR240" s="14" cm="1">
        <f t="array" aca="1" ref="AR240" ca="1">IF(INDIRECT(ADDRESS($B240+1,AR$230,1,1,"Actively Infected Trend"))=0,#N/A,INDIRECT(ADDRESS($B240+1,AR$230,1,1,"Actively Infected Trend")))</f>
        <v>0.64066254430000003</v>
      </c>
      <c r="AS240" s="14" cm="1">
        <f t="array" aca="1" ref="AS240" ca="1">IF(INDIRECT(ADDRESS($B240+1,AS$230,1,1,"Actively Infected Trend"))=0,#N/A,INDIRECT(ADDRESS($B240+1,AS$230,1,1,"Actively Infected Trend")))</f>
        <v>0.61856988729999995</v>
      </c>
      <c r="AT240" s="14" cm="1">
        <f t="array" aca="1" ref="AT240" ca="1">IF(INDIRECT(ADDRESS($B240+1,AT$230,1,1,"Actively Infected Trend"))=0,#N/A,INDIRECT(ADDRESS($B240+1,AT$230,1,1,"Actively Infected Trend")))</f>
        <v>0.60009963099999997</v>
      </c>
      <c r="AU240" s="14" cm="1">
        <f t="array" aca="1" ref="AU240" ca="1">IF(INDIRECT(ADDRESS($B240+1,AU$230,1,1,"Actively Infected Trend"))=0,#N/A,INDIRECT(ADDRESS($B240+1,AU$230,1,1,"Actively Infected Trend")))</f>
        <v>0.54961972540000004</v>
      </c>
      <c r="AV240" s="14" cm="1">
        <f t="array" aca="1" ref="AV240" ca="1">IF(INDIRECT(ADDRESS($B240+1,AV$230,1,1,"Actively Infected Trend"))=0,#N/A,INDIRECT(ADDRESS($B240+1,AV$230,1,1,"Actively Infected Trend")))</f>
        <v>0.46891616850000001</v>
      </c>
      <c r="AW240" s="14" cm="1">
        <f t="array" aca="1" ref="AW240" ca="1">IF(INDIRECT(ADDRESS($B240+1,AW$230,1,1,"Actively Infected Trend"))=0,#N/A,INDIRECT(ADDRESS($B240+1,AW$230,1,1,"Actively Infected Trend")))</f>
        <v>0.3914834834</v>
      </c>
      <c r="AX240" s="14" cm="1">
        <f t="array" aca="1" ref="AX240" ca="1">IF(INDIRECT(ADDRESS($B240+1,AX$230,1,1,"Actively Infected Trend"))=0,#N/A,INDIRECT(ADDRESS($B240+1,AX$230,1,1,"Actively Infected Trend")))</f>
        <v>0.31560904049999999</v>
      </c>
      <c r="AY240" s="14" cm="1">
        <f t="array" aca="1" ref="AY240" ca="1">IF(INDIRECT(ADDRESS($B240+1,AY$230,1,1,"Actively Infected Trend"))=0,#N/A,INDIRECT(ADDRESS($B240+1,AY$230,1,1,"Actively Infected Trend")))</f>
        <v>0.26981927160000002</v>
      </c>
      <c r="AZ240" s="14" cm="1">
        <f t="array" aca="1" ref="AZ240" ca="1">IF(INDIRECT(ADDRESS($B240+1,AZ$230,1,1,"Actively Infected Trend"))=0,#N/A,INDIRECT(ADDRESS($B240+1,AZ$230,1,1,"Actively Infected Trend")))</f>
        <v>0.22946262249999999</v>
      </c>
      <c r="BA240" s="14" cm="1">
        <f t="array" aca="1" ref="BA240" ca="1">IF(INDIRECT(ADDRESS($B240+1,BA$230,1,1,"Actively Infected Trend"))=0,#N/A,INDIRECT(ADDRESS($B240+1,BA$230,1,1,"Actively Infected Trend")))</f>
        <v>0.1880206952</v>
      </c>
      <c r="BB240" s="14" cm="1">
        <f t="array" aca="1" ref="BB240" ca="1">IF(INDIRECT(ADDRESS($B240+1,BB$230,1,1,"Actively Infected Trend"))=0,#N/A,INDIRECT(ADDRESS($B240+1,BB$230,1,1,"Actively Infected Trend")))</f>
        <v>0.1509039683</v>
      </c>
      <c r="BC240" s="14" cm="1">
        <f t="array" aca="1" ref="BC240" ca="1">IF(INDIRECT(ADDRESS($B240+1,BC$230,1,1,"Actively Infected Trend"))=0,#N/A,INDIRECT(ADDRESS($B240+1,BC$230,1,1,"Actively Infected Trend")))</f>
        <v>0.126994724</v>
      </c>
      <c r="BD240" s="14" cm="1">
        <f t="array" aca="1" ref="BD240" ca="1">IF(INDIRECT(ADDRESS($B240+1,BD$230,1,1,"Actively Infected Trend"))=0,#N/A,INDIRECT(ADDRESS($B240+1,BD$230,1,1,"Actively Infected Trend")))</f>
        <v>0.1225904397</v>
      </c>
      <c r="BE240" s="14" cm="1">
        <f t="array" aca="1" ref="BE240" ca="1">IF(INDIRECT(ADDRESS($B240+1,BE$230,1,1,"Actively Infected Trend"))=0,#N/A,INDIRECT(ADDRESS($B240+1,BE$230,1,1,"Actively Infected Trend")))</f>
        <v>0.12531186799999999</v>
      </c>
      <c r="BF240" s="14" cm="1">
        <f t="array" aca="1" ref="BF240" ca="1">IF(INDIRECT(ADDRESS($B240+1,BF$230,1,1,"Actively Infected Trend"))=0,#N/A,INDIRECT(ADDRESS($B240+1,BF$230,1,1,"Actively Infected Trend")))</f>
        <v>0.1286371432</v>
      </c>
      <c r="BG240" s="14" cm="1">
        <f t="array" aca="1" ref="BG240" ca="1">IF(INDIRECT(ADDRESS($B240+1,BG$230,1,1,"Actively Infected Trend"))=0,#N/A,INDIRECT(ADDRESS($B240+1,BG$230,1,1,"Actively Infected Trend")))</f>
        <v>0.12591227320000001</v>
      </c>
      <c r="BH240" s="14" cm="1">
        <f t="array" aca="1" ref="BH240" ca="1">IF(INDIRECT(ADDRESS($B240+1,BH$230,1,1,"Actively Infected Trend"))=0,#N/A,INDIRECT(ADDRESS($B240+1,BH$230,1,1,"Actively Infected Trend")))</f>
        <v>0.12070911550000001</v>
      </c>
      <c r="BI240" s="14" cm="1">
        <f t="array" aca="1" ref="BI240" ca="1">IF(INDIRECT(ADDRESS($B240+1,BI$230,1,1,"Actively Infected Trend"))=0,#N/A,INDIRECT(ADDRESS($B240+1,BI$230,1,1,"Actively Infected Trend")))</f>
        <v>0.1101793311</v>
      </c>
      <c r="BJ240" s="14" cm="1">
        <f t="array" aca="1" ref="BJ240" ca="1">IF(INDIRECT(ADDRESS($B240+1,BJ$230,1,1,"Actively Infected Trend"))=0,#N/A,INDIRECT(ADDRESS($B240+1,BJ$230,1,1,"Actively Infected Trend")))</f>
        <v>0.10013315709999999</v>
      </c>
      <c r="BK240" s="14" cm="1">
        <f t="array" aca="1" ref="BK240" ca="1">IF(INDIRECT(ADDRESS($B240+1,BK$230,1,1,"Actively Infected Trend"))=0,#N/A,INDIRECT(ADDRESS($B240+1,BK$230,1,1,"Actively Infected Trend")))</f>
        <v>9.7489379200000004E-2</v>
      </c>
      <c r="BL240" s="14" cm="1">
        <f t="array" aca="1" ref="BL240" ca="1">IF(INDIRECT(ADDRESS($B240+1,BL$230,1,1,"Actively Infected Trend"))=0,#N/A,INDIRECT(ADDRESS($B240+1,BL$230,1,1,"Actively Infected Trend")))</f>
        <v>9.4698301700000001E-2</v>
      </c>
      <c r="BM240" s="14" cm="1">
        <f t="array" aca="1" ref="BM240" ca="1">IF(INDIRECT(ADDRESS($B240+1,BM$230,1,1,"Actively Infected Trend"))=0,#N/A,INDIRECT(ADDRESS($B240+1,BM$230,1,1,"Actively Infected Trend")))</f>
        <v>9.0069266199999998E-2</v>
      </c>
      <c r="BN240" s="14" cm="1">
        <f t="array" aca="1" ref="BN240" ca="1">IF(INDIRECT(ADDRESS($B240+1,BN$230,1,1,"Actively Infected Trend"))=0,#N/A,INDIRECT(ADDRESS($B240+1,BN$230,1,1,"Actively Infected Trend")))</f>
        <v>8.5444233600000002E-2</v>
      </c>
      <c r="BO240" s="14" cm="1">
        <f t="array" aca="1" ref="BO240" ca="1">IF(INDIRECT(ADDRESS($B240+1,BO$230,1,1,"Actively Infected Trend"))=0,#N/A,INDIRECT(ADDRESS($B240+1,BO$230,1,1,"Actively Infected Trend")))</f>
        <v>8.6199123200000005E-2</v>
      </c>
      <c r="BP240" s="14" cm="1">
        <f t="array" aca="1" ref="BP240" ca="1">IF(INDIRECT(ADDRESS($B240+1,BP$230,1,1,"Actively Infected Trend"))=0,#N/A,INDIRECT(ADDRESS($B240+1,BP$230,1,1,"Actively Infected Trend")))</f>
        <v>9.4347249699999997E-2</v>
      </c>
      <c r="BQ240" s="14" cm="1">
        <f t="array" aca="1" ref="BQ240" ca="1">IF(INDIRECT(ADDRESS($B240+1,BQ$230,1,1,"Actively Infected Trend"))=0,#N/A,INDIRECT(ADDRESS($B240+1,BQ$230,1,1,"Actively Infected Trend")))</f>
        <v>0.10701532950000001</v>
      </c>
      <c r="BR240" s="14" cm="1">
        <f t="array" aca="1" ref="BR240" ca="1">IF(INDIRECT(ADDRESS($B240+1,BR$230,1,1,"Actively Infected Trend"))=0,#N/A,INDIRECT(ADDRESS($B240+1,BR$230,1,1,"Actively Infected Trend")))</f>
        <v>0.12297847319999999</v>
      </c>
      <c r="BS240" s="14" cm="1">
        <f t="array" aca="1" ref="BS240" ca="1">IF(INDIRECT(ADDRESS($B240+1,BS$230,1,1,"Actively Infected Trend"))=0,#N/A,INDIRECT(ADDRESS($B240+1,BS$230,1,1,"Actively Infected Trend")))</f>
        <v>0.1363525176</v>
      </c>
      <c r="BT240" s="14" cm="1">
        <f t="array" aca="1" ref="BT240" ca="1">IF(INDIRECT(ADDRESS($B240+1,BT$230,1,1,"Actively Infected Trend"))=0,#N/A,INDIRECT(ADDRESS($B240+1,BT$230,1,1,"Actively Infected Trend")))</f>
        <v>0.14290468780000001</v>
      </c>
      <c r="BU240" s="14" cm="1">
        <f t="array" aca="1" ref="BU240" ca="1">IF(INDIRECT(ADDRESS($B240+1,BU$230,1,1,"Actively Infected Trend"))=0,#N/A,INDIRECT(ADDRESS($B240+1,BU$230,1,1,"Actively Infected Trend")))</f>
        <v>0.1429239752</v>
      </c>
      <c r="BV240" s="14" cm="1">
        <f t="array" aca="1" ref="BV240" ca="1">IF(INDIRECT(ADDRESS($B240+1,BV$230,1,1,"Actively Infected Trend"))=0,#N/A,INDIRECT(ADDRESS($B240+1,BV$230,1,1,"Actively Infected Trend")))</f>
        <v>0.138178574</v>
      </c>
      <c r="BW240" s="14" cm="1">
        <f t="array" aca="1" ref="BW240" ca="1">IF(INDIRECT(ADDRESS($B240+1,BW$230,1,1,"Actively Infected Trend"))=0,#N/A,INDIRECT(ADDRESS($B240+1,BW$230,1,1,"Actively Infected Trend")))</f>
        <v>0.13083027450000001</v>
      </c>
      <c r="BX240" s="14" cm="1">
        <f t="array" aca="1" ref="BX240" ca="1">IF(INDIRECT(ADDRESS($B240+1,BX$230,1,1,"Actively Infected Trend"))=0,#N/A,INDIRECT(ADDRESS($B240+1,BX$230,1,1,"Actively Infected Trend")))</f>
        <v>0.1211598458</v>
      </c>
      <c r="BY240" s="14" cm="1">
        <f t="array" aca="1" ref="BY240" ca="1">IF(INDIRECT(ADDRESS($B240+1,BY$230,1,1,"Actively Infected Trend"))=0,#N/A,INDIRECT(ADDRESS($B240+1,BY$230,1,1,"Actively Infected Trend")))</f>
        <v>0.11162984419999999</v>
      </c>
      <c r="BZ240" s="14" cm="1">
        <f t="array" aca="1" ref="BZ240" ca="1">IF(INDIRECT(ADDRESS($B240+1,BZ$230,1,1,"Actively Infected Trend"))=0,#N/A,INDIRECT(ADDRESS($B240+1,BZ$230,1,1,"Actively Infected Trend")))</f>
        <v>0.1014019818</v>
      </c>
      <c r="CA240" s="14" cm="1">
        <f t="array" aca="1" ref="CA240" ca="1">IF(INDIRECT(ADDRESS($B240+1,CA$230,1,1,"Actively Infected Trend"))=0,#N/A,INDIRECT(ADDRESS($B240+1,CA$230,1,1,"Actively Infected Trend")))</f>
        <v>9.1390388700000005E-2</v>
      </c>
      <c r="CB240" s="14" cm="1">
        <f t="array" aca="1" ref="CB240" ca="1">IF(INDIRECT(ADDRESS($B240+1,CB$230,1,1,"Actively Infected Trend"))=0,#N/A,INDIRECT(ADDRESS($B240+1,CB$230,1,1,"Actively Infected Trend")))</f>
        <v>8.3352496799999995E-2</v>
      </c>
      <c r="CC240" s="14" cm="1">
        <f t="array" aca="1" ref="CC240" ca="1">IF(INDIRECT(ADDRESS($B240+1,CC$230,1,1,"Actively Infected Trend"))=0,#N/A,INDIRECT(ADDRESS($B240+1,CC$230,1,1,"Actively Infected Trend")))</f>
        <v>7.6838294700000004E-2</v>
      </c>
      <c r="CD240" s="14" cm="1">
        <f t="array" aca="1" ref="CD240" ca="1">IF(INDIRECT(ADDRESS($B240+1,CD$230,1,1,"Actively Infected Trend"))=0,#N/A,INDIRECT(ADDRESS($B240+1,CD$230,1,1,"Actively Infected Trend")))</f>
        <v>7.1650407700000002E-2</v>
      </c>
      <c r="CE240" s="14" cm="1">
        <f t="array" aca="1" ref="CE240" ca="1">IF(INDIRECT(ADDRESS($B240+1,CE$230,1,1,"Actively Infected Trend"))=0,#N/A,INDIRECT(ADDRESS($B240+1,CE$230,1,1,"Actively Infected Trend")))</f>
        <v>6.6789353900000001E-2</v>
      </c>
      <c r="CF240" s="14" cm="1">
        <f t="array" aca="1" ref="CF240" ca="1">IF(INDIRECT(ADDRESS($B240+1,CF$230,1,1,"Actively Infected Trend"))=0,#N/A,INDIRECT(ADDRESS($B240+1,CF$230,1,1,"Actively Infected Trend")))</f>
        <v>6.3578061800000002E-2</v>
      </c>
      <c r="CG240" s="14" cm="1">
        <f t="array" aca="1" ref="CG240" ca="1">IF(INDIRECT(ADDRESS($B240+1,CG$230,1,1,"Actively Infected Trend"))=0,#N/A,INDIRECT(ADDRESS($B240+1,CG$230,1,1,"Actively Infected Trend")))</f>
        <v>6.1624062799999997E-2</v>
      </c>
      <c r="CH240" s="14" cm="1">
        <f t="array" aca="1" ref="CH240" ca="1">IF(INDIRECT(ADDRESS($B240+1,CH$230,1,1,"Actively Infected Trend"))=0,#N/A,INDIRECT(ADDRESS($B240+1,CH$230,1,1,"Actively Infected Trend")))</f>
        <v>6.0961252299999998E-2</v>
      </c>
      <c r="CI240" s="14" cm="1">
        <f t="array" aca="1" ref="CI240" ca="1">IF(INDIRECT(ADDRESS($B240+1,CI$230,1,1,"Actively Infected Trend"))=0,#N/A,INDIRECT(ADDRESS($B240+1,CI$230,1,1,"Actively Infected Trend")))</f>
        <v>6.1879167399999997E-2</v>
      </c>
      <c r="CJ240" s="14" cm="1">
        <f t="array" aca="1" ref="CJ240" ca="1">IF(INDIRECT(ADDRESS($B240+1,CJ$230,1,1,"Actively Infected Trend"))=0,#N/A,INDIRECT(ADDRESS($B240+1,CJ$230,1,1,"Actively Infected Trend")))</f>
        <v>6.2440984200000001E-2</v>
      </c>
      <c r="CK240" s="14" cm="1">
        <f t="array" aca="1" ref="CK240" ca="1">IF(INDIRECT(ADDRESS($B240+1,CK$230,1,1,"Actively Infected Trend"))=0,#N/A,INDIRECT(ADDRESS($B240+1,CK$230,1,1,"Actively Infected Trend")))</f>
        <v>6.3012765100000007E-2</v>
      </c>
      <c r="CL240" s="14" cm="1">
        <f t="array" aca="1" ref="CL240" ca="1">IF(INDIRECT(ADDRESS($B240+1,CL$230,1,1,"Actively Infected Trend"))=0,#N/A,INDIRECT(ADDRESS($B240+1,CL$230,1,1,"Actively Infected Trend")))</f>
        <v>6.3167840200000006E-2</v>
      </c>
      <c r="CM240" s="14" cm="1">
        <f t="array" aca="1" ref="CM240" ca="1">IF(INDIRECT(ADDRESS($B240+1,CM$230,1,1,"Actively Infected Trend"))=0,#N/A,INDIRECT(ADDRESS($B240+1,CM$230,1,1,"Actively Infected Trend")))</f>
        <v>6.4178712400000004E-2</v>
      </c>
      <c r="CN240" s="14" t="e" cm="1">
        <f t="array" aca="1" ref="CN240" ca="1">IF(INDIRECT(ADDRESS($B240+1,CN$230,1,1,"Actively Infected Trend"))=0,#N/A,INDIRECT(ADDRESS($B240+1,CN$230,1,1,"Actively Infected Trend")))</f>
        <v>#N/A</v>
      </c>
      <c r="CO240" s="14" t="e" cm="1">
        <f t="array" aca="1" ref="CO240" ca="1">IF(INDIRECT(ADDRESS($B240+1,CO$230,1,1,"Actively Infected Trend"))=0,#N/A,INDIRECT(ADDRESS($B240+1,CO$230,1,1,"Actively Infected Trend")))</f>
        <v>#N/A</v>
      </c>
      <c r="CP240" s="14" t="e" cm="1">
        <f t="array" aca="1" ref="CP240" ca="1">IF(INDIRECT(ADDRESS($B240+1,CP$230,1,1,"Actively Infected Trend"))=0,#N/A,INDIRECT(ADDRESS($B240+1,CP$230,1,1,"Actively Infected Trend")))</f>
        <v>#N/A</v>
      </c>
      <c r="CQ240" s="14" t="e" cm="1">
        <f t="array" aca="1" ref="CQ240" ca="1">IF(INDIRECT(ADDRESS($B240+1,CQ$230,1,1,"Actively Infected Trend"))=0,#N/A,INDIRECT(ADDRESS($B240+1,CQ$230,1,1,"Actively Infected Trend")))</f>
        <v>#N/A</v>
      </c>
      <c r="CR240" s="14" t="e" cm="1">
        <f t="array" aca="1" ref="CR240" ca="1">IF(INDIRECT(ADDRESS($B240+1,CR$230,1,1,"Actively Infected Trend"))=0,#N/A,INDIRECT(ADDRESS($B240+1,CR$230,1,1,"Actively Infected Trend")))</f>
        <v>#N/A</v>
      </c>
    </row>
    <row r="241" spans="2:96" x14ac:dyDescent="0.25">
      <c r="B241">
        <f t="shared" si="349"/>
        <v>10</v>
      </c>
      <c r="C241" t="str" cm="1">
        <f t="array" aca="1" ref="C241" ca="1">INDIRECT(ADDRESS($B241+1,1,1,1,"Actively Infected Trend"))</f>
        <v>Italy</v>
      </c>
      <c r="E241" s="14" t="e" cm="1">
        <f t="array" aca="1" ref="E241" ca="1">IF(INDIRECT(ADDRESS($B241+1,E$230,1,1,"Actively Infected Trend"))=0,#N/A,INDIRECT(ADDRESS($B241+1,E$230,1,1,"Actively Infected Trend")))</f>
        <v>#N/A</v>
      </c>
      <c r="F241" s="14" t="e" cm="1">
        <f t="array" aca="1" ref="F241" ca="1">IF(INDIRECT(ADDRESS($B241+1,F$230,1,1,"Actively Infected Trend"))=0,#N/A,INDIRECT(ADDRESS($B241+1,F$230,1,1,"Actively Infected Trend")))</f>
        <v>#N/A</v>
      </c>
      <c r="G241" s="14" t="e" cm="1">
        <f t="array" aca="1" ref="G241" ca="1">IF(INDIRECT(ADDRESS($B241+1,G$230,1,1,"Actively Infected Trend"))=0,#N/A,INDIRECT(ADDRESS($B241+1,G$230,1,1,"Actively Infected Trend")))</f>
        <v>#N/A</v>
      </c>
      <c r="H241" s="14" t="e" cm="1">
        <f t="array" aca="1" ref="H241" ca="1">IF(INDIRECT(ADDRESS($B241+1,H$230,1,1,"Actively Infected Trend"))=0,#N/A,INDIRECT(ADDRESS($B241+1,H$230,1,1,"Actively Infected Trend")))</f>
        <v>#N/A</v>
      </c>
      <c r="I241" s="14" t="e" cm="1">
        <f t="array" aca="1" ref="I241" ca="1">IF(INDIRECT(ADDRESS($B241+1,I$230,1,1,"Actively Infected Trend"))=0,#N/A,INDIRECT(ADDRESS($B241+1,I$230,1,1,"Actively Infected Trend")))</f>
        <v>#N/A</v>
      </c>
      <c r="J241" s="14" t="e" cm="1">
        <f t="array" aca="1" ref="J241" ca="1">IF(INDIRECT(ADDRESS($B241+1,J$230,1,1,"Actively Infected Trend"))=0,#N/A,INDIRECT(ADDRESS($B241+1,J$230,1,1,"Actively Infected Trend")))</f>
        <v>#N/A</v>
      </c>
      <c r="K241" s="14" t="e" cm="1">
        <f t="array" aca="1" ref="K241" ca="1">IF(INDIRECT(ADDRESS($B241+1,K$230,1,1,"Actively Infected Trend"))=0,#N/A,INDIRECT(ADDRESS($B241+1,K$230,1,1,"Actively Infected Trend")))</f>
        <v>#N/A</v>
      </c>
      <c r="L241" s="14" t="e" cm="1">
        <f t="array" aca="1" ref="L241" ca="1">IF(INDIRECT(ADDRESS($B241+1,L$230,1,1,"Actively Infected Trend"))=0,#N/A,INDIRECT(ADDRESS($B241+1,L$230,1,1,"Actively Infected Trend")))</f>
        <v>#N/A</v>
      </c>
      <c r="M241" s="14" t="e" cm="1">
        <f t="array" aca="1" ref="M241" ca="1">IF(INDIRECT(ADDRESS($B241+1,M$230,1,1,"Actively Infected Trend"))=0,#N/A,INDIRECT(ADDRESS($B241+1,M$230,1,1,"Actively Infected Trend")))</f>
        <v>#N/A</v>
      </c>
      <c r="N241" s="14" t="e" cm="1">
        <f t="array" aca="1" ref="N241" ca="1">IF(INDIRECT(ADDRESS($B241+1,N$230,1,1,"Actively Infected Trend"))=0,#N/A,INDIRECT(ADDRESS($B241+1,N$230,1,1,"Actively Infected Trend")))</f>
        <v>#N/A</v>
      </c>
      <c r="O241" s="14" t="e" cm="1">
        <f t="array" aca="1" ref="O241" ca="1">IF(INDIRECT(ADDRESS($B241+1,O$230,1,1,"Actively Infected Trend"))=0,#N/A,INDIRECT(ADDRESS($B241+1,O$230,1,1,"Actively Infected Trend")))</f>
        <v>#N/A</v>
      </c>
      <c r="P241" s="14" t="e" cm="1">
        <f t="array" aca="1" ref="P241" ca="1">IF(INDIRECT(ADDRESS($B241+1,P$230,1,1,"Actively Infected Trend"))=0,#N/A,INDIRECT(ADDRESS($B241+1,P$230,1,1,"Actively Infected Trend")))</f>
        <v>#N/A</v>
      </c>
      <c r="Q241" s="14" t="e" cm="1">
        <f t="array" aca="1" ref="Q241" ca="1">IF(INDIRECT(ADDRESS($B241+1,Q$230,1,1,"Actively Infected Trend"))=0,#N/A,INDIRECT(ADDRESS($B241+1,Q$230,1,1,"Actively Infected Trend")))</f>
        <v>#N/A</v>
      </c>
      <c r="R241" s="14" t="e" cm="1">
        <f t="array" aca="1" ref="R241" ca="1">IF(INDIRECT(ADDRESS($B241+1,R$230,1,1,"Actively Infected Trend"))=0,#N/A,INDIRECT(ADDRESS($B241+1,R$230,1,1,"Actively Infected Trend")))</f>
        <v>#N/A</v>
      </c>
      <c r="S241" s="14" t="e" cm="1">
        <f t="array" aca="1" ref="S241" ca="1">IF(INDIRECT(ADDRESS($B241+1,S$230,1,1,"Actively Infected Trend"))=0,#N/A,INDIRECT(ADDRESS($B241+1,S$230,1,1,"Actively Infected Trend")))</f>
        <v>#N/A</v>
      </c>
      <c r="T241" s="14" t="e" cm="1">
        <f t="array" aca="1" ref="T241" ca="1">IF(INDIRECT(ADDRESS($B241+1,T$230,1,1,"Actively Infected Trend"))=0,#N/A,INDIRECT(ADDRESS($B241+1,T$230,1,1,"Actively Infected Trend")))</f>
        <v>#N/A</v>
      </c>
      <c r="U241" s="14" t="e" cm="1">
        <f t="array" aca="1" ref="U241" ca="1">IF(INDIRECT(ADDRESS($B241+1,U$230,1,1,"Actively Infected Trend"))=0,#N/A,INDIRECT(ADDRESS($B241+1,U$230,1,1,"Actively Infected Trend")))</f>
        <v>#N/A</v>
      </c>
      <c r="V241" s="14" t="e" cm="1">
        <f t="array" aca="1" ref="V241" ca="1">IF(INDIRECT(ADDRESS($B241+1,V$230,1,1,"Actively Infected Trend"))=0,#N/A,INDIRECT(ADDRESS($B241+1,V$230,1,1,"Actively Infected Trend")))</f>
        <v>#N/A</v>
      </c>
      <c r="W241" s="14" t="e" cm="1">
        <f t="array" aca="1" ref="W241" ca="1">IF(INDIRECT(ADDRESS($B241+1,W$230,1,1,"Actively Infected Trend"))=0,#N/A,INDIRECT(ADDRESS($B241+1,W$230,1,1,"Actively Infected Trend")))</f>
        <v>#N/A</v>
      </c>
      <c r="X241" s="14" t="e" cm="1">
        <f t="array" aca="1" ref="X241" ca="1">IF(INDIRECT(ADDRESS($B241+1,X$230,1,1,"Actively Infected Trend"))=0,#N/A,INDIRECT(ADDRESS($B241+1,X$230,1,1,"Actively Infected Trend")))</f>
        <v>#N/A</v>
      </c>
      <c r="Y241" s="14" t="e" cm="1">
        <f t="array" aca="1" ref="Y241" ca="1">IF(INDIRECT(ADDRESS($B241+1,Y$230,1,1,"Actively Infected Trend"))=0,#N/A,INDIRECT(ADDRESS($B241+1,Y$230,1,1,"Actively Infected Trend")))</f>
        <v>#N/A</v>
      </c>
      <c r="Z241" s="14" t="e" cm="1">
        <f t="array" aca="1" ref="Z241" ca="1">IF(INDIRECT(ADDRESS($B241+1,Z$230,1,1,"Actively Infected Trend"))=0,#N/A,INDIRECT(ADDRESS($B241+1,Z$230,1,1,"Actively Infected Trend")))</f>
        <v>#N/A</v>
      </c>
      <c r="AA241" s="14" t="e" cm="1">
        <f t="array" aca="1" ref="AA241" ca="1">IF(INDIRECT(ADDRESS($B241+1,AA$230,1,1,"Actively Infected Trend"))=0,#N/A,INDIRECT(ADDRESS($B241+1,AA$230,1,1,"Actively Infected Trend")))</f>
        <v>#N/A</v>
      </c>
      <c r="AB241" s="14" t="e" cm="1">
        <f t="array" aca="1" ref="AB241" ca="1">IF(INDIRECT(ADDRESS($B241+1,AB$230,1,1,"Actively Infected Trend"))=0,#N/A,INDIRECT(ADDRESS($B241+1,AB$230,1,1,"Actively Infected Trend")))</f>
        <v>#N/A</v>
      </c>
      <c r="AC241" s="14" t="e" cm="1">
        <f t="array" aca="1" ref="AC241" ca="1">IF(INDIRECT(ADDRESS($B241+1,AC$230,1,1,"Actively Infected Trend"))=0,#N/A,INDIRECT(ADDRESS($B241+1,AC$230,1,1,"Actively Infected Trend")))</f>
        <v>#N/A</v>
      </c>
      <c r="AD241" s="14" t="e" cm="1">
        <f t="array" aca="1" ref="AD241" ca="1">IF(INDIRECT(ADDRESS($B241+1,AD$230,1,1,"Actively Infected Trend"))=0,#N/A,INDIRECT(ADDRESS($B241+1,AD$230,1,1,"Actively Infected Trend")))</f>
        <v>#N/A</v>
      </c>
      <c r="AE241" s="14" t="e" cm="1">
        <f t="array" aca="1" ref="AE241" ca="1">IF(INDIRECT(ADDRESS($B241+1,AE$230,1,1,"Actively Infected Trend"))=0,#N/A,INDIRECT(ADDRESS($B241+1,AE$230,1,1,"Actively Infected Trend")))</f>
        <v>#N/A</v>
      </c>
      <c r="AF241" s="14" t="e" cm="1">
        <f t="array" aca="1" ref="AF241" ca="1">IF(INDIRECT(ADDRESS($B241+1,AF$230,1,1,"Actively Infected Trend"))=0,#N/A,INDIRECT(ADDRESS($B241+1,AF$230,1,1,"Actively Infected Trend")))</f>
        <v>#N/A</v>
      </c>
      <c r="AG241" s="14" t="e" cm="1">
        <f t="array" aca="1" ref="AG241" ca="1">IF(INDIRECT(ADDRESS($B241+1,AG$230,1,1,"Actively Infected Trend"))=0,#N/A,INDIRECT(ADDRESS($B241+1,AG$230,1,1,"Actively Infected Trend")))</f>
        <v>#N/A</v>
      </c>
      <c r="AH241" s="14" t="e" cm="1">
        <f t="array" aca="1" ref="AH241" ca="1">IF(INDIRECT(ADDRESS($B241+1,AH$230,1,1,"Actively Infected Trend"))=0,#N/A,INDIRECT(ADDRESS($B241+1,AH$230,1,1,"Actively Infected Trend")))</f>
        <v>#N/A</v>
      </c>
      <c r="AI241" s="14" t="e" cm="1">
        <f t="array" aca="1" ref="AI241" ca="1">IF(INDIRECT(ADDRESS($B241+1,AI$230,1,1,"Actively Infected Trend"))=0,#N/A,INDIRECT(ADDRESS($B241+1,AI$230,1,1,"Actively Infected Trend")))</f>
        <v>#N/A</v>
      </c>
      <c r="AJ241" s="14" t="e" cm="1">
        <f t="array" aca="1" ref="AJ241" ca="1">IF(INDIRECT(ADDRESS($B241+1,AJ$230,1,1,"Actively Infected Trend"))=0,#N/A,INDIRECT(ADDRESS($B241+1,AJ$230,1,1,"Actively Infected Trend")))</f>
        <v>#N/A</v>
      </c>
      <c r="AK241" s="14" t="e" cm="1">
        <f t="array" aca="1" ref="AK241" ca="1">IF(INDIRECT(ADDRESS($B241+1,AK$230,1,1,"Actively Infected Trend"))=0,#N/A,INDIRECT(ADDRESS($B241+1,AK$230,1,1,"Actively Infected Trend")))</f>
        <v>#N/A</v>
      </c>
      <c r="AL241" s="14" t="e" cm="1">
        <f t="array" aca="1" ref="AL241" ca="1">IF(INDIRECT(ADDRESS($B241+1,AL$230,1,1,"Actively Infected Trend"))=0,#N/A,INDIRECT(ADDRESS($B241+1,AL$230,1,1,"Actively Infected Trend")))</f>
        <v>#N/A</v>
      </c>
      <c r="AM241" s="14" t="e" cm="1">
        <f t="array" aca="1" ref="AM241" ca="1">IF(INDIRECT(ADDRESS($B241+1,AM$230,1,1,"Actively Infected Trend"))=0,#N/A,INDIRECT(ADDRESS($B241+1,AM$230,1,1,"Actively Infected Trend")))</f>
        <v>#N/A</v>
      </c>
      <c r="AN241" s="14" t="e" cm="1">
        <f t="array" aca="1" ref="AN241" ca="1">IF(INDIRECT(ADDRESS($B241+1,AN$230,1,1,"Actively Infected Trend"))=0,#N/A,INDIRECT(ADDRESS($B241+1,AN$230,1,1,"Actively Infected Trend")))</f>
        <v>#N/A</v>
      </c>
      <c r="AO241" s="14" cm="1">
        <f t="array" aca="1" ref="AO241" ca="1">IF(INDIRECT(ADDRESS($B241+1,AO$230,1,1,"Actively Infected Trend"))=0,#N/A,INDIRECT(ADDRESS($B241+1,AO$230,1,1,"Actively Infected Trend")))</f>
        <v>0.58239683850000001</v>
      </c>
      <c r="AP241" s="14" cm="1">
        <f t="array" aca="1" ref="AP241" ca="1">IF(INDIRECT(ADDRESS($B241+1,AP$230,1,1,"Actively Infected Trend"))=0,#N/A,INDIRECT(ADDRESS($B241+1,AP$230,1,1,"Actively Infected Trend")))</f>
        <v>0.46548358940000001</v>
      </c>
      <c r="AQ241" s="14" cm="1">
        <f t="array" aca="1" ref="AQ241" ca="1">IF(INDIRECT(ADDRESS($B241+1,AQ$230,1,1,"Actively Infected Trend"))=0,#N/A,INDIRECT(ADDRESS($B241+1,AQ$230,1,1,"Actively Infected Trend")))</f>
        <v>0.4050706845</v>
      </c>
      <c r="AR241" s="14" cm="1">
        <f t="array" aca="1" ref="AR241" ca="1">IF(INDIRECT(ADDRESS($B241+1,AR$230,1,1,"Actively Infected Trend"))=0,#N/A,INDIRECT(ADDRESS($B241+1,AR$230,1,1,"Actively Infected Trend")))</f>
        <v>0.39438425719999998</v>
      </c>
      <c r="AS241" s="14" cm="1">
        <f t="array" aca="1" ref="AS241" ca="1">IF(INDIRECT(ADDRESS($B241+1,AS$230,1,1,"Actively Infected Trend"))=0,#N/A,INDIRECT(ADDRESS($B241+1,AS$230,1,1,"Actively Infected Trend")))</f>
        <v>0.3669999732</v>
      </c>
      <c r="AT241" s="14" cm="1">
        <f t="array" aca="1" ref="AT241" ca="1">IF(INDIRECT(ADDRESS($B241+1,AT$230,1,1,"Actively Infected Trend"))=0,#N/A,INDIRECT(ADDRESS($B241+1,AT$230,1,1,"Actively Infected Trend")))</f>
        <v>0.34001672449999998</v>
      </c>
      <c r="AU241" s="14" cm="1">
        <f t="array" aca="1" ref="AU241" ca="1">IF(INDIRECT(ADDRESS($B241+1,AU$230,1,1,"Actively Infected Trend"))=0,#N/A,INDIRECT(ADDRESS($B241+1,AU$230,1,1,"Actively Infected Trend")))</f>
        <v>0.31069206960000001</v>
      </c>
      <c r="AV241" s="14" cm="1">
        <f t="array" aca="1" ref="AV241" ca="1">IF(INDIRECT(ADDRESS($B241+1,AV$230,1,1,"Actively Infected Trend"))=0,#N/A,INDIRECT(ADDRESS($B241+1,AV$230,1,1,"Actively Infected Trend")))</f>
        <v>0.27379299060000001</v>
      </c>
      <c r="AW241" s="14" cm="1">
        <f t="array" aca="1" ref="AW241" ca="1">IF(INDIRECT(ADDRESS($B241+1,AW$230,1,1,"Actively Infected Trend"))=0,#N/A,INDIRECT(ADDRESS($B241+1,AW$230,1,1,"Actively Infected Trend")))</f>
        <v>0.25339493289999998</v>
      </c>
      <c r="AX241" s="14" cm="1">
        <f t="array" aca="1" ref="AX241" ca="1">IF(INDIRECT(ADDRESS($B241+1,AX$230,1,1,"Actively Infected Trend"))=0,#N/A,INDIRECT(ADDRESS($B241+1,AX$230,1,1,"Actively Infected Trend")))</f>
        <v>0.2420090959</v>
      </c>
      <c r="AY241" s="14" cm="1">
        <f t="array" aca="1" ref="AY241" ca="1">IF(INDIRECT(ADDRESS($B241+1,AY$230,1,1,"Actively Infected Trend"))=0,#N/A,INDIRECT(ADDRESS($B241+1,AY$230,1,1,"Actively Infected Trend")))</f>
        <v>0.25003148450000001</v>
      </c>
      <c r="AZ241" s="14" cm="1">
        <f t="array" aca="1" ref="AZ241" ca="1">IF(INDIRECT(ADDRESS($B241+1,AZ$230,1,1,"Actively Infected Trend"))=0,#N/A,INDIRECT(ADDRESS($B241+1,AZ$230,1,1,"Actively Infected Trend")))</f>
        <v>0.25408046870000001</v>
      </c>
      <c r="BA241" s="14" cm="1">
        <f t="array" aca="1" ref="BA241" ca="1">IF(INDIRECT(ADDRESS($B241+1,BA$230,1,1,"Actively Infected Trend"))=0,#N/A,INDIRECT(ADDRESS($B241+1,BA$230,1,1,"Actively Infected Trend")))</f>
        <v>0.24751841150000001</v>
      </c>
      <c r="BB241" s="14" cm="1">
        <f t="array" aca="1" ref="BB241" ca="1">IF(INDIRECT(ADDRESS($B241+1,BB$230,1,1,"Actively Infected Trend"))=0,#N/A,INDIRECT(ADDRESS($B241+1,BB$230,1,1,"Actively Infected Trend")))</f>
        <v>0.2349509373</v>
      </c>
      <c r="BC241" s="14" cm="1">
        <f t="array" aca="1" ref="BC241" ca="1">IF(INDIRECT(ADDRESS($B241+1,BC$230,1,1,"Actively Infected Trend"))=0,#N/A,INDIRECT(ADDRESS($B241+1,BC$230,1,1,"Actively Infected Trend")))</f>
        <v>0.2164431641</v>
      </c>
      <c r="BD241" s="14" cm="1">
        <f t="array" aca="1" ref="BD241" ca="1">IF(INDIRECT(ADDRESS($B241+1,BD$230,1,1,"Actively Infected Trend"))=0,#N/A,INDIRECT(ADDRESS($B241+1,BD$230,1,1,"Actively Infected Trend")))</f>
        <v>0.20611805899999999</v>
      </c>
      <c r="BE241" s="14" cm="1">
        <f t="array" aca="1" ref="BE241" ca="1">IF(INDIRECT(ADDRESS($B241+1,BE$230,1,1,"Actively Infected Trend"))=0,#N/A,INDIRECT(ADDRESS($B241+1,BE$230,1,1,"Actively Infected Trend")))</f>
        <v>0.2059299705</v>
      </c>
      <c r="BF241" s="14" cm="1">
        <f t="array" aca="1" ref="BF241" ca="1">IF(INDIRECT(ADDRESS($B241+1,BF$230,1,1,"Actively Infected Trend"))=0,#N/A,INDIRECT(ADDRESS($B241+1,BF$230,1,1,"Actively Infected Trend")))</f>
        <v>0.20411879790000001</v>
      </c>
      <c r="BG241" s="14" cm="1">
        <f t="array" aca="1" ref="BG241" ca="1">IF(INDIRECT(ADDRESS($B241+1,BG$230,1,1,"Actively Infected Trend"))=0,#N/A,INDIRECT(ADDRESS($B241+1,BG$230,1,1,"Actively Infected Trend")))</f>
        <v>0.19873116399999999</v>
      </c>
      <c r="BH241" s="14" cm="1">
        <f t="array" aca="1" ref="BH241" ca="1">IF(INDIRECT(ADDRESS($B241+1,BH$230,1,1,"Actively Infected Trend"))=0,#N/A,INDIRECT(ADDRESS($B241+1,BH$230,1,1,"Actively Infected Trend")))</f>
        <v>0.1830361905</v>
      </c>
      <c r="BI241" s="14" cm="1">
        <f t="array" aca="1" ref="BI241" ca="1">IF(INDIRECT(ADDRESS($B241+1,BI$230,1,1,"Actively Infected Trend"))=0,#N/A,INDIRECT(ADDRESS($B241+1,BI$230,1,1,"Actively Infected Trend")))</f>
        <v>0.1674168164</v>
      </c>
      <c r="BJ241" s="14" cm="1">
        <f t="array" aca="1" ref="BJ241" ca="1">IF(INDIRECT(ADDRESS($B241+1,BJ$230,1,1,"Actively Infected Trend"))=0,#N/A,INDIRECT(ADDRESS($B241+1,BJ$230,1,1,"Actively Infected Trend")))</f>
        <v>0.15714832840000001</v>
      </c>
      <c r="BK241" s="14" cm="1">
        <f t="array" aca="1" ref="BK241" ca="1">IF(INDIRECT(ADDRESS($B241+1,BK$230,1,1,"Actively Infected Trend"))=0,#N/A,INDIRECT(ADDRESS($B241+1,BK$230,1,1,"Actively Infected Trend")))</f>
        <v>0.15272539460000001</v>
      </c>
      <c r="BL241" s="14" cm="1">
        <f t="array" aca="1" ref="BL241" ca="1">IF(INDIRECT(ADDRESS($B241+1,BL$230,1,1,"Actively Infected Trend"))=0,#N/A,INDIRECT(ADDRESS($B241+1,BL$230,1,1,"Actively Infected Trend")))</f>
        <v>0.15584344889999999</v>
      </c>
      <c r="BM241" s="14" cm="1">
        <f t="array" aca="1" ref="BM241" ca="1">IF(INDIRECT(ADDRESS($B241+1,BM$230,1,1,"Actively Infected Trend"))=0,#N/A,INDIRECT(ADDRESS($B241+1,BM$230,1,1,"Actively Infected Trend")))</f>
        <v>0.15781448070000001</v>
      </c>
      <c r="BN241" s="14" cm="1">
        <f t="array" aca="1" ref="BN241" ca="1">IF(INDIRECT(ADDRESS($B241+1,BN$230,1,1,"Actively Infected Trend"))=0,#N/A,INDIRECT(ADDRESS($B241+1,BN$230,1,1,"Actively Infected Trend")))</f>
        <v>0.15203352840000001</v>
      </c>
      <c r="BO241" s="14" cm="1">
        <f t="array" aca="1" ref="BO241" ca="1">IF(INDIRECT(ADDRESS($B241+1,BO$230,1,1,"Actively Infected Trend"))=0,#N/A,INDIRECT(ADDRESS($B241+1,BO$230,1,1,"Actively Infected Trend")))</f>
        <v>0.13637958999999999</v>
      </c>
      <c r="BP241" s="14" cm="1">
        <f t="array" aca="1" ref="BP241" ca="1">IF(INDIRECT(ADDRESS($B241+1,BP$230,1,1,"Actively Infected Trend"))=0,#N/A,INDIRECT(ADDRESS($B241+1,BP$230,1,1,"Actively Infected Trend")))</f>
        <v>0.1203200289</v>
      </c>
      <c r="BQ241" s="14" cm="1">
        <f t="array" aca="1" ref="BQ241" ca="1">IF(INDIRECT(ADDRESS($B241+1,BQ$230,1,1,"Actively Infected Trend"))=0,#N/A,INDIRECT(ADDRESS($B241+1,BQ$230,1,1,"Actively Infected Trend")))</f>
        <v>0.1087032948</v>
      </c>
      <c r="BR241" s="14" cm="1">
        <f t="array" aca="1" ref="BR241" ca="1">IF(INDIRECT(ADDRESS($B241+1,BR$230,1,1,"Actively Infected Trend"))=0,#N/A,INDIRECT(ADDRESS($B241+1,BR$230,1,1,"Actively Infected Trend")))</f>
        <v>0.1021471491</v>
      </c>
      <c r="BS241" s="14" cm="1">
        <f t="array" aca="1" ref="BS241" ca="1">IF(INDIRECT(ADDRESS($B241+1,BS$230,1,1,"Actively Infected Trend"))=0,#N/A,INDIRECT(ADDRESS($B241+1,BS$230,1,1,"Actively Infected Trend")))</f>
        <v>0.1010718697</v>
      </c>
      <c r="BT241" s="14" cm="1">
        <f t="array" aca="1" ref="BT241" ca="1">IF(INDIRECT(ADDRESS($B241+1,BT$230,1,1,"Actively Infected Trend"))=0,#N/A,INDIRECT(ADDRESS($B241+1,BT$230,1,1,"Actively Infected Trend")))</f>
        <v>9.98783429E-2</v>
      </c>
      <c r="BU241" s="14" cm="1">
        <f t="array" aca="1" ref="BU241" ca="1">IF(INDIRECT(ADDRESS($B241+1,BU$230,1,1,"Actively Infected Trend"))=0,#N/A,INDIRECT(ADDRESS($B241+1,BU$230,1,1,"Actively Infected Trend")))</f>
        <v>9.4141730300000004E-2</v>
      </c>
      <c r="BV241" s="14" cm="1">
        <f t="array" aca="1" ref="BV241" ca="1">IF(INDIRECT(ADDRESS($B241+1,BV$230,1,1,"Actively Infected Trend"))=0,#N/A,INDIRECT(ADDRESS($B241+1,BV$230,1,1,"Actively Infected Trend")))</f>
        <v>8.5899815899999996E-2</v>
      </c>
      <c r="BW241" s="14" cm="1">
        <f t="array" aca="1" ref="BW241" ca="1">IF(INDIRECT(ADDRESS($B241+1,BW$230,1,1,"Actively Infected Trend"))=0,#N/A,INDIRECT(ADDRESS($B241+1,BW$230,1,1,"Actively Infected Trend")))</f>
        <v>7.7049807999999997E-2</v>
      </c>
      <c r="BX241" s="14" cm="1">
        <f t="array" aca="1" ref="BX241" ca="1">IF(INDIRECT(ADDRESS($B241+1,BX$230,1,1,"Actively Infected Trend"))=0,#N/A,INDIRECT(ADDRESS($B241+1,BX$230,1,1,"Actively Infected Trend")))</f>
        <v>7.19547039E-2</v>
      </c>
      <c r="BY241" s="14" cm="1">
        <f t="array" aca="1" ref="BY241" ca="1">IF(INDIRECT(ADDRESS($B241+1,BY$230,1,1,"Actively Infected Trend"))=0,#N/A,INDIRECT(ADDRESS($B241+1,BY$230,1,1,"Actively Infected Trend")))</f>
        <v>7.1024523800000003E-2</v>
      </c>
      <c r="BZ241" s="14" cm="1">
        <f t="array" aca="1" ref="BZ241" ca="1">IF(INDIRECT(ADDRESS($B241+1,BZ$230,1,1,"Actively Infected Trend"))=0,#N/A,INDIRECT(ADDRESS($B241+1,BZ$230,1,1,"Actively Infected Trend")))</f>
        <v>7.3520316500000002E-2</v>
      </c>
      <c r="CA241" s="14" cm="1">
        <f t="array" aca="1" ref="CA241" ca="1">IF(INDIRECT(ADDRESS($B241+1,CA$230,1,1,"Actively Infected Trend"))=0,#N/A,INDIRECT(ADDRESS($B241+1,CA$230,1,1,"Actively Infected Trend")))</f>
        <v>7.55208869E-2</v>
      </c>
      <c r="CB241" s="14" cm="1">
        <f t="array" aca="1" ref="CB241" ca="1">IF(INDIRECT(ADDRESS($B241+1,CB$230,1,1,"Actively Infected Trend"))=0,#N/A,INDIRECT(ADDRESS($B241+1,CB$230,1,1,"Actively Infected Trend")))</f>
        <v>7.4920328300000005E-2</v>
      </c>
      <c r="CC241" s="14" cm="1">
        <f t="array" aca="1" ref="CC241" ca="1">IF(INDIRECT(ADDRESS($B241+1,CC$230,1,1,"Actively Infected Trend"))=0,#N/A,INDIRECT(ADDRESS($B241+1,CC$230,1,1,"Actively Infected Trend")))</f>
        <v>7.2053812999999994E-2</v>
      </c>
      <c r="CD241" s="14" cm="1">
        <f t="array" aca="1" ref="CD241" ca="1">IF(INDIRECT(ADDRESS($B241+1,CD$230,1,1,"Actively Infected Trend"))=0,#N/A,INDIRECT(ADDRESS($B241+1,CD$230,1,1,"Actively Infected Trend")))</f>
        <v>6.7996687099999994E-2</v>
      </c>
      <c r="CE241" s="14" cm="1">
        <f t="array" aca="1" ref="CE241" ca="1">IF(INDIRECT(ADDRESS($B241+1,CE$230,1,1,"Actively Infected Trend"))=0,#N/A,INDIRECT(ADDRESS($B241+1,CE$230,1,1,"Actively Infected Trend")))</f>
        <v>6.60619868E-2</v>
      </c>
      <c r="CF241" s="14" cm="1">
        <f t="array" aca="1" ref="CF241" ca="1">IF(INDIRECT(ADDRESS($B241+1,CF$230,1,1,"Actively Infected Trend"))=0,#N/A,INDIRECT(ADDRESS($B241+1,CF$230,1,1,"Actively Infected Trend")))</f>
        <v>6.6790068600000002E-2</v>
      </c>
      <c r="CG241" s="14" cm="1">
        <f t="array" aca="1" ref="CG241" ca="1">IF(INDIRECT(ADDRESS($B241+1,CG$230,1,1,"Actively Infected Trend"))=0,#N/A,INDIRECT(ADDRESS($B241+1,CG$230,1,1,"Actively Infected Trend")))</f>
        <v>7.1323660799999994E-2</v>
      </c>
      <c r="CH241" s="14" cm="1">
        <f t="array" aca="1" ref="CH241" ca="1">IF(INDIRECT(ADDRESS($B241+1,CH$230,1,1,"Actively Infected Trend"))=0,#N/A,INDIRECT(ADDRESS($B241+1,CH$230,1,1,"Actively Infected Trend")))</f>
        <v>7.62070953E-2</v>
      </c>
      <c r="CI241" s="14" cm="1">
        <f t="array" aca="1" ref="CI241" ca="1">IF(INDIRECT(ADDRESS($B241+1,CI$230,1,1,"Actively Infected Trend"))=0,#N/A,INDIRECT(ADDRESS($B241+1,CI$230,1,1,"Actively Infected Trend")))</f>
        <v>7.8249557400000003E-2</v>
      </c>
      <c r="CJ241" s="14" cm="1">
        <f t="array" aca="1" ref="CJ241" ca="1">IF(INDIRECT(ADDRESS($B241+1,CJ$230,1,1,"Actively Infected Trend"))=0,#N/A,INDIRECT(ADDRESS($B241+1,CJ$230,1,1,"Actively Infected Trend")))</f>
        <v>7.6330743600000001E-2</v>
      </c>
      <c r="CK241" s="14" cm="1">
        <f t="array" aca="1" ref="CK241" ca="1">IF(INDIRECT(ADDRESS($B241+1,CK$230,1,1,"Actively Infected Trend"))=0,#N/A,INDIRECT(ADDRESS($B241+1,CK$230,1,1,"Actively Infected Trend")))</f>
        <v>7.1912391000000006E-2</v>
      </c>
      <c r="CL241" s="14" cm="1">
        <f t="array" aca="1" ref="CL241" ca="1">IF(INDIRECT(ADDRESS($B241+1,CL$230,1,1,"Actively Infected Trend"))=0,#N/A,INDIRECT(ADDRESS($B241+1,CL$230,1,1,"Actively Infected Trend")))</f>
        <v>6.7406542200000003E-2</v>
      </c>
      <c r="CM241" s="14" cm="1">
        <f t="array" aca="1" ref="CM241" ca="1">IF(INDIRECT(ADDRESS($B241+1,CM$230,1,1,"Actively Infected Trend"))=0,#N/A,INDIRECT(ADDRESS($B241+1,CM$230,1,1,"Actively Infected Trend")))</f>
        <v>6.5208084499999999E-2</v>
      </c>
      <c r="CN241" s="14" t="e" cm="1">
        <f t="array" aca="1" ref="CN241" ca="1">IF(INDIRECT(ADDRESS($B241+1,CN$230,1,1,"Actively Infected Trend"))=0,#N/A,INDIRECT(ADDRESS($B241+1,CN$230,1,1,"Actively Infected Trend")))</f>
        <v>#N/A</v>
      </c>
      <c r="CO241" s="14" t="e" cm="1">
        <f t="array" aca="1" ref="CO241" ca="1">IF(INDIRECT(ADDRESS($B241+1,CO$230,1,1,"Actively Infected Trend"))=0,#N/A,INDIRECT(ADDRESS($B241+1,CO$230,1,1,"Actively Infected Trend")))</f>
        <v>#N/A</v>
      </c>
      <c r="CP241" s="14" t="e" cm="1">
        <f t="array" aca="1" ref="CP241" ca="1">IF(INDIRECT(ADDRESS($B241+1,CP$230,1,1,"Actively Infected Trend"))=0,#N/A,INDIRECT(ADDRESS($B241+1,CP$230,1,1,"Actively Infected Trend")))</f>
        <v>#N/A</v>
      </c>
      <c r="CQ241" s="14" t="e" cm="1">
        <f t="array" aca="1" ref="CQ241" ca="1">IF(INDIRECT(ADDRESS($B241+1,CQ$230,1,1,"Actively Infected Trend"))=0,#N/A,INDIRECT(ADDRESS($B241+1,CQ$230,1,1,"Actively Infected Trend")))</f>
        <v>#N/A</v>
      </c>
      <c r="CR241" s="14" t="e" cm="1">
        <f t="array" aca="1" ref="CR241" ca="1">IF(INDIRECT(ADDRESS($B241+1,CR$230,1,1,"Actively Infected Trend"))=0,#N/A,INDIRECT(ADDRESS($B241+1,CR$230,1,1,"Actively Infected Trend")))</f>
        <v>#N/A</v>
      </c>
    </row>
    <row r="242" spans="2:96" x14ac:dyDescent="0.25">
      <c r="B242">
        <f t="shared" si="349"/>
        <v>11</v>
      </c>
      <c r="C242" t="str" cm="1">
        <f t="array" aca="1" ref="C242" ca="1">INDIRECT(ADDRESS($B242+1,1,1,1,"Actively Infected Trend"))</f>
        <v>Japan</v>
      </c>
      <c r="E242" s="14" t="e" cm="1">
        <f t="array" aca="1" ref="E242" ca="1">IF(INDIRECT(ADDRESS($B242+1,E$230,1,1,"Actively Infected Trend"))=0,#N/A,INDIRECT(ADDRESS($B242+1,E$230,1,1,"Actively Infected Trend")))</f>
        <v>#N/A</v>
      </c>
      <c r="F242" s="14" t="e" cm="1">
        <f t="array" aca="1" ref="F242" ca="1">IF(INDIRECT(ADDRESS($B242+1,F$230,1,1,"Actively Infected Trend"))=0,#N/A,INDIRECT(ADDRESS($B242+1,F$230,1,1,"Actively Infected Trend")))</f>
        <v>#N/A</v>
      </c>
      <c r="G242" s="14" t="e" cm="1">
        <f t="array" aca="1" ref="G242" ca="1">IF(INDIRECT(ADDRESS($B242+1,G$230,1,1,"Actively Infected Trend"))=0,#N/A,INDIRECT(ADDRESS($B242+1,G$230,1,1,"Actively Infected Trend")))</f>
        <v>#N/A</v>
      </c>
      <c r="H242" s="14" t="e" cm="1">
        <f t="array" aca="1" ref="H242" ca="1">IF(INDIRECT(ADDRESS($B242+1,H$230,1,1,"Actively Infected Trend"))=0,#N/A,INDIRECT(ADDRESS($B242+1,H$230,1,1,"Actively Infected Trend")))</f>
        <v>#N/A</v>
      </c>
      <c r="I242" s="14" t="e" cm="1">
        <f t="array" aca="1" ref="I242" ca="1">IF(INDIRECT(ADDRESS($B242+1,I$230,1,1,"Actively Infected Trend"))=0,#N/A,INDIRECT(ADDRESS($B242+1,I$230,1,1,"Actively Infected Trend")))</f>
        <v>#N/A</v>
      </c>
      <c r="J242" s="14" t="e" cm="1">
        <f t="array" aca="1" ref="J242" ca="1">IF(INDIRECT(ADDRESS($B242+1,J$230,1,1,"Actively Infected Trend"))=0,#N/A,INDIRECT(ADDRESS($B242+1,J$230,1,1,"Actively Infected Trend")))</f>
        <v>#N/A</v>
      </c>
      <c r="K242" s="14" t="e" cm="1">
        <f t="array" aca="1" ref="K242" ca="1">IF(INDIRECT(ADDRESS($B242+1,K$230,1,1,"Actively Infected Trend"))=0,#N/A,INDIRECT(ADDRESS($B242+1,K$230,1,1,"Actively Infected Trend")))</f>
        <v>#N/A</v>
      </c>
      <c r="L242" s="14" t="e" cm="1">
        <f t="array" aca="1" ref="L242" ca="1">IF(INDIRECT(ADDRESS($B242+1,L$230,1,1,"Actively Infected Trend"))=0,#N/A,INDIRECT(ADDRESS($B242+1,L$230,1,1,"Actively Infected Trend")))</f>
        <v>#N/A</v>
      </c>
      <c r="M242" s="14" t="e" cm="1">
        <f t="array" aca="1" ref="M242" ca="1">IF(INDIRECT(ADDRESS($B242+1,M$230,1,1,"Actively Infected Trend"))=0,#N/A,INDIRECT(ADDRESS($B242+1,M$230,1,1,"Actively Infected Trend")))</f>
        <v>#N/A</v>
      </c>
      <c r="N242" s="14" t="e" cm="1">
        <f t="array" aca="1" ref="N242" ca="1">IF(INDIRECT(ADDRESS($B242+1,N$230,1,1,"Actively Infected Trend"))=0,#N/A,INDIRECT(ADDRESS($B242+1,N$230,1,1,"Actively Infected Trend")))</f>
        <v>#N/A</v>
      </c>
      <c r="O242" s="14" t="e" cm="1">
        <f t="array" aca="1" ref="O242" ca="1">IF(INDIRECT(ADDRESS($B242+1,O$230,1,1,"Actively Infected Trend"))=0,#N/A,INDIRECT(ADDRESS($B242+1,O$230,1,1,"Actively Infected Trend")))</f>
        <v>#N/A</v>
      </c>
      <c r="P242" s="14" t="e" cm="1">
        <f t="array" aca="1" ref="P242" ca="1">IF(INDIRECT(ADDRESS($B242+1,P$230,1,1,"Actively Infected Trend"))=0,#N/A,INDIRECT(ADDRESS($B242+1,P$230,1,1,"Actively Infected Trend")))</f>
        <v>#N/A</v>
      </c>
      <c r="Q242" s="14" t="e" cm="1">
        <f t="array" aca="1" ref="Q242" ca="1">IF(INDIRECT(ADDRESS($B242+1,Q$230,1,1,"Actively Infected Trend"))=0,#N/A,INDIRECT(ADDRESS($B242+1,Q$230,1,1,"Actively Infected Trend")))</f>
        <v>#N/A</v>
      </c>
      <c r="R242" s="14" t="e" cm="1">
        <f t="array" aca="1" ref="R242" ca="1">IF(INDIRECT(ADDRESS($B242+1,R$230,1,1,"Actively Infected Trend"))=0,#N/A,INDIRECT(ADDRESS($B242+1,R$230,1,1,"Actively Infected Trend")))</f>
        <v>#N/A</v>
      </c>
      <c r="S242" s="14" cm="1">
        <f t="array" aca="1" ref="S242" ca="1">IF(INDIRECT(ADDRESS($B242+1,S$230,1,1,"Actively Infected Trend"))=0,#N/A,INDIRECT(ADDRESS($B242+1,S$230,1,1,"Actively Infected Trend")))</f>
        <v>0.10495752830000001</v>
      </c>
      <c r="T242" s="14" cm="1">
        <f t="array" aca="1" ref="T242" ca="1">IF(INDIRECT(ADDRESS($B242+1,T$230,1,1,"Actively Infected Trend"))=0,#N/A,INDIRECT(ADDRESS($B242+1,T$230,1,1,"Actively Infected Trend")))</f>
        <v>6.0161689099999999E-2</v>
      </c>
      <c r="U242" s="14" cm="1">
        <f t="array" aca="1" ref="U242" ca="1">IF(INDIRECT(ADDRESS($B242+1,U$230,1,1,"Actively Infected Trend"))=0,#N/A,INDIRECT(ADDRESS($B242+1,U$230,1,1,"Actively Infected Trend")))</f>
        <v>4.1402678599999999E-2</v>
      </c>
      <c r="V242" s="14" cm="1">
        <f t="array" aca="1" ref="V242" ca="1">IF(INDIRECT(ADDRESS($B242+1,V$230,1,1,"Actively Infected Trend"))=0,#N/A,INDIRECT(ADDRESS($B242+1,V$230,1,1,"Actively Infected Trend")))</f>
        <v>4.2003850299999999E-2</v>
      </c>
      <c r="W242" s="14" cm="1">
        <f t="array" aca="1" ref="W242" ca="1">IF(INDIRECT(ADDRESS($B242+1,W$230,1,1,"Actively Infected Trend"))=0,#N/A,INDIRECT(ADDRESS($B242+1,W$230,1,1,"Actively Infected Trend")))</f>
        <v>4.2891272600000002E-2</v>
      </c>
      <c r="X242" s="14" cm="1">
        <f t="array" aca="1" ref="X242" ca="1">IF(INDIRECT(ADDRESS($B242+1,X$230,1,1,"Actively Infected Trend"))=0,#N/A,INDIRECT(ADDRESS($B242+1,X$230,1,1,"Actively Infected Trend")))</f>
        <v>3.9906166399999998E-2</v>
      </c>
      <c r="Y242" s="14" cm="1">
        <f t="array" aca="1" ref="Y242" ca="1">IF(INDIRECT(ADDRESS($B242+1,Y$230,1,1,"Actively Infected Trend"))=0,#N/A,INDIRECT(ADDRESS($B242+1,Y$230,1,1,"Actively Infected Trend")))</f>
        <v>3.5878489800000003E-2</v>
      </c>
      <c r="Z242" s="14" cm="1">
        <f t="array" aca="1" ref="Z242" ca="1">IF(INDIRECT(ADDRESS($B242+1,Z$230,1,1,"Actively Infected Trend"))=0,#N/A,INDIRECT(ADDRESS($B242+1,Z$230,1,1,"Actively Infected Trend")))</f>
        <v>3.5766114600000003E-2</v>
      </c>
      <c r="AA242" s="14" cm="1">
        <f t="array" aca="1" ref="AA242" ca="1">IF(INDIRECT(ADDRESS($B242+1,AA$230,1,1,"Actively Infected Trend"))=0,#N/A,INDIRECT(ADDRESS($B242+1,AA$230,1,1,"Actively Infected Trend")))</f>
        <v>3.7699572700000003E-2</v>
      </c>
      <c r="AB242" s="14" cm="1">
        <f t="array" aca="1" ref="AB242" ca="1">IF(INDIRECT(ADDRESS($B242+1,AB$230,1,1,"Actively Infected Trend"))=0,#N/A,INDIRECT(ADDRESS($B242+1,AB$230,1,1,"Actively Infected Trend")))</f>
        <v>4.6962283100000002E-2</v>
      </c>
      <c r="AC242" s="14" cm="1">
        <f t="array" aca="1" ref="AC242" ca="1">IF(INDIRECT(ADDRESS($B242+1,AC$230,1,1,"Actively Infected Trend"))=0,#N/A,INDIRECT(ADDRESS($B242+1,AC$230,1,1,"Actively Infected Trend")))</f>
        <v>0.10972572949999999</v>
      </c>
      <c r="AD242" s="14" cm="1">
        <f t="array" aca="1" ref="AD242" ca="1">IF(INDIRECT(ADDRESS($B242+1,AD$230,1,1,"Actively Infected Trend"))=0,#N/A,INDIRECT(ADDRESS($B242+1,AD$230,1,1,"Actively Infected Trend")))</f>
        <v>0.19124279180000001</v>
      </c>
      <c r="AE242" s="14" cm="1">
        <f t="array" aca="1" ref="AE242" ca="1">IF(INDIRECT(ADDRESS($B242+1,AE$230,1,1,"Actively Infected Trend"))=0,#N/A,INDIRECT(ADDRESS($B242+1,AE$230,1,1,"Actively Infected Trend")))</f>
        <v>0.2804473952</v>
      </c>
      <c r="AF242" s="14" cm="1">
        <f t="array" aca="1" ref="AF242" ca="1">IF(INDIRECT(ADDRESS($B242+1,AF$230,1,1,"Actively Infected Trend"))=0,#N/A,INDIRECT(ADDRESS($B242+1,AF$230,1,1,"Actively Infected Trend")))</f>
        <v>0.33464478559999999</v>
      </c>
      <c r="AG242" s="14" cm="1">
        <f t="array" aca="1" ref="AG242" ca="1">IF(INDIRECT(ADDRESS($B242+1,AG$230,1,1,"Actively Infected Trend"))=0,#N/A,INDIRECT(ADDRESS($B242+1,AG$230,1,1,"Actively Infected Trend")))</f>
        <v>0.30550841810000001</v>
      </c>
      <c r="AH242" s="14" cm="1">
        <f t="array" aca="1" ref="AH242" ca="1">IF(INDIRECT(ADDRESS($B242+1,AH$230,1,1,"Actively Infected Trend"))=0,#N/A,INDIRECT(ADDRESS($B242+1,AH$230,1,1,"Actively Infected Trend")))</f>
        <v>0.23861710659999999</v>
      </c>
      <c r="AI242" s="14" cm="1">
        <f t="array" aca="1" ref="AI242" ca="1">IF(INDIRECT(ADDRESS($B242+1,AI$230,1,1,"Actively Infected Trend"))=0,#N/A,INDIRECT(ADDRESS($B242+1,AI$230,1,1,"Actively Infected Trend")))</f>
        <v>0.18276648979999999</v>
      </c>
      <c r="AJ242" s="14" cm="1">
        <f t="array" aca="1" ref="AJ242" ca="1">IF(INDIRECT(ADDRESS($B242+1,AJ$230,1,1,"Actively Infected Trend"))=0,#N/A,INDIRECT(ADDRESS($B242+1,AJ$230,1,1,"Actively Infected Trend")))</f>
        <v>0.16052373710000001</v>
      </c>
      <c r="AK242" s="14" cm="1">
        <f t="array" aca="1" ref="AK242" ca="1">IF(INDIRECT(ADDRESS($B242+1,AK$230,1,1,"Actively Infected Trend"))=0,#N/A,INDIRECT(ADDRESS($B242+1,AK$230,1,1,"Actively Infected Trend")))</f>
        <v>0.16610546600000001</v>
      </c>
      <c r="AL242" s="14" cm="1">
        <f t="array" aca="1" ref="AL242" ca="1">IF(INDIRECT(ADDRESS($B242+1,AL$230,1,1,"Actively Infected Trend"))=0,#N/A,INDIRECT(ADDRESS($B242+1,AL$230,1,1,"Actively Infected Trend")))</f>
        <v>0.1701240467</v>
      </c>
      <c r="AM242" s="14" cm="1">
        <f t="array" aca="1" ref="AM242" ca="1">IF(INDIRECT(ADDRESS($B242+1,AM$230,1,1,"Actively Infected Trend"))=0,#N/A,INDIRECT(ADDRESS($B242+1,AM$230,1,1,"Actively Infected Trend")))</f>
        <v>0.16541649159999999</v>
      </c>
      <c r="AN242" s="14" cm="1">
        <f t="array" aca="1" ref="AN242" ca="1">IF(INDIRECT(ADDRESS($B242+1,AN$230,1,1,"Actively Infected Trend"))=0,#N/A,INDIRECT(ADDRESS($B242+1,AN$230,1,1,"Actively Infected Trend")))</f>
        <v>0.1491852521</v>
      </c>
      <c r="AO242" s="14" cm="1">
        <f t="array" aca="1" ref="AO242" ca="1">IF(INDIRECT(ADDRESS($B242+1,AO$230,1,1,"Actively Infected Trend"))=0,#N/A,INDIRECT(ADDRESS($B242+1,AO$230,1,1,"Actively Infected Trend")))</f>
        <v>0.12984564479999999</v>
      </c>
      <c r="AP242" s="14" cm="1">
        <f t="array" aca="1" ref="AP242" ca="1">IF(INDIRECT(ADDRESS($B242+1,AP$230,1,1,"Actively Infected Trend"))=0,#N/A,INDIRECT(ADDRESS($B242+1,AP$230,1,1,"Actively Infected Trend")))</f>
        <v>0.1167620001</v>
      </c>
      <c r="AQ242" s="14" cm="1">
        <f t="array" aca="1" ref="AQ242" ca="1">IF(INDIRECT(ADDRESS($B242+1,AQ$230,1,1,"Actively Infected Trend"))=0,#N/A,INDIRECT(ADDRESS($B242+1,AQ$230,1,1,"Actively Infected Trend")))</f>
        <v>0.11498491130000001</v>
      </c>
      <c r="AR242" s="14" cm="1">
        <f t="array" aca="1" ref="AR242" ca="1">IF(INDIRECT(ADDRESS($B242+1,AR$230,1,1,"Actively Infected Trend"))=0,#N/A,INDIRECT(ADDRESS($B242+1,AR$230,1,1,"Actively Infected Trend")))</f>
        <v>0.11394248260000001</v>
      </c>
      <c r="AS242" s="14" cm="1">
        <f t="array" aca="1" ref="AS242" ca="1">IF(INDIRECT(ADDRESS($B242+1,AS$230,1,1,"Actively Infected Trend"))=0,#N/A,INDIRECT(ADDRESS($B242+1,AS$230,1,1,"Actively Infected Trend")))</f>
        <v>0.1014628637</v>
      </c>
      <c r="AT242" s="14" cm="1">
        <f t="array" aca="1" ref="AT242" ca="1">IF(INDIRECT(ADDRESS($B242+1,AT$230,1,1,"Actively Infected Trend"))=0,#N/A,INDIRECT(ADDRESS($B242+1,AT$230,1,1,"Actively Infected Trend")))</f>
        <v>9.1870273000000002E-2</v>
      </c>
      <c r="AU242" s="14" cm="1">
        <f t="array" aca="1" ref="AU242" ca="1">IF(INDIRECT(ADDRESS($B242+1,AU$230,1,1,"Actively Infected Trend"))=0,#N/A,INDIRECT(ADDRESS($B242+1,AU$230,1,1,"Actively Infected Trend")))</f>
        <v>9.4896056699999995E-2</v>
      </c>
      <c r="AV242" s="14" cm="1">
        <f t="array" aca="1" ref="AV242" ca="1">IF(INDIRECT(ADDRESS($B242+1,AV$230,1,1,"Actively Infected Trend"))=0,#N/A,INDIRECT(ADDRESS($B242+1,AV$230,1,1,"Actively Infected Trend")))</f>
        <v>0.1073976276</v>
      </c>
      <c r="AW242" s="14" cm="1">
        <f t="array" aca="1" ref="AW242" ca="1">IF(INDIRECT(ADDRESS($B242+1,AW$230,1,1,"Actively Infected Trend"))=0,#N/A,INDIRECT(ADDRESS($B242+1,AW$230,1,1,"Actively Infected Trend")))</f>
        <v>0.12751004669999999</v>
      </c>
      <c r="AX242" s="14" cm="1">
        <f t="array" aca="1" ref="AX242" ca="1">IF(INDIRECT(ADDRESS($B242+1,AX$230,1,1,"Actively Infected Trend"))=0,#N/A,INDIRECT(ADDRESS($B242+1,AX$230,1,1,"Actively Infected Trend")))</f>
        <v>0.14705193189999999</v>
      </c>
      <c r="AY242" s="14" cm="1">
        <f t="array" aca="1" ref="AY242" ca="1">IF(INDIRECT(ADDRESS($B242+1,AY$230,1,1,"Actively Infected Trend"))=0,#N/A,INDIRECT(ADDRESS($B242+1,AY$230,1,1,"Actively Infected Trend")))</f>
        <v>0.16121024049999999</v>
      </c>
      <c r="AZ242" s="14" cm="1">
        <f t="array" aca="1" ref="AZ242" ca="1">IF(INDIRECT(ADDRESS($B242+1,AZ$230,1,1,"Actively Infected Trend"))=0,#N/A,INDIRECT(ADDRESS($B242+1,AZ$230,1,1,"Actively Infected Trend")))</f>
        <v>0.1543261182</v>
      </c>
      <c r="BA242" s="14" cm="1">
        <f t="array" aca="1" ref="BA242" ca="1">IF(INDIRECT(ADDRESS($B242+1,BA$230,1,1,"Actively Infected Trend"))=0,#N/A,INDIRECT(ADDRESS($B242+1,BA$230,1,1,"Actively Infected Trend")))</f>
        <v>0.13350849889999999</v>
      </c>
      <c r="BB242" s="14" cm="1">
        <f t="array" aca="1" ref="BB242" ca="1">IF(INDIRECT(ADDRESS($B242+1,BB$230,1,1,"Actively Infected Trend"))=0,#N/A,INDIRECT(ADDRESS($B242+1,BB$230,1,1,"Actively Infected Trend")))</f>
        <v>0.1231909437</v>
      </c>
      <c r="BC242" s="14" cm="1">
        <f t="array" aca="1" ref="BC242" ca="1">IF(INDIRECT(ADDRESS($B242+1,BC$230,1,1,"Actively Infected Trend"))=0,#N/A,INDIRECT(ADDRESS($B242+1,BC$230,1,1,"Actively Infected Trend")))</f>
        <v>0.11932117</v>
      </c>
      <c r="BD242" s="14" cm="1">
        <f t="array" aca="1" ref="BD242" ca="1">IF(INDIRECT(ADDRESS($B242+1,BD$230,1,1,"Actively Infected Trend"))=0,#N/A,INDIRECT(ADDRESS($B242+1,BD$230,1,1,"Actively Infected Trend")))</f>
        <v>0.1194872825</v>
      </c>
      <c r="BE242" s="14" cm="1">
        <f t="array" aca="1" ref="BE242" ca="1">IF(INDIRECT(ADDRESS($B242+1,BE$230,1,1,"Actively Infected Trend"))=0,#N/A,INDIRECT(ADDRESS($B242+1,BE$230,1,1,"Actively Infected Trend")))</f>
        <v>0.1117677649</v>
      </c>
      <c r="BF242" s="14" cm="1">
        <f t="array" aca="1" ref="BF242" ca="1">IF(INDIRECT(ADDRESS($B242+1,BF$230,1,1,"Actively Infected Trend"))=0,#N/A,INDIRECT(ADDRESS($B242+1,BF$230,1,1,"Actively Infected Trend")))</f>
        <v>0.1081510442</v>
      </c>
      <c r="BG242" s="14" cm="1">
        <f t="array" aca="1" ref="BG242" ca="1">IF(INDIRECT(ADDRESS($B242+1,BG$230,1,1,"Actively Infected Trend"))=0,#N/A,INDIRECT(ADDRESS($B242+1,BG$230,1,1,"Actively Infected Trend")))</f>
        <v>0.1017182296</v>
      </c>
      <c r="BH242" s="14" cm="1">
        <f t="array" aca="1" ref="BH242" ca="1">IF(INDIRECT(ADDRESS($B242+1,BH$230,1,1,"Actively Infected Trend"))=0,#N/A,INDIRECT(ADDRESS($B242+1,BH$230,1,1,"Actively Infected Trend")))</f>
        <v>9.5961844899999996E-2</v>
      </c>
      <c r="BI242" s="14" cm="1">
        <f t="array" aca="1" ref="BI242" ca="1">IF(INDIRECT(ADDRESS($B242+1,BI$230,1,1,"Actively Infected Trend"))=0,#N/A,INDIRECT(ADDRESS($B242+1,BI$230,1,1,"Actively Infected Trend")))</f>
        <v>8.2772826999999993E-2</v>
      </c>
      <c r="BJ242" s="14" cm="1">
        <f t="array" aca="1" ref="BJ242" ca="1">IF(INDIRECT(ADDRESS($B242+1,BJ$230,1,1,"Actively Infected Trend"))=0,#N/A,INDIRECT(ADDRESS($B242+1,BJ$230,1,1,"Actively Infected Trend")))</f>
        <v>6.3184223400000003E-2</v>
      </c>
      <c r="BK242" s="14" cm="1">
        <f t="array" aca="1" ref="BK242" ca="1">IF(INDIRECT(ADDRESS($B242+1,BK$230,1,1,"Actively Infected Trend"))=0,#N/A,INDIRECT(ADDRESS($B242+1,BK$230,1,1,"Actively Infected Trend")))</f>
        <v>5.2453475300000003E-2</v>
      </c>
      <c r="BL242" s="14" cm="1">
        <f t="array" aca="1" ref="BL242" ca="1">IF(INDIRECT(ADDRESS($B242+1,BL$230,1,1,"Actively Infected Trend"))=0,#N/A,INDIRECT(ADDRESS($B242+1,BL$230,1,1,"Actively Infected Trend")))</f>
        <v>5.45513189E-2</v>
      </c>
      <c r="BM242" s="14" cm="1">
        <f t="array" aca="1" ref="BM242" ca="1">IF(INDIRECT(ADDRESS($B242+1,BM$230,1,1,"Actively Infected Trend"))=0,#N/A,INDIRECT(ADDRESS($B242+1,BM$230,1,1,"Actively Infected Trend")))</f>
        <v>7.3450393200000005E-2</v>
      </c>
      <c r="BN242" s="14" cm="1">
        <f t="array" aca="1" ref="BN242" ca="1">IF(INDIRECT(ADDRESS($B242+1,BN$230,1,1,"Actively Infected Trend"))=0,#N/A,INDIRECT(ADDRESS($B242+1,BN$230,1,1,"Actively Infected Trend")))</f>
        <v>8.6264946100000003E-2</v>
      </c>
      <c r="BO242" s="14" cm="1">
        <f t="array" aca="1" ref="BO242" ca="1">IF(INDIRECT(ADDRESS($B242+1,BO$230,1,1,"Actively Infected Trend"))=0,#N/A,INDIRECT(ADDRESS($B242+1,BO$230,1,1,"Actively Infected Trend")))</f>
        <v>0.1046711798</v>
      </c>
      <c r="BP242" s="14" cm="1">
        <f t="array" aca="1" ref="BP242" ca="1">IF(INDIRECT(ADDRESS($B242+1,BP$230,1,1,"Actively Infected Trend"))=0,#N/A,INDIRECT(ADDRESS($B242+1,BP$230,1,1,"Actively Infected Trend")))</f>
        <v>0.1137514575</v>
      </c>
      <c r="BQ242" s="14" cm="1">
        <f t="array" aca="1" ref="BQ242" ca="1">IF(INDIRECT(ADDRESS($B242+1,BQ$230,1,1,"Actively Infected Trend"))=0,#N/A,INDIRECT(ADDRESS($B242+1,BQ$230,1,1,"Actively Infected Trend")))</f>
        <v>0.1173790691</v>
      </c>
      <c r="BR242" s="14" cm="1">
        <f t="array" aca="1" ref="BR242" ca="1">IF(INDIRECT(ADDRESS($B242+1,BR$230,1,1,"Actively Infected Trend"))=0,#N/A,INDIRECT(ADDRESS($B242+1,BR$230,1,1,"Actively Infected Trend")))</f>
        <v>0.1242837339</v>
      </c>
      <c r="BS242" s="14" cm="1">
        <f t="array" aca="1" ref="BS242" ca="1">IF(INDIRECT(ADDRESS($B242+1,BS$230,1,1,"Actively Infected Trend"))=0,#N/A,INDIRECT(ADDRESS($B242+1,BS$230,1,1,"Actively Infected Trend")))</f>
        <v>0.13563384680000001</v>
      </c>
      <c r="BT242" s="14" cm="1">
        <f t="array" aca="1" ref="BT242" ca="1">IF(INDIRECT(ADDRESS($B242+1,BT$230,1,1,"Actively Infected Trend"))=0,#N/A,INDIRECT(ADDRESS($B242+1,BT$230,1,1,"Actively Infected Trend")))</f>
        <v>0.1543523453</v>
      </c>
      <c r="BU242" s="14" cm="1">
        <f t="array" aca="1" ref="BU242" ca="1">IF(INDIRECT(ADDRESS($B242+1,BU$230,1,1,"Actively Infected Trend"))=0,#N/A,INDIRECT(ADDRESS($B242+1,BU$230,1,1,"Actively Infected Trend")))</f>
        <v>0.16186077269999999</v>
      </c>
      <c r="BV242" s="14" cm="1">
        <f t="array" aca="1" ref="BV242" ca="1">IF(INDIRECT(ADDRESS($B242+1,BV$230,1,1,"Actively Infected Trend"))=0,#N/A,INDIRECT(ADDRESS($B242+1,BV$230,1,1,"Actively Infected Trend")))</f>
        <v>0.15104463679999999</v>
      </c>
      <c r="BW242" s="14" cm="1">
        <f t="array" aca="1" ref="BW242" ca="1">IF(INDIRECT(ADDRESS($B242+1,BW$230,1,1,"Actively Infected Trend"))=0,#N/A,INDIRECT(ADDRESS($B242+1,BW$230,1,1,"Actively Infected Trend")))</f>
        <v>0.1242378126</v>
      </c>
      <c r="BX242" s="14" cm="1">
        <f t="array" aca="1" ref="BX242" ca="1">IF(INDIRECT(ADDRESS($B242+1,BX$230,1,1,"Actively Infected Trend"))=0,#N/A,INDIRECT(ADDRESS($B242+1,BX$230,1,1,"Actively Infected Trend")))</f>
        <v>0.1135278481</v>
      </c>
      <c r="BY242" s="14" cm="1">
        <f t="array" aca="1" ref="BY242" ca="1">IF(INDIRECT(ADDRESS($B242+1,BY$230,1,1,"Actively Infected Trend"))=0,#N/A,INDIRECT(ADDRESS($B242+1,BY$230,1,1,"Actively Infected Trend")))</f>
        <v>0.1179086708</v>
      </c>
      <c r="BZ242" s="14" cm="1">
        <f t="array" aca="1" ref="BZ242" ca="1">IF(INDIRECT(ADDRESS($B242+1,BZ$230,1,1,"Actively Infected Trend"))=0,#N/A,INDIRECT(ADDRESS($B242+1,BZ$230,1,1,"Actively Infected Trend")))</f>
        <v>0.1406221641</v>
      </c>
      <c r="CA242" s="14" cm="1">
        <f t="array" aca="1" ref="CA242" ca="1">IF(INDIRECT(ADDRESS($B242+1,CA$230,1,1,"Actively Infected Trend"))=0,#N/A,INDIRECT(ADDRESS($B242+1,CA$230,1,1,"Actively Infected Trend")))</f>
        <v>0.16197988369999999</v>
      </c>
      <c r="CB242" s="14" cm="1">
        <f t="array" aca="1" ref="CB242" ca="1">IF(INDIRECT(ADDRESS($B242+1,CB$230,1,1,"Actively Infected Trend"))=0,#N/A,INDIRECT(ADDRESS($B242+1,CB$230,1,1,"Actively Infected Trend")))</f>
        <v>0.16431441720000001</v>
      </c>
      <c r="CC242" s="14" cm="1">
        <f t="array" aca="1" ref="CC242" ca="1">IF(INDIRECT(ADDRESS($B242+1,CC$230,1,1,"Actively Infected Trend"))=0,#N/A,INDIRECT(ADDRESS($B242+1,CC$230,1,1,"Actively Infected Trend")))</f>
        <v>0.15437626139999999</v>
      </c>
      <c r="CD242" s="14" cm="1">
        <f t="array" aca="1" ref="CD242" ca="1">IF(INDIRECT(ADDRESS($B242+1,CD$230,1,1,"Actively Infected Trend"))=0,#N/A,INDIRECT(ADDRESS($B242+1,CD$230,1,1,"Actively Infected Trend")))</f>
        <v>0.13558440320000001</v>
      </c>
      <c r="CE242" s="14" cm="1">
        <f t="array" aca="1" ref="CE242" ca="1">IF(INDIRECT(ADDRESS($B242+1,CE$230,1,1,"Actively Infected Trend"))=0,#N/A,INDIRECT(ADDRESS($B242+1,CE$230,1,1,"Actively Infected Trend")))</f>
        <v>0.12536488909999999</v>
      </c>
      <c r="CF242" s="14" cm="1">
        <f t="array" aca="1" ref="CF242" ca="1">IF(INDIRECT(ADDRESS($B242+1,CF$230,1,1,"Actively Infected Trend"))=0,#N/A,INDIRECT(ADDRESS($B242+1,CF$230,1,1,"Actively Infected Trend")))</f>
        <v>0.12434574700000001</v>
      </c>
      <c r="CG242" s="14" cm="1">
        <f t="array" aca="1" ref="CG242" ca="1">IF(INDIRECT(ADDRESS($B242+1,CG$230,1,1,"Actively Infected Trend"))=0,#N/A,INDIRECT(ADDRESS($B242+1,CG$230,1,1,"Actively Infected Trend")))</f>
        <v>0.14308209299999999</v>
      </c>
      <c r="CH242" s="14" cm="1">
        <f t="array" aca="1" ref="CH242" ca="1">IF(INDIRECT(ADDRESS($B242+1,CH$230,1,1,"Actively Infected Trend"))=0,#N/A,INDIRECT(ADDRESS($B242+1,CH$230,1,1,"Actively Infected Trend")))</f>
        <v>0.15934642060000001</v>
      </c>
      <c r="CI242" s="14" cm="1">
        <f t="array" aca="1" ref="CI242" ca="1">IF(INDIRECT(ADDRESS($B242+1,CI$230,1,1,"Actively Infected Trend"))=0,#N/A,INDIRECT(ADDRESS($B242+1,CI$230,1,1,"Actively Infected Trend")))</f>
        <v>0.1607401956</v>
      </c>
      <c r="CJ242" s="14" cm="1">
        <f t="array" aca="1" ref="CJ242" ca="1">IF(INDIRECT(ADDRESS($B242+1,CJ$230,1,1,"Actively Infected Trend"))=0,#N/A,INDIRECT(ADDRESS($B242+1,CJ$230,1,1,"Actively Infected Trend")))</f>
        <v>0.14468933179999999</v>
      </c>
      <c r="CK242" s="14" cm="1">
        <f t="array" aca="1" ref="CK242" ca="1">IF(INDIRECT(ADDRESS($B242+1,CK$230,1,1,"Actively Infected Trend"))=0,#N/A,INDIRECT(ADDRESS($B242+1,CK$230,1,1,"Actively Infected Trend")))</f>
        <v>0.12706993790000001</v>
      </c>
      <c r="CL242" s="14" cm="1">
        <f t="array" aca="1" ref="CL242" ca="1">IF(INDIRECT(ADDRESS($B242+1,CL$230,1,1,"Actively Infected Trend"))=0,#N/A,INDIRECT(ADDRESS($B242+1,CL$230,1,1,"Actively Infected Trend")))</f>
        <v>0.1048178318</v>
      </c>
      <c r="CM242" s="14" cm="1">
        <f t="array" aca="1" ref="CM242" ca="1">IF(INDIRECT(ADDRESS($B242+1,CM$230,1,1,"Actively Infected Trend"))=0,#N/A,INDIRECT(ADDRESS($B242+1,CM$230,1,1,"Actively Infected Trend")))</f>
        <v>9.7426471700000003E-2</v>
      </c>
      <c r="CN242" s="14" t="e" cm="1">
        <f t="array" aca="1" ref="CN242" ca="1">IF(INDIRECT(ADDRESS($B242+1,CN$230,1,1,"Actively Infected Trend"))=0,#N/A,INDIRECT(ADDRESS($B242+1,CN$230,1,1,"Actively Infected Trend")))</f>
        <v>#N/A</v>
      </c>
      <c r="CO242" s="14" t="e" cm="1">
        <f t="array" aca="1" ref="CO242" ca="1">IF(INDIRECT(ADDRESS($B242+1,CO$230,1,1,"Actively Infected Trend"))=0,#N/A,INDIRECT(ADDRESS($B242+1,CO$230,1,1,"Actively Infected Trend")))</f>
        <v>#N/A</v>
      </c>
      <c r="CP242" s="14" t="e" cm="1">
        <f t="array" aca="1" ref="CP242" ca="1">IF(INDIRECT(ADDRESS($B242+1,CP$230,1,1,"Actively Infected Trend"))=0,#N/A,INDIRECT(ADDRESS($B242+1,CP$230,1,1,"Actively Infected Trend")))</f>
        <v>#N/A</v>
      </c>
      <c r="CQ242" s="14" t="e" cm="1">
        <f t="array" aca="1" ref="CQ242" ca="1">IF(INDIRECT(ADDRESS($B242+1,CQ$230,1,1,"Actively Infected Trend"))=0,#N/A,INDIRECT(ADDRESS($B242+1,CQ$230,1,1,"Actively Infected Trend")))</f>
        <v>#N/A</v>
      </c>
      <c r="CR242" s="14" t="e" cm="1">
        <f t="array" aca="1" ref="CR242" ca="1">IF(INDIRECT(ADDRESS($B242+1,CR$230,1,1,"Actively Infected Trend"))=0,#N/A,INDIRECT(ADDRESS($B242+1,CR$230,1,1,"Actively Infected Trend")))</f>
        <v>#N/A</v>
      </c>
    </row>
    <row r="243" spans="2:96" x14ac:dyDescent="0.25">
      <c r="B243">
        <f t="shared" si="349"/>
        <v>12</v>
      </c>
      <c r="C243" t="str" cm="1">
        <f t="array" aca="1" ref="C243" ca="1">INDIRECT(ADDRESS($B243+1,1,1,1,"Actively Infected Trend"))</f>
        <v>Korea, South</v>
      </c>
      <c r="E243" s="14" t="e" cm="1">
        <f t="array" aca="1" ref="E243" ca="1">IF(INDIRECT(ADDRESS($B243+1,E$230,1,1,"Actively Infected Trend"))=0,#N/A,INDIRECT(ADDRESS($B243+1,E$230,1,1,"Actively Infected Trend")))</f>
        <v>#N/A</v>
      </c>
      <c r="F243" s="14" t="e" cm="1">
        <f t="array" aca="1" ref="F243" ca="1">IF(INDIRECT(ADDRESS($B243+1,F$230,1,1,"Actively Infected Trend"))=0,#N/A,INDIRECT(ADDRESS($B243+1,F$230,1,1,"Actively Infected Trend")))</f>
        <v>#N/A</v>
      </c>
      <c r="G243" s="14" t="e" cm="1">
        <f t="array" aca="1" ref="G243" ca="1">IF(INDIRECT(ADDRESS($B243+1,G$230,1,1,"Actively Infected Trend"))=0,#N/A,INDIRECT(ADDRESS($B243+1,G$230,1,1,"Actively Infected Trend")))</f>
        <v>#N/A</v>
      </c>
      <c r="H243" s="14" t="e" cm="1">
        <f t="array" aca="1" ref="H243" ca="1">IF(INDIRECT(ADDRESS($B243+1,H$230,1,1,"Actively Infected Trend"))=0,#N/A,INDIRECT(ADDRESS($B243+1,H$230,1,1,"Actively Infected Trend")))</f>
        <v>#N/A</v>
      </c>
      <c r="I243" s="14" t="e" cm="1">
        <f t="array" aca="1" ref="I243" ca="1">IF(INDIRECT(ADDRESS($B243+1,I$230,1,1,"Actively Infected Trend"))=0,#N/A,INDIRECT(ADDRESS($B243+1,I$230,1,1,"Actively Infected Trend")))</f>
        <v>#N/A</v>
      </c>
      <c r="J243" s="14" t="e" cm="1">
        <f t="array" aca="1" ref="J243" ca="1">IF(INDIRECT(ADDRESS($B243+1,J$230,1,1,"Actively Infected Trend"))=0,#N/A,INDIRECT(ADDRESS($B243+1,J$230,1,1,"Actively Infected Trend")))</f>
        <v>#N/A</v>
      </c>
      <c r="K243" s="14" t="e" cm="1">
        <f t="array" aca="1" ref="K243" ca="1">IF(INDIRECT(ADDRESS($B243+1,K$230,1,1,"Actively Infected Trend"))=0,#N/A,INDIRECT(ADDRESS($B243+1,K$230,1,1,"Actively Infected Trend")))</f>
        <v>#N/A</v>
      </c>
      <c r="L243" s="14" t="e" cm="1">
        <f t="array" aca="1" ref="L243" ca="1">IF(INDIRECT(ADDRESS($B243+1,L$230,1,1,"Actively Infected Trend"))=0,#N/A,INDIRECT(ADDRESS($B243+1,L$230,1,1,"Actively Infected Trend")))</f>
        <v>#N/A</v>
      </c>
      <c r="M243" s="14" t="e" cm="1">
        <f t="array" aca="1" ref="M243" ca="1">IF(INDIRECT(ADDRESS($B243+1,M$230,1,1,"Actively Infected Trend"))=0,#N/A,INDIRECT(ADDRESS($B243+1,M$230,1,1,"Actively Infected Trend")))</f>
        <v>#N/A</v>
      </c>
      <c r="N243" s="14" t="e" cm="1">
        <f t="array" aca="1" ref="N243" ca="1">IF(INDIRECT(ADDRESS($B243+1,N$230,1,1,"Actively Infected Trend"))=0,#N/A,INDIRECT(ADDRESS($B243+1,N$230,1,1,"Actively Infected Trend")))</f>
        <v>#N/A</v>
      </c>
      <c r="O243" s="14" t="e" cm="1">
        <f t="array" aca="1" ref="O243" ca="1">IF(INDIRECT(ADDRESS($B243+1,O$230,1,1,"Actively Infected Trend"))=0,#N/A,INDIRECT(ADDRESS($B243+1,O$230,1,1,"Actively Infected Trend")))</f>
        <v>#N/A</v>
      </c>
      <c r="P243" s="14" t="e" cm="1">
        <f t="array" aca="1" ref="P243" ca="1">IF(INDIRECT(ADDRESS($B243+1,P$230,1,1,"Actively Infected Trend"))=0,#N/A,INDIRECT(ADDRESS($B243+1,P$230,1,1,"Actively Infected Trend")))</f>
        <v>#N/A</v>
      </c>
      <c r="Q243" s="14" t="e" cm="1">
        <f t="array" aca="1" ref="Q243" ca="1">IF(INDIRECT(ADDRESS($B243+1,Q$230,1,1,"Actively Infected Trend"))=0,#N/A,INDIRECT(ADDRESS($B243+1,Q$230,1,1,"Actively Infected Trend")))</f>
        <v>#N/A</v>
      </c>
      <c r="R243" s="14" t="e" cm="1">
        <f t="array" aca="1" ref="R243" ca="1">IF(INDIRECT(ADDRESS($B243+1,R$230,1,1,"Actively Infected Trend"))=0,#N/A,INDIRECT(ADDRESS($B243+1,R$230,1,1,"Actively Infected Trend")))</f>
        <v>#N/A</v>
      </c>
      <c r="S243" s="14" t="e" cm="1">
        <f t="array" aca="1" ref="S243" ca="1">IF(INDIRECT(ADDRESS($B243+1,S$230,1,1,"Actively Infected Trend"))=0,#N/A,INDIRECT(ADDRESS($B243+1,S$230,1,1,"Actively Infected Trend")))</f>
        <v>#N/A</v>
      </c>
      <c r="T243" s="14" cm="1">
        <f t="array" aca="1" ref="T243" ca="1">IF(INDIRECT(ADDRESS($B243+1,T$230,1,1,"Actively Infected Trend"))=0,#N/A,INDIRECT(ADDRESS($B243+1,T$230,1,1,"Actively Infected Trend")))</f>
        <v>0.116572549</v>
      </c>
      <c r="U243" s="14" cm="1">
        <f t="array" aca="1" ref="U243" ca="1">IF(INDIRECT(ADDRESS($B243+1,U$230,1,1,"Actively Infected Trend"))=0,#N/A,INDIRECT(ADDRESS($B243+1,U$230,1,1,"Actively Infected Trend")))</f>
        <v>0.12689467369999999</v>
      </c>
      <c r="V243" s="14" cm="1">
        <f t="array" aca="1" ref="V243" ca="1">IF(INDIRECT(ADDRESS($B243+1,V$230,1,1,"Actively Infected Trend"))=0,#N/A,INDIRECT(ADDRESS($B243+1,V$230,1,1,"Actively Infected Trend")))</f>
        <v>0.1236532447</v>
      </c>
      <c r="W243" s="14" cm="1">
        <f t="array" aca="1" ref="W243" ca="1">IF(INDIRECT(ADDRESS($B243+1,W$230,1,1,"Actively Infected Trend"))=0,#N/A,INDIRECT(ADDRESS($B243+1,W$230,1,1,"Actively Infected Trend")))</f>
        <v>0.1117850331</v>
      </c>
      <c r="X243" s="14" cm="1">
        <f t="array" aca="1" ref="X243" ca="1">IF(INDIRECT(ADDRESS($B243+1,X$230,1,1,"Actively Infected Trend"))=0,#N/A,INDIRECT(ADDRESS($B243+1,X$230,1,1,"Actively Infected Trend")))</f>
        <v>8.4126488900000004E-2</v>
      </c>
      <c r="Y243" s="14" cm="1">
        <f t="array" aca="1" ref="Y243" ca="1">IF(INDIRECT(ADDRESS($B243+1,Y$230,1,1,"Actively Infected Trend"))=0,#N/A,INDIRECT(ADDRESS($B243+1,Y$230,1,1,"Actively Infected Trend")))</f>
        <v>6.2000437200000001E-2</v>
      </c>
      <c r="Z243" s="14" cm="1">
        <f t="array" aca="1" ref="Z243" ca="1">IF(INDIRECT(ADDRESS($B243+1,Z$230,1,1,"Actively Infected Trend"))=0,#N/A,INDIRECT(ADDRESS($B243+1,Z$230,1,1,"Actively Infected Trend")))</f>
        <v>5.2605064299999997E-2</v>
      </c>
      <c r="AA243" s="14" cm="1">
        <f t="array" aca="1" ref="AA243" ca="1">IF(INDIRECT(ADDRESS($B243+1,AA$230,1,1,"Actively Infected Trend"))=0,#N/A,INDIRECT(ADDRESS($B243+1,AA$230,1,1,"Actively Infected Trend")))</f>
        <v>5.3074210099999998E-2</v>
      </c>
      <c r="AB243" s="14" cm="1">
        <f t="array" aca="1" ref="AB243" ca="1">IF(INDIRECT(ADDRESS($B243+1,AB$230,1,1,"Actively Infected Trend"))=0,#N/A,INDIRECT(ADDRESS($B243+1,AB$230,1,1,"Actively Infected Trend")))</f>
        <v>4.43519364E-2</v>
      </c>
      <c r="AC243" s="14" cm="1">
        <f t="array" aca="1" ref="AC243" ca="1">IF(INDIRECT(ADDRESS($B243+1,AC$230,1,1,"Actively Infected Trend"))=0,#N/A,INDIRECT(ADDRESS($B243+1,AC$230,1,1,"Actively Infected Trend")))</f>
        <v>3.0260710999999999E-2</v>
      </c>
      <c r="AD243" s="14" cm="1">
        <f t="array" aca="1" ref="AD243" ca="1">IF(INDIRECT(ADDRESS($B243+1,AD$230,1,1,"Actively Infected Trend"))=0,#N/A,INDIRECT(ADDRESS($B243+1,AD$230,1,1,"Actively Infected Trend")))</f>
        <v>1.9636589199999999E-2</v>
      </c>
      <c r="AE243" s="14" cm="1">
        <f t="array" aca="1" ref="AE243" ca="1">IF(INDIRECT(ADDRESS($B243+1,AE$230,1,1,"Actively Infected Trend"))=0,#N/A,INDIRECT(ADDRESS($B243+1,AE$230,1,1,"Actively Infected Trend")))</f>
        <v>1.9293140899999998E-2</v>
      </c>
      <c r="AF243" s="14" cm="1">
        <f t="array" aca="1" ref="AF243" ca="1">IF(INDIRECT(ADDRESS($B243+1,AF$230,1,1,"Actively Infected Trend"))=0,#N/A,INDIRECT(ADDRESS($B243+1,AF$230,1,1,"Actively Infected Trend")))</f>
        <v>2.8512482700000001E-2</v>
      </c>
      <c r="AG243" s="14" cm="1">
        <f t="array" aca="1" ref="AG243" ca="1">IF(INDIRECT(ADDRESS($B243+1,AG$230,1,1,"Actively Infected Trend"))=0,#N/A,INDIRECT(ADDRESS($B243+1,AG$230,1,1,"Actively Infected Trend")))</f>
        <v>0.14787610879999999</v>
      </c>
      <c r="AH243" s="14" cm="1">
        <f t="array" aca="1" ref="AH243" ca="1">IF(INDIRECT(ADDRESS($B243+1,AH$230,1,1,"Actively Infected Trend"))=0,#N/A,INDIRECT(ADDRESS($B243+1,AH$230,1,1,"Actively Infected Trend")))</f>
        <v>0.30469175440000001</v>
      </c>
      <c r="AI243" s="14" cm="1">
        <f t="array" aca="1" ref="AI243" ca="1">IF(INDIRECT(ADDRESS($B243+1,AI$230,1,1,"Actively Infected Trend"))=0,#N/A,INDIRECT(ADDRESS($B243+1,AI$230,1,1,"Actively Infected Trend")))</f>
        <v>0.4964749423</v>
      </c>
      <c r="AJ243" s="14" cm="1">
        <f t="array" aca="1" ref="AJ243" ca="1">IF(INDIRECT(ADDRESS($B243+1,AJ$230,1,1,"Actively Infected Trend"))=0,#N/A,INDIRECT(ADDRESS($B243+1,AJ$230,1,1,"Actively Infected Trend")))</f>
        <v>0.73554246680000002</v>
      </c>
      <c r="AK243" s="14" cm="1">
        <f t="array" aca="1" ref="AK243" ca="1">IF(INDIRECT(ADDRESS($B243+1,AK$230,1,1,"Actively Infected Trend"))=0,#N/A,INDIRECT(ADDRESS($B243+1,AK$230,1,1,"Actively Infected Trend")))</f>
        <v>0.79516858530000001</v>
      </c>
      <c r="AL243" s="14" cm="1">
        <f t="array" aca="1" ref="AL243" ca="1">IF(INDIRECT(ADDRESS($B243+1,AL$230,1,1,"Actively Infected Trend"))=0,#N/A,INDIRECT(ADDRESS($B243+1,AL$230,1,1,"Actively Infected Trend")))</f>
        <v>0.76764310479999998</v>
      </c>
      <c r="AM243" s="14" cm="1">
        <f t="array" aca="1" ref="AM243" ca="1">IF(INDIRECT(ADDRESS($B243+1,AM$230,1,1,"Actively Infected Trend"))=0,#N/A,INDIRECT(ADDRESS($B243+1,AM$230,1,1,"Actively Infected Trend")))</f>
        <v>0.60946219219999997</v>
      </c>
      <c r="AN243" s="14" cm="1">
        <f t="array" aca="1" ref="AN243" ca="1">IF(INDIRECT(ADDRESS($B243+1,AN$230,1,1,"Actively Infected Trend"))=0,#N/A,INDIRECT(ADDRESS($B243+1,AN$230,1,1,"Actively Infected Trend")))</f>
        <v>0.4365706801</v>
      </c>
      <c r="AO243" s="14" cm="1">
        <f t="array" aca="1" ref="AO243" ca="1">IF(INDIRECT(ADDRESS($B243+1,AO$230,1,1,"Actively Infected Trend"))=0,#N/A,INDIRECT(ADDRESS($B243+1,AO$230,1,1,"Actively Infected Trend")))</f>
        <v>0.34634408900000002</v>
      </c>
      <c r="AP243" s="14" cm="1">
        <f t="array" aca="1" ref="AP243" ca="1">IF(INDIRECT(ADDRESS($B243+1,AP$230,1,1,"Actively Infected Trend"))=0,#N/A,INDIRECT(ADDRESS($B243+1,AP$230,1,1,"Actively Infected Trend")))</f>
        <v>0.30548971920000001</v>
      </c>
      <c r="AQ243" s="14" cm="1">
        <f t="array" aca="1" ref="AQ243" ca="1">IF(INDIRECT(ADDRESS($B243+1,AQ$230,1,1,"Actively Infected Trend"))=0,#N/A,INDIRECT(ADDRESS($B243+1,AQ$230,1,1,"Actively Infected Trend")))</f>
        <v>0.31976992799999998</v>
      </c>
      <c r="AR243" s="14" cm="1">
        <f t="array" aca="1" ref="AR243" ca="1">IF(INDIRECT(ADDRESS($B243+1,AR$230,1,1,"Actively Infected Trend"))=0,#N/A,INDIRECT(ADDRESS($B243+1,AR$230,1,1,"Actively Infected Trend")))</f>
        <v>0.31890644340000002</v>
      </c>
      <c r="AS243" s="14" cm="1">
        <f t="array" aca="1" ref="AS243" ca="1">IF(INDIRECT(ADDRESS($B243+1,AS$230,1,1,"Actively Infected Trend"))=0,#N/A,INDIRECT(ADDRESS($B243+1,AS$230,1,1,"Actively Infected Trend")))</f>
        <v>0.29589906490000001</v>
      </c>
      <c r="AT243" s="14" cm="1">
        <f t="array" aca="1" ref="AT243" ca="1">IF(INDIRECT(ADDRESS($B243+1,AT$230,1,1,"Actively Infected Trend"))=0,#N/A,INDIRECT(ADDRESS($B243+1,AT$230,1,1,"Actively Infected Trend")))</f>
        <v>0.25535777700000001</v>
      </c>
      <c r="AU243" s="14" cm="1">
        <f t="array" aca="1" ref="AU243" ca="1">IF(INDIRECT(ADDRESS($B243+1,AU$230,1,1,"Actively Infected Trend"))=0,#N/A,INDIRECT(ADDRESS($B243+1,AU$230,1,1,"Actively Infected Trend")))</f>
        <v>0.2044886105</v>
      </c>
      <c r="AV243" s="14" cm="1">
        <f t="array" aca="1" ref="AV243" ca="1">IF(INDIRECT(ADDRESS($B243+1,AV$230,1,1,"Actively Infected Trend"))=0,#N/A,INDIRECT(ADDRESS($B243+1,AV$230,1,1,"Actively Infected Trend")))</f>
        <v>0.16621922880000001</v>
      </c>
      <c r="AW243" s="14" cm="1">
        <f t="array" aca="1" ref="AW243" ca="1">IF(INDIRECT(ADDRESS($B243+1,AW$230,1,1,"Actively Infected Trend"))=0,#N/A,INDIRECT(ADDRESS($B243+1,AW$230,1,1,"Actively Infected Trend")))</f>
        <v>0.1342537342</v>
      </c>
      <c r="AX243" s="14" cm="1">
        <f t="array" aca="1" ref="AX243" ca="1">IF(INDIRECT(ADDRESS($B243+1,AX$230,1,1,"Actively Infected Trend"))=0,#N/A,INDIRECT(ADDRESS($B243+1,AX$230,1,1,"Actively Infected Trend")))</f>
        <v>0.1112410527</v>
      </c>
      <c r="AY243" s="14" cm="1">
        <f t="array" aca="1" ref="AY243" ca="1">IF(INDIRECT(ADDRESS($B243+1,AY$230,1,1,"Actively Infected Trend"))=0,#N/A,INDIRECT(ADDRESS($B243+1,AY$230,1,1,"Actively Infected Trend")))</f>
        <v>9.2106772599999998E-2</v>
      </c>
      <c r="AZ243" s="14" cm="1">
        <f t="array" aca="1" ref="AZ243" ca="1">IF(INDIRECT(ADDRESS($B243+1,AZ$230,1,1,"Actively Infected Trend"))=0,#N/A,INDIRECT(ADDRESS($B243+1,AZ$230,1,1,"Actively Infected Trend")))</f>
        <v>7.4499010099999999E-2</v>
      </c>
      <c r="BA243" s="14" cm="1">
        <f t="array" aca="1" ref="BA243" ca="1">IF(INDIRECT(ADDRESS($B243+1,BA$230,1,1,"Actively Infected Trend"))=0,#N/A,INDIRECT(ADDRESS($B243+1,BA$230,1,1,"Actively Infected Trend")))</f>
        <v>5.8270802900000002E-2</v>
      </c>
      <c r="BB243" s="14" cm="1">
        <f t="array" aca="1" ref="BB243" ca="1">IF(INDIRECT(ADDRESS($B243+1,BB$230,1,1,"Actively Infected Trend"))=0,#N/A,INDIRECT(ADDRESS($B243+1,BB$230,1,1,"Actively Infected Trend")))</f>
        <v>4.33573176E-2</v>
      </c>
      <c r="BC243" s="14" cm="1">
        <f t="array" aca="1" ref="BC243" ca="1">IF(INDIRECT(ADDRESS($B243+1,BC$230,1,1,"Actively Infected Trend"))=0,#N/A,INDIRECT(ADDRESS($B243+1,BC$230,1,1,"Actively Infected Trend")))</f>
        <v>3.24388262E-2</v>
      </c>
      <c r="BD243" s="14" cm="1">
        <f t="array" aca="1" ref="BD243" ca="1">IF(INDIRECT(ADDRESS($B243+1,BD$230,1,1,"Actively Infected Trend"))=0,#N/A,INDIRECT(ADDRESS($B243+1,BD$230,1,1,"Actively Infected Trend")))</f>
        <v>2.78302427E-2</v>
      </c>
      <c r="BE243" s="14" cm="1">
        <f t="array" aca="1" ref="BE243" ca="1">IF(INDIRECT(ADDRESS($B243+1,BE$230,1,1,"Actively Infected Trend"))=0,#N/A,INDIRECT(ADDRESS($B243+1,BE$230,1,1,"Actively Infected Trend")))</f>
        <v>2.91241504E-2</v>
      </c>
      <c r="BF243" s="14" cm="1">
        <f t="array" aca="1" ref="BF243" ca="1">IF(INDIRECT(ADDRESS($B243+1,BF$230,1,1,"Actively Infected Trend"))=0,#N/A,INDIRECT(ADDRESS($B243+1,BF$230,1,1,"Actively Infected Trend")))</f>
        <v>2.9311276800000001E-2</v>
      </c>
      <c r="BG243" s="14" cm="1">
        <f t="array" aca="1" ref="BG243" ca="1">IF(INDIRECT(ADDRESS($B243+1,BG$230,1,1,"Actively Infected Trend"))=0,#N/A,INDIRECT(ADDRESS($B243+1,BG$230,1,1,"Actively Infected Trend")))</f>
        <v>3.0079518400000001E-2</v>
      </c>
      <c r="BH243" s="14" cm="1">
        <f t="array" aca="1" ref="BH243" ca="1">IF(INDIRECT(ADDRESS($B243+1,BH$230,1,1,"Actively Infected Trend"))=0,#N/A,INDIRECT(ADDRESS($B243+1,BH$230,1,1,"Actively Infected Trend")))</f>
        <v>3.0811906E-2</v>
      </c>
      <c r="BI243" s="14" cm="1">
        <f t="array" aca="1" ref="BI243" ca="1">IF(INDIRECT(ADDRESS($B243+1,BI$230,1,1,"Actively Infected Trend"))=0,#N/A,INDIRECT(ADDRESS($B243+1,BI$230,1,1,"Actively Infected Trend")))</f>
        <v>3.20608805E-2</v>
      </c>
      <c r="BJ243" s="14" cm="1">
        <f t="array" aca="1" ref="BJ243" ca="1">IF(INDIRECT(ADDRESS($B243+1,BJ$230,1,1,"Actively Infected Trend"))=0,#N/A,INDIRECT(ADDRESS($B243+1,BJ$230,1,1,"Actively Infected Trend")))</f>
        <v>3.7597113100000003E-2</v>
      </c>
      <c r="BK243" s="14" cm="1">
        <f t="array" aca="1" ref="BK243" ca="1">IF(INDIRECT(ADDRESS($B243+1,BK$230,1,1,"Actively Infected Trend"))=0,#N/A,INDIRECT(ADDRESS($B243+1,BK$230,1,1,"Actively Infected Trend")))</f>
        <v>4.8330032100000003E-2</v>
      </c>
      <c r="BL243" s="14" cm="1">
        <f t="array" aca="1" ref="BL243" ca="1">IF(INDIRECT(ADDRESS($B243+1,BL$230,1,1,"Actively Infected Trend"))=0,#N/A,INDIRECT(ADDRESS($B243+1,BL$230,1,1,"Actively Infected Trend")))</f>
        <v>6.4451968299999995E-2</v>
      </c>
      <c r="BM243" s="14" cm="1">
        <f t="array" aca="1" ref="BM243" ca="1">IF(INDIRECT(ADDRESS($B243+1,BM$230,1,1,"Actively Infected Trend"))=0,#N/A,INDIRECT(ADDRESS($B243+1,BM$230,1,1,"Actively Infected Trend")))</f>
        <v>7.6959895E-2</v>
      </c>
      <c r="BN243" s="14" cm="1">
        <f t="array" aca="1" ref="BN243" ca="1">IF(INDIRECT(ADDRESS($B243+1,BN$230,1,1,"Actively Infected Trend"))=0,#N/A,INDIRECT(ADDRESS($B243+1,BN$230,1,1,"Actively Infected Trend")))</f>
        <v>8.3631852100000001E-2</v>
      </c>
      <c r="BO243" s="14" cm="1">
        <f t="array" aca="1" ref="BO243" ca="1">IF(INDIRECT(ADDRESS($B243+1,BO$230,1,1,"Actively Infected Trend"))=0,#N/A,INDIRECT(ADDRESS($B243+1,BO$230,1,1,"Actively Infected Trend")))</f>
        <v>7.7533759199999996E-2</v>
      </c>
      <c r="BP243" s="14" cm="1">
        <f t="array" aca="1" ref="BP243" ca="1">IF(INDIRECT(ADDRESS($B243+1,BP$230,1,1,"Actively Infected Trend"))=0,#N/A,INDIRECT(ADDRESS($B243+1,BP$230,1,1,"Actively Infected Trend")))</f>
        <v>7.2311922400000006E-2</v>
      </c>
      <c r="BQ243" s="14" cm="1">
        <f t="array" aca="1" ref="BQ243" ca="1">IF(INDIRECT(ADDRESS($B243+1,BQ$230,1,1,"Actively Infected Trend"))=0,#N/A,INDIRECT(ADDRESS($B243+1,BQ$230,1,1,"Actively Infected Trend")))</f>
        <v>6.3053737400000004E-2</v>
      </c>
      <c r="BR243" s="14" cm="1">
        <f t="array" aca="1" ref="BR243" ca="1">IF(INDIRECT(ADDRESS($B243+1,BR$230,1,1,"Actively Infected Trend"))=0,#N/A,INDIRECT(ADDRESS($B243+1,BR$230,1,1,"Actively Infected Trend")))</f>
        <v>6.04810603E-2</v>
      </c>
      <c r="BS243" s="14" cm="1">
        <f t="array" aca="1" ref="BS243" ca="1">IF(INDIRECT(ADDRESS($B243+1,BS$230,1,1,"Actively Infected Trend"))=0,#N/A,INDIRECT(ADDRESS($B243+1,BS$230,1,1,"Actively Infected Trend")))</f>
        <v>6.5505895100000003E-2</v>
      </c>
      <c r="BT243" s="14" cm="1">
        <f t="array" aca="1" ref="BT243" ca="1">IF(INDIRECT(ADDRESS($B243+1,BT$230,1,1,"Actively Infected Trend"))=0,#N/A,INDIRECT(ADDRESS($B243+1,BT$230,1,1,"Actively Infected Trend")))</f>
        <v>7.4453360400000002E-2</v>
      </c>
      <c r="BU243" s="14" cm="1">
        <f t="array" aca="1" ref="BU243" ca="1">IF(INDIRECT(ADDRESS($B243+1,BU$230,1,1,"Actively Infected Trend"))=0,#N/A,INDIRECT(ADDRESS($B243+1,BU$230,1,1,"Actively Infected Trend")))</f>
        <v>7.9398602400000004E-2</v>
      </c>
      <c r="BV243" s="14" cm="1">
        <f t="array" aca="1" ref="BV243" ca="1">IF(INDIRECT(ADDRESS($B243+1,BV$230,1,1,"Actively Infected Trend"))=0,#N/A,INDIRECT(ADDRESS($B243+1,BV$230,1,1,"Actively Infected Trend")))</f>
        <v>7.8114737099999998E-2</v>
      </c>
      <c r="BW243" s="14" cm="1">
        <f t="array" aca="1" ref="BW243" ca="1">IF(INDIRECT(ADDRESS($B243+1,BW$230,1,1,"Actively Infected Trend"))=0,#N/A,INDIRECT(ADDRESS($B243+1,BW$230,1,1,"Actively Infected Trend")))</f>
        <v>7.5416753500000003E-2</v>
      </c>
      <c r="BX243" s="14" cm="1">
        <f t="array" aca="1" ref="BX243" ca="1">IF(INDIRECT(ADDRESS($B243+1,BX$230,1,1,"Actively Infected Trend"))=0,#N/A,INDIRECT(ADDRESS($B243+1,BX$230,1,1,"Actively Infected Trend")))</f>
        <v>7.6924816500000007E-2</v>
      </c>
      <c r="BY243" s="14" cm="1">
        <f t="array" aca="1" ref="BY243" ca="1">IF(INDIRECT(ADDRESS($B243+1,BY$230,1,1,"Actively Infected Trend"))=0,#N/A,INDIRECT(ADDRESS($B243+1,BY$230,1,1,"Actively Infected Trend")))</f>
        <v>7.3577545100000002E-2</v>
      </c>
      <c r="BZ243" s="14" cm="1">
        <f t="array" aca="1" ref="BZ243" ca="1">IF(INDIRECT(ADDRESS($B243+1,BZ$230,1,1,"Actively Infected Trend"))=0,#N/A,INDIRECT(ADDRESS($B243+1,BZ$230,1,1,"Actively Infected Trend")))</f>
        <v>7.3919662400000002E-2</v>
      </c>
      <c r="CA243" s="14" cm="1">
        <f t="array" aca="1" ref="CA243" ca="1">IF(INDIRECT(ADDRESS($B243+1,CA$230,1,1,"Actively Infected Trend"))=0,#N/A,INDIRECT(ADDRESS($B243+1,CA$230,1,1,"Actively Infected Trend")))</f>
        <v>7.5572668499999995E-2</v>
      </c>
      <c r="CB243" s="14" cm="1">
        <f t="array" aca="1" ref="CB243" ca="1">IF(INDIRECT(ADDRESS($B243+1,CB$230,1,1,"Actively Infected Trend"))=0,#N/A,INDIRECT(ADDRESS($B243+1,CB$230,1,1,"Actively Infected Trend")))</f>
        <v>6.8487488900000004E-2</v>
      </c>
      <c r="CC243" s="14" cm="1">
        <f t="array" aca="1" ref="CC243" ca="1">IF(INDIRECT(ADDRESS($B243+1,CC$230,1,1,"Actively Infected Trend"))=0,#N/A,INDIRECT(ADDRESS($B243+1,CC$230,1,1,"Actively Infected Trend")))</f>
        <v>6.1123672900000002E-2</v>
      </c>
      <c r="CD243" s="14" cm="1">
        <f t="array" aca="1" ref="CD243" ca="1">IF(INDIRECT(ADDRESS($B243+1,CD$230,1,1,"Actively Infected Trend"))=0,#N/A,INDIRECT(ADDRESS($B243+1,CD$230,1,1,"Actively Infected Trend")))</f>
        <v>5.4956185800000001E-2</v>
      </c>
      <c r="CE243" s="14" cm="1">
        <f t="array" aca="1" ref="CE243" ca="1">IF(INDIRECT(ADDRESS($B243+1,CE$230,1,1,"Actively Infected Trend"))=0,#N/A,INDIRECT(ADDRESS($B243+1,CE$230,1,1,"Actively Infected Trend")))</f>
        <v>4.9029445400000003E-2</v>
      </c>
      <c r="CF243" s="14" cm="1">
        <f t="array" aca="1" ref="CF243" ca="1">IF(INDIRECT(ADDRESS($B243+1,CF$230,1,1,"Actively Infected Trend"))=0,#N/A,INDIRECT(ADDRESS($B243+1,CF$230,1,1,"Actively Infected Trend")))</f>
        <v>4.3870567499999999E-2</v>
      </c>
      <c r="CG243" s="14" cm="1">
        <f t="array" aca="1" ref="CG243" ca="1">IF(INDIRECT(ADDRESS($B243+1,CG$230,1,1,"Actively Infected Trend"))=0,#N/A,INDIRECT(ADDRESS($B243+1,CG$230,1,1,"Actively Infected Trend")))</f>
        <v>4.2204635499999997E-2</v>
      </c>
      <c r="CH243" s="14" cm="1">
        <f t="array" aca="1" ref="CH243" ca="1">IF(INDIRECT(ADDRESS($B243+1,CH$230,1,1,"Actively Infected Trend"))=0,#N/A,INDIRECT(ADDRESS($B243+1,CH$230,1,1,"Actively Infected Trend")))</f>
        <v>4.0211598899999999E-2</v>
      </c>
      <c r="CI243" s="14" cm="1">
        <f t="array" aca="1" ref="CI243" ca="1">IF(INDIRECT(ADDRESS($B243+1,CI$230,1,1,"Actively Infected Trend"))=0,#N/A,INDIRECT(ADDRESS($B243+1,CI$230,1,1,"Actively Infected Trend")))</f>
        <v>3.7584084900000002E-2</v>
      </c>
      <c r="CJ243" s="14" cm="1">
        <f t="array" aca="1" ref="CJ243" ca="1">IF(INDIRECT(ADDRESS($B243+1,CJ$230,1,1,"Actively Infected Trend"))=0,#N/A,INDIRECT(ADDRESS($B243+1,CJ$230,1,1,"Actively Infected Trend")))</f>
        <v>3.8498599699999997E-2</v>
      </c>
      <c r="CK243" s="14" cm="1">
        <f t="array" aca="1" ref="CK243" ca="1">IF(INDIRECT(ADDRESS($B243+1,CK$230,1,1,"Actively Infected Trend"))=0,#N/A,INDIRECT(ADDRESS($B243+1,CK$230,1,1,"Actively Infected Trend")))</f>
        <v>4.0501536499999997E-2</v>
      </c>
      <c r="CL243" s="14" cm="1">
        <f t="array" aca="1" ref="CL243" ca="1">IF(INDIRECT(ADDRESS($B243+1,CL$230,1,1,"Actively Infected Trend"))=0,#N/A,INDIRECT(ADDRESS($B243+1,CL$230,1,1,"Actively Infected Trend")))</f>
        <v>4.3019412299999997E-2</v>
      </c>
      <c r="CM243" s="14" cm="1">
        <f t="array" aca="1" ref="CM243" ca="1">IF(INDIRECT(ADDRESS($B243+1,CM$230,1,1,"Actively Infected Trend"))=0,#N/A,INDIRECT(ADDRESS($B243+1,CM$230,1,1,"Actively Infected Trend")))</f>
        <v>4.5454752799999998E-2</v>
      </c>
      <c r="CN243" s="14" t="e" cm="1">
        <f t="array" aca="1" ref="CN243" ca="1">IF(INDIRECT(ADDRESS($B243+1,CN$230,1,1,"Actively Infected Trend"))=0,#N/A,INDIRECT(ADDRESS($B243+1,CN$230,1,1,"Actively Infected Trend")))</f>
        <v>#N/A</v>
      </c>
      <c r="CO243" s="14" t="e" cm="1">
        <f t="array" aca="1" ref="CO243" ca="1">IF(INDIRECT(ADDRESS($B243+1,CO$230,1,1,"Actively Infected Trend"))=0,#N/A,INDIRECT(ADDRESS($B243+1,CO$230,1,1,"Actively Infected Trend")))</f>
        <v>#N/A</v>
      </c>
      <c r="CP243" s="14" t="e" cm="1">
        <f t="array" aca="1" ref="CP243" ca="1">IF(INDIRECT(ADDRESS($B243+1,CP$230,1,1,"Actively Infected Trend"))=0,#N/A,INDIRECT(ADDRESS($B243+1,CP$230,1,1,"Actively Infected Trend")))</f>
        <v>#N/A</v>
      </c>
      <c r="CQ243" s="14" t="e" cm="1">
        <f t="array" aca="1" ref="CQ243" ca="1">IF(INDIRECT(ADDRESS($B243+1,CQ$230,1,1,"Actively Infected Trend"))=0,#N/A,INDIRECT(ADDRESS($B243+1,CQ$230,1,1,"Actively Infected Trend")))</f>
        <v>#N/A</v>
      </c>
      <c r="CR243" s="14" t="e" cm="1">
        <f t="array" aca="1" ref="CR243" ca="1">IF(INDIRECT(ADDRESS($B243+1,CR$230,1,1,"Actively Infected Trend"))=0,#N/A,INDIRECT(ADDRESS($B243+1,CR$230,1,1,"Actively Infected Trend")))</f>
        <v>#N/A</v>
      </c>
    </row>
    <row r="244" spans="2:96" x14ac:dyDescent="0.25">
      <c r="B244">
        <f t="shared" si="349"/>
        <v>13</v>
      </c>
      <c r="C244" t="str" cm="1">
        <f t="array" aca="1" ref="C244" ca="1">INDIRECT(ADDRESS($B244+1,1,1,1,"Actively Infected Trend"))</f>
        <v>Portugal</v>
      </c>
      <c r="E244" s="14" t="e" cm="1">
        <f t="array" aca="1" ref="E244" ca="1">IF(INDIRECT(ADDRESS($B244+1,E$230,1,1,"Actively Infected Trend"))=0,#N/A,INDIRECT(ADDRESS($B244+1,E$230,1,1,"Actively Infected Trend")))</f>
        <v>#N/A</v>
      </c>
      <c r="F244" s="14" t="e" cm="1">
        <f t="array" aca="1" ref="F244" ca="1">IF(INDIRECT(ADDRESS($B244+1,F$230,1,1,"Actively Infected Trend"))=0,#N/A,INDIRECT(ADDRESS($B244+1,F$230,1,1,"Actively Infected Trend")))</f>
        <v>#N/A</v>
      </c>
      <c r="G244" s="14" t="e" cm="1">
        <f t="array" aca="1" ref="G244" ca="1">IF(INDIRECT(ADDRESS($B244+1,G$230,1,1,"Actively Infected Trend"))=0,#N/A,INDIRECT(ADDRESS($B244+1,G$230,1,1,"Actively Infected Trend")))</f>
        <v>#N/A</v>
      </c>
      <c r="H244" s="14" t="e" cm="1">
        <f t="array" aca="1" ref="H244" ca="1">IF(INDIRECT(ADDRESS($B244+1,H$230,1,1,"Actively Infected Trend"))=0,#N/A,INDIRECT(ADDRESS($B244+1,H$230,1,1,"Actively Infected Trend")))</f>
        <v>#N/A</v>
      </c>
      <c r="I244" s="14" t="e" cm="1">
        <f t="array" aca="1" ref="I244" ca="1">IF(INDIRECT(ADDRESS($B244+1,I$230,1,1,"Actively Infected Trend"))=0,#N/A,INDIRECT(ADDRESS($B244+1,I$230,1,1,"Actively Infected Trend")))</f>
        <v>#N/A</v>
      </c>
      <c r="J244" s="14" t="e" cm="1">
        <f t="array" aca="1" ref="J244" ca="1">IF(INDIRECT(ADDRESS($B244+1,J$230,1,1,"Actively Infected Trend"))=0,#N/A,INDIRECT(ADDRESS($B244+1,J$230,1,1,"Actively Infected Trend")))</f>
        <v>#N/A</v>
      </c>
      <c r="K244" s="14" t="e" cm="1">
        <f t="array" aca="1" ref="K244" ca="1">IF(INDIRECT(ADDRESS($B244+1,K$230,1,1,"Actively Infected Trend"))=0,#N/A,INDIRECT(ADDRESS($B244+1,K$230,1,1,"Actively Infected Trend")))</f>
        <v>#N/A</v>
      </c>
      <c r="L244" s="14" t="e" cm="1">
        <f t="array" aca="1" ref="L244" ca="1">IF(INDIRECT(ADDRESS($B244+1,L$230,1,1,"Actively Infected Trend"))=0,#N/A,INDIRECT(ADDRESS($B244+1,L$230,1,1,"Actively Infected Trend")))</f>
        <v>#N/A</v>
      </c>
      <c r="M244" s="14" t="e" cm="1">
        <f t="array" aca="1" ref="M244" ca="1">IF(INDIRECT(ADDRESS($B244+1,M$230,1,1,"Actively Infected Trend"))=0,#N/A,INDIRECT(ADDRESS($B244+1,M$230,1,1,"Actively Infected Trend")))</f>
        <v>#N/A</v>
      </c>
      <c r="N244" s="14" t="e" cm="1">
        <f t="array" aca="1" ref="N244" ca="1">IF(INDIRECT(ADDRESS($B244+1,N$230,1,1,"Actively Infected Trend"))=0,#N/A,INDIRECT(ADDRESS($B244+1,N$230,1,1,"Actively Infected Trend")))</f>
        <v>#N/A</v>
      </c>
      <c r="O244" s="14" t="e" cm="1">
        <f t="array" aca="1" ref="O244" ca="1">IF(INDIRECT(ADDRESS($B244+1,O$230,1,1,"Actively Infected Trend"))=0,#N/A,INDIRECT(ADDRESS($B244+1,O$230,1,1,"Actively Infected Trend")))</f>
        <v>#N/A</v>
      </c>
      <c r="P244" s="14" t="e" cm="1">
        <f t="array" aca="1" ref="P244" ca="1">IF(INDIRECT(ADDRESS($B244+1,P$230,1,1,"Actively Infected Trend"))=0,#N/A,INDIRECT(ADDRESS($B244+1,P$230,1,1,"Actively Infected Trend")))</f>
        <v>#N/A</v>
      </c>
      <c r="Q244" s="14" t="e" cm="1">
        <f t="array" aca="1" ref="Q244" ca="1">IF(INDIRECT(ADDRESS($B244+1,Q$230,1,1,"Actively Infected Trend"))=0,#N/A,INDIRECT(ADDRESS($B244+1,Q$230,1,1,"Actively Infected Trend")))</f>
        <v>#N/A</v>
      </c>
      <c r="R244" s="14" t="e" cm="1">
        <f t="array" aca="1" ref="R244" ca="1">IF(INDIRECT(ADDRESS($B244+1,R$230,1,1,"Actively Infected Trend"))=0,#N/A,INDIRECT(ADDRESS($B244+1,R$230,1,1,"Actively Infected Trend")))</f>
        <v>#N/A</v>
      </c>
      <c r="S244" s="14" t="e" cm="1">
        <f t="array" aca="1" ref="S244" ca="1">IF(INDIRECT(ADDRESS($B244+1,S$230,1,1,"Actively Infected Trend"))=0,#N/A,INDIRECT(ADDRESS($B244+1,S$230,1,1,"Actively Infected Trend")))</f>
        <v>#N/A</v>
      </c>
      <c r="T244" s="14" t="e" cm="1">
        <f t="array" aca="1" ref="T244" ca="1">IF(INDIRECT(ADDRESS($B244+1,T$230,1,1,"Actively Infected Trend"))=0,#N/A,INDIRECT(ADDRESS($B244+1,T$230,1,1,"Actively Infected Trend")))</f>
        <v>#N/A</v>
      </c>
      <c r="U244" s="14" t="e" cm="1">
        <f t="array" aca="1" ref="U244" ca="1">IF(INDIRECT(ADDRESS($B244+1,U$230,1,1,"Actively Infected Trend"))=0,#N/A,INDIRECT(ADDRESS($B244+1,U$230,1,1,"Actively Infected Trend")))</f>
        <v>#N/A</v>
      </c>
      <c r="V244" s="14" t="e" cm="1">
        <f t="array" aca="1" ref="V244" ca="1">IF(INDIRECT(ADDRESS($B244+1,V$230,1,1,"Actively Infected Trend"))=0,#N/A,INDIRECT(ADDRESS($B244+1,V$230,1,1,"Actively Infected Trend")))</f>
        <v>#N/A</v>
      </c>
      <c r="W244" s="14" t="e" cm="1">
        <f t="array" aca="1" ref="W244" ca="1">IF(INDIRECT(ADDRESS($B244+1,W$230,1,1,"Actively Infected Trend"))=0,#N/A,INDIRECT(ADDRESS($B244+1,W$230,1,1,"Actively Infected Trend")))</f>
        <v>#N/A</v>
      </c>
      <c r="X244" s="14" t="e" cm="1">
        <f t="array" aca="1" ref="X244" ca="1">IF(INDIRECT(ADDRESS($B244+1,X$230,1,1,"Actively Infected Trend"))=0,#N/A,INDIRECT(ADDRESS($B244+1,X$230,1,1,"Actively Infected Trend")))</f>
        <v>#N/A</v>
      </c>
      <c r="Y244" s="14" t="e" cm="1">
        <f t="array" aca="1" ref="Y244" ca="1">IF(INDIRECT(ADDRESS($B244+1,Y$230,1,1,"Actively Infected Trend"))=0,#N/A,INDIRECT(ADDRESS($B244+1,Y$230,1,1,"Actively Infected Trend")))</f>
        <v>#N/A</v>
      </c>
      <c r="Z244" s="14" t="e" cm="1">
        <f t="array" aca="1" ref="Z244" ca="1">IF(INDIRECT(ADDRESS($B244+1,Z$230,1,1,"Actively Infected Trend"))=0,#N/A,INDIRECT(ADDRESS($B244+1,Z$230,1,1,"Actively Infected Trend")))</f>
        <v>#N/A</v>
      </c>
      <c r="AA244" s="14" t="e" cm="1">
        <f t="array" aca="1" ref="AA244" ca="1">IF(INDIRECT(ADDRESS($B244+1,AA$230,1,1,"Actively Infected Trend"))=0,#N/A,INDIRECT(ADDRESS($B244+1,AA$230,1,1,"Actively Infected Trend")))</f>
        <v>#N/A</v>
      </c>
      <c r="AB244" s="14" t="e" cm="1">
        <f t="array" aca="1" ref="AB244" ca="1">IF(INDIRECT(ADDRESS($B244+1,AB$230,1,1,"Actively Infected Trend"))=0,#N/A,INDIRECT(ADDRESS($B244+1,AB$230,1,1,"Actively Infected Trend")))</f>
        <v>#N/A</v>
      </c>
      <c r="AC244" s="14" t="e" cm="1">
        <f t="array" aca="1" ref="AC244" ca="1">IF(INDIRECT(ADDRESS($B244+1,AC$230,1,1,"Actively Infected Trend"))=0,#N/A,INDIRECT(ADDRESS($B244+1,AC$230,1,1,"Actively Infected Trend")))</f>
        <v>#N/A</v>
      </c>
      <c r="AD244" s="14" t="e" cm="1">
        <f t="array" aca="1" ref="AD244" ca="1">IF(INDIRECT(ADDRESS($B244+1,AD$230,1,1,"Actively Infected Trend"))=0,#N/A,INDIRECT(ADDRESS($B244+1,AD$230,1,1,"Actively Infected Trend")))</f>
        <v>#N/A</v>
      </c>
      <c r="AE244" s="14" t="e" cm="1">
        <f t="array" aca="1" ref="AE244" ca="1">IF(INDIRECT(ADDRESS($B244+1,AE$230,1,1,"Actively Infected Trend"))=0,#N/A,INDIRECT(ADDRESS($B244+1,AE$230,1,1,"Actively Infected Trend")))</f>
        <v>#N/A</v>
      </c>
      <c r="AF244" s="14" t="e" cm="1">
        <f t="array" aca="1" ref="AF244" ca="1">IF(INDIRECT(ADDRESS($B244+1,AF$230,1,1,"Actively Infected Trend"))=0,#N/A,INDIRECT(ADDRESS($B244+1,AF$230,1,1,"Actively Infected Trend")))</f>
        <v>#N/A</v>
      </c>
      <c r="AG244" s="14" t="e" cm="1">
        <f t="array" aca="1" ref="AG244" ca="1">IF(INDIRECT(ADDRESS($B244+1,AG$230,1,1,"Actively Infected Trend"))=0,#N/A,INDIRECT(ADDRESS($B244+1,AG$230,1,1,"Actively Infected Trend")))</f>
        <v>#N/A</v>
      </c>
      <c r="AH244" s="14" t="e" cm="1">
        <f t="array" aca="1" ref="AH244" ca="1">IF(INDIRECT(ADDRESS($B244+1,AH$230,1,1,"Actively Infected Trend"))=0,#N/A,INDIRECT(ADDRESS($B244+1,AH$230,1,1,"Actively Infected Trend")))</f>
        <v>#N/A</v>
      </c>
      <c r="AI244" s="14" t="e" cm="1">
        <f t="array" aca="1" ref="AI244" ca="1">IF(INDIRECT(ADDRESS($B244+1,AI$230,1,1,"Actively Infected Trend"))=0,#N/A,INDIRECT(ADDRESS($B244+1,AI$230,1,1,"Actively Infected Trend")))</f>
        <v>#N/A</v>
      </c>
      <c r="AJ244" s="14" t="e" cm="1">
        <f t="array" aca="1" ref="AJ244" ca="1">IF(INDIRECT(ADDRESS($B244+1,AJ$230,1,1,"Actively Infected Trend"))=0,#N/A,INDIRECT(ADDRESS($B244+1,AJ$230,1,1,"Actively Infected Trend")))</f>
        <v>#N/A</v>
      </c>
      <c r="AK244" s="14" t="e" cm="1">
        <f t="array" aca="1" ref="AK244" ca="1">IF(INDIRECT(ADDRESS($B244+1,AK$230,1,1,"Actively Infected Trend"))=0,#N/A,INDIRECT(ADDRESS($B244+1,AK$230,1,1,"Actively Infected Trend")))</f>
        <v>#N/A</v>
      </c>
      <c r="AL244" s="14" t="e" cm="1">
        <f t="array" aca="1" ref="AL244" ca="1">IF(INDIRECT(ADDRESS($B244+1,AL$230,1,1,"Actively Infected Trend"))=0,#N/A,INDIRECT(ADDRESS($B244+1,AL$230,1,1,"Actively Infected Trend")))</f>
        <v>#N/A</v>
      </c>
      <c r="AM244" s="14" t="e" cm="1">
        <f t="array" aca="1" ref="AM244" ca="1">IF(INDIRECT(ADDRESS($B244+1,AM$230,1,1,"Actively Infected Trend"))=0,#N/A,INDIRECT(ADDRESS($B244+1,AM$230,1,1,"Actively Infected Trend")))</f>
        <v>#N/A</v>
      </c>
      <c r="AN244" s="14" t="e" cm="1">
        <f t="array" aca="1" ref="AN244" ca="1">IF(INDIRECT(ADDRESS($B244+1,AN$230,1,1,"Actively Infected Trend"))=0,#N/A,INDIRECT(ADDRESS($B244+1,AN$230,1,1,"Actively Infected Trend")))</f>
        <v>#N/A</v>
      </c>
      <c r="AO244" s="14" t="e" cm="1">
        <f t="array" aca="1" ref="AO244" ca="1">IF(INDIRECT(ADDRESS($B244+1,AO$230,1,1,"Actively Infected Trend"))=0,#N/A,INDIRECT(ADDRESS($B244+1,AO$230,1,1,"Actively Infected Trend")))</f>
        <v>#N/A</v>
      </c>
      <c r="AP244" s="14" t="e" cm="1">
        <f t="array" aca="1" ref="AP244" ca="1">IF(INDIRECT(ADDRESS($B244+1,AP$230,1,1,"Actively Infected Trend"))=0,#N/A,INDIRECT(ADDRESS($B244+1,AP$230,1,1,"Actively Infected Trend")))</f>
        <v>#N/A</v>
      </c>
      <c r="AQ244" s="14" t="e" cm="1">
        <f t="array" aca="1" ref="AQ244" ca="1">IF(INDIRECT(ADDRESS($B244+1,AQ$230,1,1,"Actively Infected Trend"))=0,#N/A,INDIRECT(ADDRESS($B244+1,AQ$230,1,1,"Actively Infected Trend")))</f>
        <v>#N/A</v>
      </c>
      <c r="AR244" s="14" t="e" cm="1">
        <f t="array" aca="1" ref="AR244" ca="1">IF(INDIRECT(ADDRESS($B244+1,AR$230,1,1,"Actively Infected Trend"))=0,#N/A,INDIRECT(ADDRESS($B244+1,AR$230,1,1,"Actively Infected Trend")))</f>
        <v>#N/A</v>
      </c>
      <c r="AS244" s="14" t="e" cm="1">
        <f t="array" aca="1" ref="AS244" ca="1">IF(INDIRECT(ADDRESS($B244+1,AS$230,1,1,"Actively Infected Trend"))=0,#N/A,INDIRECT(ADDRESS($B244+1,AS$230,1,1,"Actively Infected Trend")))</f>
        <v>#N/A</v>
      </c>
      <c r="AT244" s="14" t="e" cm="1">
        <f t="array" aca="1" ref="AT244" ca="1">IF(INDIRECT(ADDRESS($B244+1,AT$230,1,1,"Actively Infected Trend"))=0,#N/A,INDIRECT(ADDRESS($B244+1,AT$230,1,1,"Actively Infected Trend")))</f>
        <v>#N/A</v>
      </c>
      <c r="AU244" s="14" t="e" cm="1">
        <f t="array" aca="1" ref="AU244" ca="1">IF(INDIRECT(ADDRESS($B244+1,AU$230,1,1,"Actively Infected Trend"))=0,#N/A,INDIRECT(ADDRESS($B244+1,AU$230,1,1,"Actively Infected Trend")))</f>
        <v>#N/A</v>
      </c>
      <c r="AV244" s="14" t="e" cm="1">
        <f t="array" aca="1" ref="AV244" ca="1">IF(INDIRECT(ADDRESS($B244+1,AV$230,1,1,"Actively Infected Trend"))=0,#N/A,INDIRECT(ADDRESS($B244+1,AV$230,1,1,"Actively Infected Trend")))</f>
        <v>#N/A</v>
      </c>
      <c r="AW244" s="14" t="e" cm="1">
        <f t="array" aca="1" ref="AW244" ca="1">IF(INDIRECT(ADDRESS($B244+1,AW$230,1,1,"Actively Infected Trend"))=0,#N/A,INDIRECT(ADDRESS($B244+1,AW$230,1,1,"Actively Infected Trend")))</f>
        <v>#N/A</v>
      </c>
      <c r="AX244" s="14" t="e" cm="1">
        <f t="array" aca="1" ref="AX244" ca="1">IF(INDIRECT(ADDRESS($B244+1,AX$230,1,1,"Actively Infected Trend"))=0,#N/A,INDIRECT(ADDRESS($B244+1,AX$230,1,1,"Actively Infected Trend")))</f>
        <v>#N/A</v>
      </c>
      <c r="AY244" s="14" t="e" cm="1">
        <f t="array" aca="1" ref="AY244" ca="1">IF(INDIRECT(ADDRESS($B244+1,AY$230,1,1,"Actively Infected Trend"))=0,#N/A,INDIRECT(ADDRESS($B244+1,AY$230,1,1,"Actively Infected Trend")))</f>
        <v>#N/A</v>
      </c>
      <c r="AZ244" s="14" t="e" cm="1">
        <f t="array" aca="1" ref="AZ244" ca="1">IF(INDIRECT(ADDRESS($B244+1,AZ$230,1,1,"Actively Infected Trend"))=0,#N/A,INDIRECT(ADDRESS($B244+1,AZ$230,1,1,"Actively Infected Trend")))</f>
        <v>#N/A</v>
      </c>
      <c r="BA244" s="14" t="e" cm="1">
        <f t="array" aca="1" ref="BA244" ca="1">IF(INDIRECT(ADDRESS($B244+1,BA$230,1,1,"Actively Infected Trend"))=0,#N/A,INDIRECT(ADDRESS($B244+1,BA$230,1,1,"Actively Infected Trend")))</f>
        <v>#N/A</v>
      </c>
      <c r="BB244" s="14" t="e" cm="1">
        <f t="array" aca="1" ref="BB244" ca="1">IF(INDIRECT(ADDRESS($B244+1,BB$230,1,1,"Actively Infected Trend"))=0,#N/A,INDIRECT(ADDRESS($B244+1,BB$230,1,1,"Actively Infected Trend")))</f>
        <v>#N/A</v>
      </c>
      <c r="BC244" s="14" cm="1">
        <f t="array" aca="1" ref="BC244" ca="1">IF(INDIRECT(ADDRESS($B244+1,BC$230,1,1,"Actively Infected Trend"))=0,#N/A,INDIRECT(ADDRESS($B244+1,BC$230,1,1,"Actively Infected Trend")))</f>
        <v>0.3099383027</v>
      </c>
      <c r="BD244" s="14" cm="1">
        <f t="array" aca="1" ref="BD244" ca="1">IF(INDIRECT(ADDRESS($B244+1,BD$230,1,1,"Actively Infected Trend"))=0,#N/A,INDIRECT(ADDRESS($B244+1,BD$230,1,1,"Actively Infected Trend")))</f>
        <v>0.31607401299999999</v>
      </c>
      <c r="BE244" s="14" cm="1">
        <f t="array" aca="1" ref="BE244" ca="1">IF(INDIRECT(ADDRESS($B244+1,BE$230,1,1,"Actively Infected Trend"))=0,#N/A,INDIRECT(ADDRESS($B244+1,BE$230,1,1,"Actively Infected Trend")))</f>
        <v>0.36201249819999998</v>
      </c>
      <c r="BF244" s="14" cm="1">
        <f t="array" aca="1" ref="BF244" ca="1">IF(INDIRECT(ADDRESS($B244+1,BF$230,1,1,"Actively Infected Trend"))=0,#N/A,INDIRECT(ADDRESS($B244+1,BF$230,1,1,"Actively Infected Trend")))</f>
        <v>0.40365899230000002</v>
      </c>
      <c r="BG244" s="14" cm="1">
        <f t="array" aca="1" ref="BG244" ca="1">IF(INDIRECT(ADDRESS($B244+1,BG$230,1,1,"Actively Infected Trend"))=0,#N/A,INDIRECT(ADDRESS($B244+1,BG$230,1,1,"Actively Infected Trend")))</f>
        <v>0.41816755350000001</v>
      </c>
      <c r="BH244" s="14" cm="1">
        <f t="array" aca="1" ref="BH244" ca="1">IF(INDIRECT(ADDRESS($B244+1,BH$230,1,1,"Actively Infected Trend"))=0,#N/A,INDIRECT(ADDRESS($B244+1,BH$230,1,1,"Actively Infected Trend")))</f>
        <v>0.4153782372</v>
      </c>
      <c r="BI244" s="14" cm="1">
        <f t="array" aca="1" ref="BI244" ca="1">IF(INDIRECT(ADDRESS($B244+1,BI$230,1,1,"Actively Infected Trend"))=0,#N/A,INDIRECT(ADDRESS($B244+1,BI$230,1,1,"Actively Infected Trend")))</f>
        <v>0.40014091460000001</v>
      </c>
      <c r="BJ244" s="14" cm="1">
        <f t="array" aca="1" ref="BJ244" ca="1">IF(INDIRECT(ADDRESS($B244+1,BJ$230,1,1,"Actively Infected Trend"))=0,#N/A,INDIRECT(ADDRESS($B244+1,BJ$230,1,1,"Actively Infected Trend")))</f>
        <v>0.37316137420000001</v>
      </c>
      <c r="BK244" s="14" cm="1">
        <f t="array" aca="1" ref="BK244" ca="1">IF(INDIRECT(ADDRESS($B244+1,BK$230,1,1,"Actively Infected Trend"))=0,#N/A,INDIRECT(ADDRESS($B244+1,BK$230,1,1,"Actively Infected Trend")))</f>
        <v>0.34713371770000001</v>
      </c>
      <c r="BL244" s="14" cm="1">
        <f t="array" aca="1" ref="BL244" ca="1">IF(INDIRECT(ADDRESS($B244+1,BL$230,1,1,"Actively Infected Trend"))=0,#N/A,INDIRECT(ADDRESS($B244+1,BL$230,1,1,"Actively Infected Trend")))</f>
        <v>0.3225032531</v>
      </c>
      <c r="BM244" s="14" cm="1">
        <f t="array" aca="1" ref="BM244" ca="1">IF(INDIRECT(ADDRESS($B244+1,BM$230,1,1,"Actively Infected Trend"))=0,#N/A,INDIRECT(ADDRESS($B244+1,BM$230,1,1,"Actively Infected Trend")))</f>
        <v>0.29855372060000002</v>
      </c>
      <c r="BN244" s="14" cm="1">
        <f t="array" aca="1" ref="BN244" ca="1">IF(INDIRECT(ADDRESS($B244+1,BN$230,1,1,"Actively Infected Trend"))=0,#N/A,INDIRECT(ADDRESS($B244+1,BN$230,1,1,"Actively Infected Trend")))</f>
        <v>0.28328596540000001</v>
      </c>
      <c r="BO244" s="14" cm="1">
        <f t="array" aca="1" ref="BO244" ca="1">IF(INDIRECT(ADDRESS($B244+1,BO$230,1,1,"Actively Infected Trend"))=0,#N/A,INDIRECT(ADDRESS($B244+1,BO$230,1,1,"Actively Infected Trend")))</f>
        <v>0.26029979559999999</v>
      </c>
      <c r="BP244" s="14" cm="1">
        <f t="array" aca="1" ref="BP244" ca="1">IF(INDIRECT(ADDRESS($B244+1,BP$230,1,1,"Actively Infected Trend"))=0,#N/A,INDIRECT(ADDRESS($B244+1,BP$230,1,1,"Actively Infected Trend")))</f>
        <v>0.25013956790000003</v>
      </c>
      <c r="BQ244" s="14" cm="1">
        <f t="array" aca="1" ref="BQ244" ca="1">IF(INDIRECT(ADDRESS($B244+1,BQ$230,1,1,"Actively Infected Trend"))=0,#N/A,INDIRECT(ADDRESS($B244+1,BQ$230,1,1,"Actively Infected Trend")))</f>
        <v>0.23478209859999999</v>
      </c>
      <c r="BR244" s="14" cm="1">
        <f t="array" aca="1" ref="BR244" ca="1">IF(INDIRECT(ADDRESS($B244+1,BR$230,1,1,"Actively Infected Trend"))=0,#N/A,INDIRECT(ADDRESS($B244+1,BR$230,1,1,"Actively Infected Trend")))</f>
        <v>0.22199632350000001</v>
      </c>
      <c r="BS244" s="14" cm="1">
        <f t="array" aca="1" ref="BS244" ca="1">IF(INDIRECT(ADDRESS($B244+1,BS$230,1,1,"Actively Infected Trend"))=0,#N/A,INDIRECT(ADDRESS($B244+1,BS$230,1,1,"Actively Infected Trend")))</f>
        <v>0.2188687553</v>
      </c>
      <c r="BT244" s="14" cm="1">
        <f t="array" aca="1" ref="BT244" ca="1">IF(INDIRECT(ADDRESS($B244+1,BT$230,1,1,"Actively Infected Trend"))=0,#N/A,INDIRECT(ADDRESS($B244+1,BT$230,1,1,"Actively Infected Trend")))</f>
        <v>0.2089797799</v>
      </c>
      <c r="BU244" s="14" cm="1">
        <f t="array" aca="1" ref="BU244" ca="1">IF(INDIRECT(ADDRESS($B244+1,BU$230,1,1,"Actively Infected Trend"))=0,#N/A,INDIRECT(ADDRESS($B244+1,BU$230,1,1,"Actively Infected Trend")))</f>
        <v>0.194873252</v>
      </c>
      <c r="BV244" s="14" cm="1">
        <f t="array" aca="1" ref="BV244" ca="1">IF(INDIRECT(ADDRESS($B244+1,BV$230,1,1,"Actively Infected Trend"))=0,#N/A,INDIRECT(ADDRESS($B244+1,BV$230,1,1,"Actively Infected Trend")))</f>
        <v>0.17409943550000001</v>
      </c>
      <c r="BW244" s="14" cm="1">
        <f t="array" aca="1" ref="BW244" ca="1">IF(INDIRECT(ADDRESS($B244+1,BW$230,1,1,"Actively Infected Trend"))=0,#N/A,INDIRECT(ADDRESS($B244+1,BW$230,1,1,"Actively Infected Trend")))</f>
        <v>0.1537691447</v>
      </c>
      <c r="BX244" s="14" cm="1">
        <f t="array" aca="1" ref="BX244" ca="1">IF(INDIRECT(ADDRESS($B244+1,BX$230,1,1,"Actively Infected Trend"))=0,#N/A,INDIRECT(ADDRESS($B244+1,BX$230,1,1,"Actively Infected Trend")))</f>
        <v>0.13764610369999999</v>
      </c>
      <c r="BY244" s="14" cm="1">
        <f t="array" aca="1" ref="BY244" ca="1">IF(INDIRECT(ADDRESS($B244+1,BY$230,1,1,"Actively Infected Trend"))=0,#N/A,INDIRECT(ADDRESS($B244+1,BY$230,1,1,"Actively Infected Trend")))</f>
        <v>0.12892942909999999</v>
      </c>
      <c r="BZ244" s="14" cm="1">
        <f t="array" aca="1" ref="BZ244" ca="1">IF(INDIRECT(ADDRESS($B244+1,BZ$230,1,1,"Actively Infected Trend"))=0,#N/A,INDIRECT(ADDRESS($B244+1,BZ$230,1,1,"Actively Infected Trend")))</f>
        <v>0.1185238951</v>
      </c>
      <c r="CA244" s="14" cm="1">
        <f t="array" aca="1" ref="CA244" ca="1">IF(INDIRECT(ADDRESS($B244+1,CA$230,1,1,"Actively Infected Trend"))=0,#N/A,INDIRECT(ADDRESS($B244+1,CA$230,1,1,"Actively Infected Trend")))</f>
        <v>0.1098295544</v>
      </c>
      <c r="CB244" s="14" cm="1">
        <f t="array" aca="1" ref="CB244" ca="1">IF(INDIRECT(ADDRESS($B244+1,CB$230,1,1,"Actively Infected Trend"))=0,#N/A,INDIRECT(ADDRESS($B244+1,CB$230,1,1,"Actively Infected Trend")))</f>
        <v>9.5968526900000004E-2</v>
      </c>
      <c r="CC244" s="14" cm="1">
        <f t="array" aca="1" ref="CC244" ca="1">IF(INDIRECT(ADDRESS($B244+1,CC$230,1,1,"Actively Infected Trend"))=0,#N/A,INDIRECT(ADDRESS($B244+1,CC$230,1,1,"Actively Infected Trend")))</f>
        <v>8.4864507899999997E-2</v>
      </c>
      <c r="CD244" s="14" cm="1">
        <f t="array" aca="1" ref="CD244" ca="1">IF(INDIRECT(ADDRESS($B244+1,CD$230,1,1,"Actively Infected Trend"))=0,#N/A,INDIRECT(ADDRESS($B244+1,CD$230,1,1,"Actively Infected Trend")))</f>
        <v>7.9008045999999998E-2</v>
      </c>
      <c r="CE244" s="14" cm="1">
        <f t="array" aca="1" ref="CE244" ca="1">IF(INDIRECT(ADDRESS($B244+1,CE$230,1,1,"Actively Infected Trend"))=0,#N/A,INDIRECT(ADDRESS($B244+1,CE$230,1,1,"Actively Infected Trend")))</f>
        <v>7.6263556999999996E-2</v>
      </c>
      <c r="CF244" s="14" cm="1">
        <f t="array" aca="1" ref="CF244" ca="1">IF(INDIRECT(ADDRESS($B244+1,CF$230,1,1,"Actively Infected Trend"))=0,#N/A,INDIRECT(ADDRESS($B244+1,CF$230,1,1,"Actively Infected Trend")))</f>
        <v>8.4888707899999999E-2</v>
      </c>
      <c r="CG244" s="14" cm="1">
        <f t="array" aca="1" ref="CG244" ca="1">IF(INDIRECT(ADDRESS($B244+1,CG$230,1,1,"Actively Infected Trend"))=0,#N/A,INDIRECT(ADDRESS($B244+1,CG$230,1,1,"Actively Infected Trend")))</f>
        <v>9.4422848300000001E-2</v>
      </c>
      <c r="CH244" s="14" cm="1">
        <f t="array" aca="1" ref="CH244" ca="1">IF(INDIRECT(ADDRESS($B244+1,CH$230,1,1,"Actively Infected Trend"))=0,#N/A,INDIRECT(ADDRESS($B244+1,CH$230,1,1,"Actively Infected Trend")))</f>
        <v>0.1018445654</v>
      </c>
      <c r="CI244" s="14" cm="1">
        <f t="array" aca="1" ref="CI244" ca="1">IF(INDIRECT(ADDRESS($B244+1,CI$230,1,1,"Actively Infected Trend"))=0,#N/A,INDIRECT(ADDRESS($B244+1,CI$230,1,1,"Actively Infected Trend")))</f>
        <v>9.30049243E-2</v>
      </c>
      <c r="CJ244" s="14" cm="1">
        <f t="array" aca="1" ref="CJ244" ca="1">IF(INDIRECT(ADDRESS($B244+1,CJ$230,1,1,"Actively Infected Trend"))=0,#N/A,INDIRECT(ADDRESS($B244+1,CJ$230,1,1,"Actively Infected Trend")))</f>
        <v>8.0293024500000004E-2</v>
      </c>
      <c r="CK244" s="14" cm="1">
        <f t="array" aca="1" ref="CK244" ca="1">IF(INDIRECT(ADDRESS($B244+1,CK$230,1,1,"Actively Infected Trend"))=0,#N/A,INDIRECT(ADDRESS($B244+1,CK$230,1,1,"Actively Infected Trend")))</f>
        <v>6.7609800999999997E-2</v>
      </c>
      <c r="CL244" s="14" cm="1">
        <f t="array" aca="1" ref="CL244" ca="1">IF(INDIRECT(ADDRESS($B244+1,CL$230,1,1,"Actively Infected Trend"))=0,#N/A,INDIRECT(ADDRESS($B244+1,CL$230,1,1,"Actively Infected Trend")))</f>
        <v>6.0429426299999998E-2</v>
      </c>
      <c r="CM244" s="14" cm="1">
        <f t="array" aca="1" ref="CM244" ca="1">IF(INDIRECT(ADDRESS($B244+1,CM$230,1,1,"Actively Infected Trend"))=0,#N/A,INDIRECT(ADDRESS($B244+1,CM$230,1,1,"Actively Infected Trend")))</f>
        <v>6.4716202E-2</v>
      </c>
      <c r="CN244" s="14" t="e" cm="1">
        <f t="array" aca="1" ref="CN244" ca="1">IF(INDIRECT(ADDRESS($B244+1,CN$230,1,1,"Actively Infected Trend"))=0,#N/A,INDIRECT(ADDRESS($B244+1,CN$230,1,1,"Actively Infected Trend")))</f>
        <v>#N/A</v>
      </c>
      <c r="CO244" s="14" t="e" cm="1">
        <f t="array" aca="1" ref="CO244" ca="1">IF(INDIRECT(ADDRESS($B244+1,CO$230,1,1,"Actively Infected Trend"))=0,#N/A,INDIRECT(ADDRESS($B244+1,CO$230,1,1,"Actively Infected Trend")))</f>
        <v>#N/A</v>
      </c>
      <c r="CP244" s="14" t="e" cm="1">
        <f t="array" aca="1" ref="CP244" ca="1">IF(INDIRECT(ADDRESS($B244+1,CP$230,1,1,"Actively Infected Trend"))=0,#N/A,INDIRECT(ADDRESS($B244+1,CP$230,1,1,"Actively Infected Trend")))</f>
        <v>#N/A</v>
      </c>
      <c r="CQ244" s="14" t="e" cm="1">
        <f t="array" aca="1" ref="CQ244" ca="1">IF(INDIRECT(ADDRESS($B244+1,CQ$230,1,1,"Actively Infected Trend"))=0,#N/A,INDIRECT(ADDRESS($B244+1,CQ$230,1,1,"Actively Infected Trend")))</f>
        <v>#N/A</v>
      </c>
      <c r="CR244" s="14" t="e" cm="1">
        <f t="array" aca="1" ref="CR244" ca="1">IF(INDIRECT(ADDRESS($B244+1,CR$230,1,1,"Actively Infected Trend"))=0,#N/A,INDIRECT(ADDRESS($B244+1,CR$230,1,1,"Actively Infected Trend")))</f>
        <v>#N/A</v>
      </c>
    </row>
    <row r="245" spans="2:96" x14ac:dyDescent="0.25">
      <c r="B245">
        <f t="shared" si="349"/>
        <v>14</v>
      </c>
      <c r="C245" t="str" cm="1">
        <f t="array" aca="1" ref="C245" ca="1">INDIRECT(ADDRESS($B245+1,1,1,1,"Actively Infected Trend"))</f>
        <v>Russia</v>
      </c>
      <c r="E245" s="14" t="e" cm="1">
        <f t="array" aca="1" ref="E245" ca="1">IF(INDIRECT(ADDRESS($B245+1,E$230,1,1,"Actively Infected Trend"))=0,#N/A,INDIRECT(ADDRESS($B245+1,E$230,1,1,"Actively Infected Trend")))</f>
        <v>#N/A</v>
      </c>
      <c r="F245" s="14" t="e" cm="1">
        <f t="array" aca="1" ref="F245" ca="1">IF(INDIRECT(ADDRESS($B245+1,F$230,1,1,"Actively Infected Trend"))=0,#N/A,INDIRECT(ADDRESS($B245+1,F$230,1,1,"Actively Infected Trend")))</f>
        <v>#N/A</v>
      </c>
      <c r="G245" s="14" t="e" cm="1">
        <f t="array" aca="1" ref="G245" ca="1">IF(INDIRECT(ADDRESS($B245+1,G$230,1,1,"Actively Infected Trend"))=0,#N/A,INDIRECT(ADDRESS($B245+1,G$230,1,1,"Actively Infected Trend")))</f>
        <v>#N/A</v>
      </c>
      <c r="H245" s="14" t="e" cm="1">
        <f t="array" aca="1" ref="H245" ca="1">IF(INDIRECT(ADDRESS($B245+1,H$230,1,1,"Actively Infected Trend"))=0,#N/A,INDIRECT(ADDRESS($B245+1,H$230,1,1,"Actively Infected Trend")))</f>
        <v>#N/A</v>
      </c>
      <c r="I245" s="14" t="e" cm="1">
        <f t="array" aca="1" ref="I245" ca="1">IF(INDIRECT(ADDRESS($B245+1,I$230,1,1,"Actively Infected Trend"))=0,#N/A,INDIRECT(ADDRESS($B245+1,I$230,1,1,"Actively Infected Trend")))</f>
        <v>#N/A</v>
      </c>
      <c r="J245" s="14" t="e" cm="1">
        <f t="array" aca="1" ref="J245" ca="1">IF(INDIRECT(ADDRESS($B245+1,J$230,1,1,"Actively Infected Trend"))=0,#N/A,INDIRECT(ADDRESS($B245+1,J$230,1,1,"Actively Infected Trend")))</f>
        <v>#N/A</v>
      </c>
      <c r="K245" s="14" t="e" cm="1">
        <f t="array" aca="1" ref="K245" ca="1">IF(INDIRECT(ADDRESS($B245+1,K$230,1,1,"Actively Infected Trend"))=0,#N/A,INDIRECT(ADDRESS($B245+1,K$230,1,1,"Actively Infected Trend")))</f>
        <v>#N/A</v>
      </c>
      <c r="L245" s="14" t="e" cm="1">
        <f t="array" aca="1" ref="L245" ca="1">IF(INDIRECT(ADDRESS($B245+1,L$230,1,1,"Actively Infected Trend"))=0,#N/A,INDIRECT(ADDRESS($B245+1,L$230,1,1,"Actively Infected Trend")))</f>
        <v>#N/A</v>
      </c>
      <c r="M245" s="14" t="e" cm="1">
        <f t="array" aca="1" ref="M245" ca="1">IF(INDIRECT(ADDRESS($B245+1,M$230,1,1,"Actively Infected Trend"))=0,#N/A,INDIRECT(ADDRESS($B245+1,M$230,1,1,"Actively Infected Trend")))</f>
        <v>#N/A</v>
      </c>
      <c r="N245" s="14" t="e" cm="1">
        <f t="array" aca="1" ref="N245" ca="1">IF(INDIRECT(ADDRESS($B245+1,N$230,1,1,"Actively Infected Trend"))=0,#N/A,INDIRECT(ADDRESS($B245+1,N$230,1,1,"Actively Infected Trend")))</f>
        <v>#N/A</v>
      </c>
      <c r="O245" s="14" t="e" cm="1">
        <f t="array" aca="1" ref="O245" ca="1">IF(INDIRECT(ADDRESS($B245+1,O$230,1,1,"Actively Infected Trend"))=0,#N/A,INDIRECT(ADDRESS($B245+1,O$230,1,1,"Actively Infected Trend")))</f>
        <v>#N/A</v>
      </c>
      <c r="P245" s="14" t="e" cm="1">
        <f t="array" aca="1" ref="P245" ca="1">IF(INDIRECT(ADDRESS($B245+1,P$230,1,1,"Actively Infected Trend"))=0,#N/A,INDIRECT(ADDRESS($B245+1,P$230,1,1,"Actively Infected Trend")))</f>
        <v>#N/A</v>
      </c>
      <c r="Q245" s="14" t="e" cm="1">
        <f t="array" aca="1" ref="Q245" ca="1">IF(INDIRECT(ADDRESS($B245+1,Q$230,1,1,"Actively Infected Trend"))=0,#N/A,INDIRECT(ADDRESS($B245+1,Q$230,1,1,"Actively Infected Trend")))</f>
        <v>#N/A</v>
      </c>
      <c r="R245" s="14" t="e" cm="1">
        <f t="array" aca="1" ref="R245" ca="1">IF(INDIRECT(ADDRESS($B245+1,R$230,1,1,"Actively Infected Trend"))=0,#N/A,INDIRECT(ADDRESS($B245+1,R$230,1,1,"Actively Infected Trend")))</f>
        <v>#N/A</v>
      </c>
      <c r="S245" s="14" t="e" cm="1">
        <f t="array" aca="1" ref="S245" ca="1">IF(INDIRECT(ADDRESS($B245+1,S$230,1,1,"Actively Infected Trend"))=0,#N/A,INDIRECT(ADDRESS($B245+1,S$230,1,1,"Actively Infected Trend")))</f>
        <v>#N/A</v>
      </c>
      <c r="T245" s="14" t="e" cm="1">
        <f t="array" aca="1" ref="T245" ca="1">IF(INDIRECT(ADDRESS($B245+1,T$230,1,1,"Actively Infected Trend"))=0,#N/A,INDIRECT(ADDRESS($B245+1,T$230,1,1,"Actively Infected Trend")))</f>
        <v>#N/A</v>
      </c>
      <c r="U245" s="14" t="e" cm="1">
        <f t="array" aca="1" ref="U245" ca="1">IF(INDIRECT(ADDRESS($B245+1,U$230,1,1,"Actively Infected Trend"))=0,#N/A,INDIRECT(ADDRESS($B245+1,U$230,1,1,"Actively Infected Trend")))</f>
        <v>#N/A</v>
      </c>
      <c r="V245" s="14" t="e" cm="1">
        <f t="array" aca="1" ref="V245" ca="1">IF(INDIRECT(ADDRESS($B245+1,V$230,1,1,"Actively Infected Trend"))=0,#N/A,INDIRECT(ADDRESS($B245+1,V$230,1,1,"Actively Infected Trend")))</f>
        <v>#N/A</v>
      </c>
      <c r="W245" s="14" t="e" cm="1">
        <f t="array" aca="1" ref="W245" ca="1">IF(INDIRECT(ADDRESS($B245+1,W$230,1,1,"Actively Infected Trend"))=0,#N/A,INDIRECT(ADDRESS($B245+1,W$230,1,1,"Actively Infected Trend")))</f>
        <v>#N/A</v>
      </c>
      <c r="X245" s="14" t="e" cm="1">
        <f t="array" aca="1" ref="X245" ca="1">IF(INDIRECT(ADDRESS($B245+1,X$230,1,1,"Actively Infected Trend"))=0,#N/A,INDIRECT(ADDRESS($B245+1,X$230,1,1,"Actively Infected Trend")))</f>
        <v>#N/A</v>
      </c>
      <c r="Y245" s="14" t="e" cm="1">
        <f t="array" aca="1" ref="Y245" ca="1">IF(INDIRECT(ADDRESS($B245+1,Y$230,1,1,"Actively Infected Trend"))=0,#N/A,INDIRECT(ADDRESS($B245+1,Y$230,1,1,"Actively Infected Trend")))</f>
        <v>#N/A</v>
      </c>
      <c r="Z245" s="14" t="e" cm="1">
        <f t="array" aca="1" ref="Z245" ca="1">IF(INDIRECT(ADDRESS($B245+1,Z$230,1,1,"Actively Infected Trend"))=0,#N/A,INDIRECT(ADDRESS($B245+1,Z$230,1,1,"Actively Infected Trend")))</f>
        <v>#N/A</v>
      </c>
      <c r="AA245" s="14" t="e" cm="1">
        <f t="array" aca="1" ref="AA245" ca="1">IF(INDIRECT(ADDRESS($B245+1,AA$230,1,1,"Actively Infected Trend"))=0,#N/A,INDIRECT(ADDRESS($B245+1,AA$230,1,1,"Actively Infected Trend")))</f>
        <v>#N/A</v>
      </c>
      <c r="AB245" s="14" t="e" cm="1">
        <f t="array" aca="1" ref="AB245" ca="1">IF(INDIRECT(ADDRESS($B245+1,AB$230,1,1,"Actively Infected Trend"))=0,#N/A,INDIRECT(ADDRESS($B245+1,AB$230,1,1,"Actively Infected Trend")))</f>
        <v>#N/A</v>
      </c>
      <c r="AC245" s="14" t="e" cm="1">
        <f t="array" aca="1" ref="AC245" ca="1">IF(INDIRECT(ADDRESS($B245+1,AC$230,1,1,"Actively Infected Trend"))=0,#N/A,INDIRECT(ADDRESS($B245+1,AC$230,1,1,"Actively Infected Trend")))</f>
        <v>#N/A</v>
      </c>
      <c r="AD245" s="14" t="e" cm="1">
        <f t="array" aca="1" ref="AD245" ca="1">IF(INDIRECT(ADDRESS($B245+1,AD$230,1,1,"Actively Infected Trend"))=0,#N/A,INDIRECT(ADDRESS($B245+1,AD$230,1,1,"Actively Infected Trend")))</f>
        <v>#N/A</v>
      </c>
      <c r="AE245" s="14" t="e" cm="1">
        <f t="array" aca="1" ref="AE245" ca="1">IF(INDIRECT(ADDRESS($B245+1,AE$230,1,1,"Actively Infected Trend"))=0,#N/A,INDIRECT(ADDRESS($B245+1,AE$230,1,1,"Actively Infected Trend")))</f>
        <v>#N/A</v>
      </c>
      <c r="AF245" s="14" t="e" cm="1">
        <f t="array" aca="1" ref="AF245" ca="1">IF(INDIRECT(ADDRESS($B245+1,AF$230,1,1,"Actively Infected Trend"))=0,#N/A,INDIRECT(ADDRESS($B245+1,AF$230,1,1,"Actively Infected Trend")))</f>
        <v>#N/A</v>
      </c>
      <c r="AG245" s="14" t="e" cm="1">
        <f t="array" aca="1" ref="AG245" ca="1">IF(INDIRECT(ADDRESS($B245+1,AG$230,1,1,"Actively Infected Trend"))=0,#N/A,INDIRECT(ADDRESS($B245+1,AG$230,1,1,"Actively Infected Trend")))</f>
        <v>#N/A</v>
      </c>
      <c r="AH245" s="14" t="e" cm="1">
        <f t="array" aca="1" ref="AH245" ca="1">IF(INDIRECT(ADDRESS($B245+1,AH$230,1,1,"Actively Infected Trend"))=0,#N/A,INDIRECT(ADDRESS($B245+1,AH$230,1,1,"Actively Infected Trend")))</f>
        <v>#N/A</v>
      </c>
      <c r="AI245" s="14" t="e" cm="1">
        <f t="array" aca="1" ref="AI245" ca="1">IF(INDIRECT(ADDRESS($B245+1,AI$230,1,1,"Actively Infected Trend"))=0,#N/A,INDIRECT(ADDRESS($B245+1,AI$230,1,1,"Actively Infected Trend")))</f>
        <v>#N/A</v>
      </c>
      <c r="AJ245" s="14" t="e" cm="1">
        <f t="array" aca="1" ref="AJ245" ca="1">IF(INDIRECT(ADDRESS($B245+1,AJ$230,1,1,"Actively Infected Trend"))=0,#N/A,INDIRECT(ADDRESS($B245+1,AJ$230,1,1,"Actively Infected Trend")))</f>
        <v>#N/A</v>
      </c>
      <c r="AK245" s="14" t="e" cm="1">
        <f t="array" aca="1" ref="AK245" ca="1">IF(INDIRECT(ADDRESS($B245+1,AK$230,1,1,"Actively Infected Trend"))=0,#N/A,INDIRECT(ADDRESS($B245+1,AK$230,1,1,"Actively Infected Trend")))</f>
        <v>#N/A</v>
      </c>
      <c r="AL245" s="14" t="e" cm="1">
        <f t="array" aca="1" ref="AL245" ca="1">IF(INDIRECT(ADDRESS($B245+1,AL$230,1,1,"Actively Infected Trend"))=0,#N/A,INDIRECT(ADDRESS($B245+1,AL$230,1,1,"Actively Infected Trend")))</f>
        <v>#N/A</v>
      </c>
      <c r="AM245" s="14" t="e" cm="1">
        <f t="array" aca="1" ref="AM245" ca="1">IF(INDIRECT(ADDRESS($B245+1,AM$230,1,1,"Actively Infected Trend"))=0,#N/A,INDIRECT(ADDRESS($B245+1,AM$230,1,1,"Actively Infected Trend")))</f>
        <v>#N/A</v>
      </c>
      <c r="AN245" s="14" t="e" cm="1">
        <f t="array" aca="1" ref="AN245" ca="1">IF(INDIRECT(ADDRESS($B245+1,AN$230,1,1,"Actively Infected Trend"))=0,#N/A,INDIRECT(ADDRESS($B245+1,AN$230,1,1,"Actively Infected Trend")))</f>
        <v>#N/A</v>
      </c>
      <c r="AO245" s="14" t="e" cm="1">
        <f t="array" aca="1" ref="AO245" ca="1">IF(INDIRECT(ADDRESS($B245+1,AO$230,1,1,"Actively Infected Trend"))=0,#N/A,INDIRECT(ADDRESS($B245+1,AO$230,1,1,"Actively Infected Trend")))</f>
        <v>#N/A</v>
      </c>
      <c r="AP245" s="14" t="e" cm="1">
        <f t="array" aca="1" ref="AP245" ca="1">IF(INDIRECT(ADDRESS($B245+1,AP$230,1,1,"Actively Infected Trend"))=0,#N/A,INDIRECT(ADDRESS($B245+1,AP$230,1,1,"Actively Infected Trend")))</f>
        <v>#N/A</v>
      </c>
      <c r="AQ245" s="14" t="e" cm="1">
        <f t="array" aca="1" ref="AQ245" ca="1">IF(INDIRECT(ADDRESS($B245+1,AQ$230,1,1,"Actively Infected Trend"))=0,#N/A,INDIRECT(ADDRESS($B245+1,AQ$230,1,1,"Actively Infected Trend")))</f>
        <v>#N/A</v>
      </c>
      <c r="AR245" s="14" t="e" cm="1">
        <f t="array" aca="1" ref="AR245" ca="1">IF(INDIRECT(ADDRESS($B245+1,AR$230,1,1,"Actively Infected Trend"))=0,#N/A,INDIRECT(ADDRESS($B245+1,AR$230,1,1,"Actively Infected Trend")))</f>
        <v>#N/A</v>
      </c>
      <c r="AS245" s="14" t="e" cm="1">
        <f t="array" aca="1" ref="AS245" ca="1">IF(INDIRECT(ADDRESS($B245+1,AS$230,1,1,"Actively Infected Trend"))=0,#N/A,INDIRECT(ADDRESS($B245+1,AS$230,1,1,"Actively Infected Trend")))</f>
        <v>#N/A</v>
      </c>
      <c r="AT245" s="14" t="e" cm="1">
        <f t="array" aca="1" ref="AT245" ca="1">IF(INDIRECT(ADDRESS($B245+1,AT$230,1,1,"Actively Infected Trend"))=0,#N/A,INDIRECT(ADDRESS($B245+1,AT$230,1,1,"Actively Infected Trend")))</f>
        <v>#N/A</v>
      </c>
      <c r="AU245" s="14" t="e" cm="1">
        <f t="array" aca="1" ref="AU245" ca="1">IF(INDIRECT(ADDRESS($B245+1,AU$230,1,1,"Actively Infected Trend"))=0,#N/A,INDIRECT(ADDRESS($B245+1,AU$230,1,1,"Actively Infected Trend")))</f>
        <v>#N/A</v>
      </c>
      <c r="AV245" s="14" t="e" cm="1">
        <f t="array" aca="1" ref="AV245" ca="1">IF(INDIRECT(ADDRESS($B245+1,AV$230,1,1,"Actively Infected Trend"))=0,#N/A,INDIRECT(ADDRESS($B245+1,AV$230,1,1,"Actively Infected Trend")))</f>
        <v>#N/A</v>
      </c>
      <c r="AW245" s="14" t="e" cm="1">
        <f t="array" aca="1" ref="AW245" ca="1">IF(INDIRECT(ADDRESS($B245+1,AW$230,1,1,"Actively Infected Trend"))=0,#N/A,INDIRECT(ADDRESS($B245+1,AW$230,1,1,"Actively Infected Trend")))</f>
        <v>#N/A</v>
      </c>
      <c r="AX245" s="14" t="e" cm="1">
        <f t="array" aca="1" ref="AX245" ca="1">IF(INDIRECT(ADDRESS($B245+1,AX$230,1,1,"Actively Infected Trend"))=0,#N/A,INDIRECT(ADDRESS($B245+1,AX$230,1,1,"Actively Infected Trend")))</f>
        <v>#N/A</v>
      </c>
      <c r="AY245" s="14" t="e" cm="1">
        <f t="array" aca="1" ref="AY245" ca="1">IF(INDIRECT(ADDRESS($B245+1,AY$230,1,1,"Actively Infected Trend"))=0,#N/A,INDIRECT(ADDRESS($B245+1,AY$230,1,1,"Actively Infected Trend")))</f>
        <v>#N/A</v>
      </c>
      <c r="AZ245" s="14" t="e" cm="1">
        <f t="array" aca="1" ref="AZ245" ca="1">IF(INDIRECT(ADDRESS($B245+1,AZ$230,1,1,"Actively Infected Trend"))=0,#N/A,INDIRECT(ADDRESS($B245+1,AZ$230,1,1,"Actively Infected Trend")))</f>
        <v>#N/A</v>
      </c>
      <c r="BA245" s="14" t="e" cm="1">
        <f t="array" aca="1" ref="BA245" ca="1">IF(INDIRECT(ADDRESS($B245+1,BA$230,1,1,"Actively Infected Trend"))=0,#N/A,INDIRECT(ADDRESS($B245+1,BA$230,1,1,"Actively Infected Trend")))</f>
        <v>#N/A</v>
      </c>
      <c r="BB245" s="14" t="e" cm="1">
        <f t="array" aca="1" ref="BB245" ca="1">IF(INDIRECT(ADDRESS($B245+1,BB$230,1,1,"Actively Infected Trend"))=0,#N/A,INDIRECT(ADDRESS($B245+1,BB$230,1,1,"Actively Infected Trend")))</f>
        <v>#N/A</v>
      </c>
      <c r="BC245" s="14" cm="1">
        <f t="array" aca="1" ref="BC245" ca="1">IF(INDIRECT(ADDRESS($B245+1,BC$230,1,1,"Actively Infected Trend"))=0,#N/A,INDIRECT(ADDRESS($B245+1,BC$230,1,1,"Actively Infected Trend")))</f>
        <v>0.13427362349999999</v>
      </c>
      <c r="BD245" s="14" cm="1">
        <f t="array" aca="1" ref="BD245" ca="1">IF(INDIRECT(ADDRESS($B245+1,BD$230,1,1,"Actively Infected Trend"))=0,#N/A,INDIRECT(ADDRESS($B245+1,BD$230,1,1,"Actively Infected Trend")))</f>
        <v>0.18549812900000001</v>
      </c>
      <c r="BE245" s="14" cm="1">
        <f t="array" aca="1" ref="BE245" ca="1">IF(INDIRECT(ADDRESS($B245+1,BE$230,1,1,"Actively Infected Trend"))=0,#N/A,INDIRECT(ADDRESS($B245+1,BE$230,1,1,"Actively Infected Trend")))</f>
        <v>0.25033920700000001</v>
      </c>
      <c r="BF245" s="14" cm="1">
        <f t="array" aca="1" ref="BF245" ca="1">IF(INDIRECT(ADDRESS($B245+1,BF$230,1,1,"Actively Infected Trend"))=0,#N/A,INDIRECT(ADDRESS($B245+1,BF$230,1,1,"Actively Infected Trend")))</f>
        <v>0.28765662939999997</v>
      </c>
      <c r="BG245" s="14" cm="1">
        <f t="array" aca="1" ref="BG245" ca="1">IF(INDIRECT(ADDRESS($B245+1,BG$230,1,1,"Actively Infected Trend"))=0,#N/A,INDIRECT(ADDRESS($B245+1,BG$230,1,1,"Actively Infected Trend")))</f>
        <v>0.32062583039999998</v>
      </c>
      <c r="BH245" s="14" cm="1">
        <f t="array" aca="1" ref="BH245" ca="1">IF(INDIRECT(ADDRESS($B245+1,BH$230,1,1,"Actively Infected Trend"))=0,#N/A,INDIRECT(ADDRESS($B245+1,BH$230,1,1,"Actively Infected Trend")))</f>
        <v>0.29584171399999998</v>
      </c>
      <c r="BI245" s="14" cm="1">
        <f t="array" aca="1" ref="BI245" ca="1">IF(INDIRECT(ADDRESS($B245+1,BI$230,1,1,"Actively Infected Trend"))=0,#N/A,INDIRECT(ADDRESS($B245+1,BI$230,1,1,"Actively Infected Trend")))</f>
        <v>0.2827480181</v>
      </c>
      <c r="BJ245" s="14" cm="1">
        <f t="array" aca="1" ref="BJ245" ca="1">IF(INDIRECT(ADDRESS($B245+1,BJ$230,1,1,"Actively Infected Trend"))=0,#N/A,INDIRECT(ADDRESS($B245+1,BJ$230,1,1,"Actively Infected Trend")))</f>
        <v>0.29419366450000001</v>
      </c>
      <c r="BK245" s="14" cm="1">
        <f t="array" aca="1" ref="BK245" ca="1">IF(INDIRECT(ADDRESS($B245+1,BK$230,1,1,"Actively Infected Trend"))=0,#N/A,INDIRECT(ADDRESS($B245+1,BK$230,1,1,"Actively Infected Trend")))</f>
        <v>0.31256110669999998</v>
      </c>
      <c r="BL245" s="14" cm="1">
        <f t="array" aca="1" ref="BL245" ca="1">IF(INDIRECT(ADDRESS($B245+1,BL$230,1,1,"Actively Infected Trend"))=0,#N/A,INDIRECT(ADDRESS($B245+1,BL$230,1,1,"Actively Infected Trend")))</f>
        <v>0.31340731910000003</v>
      </c>
      <c r="BM245" s="14" cm="1">
        <f t="array" aca="1" ref="BM245" ca="1">IF(INDIRECT(ADDRESS($B245+1,BM$230,1,1,"Actively Infected Trend"))=0,#N/A,INDIRECT(ADDRESS($B245+1,BM$230,1,1,"Actively Infected Trend")))</f>
        <v>0.28779017029999998</v>
      </c>
      <c r="BN245" s="14" cm="1">
        <f t="array" aca="1" ref="BN245" ca="1">IF(INDIRECT(ADDRESS($B245+1,BN$230,1,1,"Actively Infected Trend"))=0,#N/A,INDIRECT(ADDRESS($B245+1,BN$230,1,1,"Actively Infected Trend")))</f>
        <v>0.25751085670000001</v>
      </c>
      <c r="BO245" s="14" cm="1">
        <f t="array" aca="1" ref="BO245" ca="1">IF(INDIRECT(ADDRESS($B245+1,BO$230,1,1,"Actively Infected Trend"))=0,#N/A,INDIRECT(ADDRESS($B245+1,BO$230,1,1,"Actively Infected Trend")))</f>
        <v>0.22274967840000001</v>
      </c>
      <c r="BP245" s="14" cm="1">
        <f t="array" aca="1" ref="BP245" ca="1">IF(INDIRECT(ADDRESS($B245+1,BP$230,1,1,"Actively Infected Trend"))=0,#N/A,INDIRECT(ADDRESS($B245+1,BP$230,1,1,"Actively Infected Trend")))</f>
        <v>0.21135921539999999</v>
      </c>
      <c r="BQ245" s="14" cm="1">
        <f t="array" aca="1" ref="BQ245" ca="1">IF(INDIRECT(ADDRESS($B245+1,BQ$230,1,1,"Actively Infected Trend"))=0,#N/A,INDIRECT(ADDRESS($B245+1,BQ$230,1,1,"Actively Infected Trend")))</f>
        <v>0.21850646200000001</v>
      </c>
      <c r="BR245" s="14" cm="1">
        <f t="array" aca="1" ref="BR245" ca="1">IF(INDIRECT(ADDRESS($B245+1,BR$230,1,1,"Actively Infected Trend"))=0,#N/A,INDIRECT(ADDRESS($B245+1,BR$230,1,1,"Actively Infected Trend")))</f>
        <v>0.2393135515</v>
      </c>
      <c r="BS245" s="14" cm="1">
        <f t="array" aca="1" ref="BS245" ca="1">IF(INDIRECT(ADDRESS($B245+1,BS$230,1,1,"Actively Infected Trend"))=0,#N/A,INDIRECT(ADDRESS($B245+1,BS$230,1,1,"Actively Infected Trend")))</f>
        <v>0.2587327593</v>
      </c>
      <c r="BT245" s="14" cm="1">
        <f t="array" aca="1" ref="BT245" ca="1">IF(INDIRECT(ADDRESS($B245+1,BT$230,1,1,"Actively Infected Trend"))=0,#N/A,INDIRECT(ADDRESS($B245+1,BT$230,1,1,"Actively Infected Trend")))</f>
        <v>0.25646819430000001</v>
      </c>
      <c r="BU245" s="14" cm="1">
        <f t="array" aca="1" ref="BU245" ca="1">IF(INDIRECT(ADDRESS($B245+1,BU$230,1,1,"Actively Infected Trend"))=0,#N/A,INDIRECT(ADDRESS($B245+1,BU$230,1,1,"Actively Infected Trend")))</f>
        <v>0.24694962030000001</v>
      </c>
      <c r="BV245" s="14" cm="1">
        <f t="array" aca="1" ref="BV245" ca="1">IF(INDIRECT(ADDRESS($B245+1,BV$230,1,1,"Actively Infected Trend"))=0,#N/A,INDIRECT(ADDRESS($B245+1,BV$230,1,1,"Actively Infected Trend")))</f>
        <v>0.23658064919999999</v>
      </c>
      <c r="BW245" s="14" cm="1">
        <f t="array" aca="1" ref="BW245" ca="1">IF(INDIRECT(ADDRESS($B245+1,BW$230,1,1,"Actively Infected Trend"))=0,#N/A,INDIRECT(ADDRESS($B245+1,BW$230,1,1,"Actively Infected Trend")))</f>
        <v>0.23201173420000001</v>
      </c>
      <c r="BX245" s="14" cm="1">
        <f t="array" aca="1" ref="BX245" ca="1">IF(INDIRECT(ADDRESS($B245+1,BX$230,1,1,"Actively Infected Trend"))=0,#N/A,INDIRECT(ADDRESS($B245+1,BX$230,1,1,"Actively Infected Trend")))</f>
        <v>0.23943221619999999</v>
      </c>
      <c r="BY245" s="14" cm="1">
        <f t="array" aca="1" ref="BY245" ca="1">IF(INDIRECT(ADDRESS($B245+1,BY$230,1,1,"Actively Infected Trend"))=0,#N/A,INDIRECT(ADDRESS($B245+1,BY$230,1,1,"Actively Infected Trend")))</f>
        <v>0.24082238680000001</v>
      </c>
      <c r="BZ245" s="14" cm="1">
        <f t="array" aca="1" ref="BZ245" ca="1">IF(INDIRECT(ADDRESS($B245+1,BZ$230,1,1,"Actively Infected Trend"))=0,#N/A,INDIRECT(ADDRESS($B245+1,BZ$230,1,1,"Actively Infected Trend")))</f>
        <v>0.22963470599999999</v>
      </c>
      <c r="CA245" s="14" cm="1">
        <f t="array" aca="1" ref="CA245" ca="1">IF(INDIRECT(ADDRESS($B245+1,CA$230,1,1,"Actively Infected Trend"))=0,#N/A,INDIRECT(ADDRESS($B245+1,CA$230,1,1,"Actively Infected Trend")))</f>
        <v>0.2114202141</v>
      </c>
      <c r="CB245" s="14" cm="1">
        <f t="array" aca="1" ref="CB245" ca="1">IF(INDIRECT(ADDRESS($B245+1,CB$230,1,1,"Actively Infected Trend"))=0,#N/A,INDIRECT(ADDRESS($B245+1,CB$230,1,1,"Actively Infected Trend")))</f>
        <v>0.18706491310000001</v>
      </c>
      <c r="CC245" s="14" cm="1">
        <f t="array" aca="1" ref="CC245" ca="1">IF(INDIRECT(ADDRESS($B245+1,CC$230,1,1,"Actively Infected Trend"))=0,#N/A,INDIRECT(ADDRESS($B245+1,CC$230,1,1,"Actively Infected Trend")))</f>
        <v>0.1756169377</v>
      </c>
      <c r="CD245" s="14" cm="1">
        <f t="array" aca="1" ref="CD245" ca="1">IF(INDIRECT(ADDRESS($B245+1,CD$230,1,1,"Actively Infected Trend"))=0,#N/A,INDIRECT(ADDRESS($B245+1,CD$230,1,1,"Actively Infected Trend")))</f>
        <v>0.17326771560000001</v>
      </c>
      <c r="CE245" s="14" cm="1">
        <f t="array" aca="1" ref="CE245" ca="1">IF(INDIRECT(ADDRESS($B245+1,CE$230,1,1,"Actively Infected Trend"))=0,#N/A,INDIRECT(ADDRESS($B245+1,CE$230,1,1,"Actively Infected Trend")))</f>
        <v>0.18010671349999999</v>
      </c>
      <c r="CF245" s="14" cm="1">
        <f t="array" aca="1" ref="CF245" ca="1">IF(INDIRECT(ADDRESS($B245+1,CF$230,1,1,"Actively Infected Trend"))=0,#N/A,INDIRECT(ADDRESS($B245+1,CF$230,1,1,"Actively Infected Trend")))</f>
        <v>0.18483596229999999</v>
      </c>
      <c r="CG245" s="14" cm="1">
        <f t="array" aca="1" ref="CG245" ca="1">IF(INDIRECT(ADDRESS($B245+1,CG$230,1,1,"Actively Infected Trend"))=0,#N/A,INDIRECT(ADDRESS($B245+1,CG$230,1,1,"Actively Infected Trend")))</f>
        <v>0.18383757580000001</v>
      </c>
      <c r="CH245" s="14" cm="1">
        <f t="array" aca="1" ref="CH245" ca="1">IF(INDIRECT(ADDRESS($B245+1,CH$230,1,1,"Actively Infected Trend"))=0,#N/A,INDIRECT(ADDRESS($B245+1,CH$230,1,1,"Actively Infected Trend")))</f>
        <v>0.18124063369999999</v>
      </c>
      <c r="CI245" s="14" cm="1">
        <f t="array" aca="1" ref="CI245" ca="1">IF(INDIRECT(ADDRESS($B245+1,CI$230,1,1,"Actively Infected Trend"))=0,#N/A,INDIRECT(ADDRESS($B245+1,CI$230,1,1,"Actively Infected Trend")))</f>
        <v>0.17823292560000001</v>
      </c>
      <c r="CJ245" s="14" cm="1">
        <f t="array" aca="1" ref="CJ245" ca="1">IF(INDIRECT(ADDRESS($B245+1,CJ$230,1,1,"Actively Infected Trend"))=0,#N/A,INDIRECT(ADDRESS($B245+1,CJ$230,1,1,"Actively Infected Trend")))</f>
        <v>0.17744024259999999</v>
      </c>
      <c r="CK245" s="14" cm="1">
        <f t="array" aca="1" ref="CK245" ca="1">IF(INDIRECT(ADDRESS($B245+1,CK$230,1,1,"Actively Infected Trend"))=0,#N/A,INDIRECT(ADDRESS($B245+1,CK$230,1,1,"Actively Infected Trend")))</f>
        <v>0.17742758189999999</v>
      </c>
      <c r="CL245" s="14" cm="1">
        <f t="array" aca="1" ref="CL245" ca="1">IF(INDIRECT(ADDRESS($B245+1,CL$230,1,1,"Actively Infected Trend"))=0,#N/A,INDIRECT(ADDRESS($B245+1,CL$230,1,1,"Actively Infected Trend")))</f>
        <v>0.1779222443</v>
      </c>
      <c r="CM245" s="14" cm="1">
        <f t="array" aca="1" ref="CM245" ca="1">IF(INDIRECT(ADDRESS($B245+1,CM$230,1,1,"Actively Infected Trend"))=0,#N/A,INDIRECT(ADDRESS($B245+1,CM$230,1,1,"Actively Infected Trend")))</f>
        <v>0.1764389522</v>
      </c>
      <c r="CN245" s="14" t="e" cm="1">
        <f t="array" aca="1" ref="CN245" ca="1">IF(INDIRECT(ADDRESS($B245+1,CN$230,1,1,"Actively Infected Trend"))=0,#N/A,INDIRECT(ADDRESS($B245+1,CN$230,1,1,"Actively Infected Trend")))</f>
        <v>#N/A</v>
      </c>
      <c r="CO245" s="14" t="e" cm="1">
        <f t="array" aca="1" ref="CO245" ca="1">IF(INDIRECT(ADDRESS($B245+1,CO$230,1,1,"Actively Infected Trend"))=0,#N/A,INDIRECT(ADDRESS($B245+1,CO$230,1,1,"Actively Infected Trend")))</f>
        <v>#N/A</v>
      </c>
      <c r="CP245" s="14" t="e" cm="1">
        <f t="array" aca="1" ref="CP245" ca="1">IF(INDIRECT(ADDRESS($B245+1,CP$230,1,1,"Actively Infected Trend"))=0,#N/A,INDIRECT(ADDRESS($B245+1,CP$230,1,1,"Actively Infected Trend")))</f>
        <v>#N/A</v>
      </c>
      <c r="CQ245" s="14" t="e" cm="1">
        <f t="array" aca="1" ref="CQ245" ca="1">IF(INDIRECT(ADDRESS($B245+1,CQ$230,1,1,"Actively Infected Trend"))=0,#N/A,INDIRECT(ADDRESS($B245+1,CQ$230,1,1,"Actively Infected Trend")))</f>
        <v>#N/A</v>
      </c>
      <c r="CR245" s="14" t="e" cm="1">
        <f t="array" aca="1" ref="CR245" ca="1">IF(INDIRECT(ADDRESS($B245+1,CR$230,1,1,"Actively Infected Trend"))=0,#N/A,INDIRECT(ADDRESS($B245+1,CR$230,1,1,"Actively Infected Trend")))</f>
        <v>#N/A</v>
      </c>
    </row>
    <row r="246" spans="2:96" x14ac:dyDescent="0.25">
      <c r="B246">
        <f t="shared" si="349"/>
        <v>15</v>
      </c>
      <c r="C246" t="str" cm="1">
        <f t="array" aca="1" ref="C246" ca="1">INDIRECT(ADDRESS($B246+1,1,1,1,"Actively Infected Trend"))</f>
        <v>Singapore</v>
      </c>
      <c r="E246" s="14" t="e" cm="1">
        <f t="array" aca="1" ref="E246" ca="1">IF(INDIRECT(ADDRESS($B246+1,E$230,1,1,"Actively Infected Trend"))=0,#N/A,INDIRECT(ADDRESS($B246+1,E$230,1,1,"Actively Infected Trend")))</f>
        <v>#N/A</v>
      </c>
      <c r="F246" s="14" t="e" cm="1">
        <f t="array" aca="1" ref="F246" ca="1">IF(INDIRECT(ADDRESS($B246+1,F$230,1,1,"Actively Infected Trend"))=0,#N/A,INDIRECT(ADDRESS($B246+1,F$230,1,1,"Actively Infected Trend")))</f>
        <v>#N/A</v>
      </c>
      <c r="G246" s="14" t="e" cm="1">
        <f t="array" aca="1" ref="G246" ca="1">IF(INDIRECT(ADDRESS($B246+1,G$230,1,1,"Actively Infected Trend"))=0,#N/A,INDIRECT(ADDRESS($B246+1,G$230,1,1,"Actively Infected Trend")))</f>
        <v>#N/A</v>
      </c>
      <c r="H246" s="14" t="e" cm="1">
        <f t="array" aca="1" ref="H246" ca="1">IF(INDIRECT(ADDRESS($B246+1,H$230,1,1,"Actively Infected Trend"))=0,#N/A,INDIRECT(ADDRESS($B246+1,H$230,1,1,"Actively Infected Trend")))</f>
        <v>#N/A</v>
      </c>
      <c r="I246" s="14" t="e" cm="1">
        <f t="array" aca="1" ref="I246" ca="1">IF(INDIRECT(ADDRESS($B246+1,I$230,1,1,"Actively Infected Trend"))=0,#N/A,INDIRECT(ADDRESS($B246+1,I$230,1,1,"Actively Infected Trend")))</f>
        <v>#N/A</v>
      </c>
      <c r="J246" s="14" t="e" cm="1">
        <f t="array" aca="1" ref="J246" ca="1">IF(INDIRECT(ADDRESS($B246+1,J$230,1,1,"Actively Infected Trend"))=0,#N/A,INDIRECT(ADDRESS($B246+1,J$230,1,1,"Actively Infected Trend")))</f>
        <v>#N/A</v>
      </c>
      <c r="K246" s="14" t="e" cm="1">
        <f t="array" aca="1" ref="K246" ca="1">IF(INDIRECT(ADDRESS($B246+1,K$230,1,1,"Actively Infected Trend"))=0,#N/A,INDIRECT(ADDRESS($B246+1,K$230,1,1,"Actively Infected Trend")))</f>
        <v>#N/A</v>
      </c>
      <c r="L246" s="14" t="e" cm="1">
        <f t="array" aca="1" ref="L246" ca="1">IF(INDIRECT(ADDRESS($B246+1,L$230,1,1,"Actively Infected Trend"))=0,#N/A,INDIRECT(ADDRESS($B246+1,L$230,1,1,"Actively Infected Trend")))</f>
        <v>#N/A</v>
      </c>
      <c r="M246" s="14" t="e" cm="1">
        <f t="array" aca="1" ref="M246" ca="1">IF(INDIRECT(ADDRESS($B246+1,M$230,1,1,"Actively Infected Trend"))=0,#N/A,INDIRECT(ADDRESS($B246+1,M$230,1,1,"Actively Infected Trend")))</f>
        <v>#N/A</v>
      </c>
      <c r="N246" s="14" t="e" cm="1">
        <f t="array" aca="1" ref="N246" ca="1">IF(INDIRECT(ADDRESS($B246+1,N$230,1,1,"Actively Infected Trend"))=0,#N/A,INDIRECT(ADDRESS($B246+1,N$230,1,1,"Actively Infected Trend")))</f>
        <v>#N/A</v>
      </c>
      <c r="O246" s="14" t="e" cm="1">
        <f t="array" aca="1" ref="O246" ca="1">IF(INDIRECT(ADDRESS($B246+1,O$230,1,1,"Actively Infected Trend"))=0,#N/A,INDIRECT(ADDRESS($B246+1,O$230,1,1,"Actively Infected Trend")))</f>
        <v>#N/A</v>
      </c>
      <c r="P246" s="14" t="e" cm="1">
        <f t="array" aca="1" ref="P246" ca="1">IF(INDIRECT(ADDRESS($B246+1,P$230,1,1,"Actively Infected Trend"))=0,#N/A,INDIRECT(ADDRESS($B246+1,P$230,1,1,"Actively Infected Trend")))</f>
        <v>#N/A</v>
      </c>
      <c r="Q246" s="14" t="e" cm="1">
        <f t="array" aca="1" ref="Q246" ca="1">IF(INDIRECT(ADDRESS($B246+1,Q$230,1,1,"Actively Infected Trend"))=0,#N/A,INDIRECT(ADDRESS($B246+1,Q$230,1,1,"Actively Infected Trend")))</f>
        <v>#N/A</v>
      </c>
      <c r="R246" s="14" t="e" cm="1">
        <f t="array" aca="1" ref="R246" ca="1">IF(INDIRECT(ADDRESS($B246+1,R$230,1,1,"Actively Infected Trend"))=0,#N/A,INDIRECT(ADDRESS($B246+1,R$230,1,1,"Actively Infected Trend")))</f>
        <v>#N/A</v>
      </c>
      <c r="S246" s="14" cm="1">
        <f t="array" aca="1" ref="S246" ca="1">IF(INDIRECT(ADDRESS($B246+1,S$230,1,1,"Actively Infected Trend"))=0,#N/A,INDIRECT(ADDRESS($B246+1,S$230,1,1,"Actively Infected Trend")))</f>
        <v>0.16967326460000001</v>
      </c>
      <c r="T246" s="14" cm="1">
        <f t="array" aca="1" ref="T246" ca="1">IF(INDIRECT(ADDRESS($B246+1,T$230,1,1,"Actively Infected Trend"))=0,#N/A,INDIRECT(ADDRESS($B246+1,T$230,1,1,"Actively Infected Trend")))</f>
        <v>0.1509742774</v>
      </c>
      <c r="U246" s="14" cm="1">
        <f t="array" aca="1" ref="U246" ca="1">IF(INDIRECT(ADDRESS($B246+1,U$230,1,1,"Actively Infected Trend"))=0,#N/A,INDIRECT(ADDRESS($B246+1,U$230,1,1,"Actively Infected Trend")))</f>
        <v>0.13497091410000001</v>
      </c>
      <c r="V246" s="14" cm="1">
        <f t="array" aca="1" ref="V246" ca="1">IF(INDIRECT(ADDRESS($B246+1,V$230,1,1,"Actively Infected Trend"))=0,#N/A,INDIRECT(ADDRESS($B246+1,V$230,1,1,"Actively Infected Trend")))</f>
        <v>0.1092177252</v>
      </c>
      <c r="W246" s="14" cm="1">
        <f t="array" aca="1" ref="W246" ca="1">IF(INDIRECT(ADDRESS($B246+1,W$230,1,1,"Actively Infected Trend"))=0,#N/A,INDIRECT(ADDRESS($B246+1,W$230,1,1,"Actively Infected Trend")))</f>
        <v>9.98664103E-2</v>
      </c>
      <c r="X246" s="14" cm="1">
        <f t="array" aca="1" ref="X246" ca="1">IF(INDIRECT(ADDRESS($B246+1,X$230,1,1,"Actively Infected Trend"))=0,#N/A,INDIRECT(ADDRESS($B246+1,X$230,1,1,"Actively Infected Trend")))</f>
        <v>0.1109524693</v>
      </c>
      <c r="Y246" s="14" cm="1">
        <f t="array" aca="1" ref="Y246" ca="1">IF(INDIRECT(ADDRESS($B246+1,Y$230,1,1,"Actively Infected Trend"))=0,#N/A,INDIRECT(ADDRESS($B246+1,Y$230,1,1,"Actively Infected Trend")))</f>
        <v>0.1290718981</v>
      </c>
      <c r="Z246" s="14" cm="1">
        <f t="array" aca="1" ref="Z246" ca="1">IF(INDIRECT(ADDRESS($B246+1,Z$230,1,1,"Actively Infected Trend"))=0,#N/A,INDIRECT(ADDRESS($B246+1,Z$230,1,1,"Actively Infected Trend")))</f>
        <v>0.1380911219</v>
      </c>
      <c r="AA246" s="14" cm="1">
        <f t="array" aca="1" ref="AA246" ca="1">IF(INDIRECT(ADDRESS($B246+1,AA$230,1,1,"Actively Infected Trend"))=0,#N/A,INDIRECT(ADDRESS($B246+1,AA$230,1,1,"Actively Infected Trend")))</f>
        <v>0.12998791900000001</v>
      </c>
      <c r="AB246" s="14" cm="1">
        <f t="array" aca="1" ref="AB246" ca="1">IF(INDIRECT(ADDRESS($B246+1,AB$230,1,1,"Actively Infected Trend"))=0,#N/A,INDIRECT(ADDRESS($B246+1,AB$230,1,1,"Actively Infected Trend")))</f>
        <v>0.1284692305</v>
      </c>
      <c r="AC246" s="14" cm="1">
        <f t="array" aca="1" ref="AC246" ca="1">IF(INDIRECT(ADDRESS($B246+1,AC$230,1,1,"Actively Infected Trend"))=0,#N/A,INDIRECT(ADDRESS($B246+1,AC$230,1,1,"Actively Infected Trend")))</f>
        <v>0.135362494</v>
      </c>
      <c r="AD246" s="14" cm="1">
        <f t="array" aca="1" ref="AD246" ca="1">IF(INDIRECT(ADDRESS($B246+1,AD$230,1,1,"Actively Infected Trend"))=0,#N/A,INDIRECT(ADDRESS($B246+1,AD$230,1,1,"Actively Infected Trend")))</f>
        <v>0.1420770546</v>
      </c>
      <c r="AE246" s="14" cm="1">
        <f t="array" aca="1" ref="AE246" ca="1">IF(INDIRECT(ADDRESS($B246+1,AE$230,1,1,"Actively Infected Trend"))=0,#N/A,INDIRECT(ADDRESS($B246+1,AE$230,1,1,"Actively Infected Trend")))</f>
        <v>0.1325848976</v>
      </c>
      <c r="AF246" s="14" cm="1">
        <f t="array" aca="1" ref="AF246" ca="1">IF(INDIRECT(ADDRESS($B246+1,AF$230,1,1,"Actively Infected Trend"))=0,#N/A,INDIRECT(ADDRESS($B246+1,AF$230,1,1,"Actively Infected Trend")))</f>
        <v>0.105422141</v>
      </c>
      <c r="AG246" s="14" cm="1">
        <f t="array" aca="1" ref="AG246" ca="1">IF(INDIRECT(ADDRESS($B246+1,AG$230,1,1,"Actively Infected Trend"))=0,#N/A,INDIRECT(ADDRESS($B246+1,AG$230,1,1,"Actively Infected Trend")))</f>
        <v>7.9168760199999993E-2</v>
      </c>
      <c r="AH246" s="14" cm="1">
        <f t="array" aca="1" ref="AH246" ca="1">IF(INDIRECT(ADDRESS($B246+1,AH$230,1,1,"Actively Infected Trend"))=0,#N/A,INDIRECT(ADDRESS($B246+1,AH$230,1,1,"Actively Infected Trend")))</f>
        <v>5.9555581599999997E-2</v>
      </c>
      <c r="AI246" s="14" cm="1">
        <f t="array" aca="1" ref="AI246" ca="1">IF(INDIRECT(ADDRESS($B246+1,AI$230,1,1,"Actively Infected Trend"))=0,#N/A,INDIRECT(ADDRESS($B246+1,AI$230,1,1,"Actively Infected Trend")))</f>
        <v>4.8546942799999999E-2</v>
      </c>
      <c r="AJ246" s="14" cm="1">
        <f t="array" aca="1" ref="AJ246" ca="1">IF(INDIRECT(ADDRESS($B246+1,AJ$230,1,1,"Actively Infected Trend"))=0,#N/A,INDIRECT(ADDRESS($B246+1,AJ$230,1,1,"Actively Infected Trend")))</f>
        <v>3.9171618999999998E-2</v>
      </c>
      <c r="AK246" s="14" cm="1">
        <f t="array" aca="1" ref="AK246" ca="1">IF(INDIRECT(ADDRESS($B246+1,AK$230,1,1,"Actively Infected Trend"))=0,#N/A,INDIRECT(ADDRESS($B246+1,AK$230,1,1,"Actively Infected Trend")))</f>
        <v>3.4647015599999997E-2</v>
      </c>
      <c r="AL246" s="14" cm="1">
        <f t="array" aca="1" ref="AL246" ca="1">IF(INDIRECT(ADDRESS($B246+1,AL$230,1,1,"Actively Infected Trend"))=0,#N/A,INDIRECT(ADDRESS($B246+1,AL$230,1,1,"Actively Infected Trend")))</f>
        <v>3.2276369200000002E-2</v>
      </c>
      <c r="AM246" s="14" cm="1">
        <f t="array" aca="1" ref="AM246" ca="1">IF(INDIRECT(ADDRESS($B246+1,AM$230,1,1,"Actively Infected Trend"))=0,#N/A,INDIRECT(ADDRESS($B246+1,AM$230,1,1,"Actively Infected Trend")))</f>
        <v>3.2862271200000001E-2</v>
      </c>
      <c r="AN246" s="14" cm="1">
        <f t="array" aca="1" ref="AN246" ca="1">IF(INDIRECT(ADDRESS($B246+1,AN$230,1,1,"Actively Infected Trend"))=0,#N/A,INDIRECT(ADDRESS($B246+1,AN$230,1,1,"Actively Infected Trend")))</f>
        <v>3.59817755E-2</v>
      </c>
      <c r="AO246" s="14" cm="1">
        <f t="array" aca="1" ref="AO246" ca="1">IF(INDIRECT(ADDRESS($B246+1,AO$230,1,1,"Actively Infected Trend"))=0,#N/A,INDIRECT(ADDRESS($B246+1,AO$230,1,1,"Actively Infected Trend")))</f>
        <v>4.47726606E-2</v>
      </c>
      <c r="AP246" s="14" cm="1">
        <f t="array" aca="1" ref="AP246" ca="1">IF(INDIRECT(ADDRESS($B246+1,AP$230,1,1,"Actively Infected Trend"))=0,#N/A,INDIRECT(ADDRESS($B246+1,AP$230,1,1,"Actively Infected Trend")))</f>
        <v>6.2075122000000003E-2</v>
      </c>
      <c r="AQ246" s="14" cm="1">
        <f t="array" aca="1" ref="AQ246" ca="1">IF(INDIRECT(ADDRESS($B246+1,AQ$230,1,1,"Actively Infected Trend"))=0,#N/A,INDIRECT(ADDRESS($B246+1,AQ$230,1,1,"Actively Infected Trend")))</f>
        <v>8.1986542900000001E-2</v>
      </c>
      <c r="AR246" s="14" cm="1">
        <f t="array" aca="1" ref="AR246" ca="1">IF(INDIRECT(ADDRESS($B246+1,AR$230,1,1,"Actively Infected Trend"))=0,#N/A,INDIRECT(ADDRESS($B246+1,AR$230,1,1,"Actively Infected Trend")))</f>
        <v>9.8607003999999998E-2</v>
      </c>
      <c r="AS246" s="14" cm="1">
        <f t="array" aca="1" ref="AS246" ca="1">IF(INDIRECT(ADDRESS($B246+1,AS$230,1,1,"Actively Infected Trend"))=0,#N/A,INDIRECT(ADDRESS($B246+1,AS$230,1,1,"Actively Infected Trend")))</f>
        <v>0.1069547293</v>
      </c>
      <c r="AT246" s="14" cm="1">
        <f t="array" aca="1" ref="AT246" ca="1">IF(INDIRECT(ADDRESS($B246+1,AT$230,1,1,"Actively Infected Trend"))=0,#N/A,INDIRECT(ADDRESS($B246+1,AT$230,1,1,"Actively Infected Trend")))</f>
        <v>0.11335148</v>
      </c>
      <c r="AU246" s="14" cm="1">
        <f t="array" aca="1" ref="AU246" ca="1">IF(INDIRECT(ADDRESS($B246+1,AU$230,1,1,"Actively Infected Trend"))=0,#N/A,INDIRECT(ADDRESS($B246+1,AU$230,1,1,"Actively Infected Trend")))</f>
        <v>0.10717018540000001</v>
      </c>
      <c r="AV246" s="14" cm="1">
        <f t="array" aca="1" ref="AV246" ca="1">IF(INDIRECT(ADDRESS($B246+1,AV$230,1,1,"Actively Infected Trend"))=0,#N/A,INDIRECT(ADDRESS($B246+1,AV$230,1,1,"Actively Infected Trend")))</f>
        <v>9.4427820400000001E-2</v>
      </c>
      <c r="AW246" s="14" cm="1">
        <f t="array" aca="1" ref="AW246" ca="1">IF(INDIRECT(ADDRESS($B246+1,AW$230,1,1,"Actively Infected Trend"))=0,#N/A,INDIRECT(ADDRESS($B246+1,AW$230,1,1,"Actively Infected Trend")))</f>
        <v>9.6736980900000005E-2</v>
      </c>
      <c r="AX246" s="14" cm="1">
        <f t="array" aca="1" ref="AX246" ca="1">IF(INDIRECT(ADDRESS($B246+1,AX$230,1,1,"Actively Infected Trend"))=0,#N/A,INDIRECT(ADDRESS($B246+1,AX$230,1,1,"Actively Infected Trend")))</f>
        <v>0.11924376489999999</v>
      </c>
      <c r="AY246" s="14" cm="1">
        <f t="array" aca="1" ref="AY246" ca="1">IF(INDIRECT(ADDRESS($B246+1,AY$230,1,1,"Actively Infected Trend"))=0,#N/A,INDIRECT(ADDRESS($B246+1,AY$230,1,1,"Actively Infected Trend")))</f>
        <v>0.14674479570000001</v>
      </c>
      <c r="AZ246" s="14" cm="1">
        <f t="array" aca="1" ref="AZ246" ca="1">IF(INDIRECT(ADDRESS($B246+1,AZ$230,1,1,"Actively Infected Trend"))=0,#N/A,INDIRECT(ADDRESS($B246+1,AZ$230,1,1,"Actively Infected Trend")))</f>
        <v>0.16215619070000001</v>
      </c>
      <c r="BA246" s="14" cm="1">
        <f t="array" aca="1" ref="BA246" ca="1">IF(INDIRECT(ADDRESS($B246+1,BA$230,1,1,"Actively Infected Trend"))=0,#N/A,INDIRECT(ADDRESS($B246+1,BA$230,1,1,"Actively Infected Trend")))</f>
        <v>0.1523589514</v>
      </c>
      <c r="BB246" s="14" cm="1">
        <f t="array" aca="1" ref="BB246" ca="1">IF(INDIRECT(ADDRESS($B246+1,BB$230,1,1,"Actively Infected Trend"))=0,#N/A,INDIRECT(ADDRESS($B246+1,BB$230,1,1,"Actively Infected Trend")))</f>
        <v>0.13353577359999999</v>
      </c>
      <c r="BC246" s="14" cm="1">
        <f t="array" aca="1" ref="BC246" ca="1">IF(INDIRECT(ADDRESS($B246+1,BC$230,1,1,"Actively Infected Trend"))=0,#N/A,INDIRECT(ADDRESS($B246+1,BC$230,1,1,"Actively Infected Trend")))</f>
        <v>0.121205058</v>
      </c>
      <c r="BD246" s="14" cm="1">
        <f t="array" aca="1" ref="BD246" ca="1">IF(INDIRECT(ADDRESS($B246+1,BD$230,1,1,"Actively Infected Trend"))=0,#N/A,INDIRECT(ADDRESS($B246+1,BD$230,1,1,"Actively Infected Trend")))</f>
        <v>0.12602063520000001</v>
      </c>
      <c r="BE246" s="14" cm="1">
        <f t="array" aca="1" ref="BE246" ca="1">IF(INDIRECT(ADDRESS($B246+1,BE$230,1,1,"Actively Infected Trend"))=0,#N/A,INDIRECT(ADDRESS($B246+1,BE$230,1,1,"Actively Infected Trend")))</f>
        <v>0.12766447950000001</v>
      </c>
      <c r="BF246" s="14" cm="1">
        <f t="array" aca="1" ref="BF246" ca="1">IF(INDIRECT(ADDRESS($B246+1,BF$230,1,1,"Actively Infected Trend"))=0,#N/A,INDIRECT(ADDRESS($B246+1,BF$230,1,1,"Actively Infected Trend")))</f>
        <v>0.12539235239999999</v>
      </c>
      <c r="BG246" s="14" cm="1">
        <f t="array" aca="1" ref="BG246" ca="1">IF(INDIRECT(ADDRESS($B246+1,BG$230,1,1,"Actively Infected Trend"))=0,#N/A,INDIRECT(ADDRESS($B246+1,BG$230,1,1,"Actively Infected Trend")))</f>
        <v>0.1191398758</v>
      </c>
      <c r="BH246" s="14" cm="1">
        <f t="array" aca="1" ref="BH246" ca="1">IF(INDIRECT(ADDRESS($B246+1,BH$230,1,1,"Actively Infected Trend"))=0,#N/A,INDIRECT(ADDRESS($B246+1,BH$230,1,1,"Actively Infected Trend")))</f>
        <v>0.1142923978</v>
      </c>
      <c r="BI246" s="14" cm="1">
        <f t="array" aca="1" ref="BI246" ca="1">IF(INDIRECT(ADDRESS($B246+1,BI$230,1,1,"Actively Infected Trend"))=0,#N/A,INDIRECT(ADDRESS($B246+1,BI$230,1,1,"Actively Infected Trend")))</f>
        <v>0.12776095000000001</v>
      </c>
      <c r="BJ246" s="14" cm="1">
        <f t="array" aca="1" ref="BJ246" ca="1">IF(INDIRECT(ADDRESS($B246+1,BJ$230,1,1,"Actively Infected Trend"))=0,#N/A,INDIRECT(ADDRESS($B246+1,BJ$230,1,1,"Actively Infected Trend")))</f>
        <v>0.14679999630000001</v>
      </c>
      <c r="BK246" s="14" cm="1">
        <f t="array" aca="1" ref="BK246" ca="1">IF(INDIRECT(ADDRESS($B246+1,BK$230,1,1,"Actively Infected Trend"))=0,#N/A,INDIRECT(ADDRESS($B246+1,BK$230,1,1,"Actively Infected Trend")))</f>
        <v>0.1697921423</v>
      </c>
      <c r="BL246" s="14" cm="1">
        <f t="array" aca="1" ref="BL246" ca="1">IF(INDIRECT(ADDRESS($B246+1,BL$230,1,1,"Actively Infected Trend"))=0,#N/A,INDIRECT(ADDRESS($B246+1,BL$230,1,1,"Actively Infected Trend")))</f>
        <v>0.17826661150000001</v>
      </c>
      <c r="BM246" s="14" cm="1">
        <f t="array" aca="1" ref="BM246" ca="1">IF(INDIRECT(ADDRESS($B246+1,BM$230,1,1,"Actively Infected Trend"))=0,#N/A,INDIRECT(ADDRESS($B246+1,BM$230,1,1,"Actively Infected Trend")))</f>
        <v>0.17205135590000001</v>
      </c>
      <c r="BN246" s="14" cm="1">
        <f t="array" aca="1" ref="BN246" ca="1">IF(INDIRECT(ADDRESS($B246+1,BN$230,1,1,"Actively Infected Trend"))=0,#N/A,INDIRECT(ADDRESS($B246+1,BN$230,1,1,"Actively Infected Trend")))</f>
        <v>0.15625540939999999</v>
      </c>
      <c r="BO246" s="14" cm="1">
        <f t="array" aca="1" ref="BO246" ca="1">IF(INDIRECT(ADDRESS($B246+1,BO$230,1,1,"Actively Infected Trend"))=0,#N/A,INDIRECT(ADDRESS($B246+1,BO$230,1,1,"Actively Infected Trend")))</f>
        <v>0.13892279690000001</v>
      </c>
      <c r="BP246" s="14" cm="1">
        <f t="array" aca="1" ref="BP246" ca="1">IF(INDIRECT(ADDRESS($B246+1,BP$230,1,1,"Actively Infected Trend"))=0,#N/A,INDIRECT(ADDRESS($B246+1,BP$230,1,1,"Actively Infected Trend")))</f>
        <v>0.138553599</v>
      </c>
      <c r="BQ246" s="14" cm="1">
        <f t="array" aca="1" ref="BQ246" ca="1">IF(INDIRECT(ADDRESS($B246+1,BQ$230,1,1,"Actively Infected Trend"))=0,#N/A,INDIRECT(ADDRESS($B246+1,BQ$230,1,1,"Actively Infected Trend")))</f>
        <v>0.14022843709999999</v>
      </c>
      <c r="BR246" s="14" cm="1">
        <f t="array" aca="1" ref="BR246" ca="1">IF(INDIRECT(ADDRESS($B246+1,BR$230,1,1,"Actively Infected Trend"))=0,#N/A,INDIRECT(ADDRESS($B246+1,BR$230,1,1,"Actively Infected Trend")))</f>
        <v>0.13798564129999999</v>
      </c>
      <c r="BS246" s="14" cm="1">
        <f t="array" aca="1" ref="BS246" ca="1">IF(INDIRECT(ADDRESS($B246+1,BS$230,1,1,"Actively Infected Trend"))=0,#N/A,INDIRECT(ADDRESS($B246+1,BS$230,1,1,"Actively Infected Trend")))</f>
        <v>0.13402284449999999</v>
      </c>
      <c r="BT246" s="14" cm="1">
        <f t="array" aca="1" ref="BT246" ca="1">IF(INDIRECT(ADDRESS($B246+1,BT$230,1,1,"Actively Infected Trend"))=0,#N/A,INDIRECT(ADDRESS($B246+1,BT$230,1,1,"Actively Infected Trend")))</f>
        <v>0.1199747505</v>
      </c>
      <c r="BU246" s="14" cm="1">
        <f t="array" aca="1" ref="BU246" ca="1">IF(INDIRECT(ADDRESS($B246+1,BU$230,1,1,"Actively Infected Trend"))=0,#N/A,INDIRECT(ADDRESS($B246+1,BU$230,1,1,"Actively Infected Trend")))</f>
        <v>0.1073564036</v>
      </c>
      <c r="BV246" s="14" cm="1">
        <f t="array" aca="1" ref="BV246" ca="1">IF(INDIRECT(ADDRESS($B246+1,BV$230,1,1,"Actively Infected Trend"))=0,#N/A,INDIRECT(ADDRESS($B246+1,BV$230,1,1,"Actively Infected Trend")))</f>
        <v>9.3588279799999993E-2</v>
      </c>
      <c r="BW246" s="14" cm="1">
        <f t="array" aca="1" ref="BW246" ca="1">IF(INDIRECT(ADDRESS($B246+1,BW$230,1,1,"Actively Infected Trend"))=0,#N/A,INDIRECT(ADDRESS($B246+1,BW$230,1,1,"Actively Infected Trend")))</f>
        <v>8.8174665200000002E-2</v>
      </c>
      <c r="BX246" s="14" cm="1">
        <f t="array" aca="1" ref="BX246" ca="1">IF(INDIRECT(ADDRESS($B246+1,BX$230,1,1,"Actively Infected Trend"))=0,#N/A,INDIRECT(ADDRESS($B246+1,BX$230,1,1,"Actively Infected Trend")))</f>
        <v>8.5817612700000004E-2</v>
      </c>
      <c r="BY246" s="14" cm="1">
        <f t="array" aca="1" ref="BY246" ca="1">IF(INDIRECT(ADDRESS($B246+1,BY$230,1,1,"Actively Infected Trend"))=0,#N/A,INDIRECT(ADDRESS($B246+1,BY$230,1,1,"Actively Infected Trend")))</f>
        <v>8.8533412199999995E-2</v>
      </c>
      <c r="BZ246" s="14" cm="1">
        <f t="array" aca="1" ref="BZ246" ca="1">IF(INDIRECT(ADDRESS($B246+1,BZ$230,1,1,"Actively Infected Trend"))=0,#N/A,INDIRECT(ADDRESS($B246+1,BZ$230,1,1,"Actively Infected Trend")))</f>
        <v>9.5197748700000001E-2</v>
      </c>
      <c r="CA246" s="14" cm="1">
        <f t="array" aca="1" ref="CA246" ca="1">IF(INDIRECT(ADDRESS($B246+1,CA$230,1,1,"Actively Infected Trend"))=0,#N/A,INDIRECT(ADDRESS($B246+1,CA$230,1,1,"Actively Infected Trend")))</f>
        <v>0.1000225258</v>
      </c>
      <c r="CB246" s="14" cm="1">
        <f t="array" aca="1" ref="CB246" ca="1">IF(INDIRECT(ADDRESS($B246+1,CB$230,1,1,"Actively Infected Trend"))=0,#N/A,INDIRECT(ADDRESS($B246+1,CB$230,1,1,"Actively Infected Trend")))</f>
        <v>0.10823663090000001</v>
      </c>
      <c r="CC246" s="14" cm="1">
        <f t="array" aca="1" ref="CC246" ca="1">IF(INDIRECT(ADDRESS($B246+1,CC$230,1,1,"Actively Infected Trend"))=0,#N/A,INDIRECT(ADDRESS($B246+1,CC$230,1,1,"Actively Infected Trend")))</f>
        <v>0.11427719</v>
      </c>
      <c r="CD246" s="14" cm="1">
        <f t="array" aca="1" ref="CD246" ca="1">IF(INDIRECT(ADDRESS($B246+1,CD$230,1,1,"Actively Infected Trend"))=0,#N/A,INDIRECT(ADDRESS($B246+1,CD$230,1,1,"Actively Infected Trend")))</f>
        <v>0.12295289230000001</v>
      </c>
      <c r="CE246" s="14" cm="1">
        <f t="array" aca="1" ref="CE246" ca="1">IF(INDIRECT(ADDRESS($B246+1,CE$230,1,1,"Actively Infected Trend"))=0,#N/A,INDIRECT(ADDRESS($B246+1,CE$230,1,1,"Actively Infected Trend")))</f>
        <v>0.13301244749999999</v>
      </c>
      <c r="CF246" s="14" cm="1">
        <f t="array" aca="1" ref="CF246" ca="1">IF(INDIRECT(ADDRESS($B246+1,CF$230,1,1,"Actively Infected Trend"))=0,#N/A,INDIRECT(ADDRESS($B246+1,CF$230,1,1,"Actively Infected Trend")))</f>
        <v>0.1510046833</v>
      </c>
      <c r="CG246" s="14" cm="1">
        <f t="array" aca="1" ref="CG246" ca="1">IF(INDIRECT(ADDRESS($B246+1,CG$230,1,1,"Actively Infected Trend"))=0,#N/A,INDIRECT(ADDRESS($B246+1,CG$230,1,1,"Actively Infected Trend")))</f>
        <v>0.16854260739999999</v>
      </c>
      <c r="CH246" s="14" cm="1">
        <f t="array" aca="1" ref="CH246" ca="1">IF(INDIRECT(ADDRESS($B246+1,CH$230,1,1,"Actively Infected Trend"))=0,#N/A,INDIRECT(ADDRESS($B246+1,CH$230,1,1,"Actively Infected Trend")))</f>
        <v>0.17347880130000001</v>
      </c>
      <c r="CI246" s="14" cm="1">
        <f t="array" aca="1" ref="CI246" ca="1">IF(INDIRECT(ADDRESS($B246+1,CI$230,1,1,"Actively Infected Trend"))=0,#N/A,INDIRECT(ADDRESS($B246+1,CI$230,1,1,"Actively Infected Trend")))</f>
        <v>0.16454074129999999</v>
      </c>
      <c r="CJ246" s="14" cm="1">
        <f t="array" aca="1" ref="CJ246" ca="1">IF(INDIRECT(ADDRESS($B246+1,CJ$230,1,1,"Actively Infected Trend"))=0,#N/A,INDIRECT(ADDRESS($B246+1,CJ$230,1,1,"Actively Infected Trend")))</f>
        <v>0.16003199879999999</v>
      </c>
      <c r="CK246" s="14" cm="1">
        <f t="array" aca="1" ref="CK246" ca="1">IF(INDIRECT(ADDRESS($B246+1,CK$230,1,1,"Actively Infected Trend"))=0,#N/A,INDIRECT(ADDRESS($B246+1,CK$230,1,1,"Actively Infected Trend")))</f>
        <v>0.16171553720000001</v>
      </c>
      <c r="CL246" s="14" cm="1">
        <f t="array" aca="1" ref="CL246" ca="1">IF(INDIRECT(ADDRESS($B246+1,CL$230,1,1,"Actively Infected Trend"))=0,#N/A,INDIRECT(ADDRESS($B246+1,CL$230,1,1,"Actively Infected Trend")))</f>
        <v>0.17246458719999999</v>
      </c>
      <c r="CM246" s="14" cm="1">
        <f t="array" aca="1" ref="CM246" ca="1">IF(INDIRECT(ADDRESS($B246+1,CM$230,1,1,"Actively Infected Trend"))=0,#N/A,INDIRECT(ADDRESS($B246+1,CM$230,1,1,"Actively Infected Trend")))</f>
        <v>0.1820833566</v>
      </c>
      <c r="CN246" s="14" t="e" cm="1">
        <f t="array" aca="1" ref="CN246" ca="1">IF(INDIRECT(ADDRESS($B246+1,CN$230,1,1,"Actively Infected Trend"))=0,#N/A,INDIRECT(ADDRESS($B246+1,CN$230,1,1,"Actively Infected Trend")))</f>
        <v>#N/A</v>
      </c>
      <c r="CO246" s="14" t="e" cm="1">
        <f t="array" aca="1" ref="CO246" ca="1">IF(INDIRECT(ADDRESS($B246+1,CO$230,1,1,"Actively Infected Trend"))=0,#N/A,INDIRECT(ADDRESS($B246+1,CO$230,1,1,"Actively Infected Trend")))</f>
        <v>#N/A</v>
      </c>
      <c r="CP246" s="14" t="e" cm="1">
        <f t="array" aca="1" ref="CP246" ca="1">IF(INDIRECT(ADDRESS($B246+1,CP$230,1,1,"Actively Infected Trend"))=0,#N/A,INDIRECT(ADDRESS($B246+1,CP$230,1,1,"Actively Infected Trend")))</f>
        <v>#N/A</v>
      </c>
      <c r="CQ246" s="14" t="e" cm="1">
        <f t="array" aca="1" ref="CQ246" ca="1">IF(INDIRECT(ADDRESS($B246+1,CQ$230,1,1,"Actively Infected Trend"))=0,#N/A,INDIRECT(ADDRESS($B246+1,CQ$230,1,1,"Actively Infected Trend")))</f>
        <v>#N/A</v>
      </c>
      <c r="CR246" s="14" t="e" cm="1">
        <f t="array" aca="1" ref="CR246" ca="1">IF(INDIRECT(ADDRESS($B246+1,CR$230,1,1,"Actively Infected Trend"))=0,#N/A,INDIRECT(ADDRESS($B246+1,CR$230,1,1,"Actively Infected Trend")))</f>
        <v>#N/A</v>
      </c>
    </row>
    <row r="247" spans="2:96" x14ac:dyDescent="0.25">
      <c r="B247">
        <f t="shared" si="349"/>
        <v>16</v>
      </c>
      <c r="C247" t="str" cm="1">
        <f t="array" aca="1" ref="C247" ca="1">INDIRECT(ADDRESS($B247+1,1,1,1,"Actively Infected Trend"))</f>
        <v>Spain</v>
      </c>
      <c r="E247" s="14" t="e" cm="1">
        <f t="array" aca="1" ref="E247" ca="1">IF(INDIRECT(ADDRESS($B247+1,E$230,1,1,"Actively Infected Trend"))=0,#N/A,INDIRECT(ADDRESS($B247+1,E$230,1,1,"Actively Infected Trend")))</f>
        <v>#N/A</v>
      </c>
      <c r="F247" s="14" t="e" cm="1">
        <f t="array" aca="1" ref="F247" ca="1">IF(INDIRECT(ADDRESS($B247+1,F$230,1,1,"Actively Infected Trend"))=0,#N/A,INDIRECT(ADDRESS($B247+1,F$230,1,1,"Actively Infected Trend")))</f>
        <v>#N/A</v>
      </c>
      <c r="G247" s="14" t="e" cm="1">
        <f t="array" aca="1" ref="G247" ca="1">IF(INDIRECT(ADDRESS($B247+1,G$230,1,1,"Actively Infected Trend"))=0,#N/A,INDIRECT(ADDRESS($B247+1,G$230,1,1,"Actively Infected Trend")))</f>
        <v>#N/A</v>
      </c>
      <c r="H247" s="14" t="e" cm="1">
        <f t="array" aca="1" ref="H247" ca="1">IF(INDIRECT(ADDRESS($B247+1,H$230,1,1,"Actively Infected Trend"))=0,#N/A,INDIRECT(ADDRESS($B247+1,H$230,1,1,"Actively Infected Trend")))</f>
        <v>#N/A</v>
      </c>
      <c r="I247" s="14" t="e" cm="1">
        <f t="array" aca="1" ref="I247" ca="1">IF(INDIRECT(ADDRESS($B247+1,I$230,1,1,"Actively Infected Trend"))=0,#N/A,INDIRECT(ADDRESS($B247+1,I$230,1,1,"Actively Infected Trend")))</f>
        <v>#N/A</v>
      </c>
      <c r="J247" s="14" t="e" cm="1">
        <f t="array" aca="1" ref="J247" ca="1">IF(INDIRECT(ADDRESS($B247+1,J$230,1,1,"Actively Infected Trend"))=0,#N/A,INDIRECT(ADDRESS($B247+1,J$230,1,1,"Actively Infected Trend")))</f>
        <v>#N/A</v>
      </c>
      <c r="K247" s="14" t="e" cm="1">
        <f t="array" aca="1" ref="K247" ca="1">IF(INDIRECT(ADDRESS($B247+1,K$230,1,1,"Actively Infected Trend"))=0,#N/A,INDIRECT(ADDRESS($B247+1,K$230,1,1,"Actively Infected Trend")))</f>
        <v>#N/A</v>
      </c>
      <c r="L247" s="14" t="e" cm="1">
        <f t="array" aca="1" ref="L247" ca="1">IF(INDIRECT(ADDRESS($B247+1,L$230,1,1,"Actively Infected Trend"))=0,#N/A,INDIRECT(ADDRESS($B247+1,L$230,1,1,"Actively Infected Trend")))</f>
        <v>#N/A</v>
      </c>
      <c r="M247" s="14" t="e" cm="1">
        <f t="array" aca="1" ref="M247" ca="1">IF(INDIRECT(ADDRESS($B247+1,M$230,1,1,"Actively Infected Trend"))=0,#N/A,INDIRECT(ADDRESS($B247+1,M$230,1,1,"Actively Infected Trend")))</f>
        <v>#N/A</v>
      </c>
      <c r="N247" s="14" t="e" cm="1">
        <f t="array" aca="1" ref="N247" ca="1">IF(INDIRECT(ADDRESS($B247+1,N$230,1,1,"Actively Infected Trend"))=0,#N/A,INDIRECT(ADDRESS($B247+1,N$230,1,1,"Actively Infected Trend")))</f>
        <v>#N/A</v>
      </c>
      <c r="O247" s="14" t="e" cm="1">
        <f t="array" aca="1" ref="O247" ca="1">IF(INDIRECT(ADDRESS($B247+1,O$230,1,1,"Actively Infected Trend"))=0,#N/A,INDIRECT(ADDRESS($B247+1,O$230,1,1,"Actively Infected Trend")))</f>
        <v>#N/A</v>
      </c>
      <c r="P247" s="14" t="e" cm="1">
        <f t="array" aca="1" ref="P247" ca="1">IF(INDIRECT(ADDRESS($B247+1,P$230,1,1,"Actively Infected Trend"))=0,#N/A,INDIRECT(ADDRESS($B247+1,P$230,1,1,"Actively Infected Trend")))</f>
        <v>#N/A</v>
      </c>
      <c r="Q247" s="14" t="e" cm="1">
        <f t="array" aca="1" ref="Q247" ca="1">IF(INDIRECT(ADDRESS($B247+1,Q$230,1,1,"Actively Infected Trend"))=0,#N/A,INDIRECT(ADDRESS($B247+1,Q$230,1,1,"Actively Infected Trend")))</f>
        <v>#N/A</v>
      </c>
      <c r="R247" s="14" t="e" cm="1">
        <f t="array" aca="1" ref="R247" ca="1">IF(INDIRECT(ADDRESS($B247+1,R$230,1,1,"Actively Infected Trend"))=0,#N/A,INDIRECT(ADDRESS($B247+1,R$230,1,1,"Actively Infected Trend")))</f>
        <v>#N/A</v>
      </c>
      <c r="S247" s="14" t="e" cm="1">
        <f t="array" aca="1" ref="S247" ca="1">IF(INDIRECT(ADDRESS($B247+1,S$230,1,1,"Actively Infected Trend"))=0,#N/A,INDIRECT(ADDRESS($B247+1,S$230,1,1,"Actively Infected Trend")))</f>
        <v>#N/A</v>
      </c>
      <c r="T247" s="14" t="e" cm="1">
        <f t="array" aca="1" ref="T247" ca="1">IF(INDIRECT(ADDRESS($B247+1,T$230,1,1,"Actively Infected Trend"))=0,#N/A,INDIRECT(ADDRESS($B247+1,T$230,1,1,"Actively Infected Trend")))</f>
        <v>#N/A</v>
      </c>
      <c r="U247" s="14" t="e" cm="1">
        <f t="array" aca="1" ref="U247" ca="1">IF(INDIRECT(ADDRESS($B247+1,U$230,1,1,"Actively Infected Trend"))=0,#N/A,INDIRECT(ADDRESS($B247+1,U$230,1,1,"Actively Infected Trend")))</f>
        <v>#N/A</v>
      </c>
      <c r="V247" s="14" t="e" cm="1">
        <f t="array" aca="1" ref="V247" ca="1">IF(INDIRECT(ADDRESS($B247+1,V$230,1,1,"Actively Infected Trend"))=0,#N/A,INDIRECT(ADDRESS($B247+1,V$230,1,1,"Actively Infected Trend")))</f>
        <v>#N/A</v>
      </c>
      <c r="W247" s="14" t="e" cm="1">
        <f t="array" aca="1" ref="W247" ca="1">IF(INDIRECT(ADDRESS($B247+1,W$230,1,1,"Actively Infected Trend"))=0,#N/A,INDIRECT(ADDRESS($B247+1,W$230,1,1,"Actively Infected Trend")))</f>
        <v>#N/A</v>
      </c>
      <c r="X247" s="14" t="e" cm="1">
        <f t="array" aca="1" ref="X247" ca="1">IF(INDIRECT(ADDRESS($B247+1,X$230,1,1,"Actively Infected Trend"))=0,#N/A,INDIRECT(ADDRESS($B247+1,X$230,1,1,"Actively Infected Trend")))</f>
        <v>#N/A</v>
      </c>
      <c r="Y247" s="14" t="e" cm="1">
        <f t="array" aca="1" ref="Y247" ca="1">IF(INDIRECT(ADDRESS($B247+1,Y$230,1,1,"Actively Infected Trend"))=0,#N/A,INDIRECT(ADDRESS($B247+1,Y$230,1,1,"Actively Infected Trend")))</f>
        <v>#N/A</v>
      </c>
      <c r="Z247" s="14" t="e" cm="1">
        <f t="array" aca="1" ref="Z247" ca="1">IF(INDIRECT(ADDRESS($B247+1,Z$230,1,1,"Actively Infected Trend"))=0,#N/A,INDIRECT(ADDRESS($B247+1,Z$230,1,1,"Actively Infected Trend")))</f>
        <v>#N/A</v>
      </c>
      <c r="AA247" s="14" t="e" cm="1">
        <f t="array" aca="1" ref="AA247" ca="1">IF(INDIRECT(ADDRESS($B247+1,AA$230,1,1,"Actively Infected Trend"))=0,#N/A,INDIRECT(ADDRESS($B247+1,AA$230,1,1,"Actively Infected Trend")))</f>
        <v>#N/A</v>
      </c>
      <c r="AB247" s="14" t="e" cm="1">
        <f t="array" aca="1" ref="AB247" ca="1">IF(INDIRECT(ADDRESS($B247+1,AB$230,1,1,"Actively Infected Trend"))=0,#N/A,INDIRECT(ADDRESS($B247+1,AB$230,1,1,"Actively Infected Trend")))</f>
        <v>#N/A</v>
      </c>
      <c r="AC247" s="14" t="e" cm="1">
        <f t="array" aca="1" ref="AC247" ca="1">IF(INDIRECT(ADDRESS($B247+1,AC$230,1,1,"Actively Infected Trend"))=0,#N/A,INDIRECT(ADDRESS($B247+1,AC$230,1,1,"Actively Infected Trend")))</f>
        <v>#N/A</v>
      </c>
      <c r="AD247" s="14" t="e" cm="1">
        <f t="array" aca="1" ref="AD247" ca="1">IF(INDIRECT(ADDRESS($B247+1,AD$230,1,1,"Actively Infected Trend"))=0,#N/A,INDIRECT(ADDRESS($B247+1,AD$230,1,1,"Actively Infected Trend")))</f>
        <v>#N/A</v>
      </c>
      <c r="AE247" s="14" t="e" cm="1">
        <f t="array" aca="1" ref="AE247" ca="1">IF(INDIRECT(ADDRESS($B247+1,AE$230,1,1,"Actively Infected Trend"))=0,#N/A,INDIRECT(ADDRESS($B247+1,AE$230,1,1,"Actively Infected Trend")))</f>
        <v>#N/A</v>
      </c>
      <c r="AF247" s="14" t="e" cm="1">
        <f t="array" aca="1" ref="AF247" ca="1">IF(INDIRECT(ADDRESS($B247+1,AF$230,1,1,"Actively Infected Trend"))=0,#N/A,INDIRECT(ADDRESS($B247+1,AF$230,1,1,"Actively Infected Trend")))</f>
        <v>#N/A</v>
      </c>
      <c r="AG247" s="14" t="e" cm="1">
        <f t="array" aca="1" ref="AG247" ca="1">IF(INDIRECT(ADDRESS($B247+1,AG$230,1,1,"Actively Infected Trend"))=0,#N/A,INDIRECT(ADDRESS($B247+1,AG$230,1,1,"Actively Infected Trend")))</f>
        <v>#N/A</v>
      </c>
      <c r="AH247" s="14" t="e" cm="1">
        <f t="array" aca="1" ref="AH247" ca="1">IF(INDIRECT(ADDRESS($B247+1,AH$230,1,1,"Actively Infected Trend"))=0,#N/A,INDIRECT(ADDRESS($B247+1,AH$230,1,1,"Actively Infected Trend")))</f>
        <v>#N/A</v>
      </c>
      <c r="AI247" s="14" t="e" cm="1">
        <f t="array" aca="1" ref="AI247" ca="1">IF(INDIRECT(ADDRESS($B247+1,AI$230,1,1,"Actively Infected Trend"))=0,#N/A,INDIRECT(ADDRESS($B247+1,AI$230,1,1,"Actively Infected Trend")))</f>
        <v>#N/A</v>
      </c>
      <c r="AJ247" s="14" t="e" cm="1">
        <f t="array" aca="1" ref="AJ247" ca="1">IF(INDIRECT(ADDRESS($B247+1,AJ$230,1,1,"Actively Infected Trend"))=0,#N/A,INDIRECT(ADDRESS($B247+1,AJ$230,1,1,"Actively Infected Trend")))</f>
        <v>#N/A</v>
      </c>
      <c r="AK247" s="14" t="e" cm="1">
        <f t="array" aca="1" ref="AK247" ca="1">IF(INDIRECT(ADDRESS($B247+1,AK$230,1,1,"Actively Infected Trend"))=0,#N/A,INDIRECT(ADDRESS($B247+1,AK$230,1,1,"Actively Infected Trend")))</f>
        <v>#N/A</v>
      </c>
      <c r="AL247" s="14" t="e" cm="1">
        <f t="array" aca="1" ref="AL247" ca="1">IF(INDIRECT(ADDRESS($B247+1,AL$230,1,1,"Actively Infected Trend"))=0,#N/A,INDIRECT(ADDRESS($B247+1,AL$230,1,1,"Actively Infected Trend")))</f>
        <v>#N/A</v>
      </c>
      <c r="AM247" s="14" t="e" cm="1">
        <f t="array" aca="1" ref="AM247" ca="1">IF(INDIRECT(ADDRESS($B247+1,AM$230,1,1,"Actively Infected Trend"))=0,#N/A,INDIRECT(ADDRESS($B247+1,AM$230,1,1,"Actively Infected Trend")))</f>
        <v>#N/A</v>
      </c>
      <c r="AN247" s="14" t="e" cm="1">
        <f t="array" aca="1" ref="AN247" ca="1">IF(INDIRECT(ADDRESS($B247+1,AN$230,1,1,"Actively Infected Trend"))=0,#N/A,INDIRECT(ADDRESS($B247+1,AN$230,1,1,"Actively Infected Trend")))</f>
        <v>#N/A</v>
      </c>
      <c r="AO247" s="14" t="e" cm="1">
        <f t="array" aca="1" ref="AO247" ca="1">IF(INDIRECT(ADDRESS($B247+1,AO$230,1,1,"Actively Infected Trend"))=0,#N/A,INDIRECT(ADDRESS($B247+1,AO$230,1,1,"Actively Infected Trend")))</f>
        <v>#N/A</v>
      </c>
      <c r="AP247" s="14" t="e" cm="1">
        <f t="array" aca="1" ref="AP247" ca="1">IF(INDIRECT(ADDRESS($B247+1,AP$230,1,1,"Actively Infected Trend"))=0,#N/A,INDIRECT(ADDRESS($B247+1,AP$230,1,1,"Actively Infected Trend")))</f>
        <v>#N/A</v>
      </c>
      <c r="AQ247" s="14" t="e" cm="1">
        <f t="array" aca="1" ref="AQ247" ca="1">IF(INDIRECT(ADDRESS($B247+1,AQ$230,1,1,"Actively Infected Trend"))=0,#N/A,INDIRECT(ADDRESS($B247+1,AQ$230,1,1,"Actively Infected Trend")))</f>
        <v>#N/A</v>
      </c>
      <c r="AR247" s="14" t="e" cm="1">
        <f t="array" aca="1" ref="AR247" ca="1">IF(INDIRECT(ADDRESS($B247+1,AR$230,1,1,"Actively Infected Trend"))=0,#N/A,INDIRECT(ADDRESS($B247+1,AR$230,1,1,"Actively Infected Trend")))</f>
        <v>#N/A</v>
      </c>
      <c r="AS247" s="14" t="e" cm="1">
        <f t="array" aca="1" ref="AS247" ca="1">IF(INDIRECT(ADDRESS($B247+1,AS$230,1,1,"Actively Infected Trend"))=0,#N/A,INDIRECT(ADDRESS($B247+1,AS$230,1,1,"Actively Infected Trend")))</f>
        <v>#N/A</v>
      </c>
      <c r="AT247" s="14" cm="1">
        <f t="array" aca="1" ref="AT247" ca="1">IF(INDIRECT(ADDRESS($B247+1,AT$230,1,1,"Actively Infected Trend"))=0,#N/A,INDIRECT(ADDRESS($B247+1,AT$230,1,1,"Actively Infected Trend")))</f>
        <v>0.58182843520000005</v>
      </c>
      <c r="AU247" s="14" cm="1">
        <f t="array" aca="1" ref="AU247" ca="1">IF(INDIRECT(ADDRESS($B247+1,AU$230,1,1,"Actively Infected Trend"))=0,#N/A,INDIRECT(ADDRESS($B247+1,AU$230,1,1,"Actively Infected Trend")))</f>
        <v>0.53700106830000005</v>
      </c>
      <c r="AV247" s="14" cm="1">
        <f t="array" aca="1" ref="AV247" ca="1">IF(INDIRECT(ADDRESS($B247+1,AV$230,1,1,"Actively Infected Trend"))=0,#N/A,INDIRECT(ADDRESS($B247+1,AV$230,1,1,"Actively Infected Trend")))</f>
        <v>0.42017719520000002</v>
      </c>
      <c r="AW247" s="14" cm="1">
        <f t="array" aca="1" ref="AW247" ca="1">IF(INDIRECT(ADDRESS($B247+1,AW$230,1,1,"Actively Infected Trend"))=0,#N/A,INDIRECT(ADDRESS($B247+1,AW$230,1,1,"Actively Infected Trend")))</f>
        <v>0.37619718590000001</v>
      </c>
      <c r="AX247" s="14" cm="1">
        <f t="array" aca="1" ref="AX247" ca="1">IF(INDIRECT(ADDRESS($B247+1,AX$230,1,1,"Actively Infected Trend"))=0,#N/A,INDIRECT(ADDRESS($B247+1,AX$230,1,1,"Actively Infected Trend")))</f>
        <v>0.33802473840000002</v>
      </c>
      <c r="AY247" s="14" cm="1">
        <f t="array" aca="1" ref="AY247" ca="1">IF(INDIRECT(ADDRESS($B247+1,AY$230,1,1,"Actively Infected Trend"))=0,#N/A,INDIRECT(ADDRESS($B247+1,AY$230,1,1,"Actively Infected Trend")))</f>
        <v>0.33565988610000003</v>
      </c>
      <c r="AZ247" s="14" cm="1">
        <f t="array" aca="1" ref="AZ247" ca="1">IF(INDIRECT(ADDRESS($B247+1,AZ$230,1,1,"Actively Infected Trend"))=0,#N/A,INDIRECT(ADDRESS($B247+1,AZ$230,1,1,"Actively Infected Trend")))</f>
        <v>0.37530170829999998</v>
      </c>
      <c r="BA247" s="14" cm="1">
        <f t="array" aca="1" ref="BA247" ca="1">IF(INDIRECT(ADDRESS($B247+1,BA$230,1,1,"Actively Infected Trend"))=0,#N/A,INDIRECT(ADDRESS($B247+1,BA$230,1,1,"Actively Infected Trend")))</f>
        <v>0.41436809499999999</v>
      </c>
      <c r="BB247" s="14" cm="1">
        <f t="array" aca="1" ref="BB247" ca="1">IF(INDIRECT(ADDRESS($B247+1,BB$230,1,1,"Actively Infected Trend"))=0,#N/A,INDIRECT(ADDRESS($B247+1,BB$230,1,1,"Actively Infected Trend")))</f>
        <v>0.45521883130000002</v>
      </c>
      <c r="BC247" s="14" cm="1">
        <f t="array" aca="1" ref="BC247" ca="1">IF(INDIRECT(ADDRESS($B247+1,BC$230,1,1,"Actively Infected Trend"))=0,#N/A,INDIRECT(ADDRESS($B247+1,BC$230,1,1,"Actively Infected Trend")))</f>
        <v>0.4959874735</v>
      </c>
      <c r="BD247" s="14" cm="1">
        <f t="array" aca="1" ref="BD247" ca="1">IF(INDIRECT(ADDRESS($B247+1,BD$230,1,1,"Actively Infected Trend"))=0,#N/A,INDIRECT(ADDRESS($B247+1,BD$230,1,1,"Actively Infected Trend")))</f>
        <v>0.50941223069999997</v>
      </c>
      <c r="BE247" s="14" cm="1">
        <f t="array" aca="1" ref="BE247" ca="1">IF(INDIRECT(ADDRESS($B247+1,BE$230,1,1,"Actively Infected Trend"))=0,#N/A,INDIRECT(ADDRESS($B247+1,BE$230,1,1,"Actively Infected Trend")))</f>
        <v>0.46823941860000001</v>
      </c>
      <c r="BF247" s="14" cm="1">
        <f t="array" aca="1" ref="BF247" ca="1">IF(INDIRECT(ADDRESS($B247+1,BF$230,1,1,"Actively Infected Trend"))=0,#N/A,INDIRECT(ADDRESS($B247+1,BF$230,1,1,"Actively Infected Trend")))</f>
        <v>0.4161468398</v>
      </c>
      <c r="BG247" s="14" cm="1">
        <f t="array" aca="1" ref="BG247" ca="1">IF(INDIRECT(ADDRESS($B247+1,BG$230,1,1,"Actively Infected Trend"))=0,#N/A,INDIRECT(ADDRESS($B247+1,BG$230,1,1,"Actively Infected Trend")))</f>
        <v>0.3411109511</v>
      </c>
      <c r="BH247" s="14" cm="1">
        <f t="array" aca="1" ref="BH247" ca="1">IF(INDIRECT(ADDRESS($B247+1,BH$230,1,1,"Actively Infected Trend"))=0,#N/A,INDIRECT(ADDRESS($B247+1,BH$230,1,1,"Actively Infected Trend")))</f>
        <v>0.28494500499999997</v>
      </c>
      <c r="BI247" s="14" cm="1">
        <f t="array" aca="1" ref="BI247" ca="1">IF(INDIRECT(ADDRESS($B247+1,BI$230,1,1,"Actively Infected Trend"))=0,#N/A,INDIRECT(ADDRESS($B247+1,BI$230,1,1,"Actively Infected Trend")))</f>
        <v>0.24445401729999999</v>
      </c>
      <c r="BJ247" s="14" cm="1">
        <f t="array" aca="1" ref="BJ247" ca="1">IF(INDIRECT(ADDRESS($B247+1,BJ$230,1,1,"Actively Infected Trend"))=0,#N/A,INDIRECT(ADDRESS($B247+1,BJ$230,1,1,"Actively Infected Trend")))</f>
        <v>0.2350719963</v>
      </c>
      <c r="BK247" s="14" cm="1">
        <f t="array" aca="1" ref="BK247" ca="1">IF(INDIRECT(ADDRESS($B247+1,BK$230,1,1,"Actively Infected Trend"))=0,#N/A,INDIRECT(ADDRESS($B247+1,BK$230,1,1,"Actively Infected Trend")))</f>
        <v>0.22472268000000001</v>
      </c>
      <c r="BL247" s="14" cm="1">
        <f t="array" aca="1" ref="BL247" ca="1">IF(INDIRECT(ADDRESS($B247+1,BL$230,1,1,"Actively Infected Trend"))=0,#N/A,INDIRECT(ADDRESS($B247+1,BL$230,1,1,"Actively Infected Trend")))</f>
        <v>0.22473951850000001</v>
      </c>
      <c r="BM247" s="14" cm="1">
        <f t="array" aca="1" ref="BM247" ca="1">IF(INDIRECT(ADDRESS($B247+1,BM$230,1,1,"Actively Infected Trend"))=0,#N/A,INDIRECT(ADDRESS($B247+1,BM$230,1,1,"Actively Infected Trend")))</f>
        <v>0.21628552379999999</v>
      </c>
      <c r="BN247" s="14" cm="1">
        <f t="array" aca="1" ref="BN247" ca="1">IF(INDIRECT(ADDRESS($B247+1,BN$230,1,1,"Actively Infected Trend"))=0,#N/A,INDIRECT(ADDRESS($B247+1,BN$230,1,1,"Actively Infected Trend")))</f>
        <v>0.2098905868</v>
      </c>
      <c r="BO247" s="14" cm="1">
        <f t="array" aca="1" ref="BO247" ca="1">IF(INDIRECT(ADDRESS($B247+1,BO$230,1,1,"Actively Infected Trend"))=0,#N/A,INDIRECT(ADDRESS($B247+1,BO$230,1,1,"Actively Infected Trend")))</f>
        <v>0.20115345530000001</v>
      </c>
      <c r="BP247" s="14" cm="1">
        <f t="array" aca="1" ref="BP247" ca="1">IF(INDIRECT(ADDRESS($B247+1,BP$230,1,1,"Actively Infected Trend"))=0,#N/A,INDIRECT(ADDRESS($B247+1,BP$230,1,1,"Actively Infected Trend")))</f>
        <v>0.19673927329999999</v>
      </c>
      <c r="BQ247" s="14" cm="1">
        <f t="array" aca="1" ref="BQ247" ca="1">IF(INDIRECT(ADDRESS($B247+1,BQ$230,1,1,"Actively Infected Trend"))=0,#N/A,INDIRECT(ADDRESS($B247+1,BQ$230,1,1,"Actively Infected Trend")))</f>
        <v>0.2005101883</v>
      </c>
      <c r="BR247" s="14" cm="1">
        <f t="array" aca="1" ref="BR247" ca="1">IF(INDIRECT(ADDRESS($B247+1,BR$230,1,1,"Actively Infected Trend"))=0,#N/A,INDIRECT(ADDRESS($B247+1,BR$230,1,1,"Actively Infected Trend")))</f>
        <v>0.1954396135</v>
      </c>
      <c r="BS247" s="14" cm="1">
        <f t="array" aca="1" ref="BS247" ca="1">IF(INDIRECT(ADDRESS($B247+1,BS$230,1,1,"Actively Infected Trend"))=0,#N/A,INDIRECT(ADDRESS($B247+1,BS$230,1,1,"Actively Infected Trend")))</f>
        <v>0.18994707250000001</v>
      </c>
      <c r="BT247" s="14" cm="1">
        <f t="array" aca="1" ref="BT247" ca="1">IF(INDIRECT(ADDRESS($B247+1,BT$230,1,1,"Actively Infected Trend"))=0,#N/A,INDIRECT(ADDRESS($B247+1,BT$230,1,1,"Actively Infected Trend")))</f>
        <v>0.1679993042</v>
      </c>
      <c r="BU247" s="14" cm="1">
        <f t="array" aca="1" ref="BU247" ca="1">IF(INDIRECT(ADDRESS($B247+1,BU$230,1,1,"Actively Infected Trend"))=0,#N/A,INDIRECT(ADDRESS($B247+1,BU$230,1,1,"Actively Infected Trend")))</f>
        <v>0.14831281069999999</v>
      </c>
      <c r="BV247" s="14" cm="1">
        <f t="array" aca="1" ref="BV247" ca="1">IF(INDIRECT(ADDRESS($B247+1,BV$230,1,1,"Actively Infected Trend"))=0,#N/A,INDIRECT(ADDRESS($B247+1,BV$230,1,1,"Actively Infected Trend")))</f>
        <v>0.1269534933</v>
      </c>
      <c r="BW247" s="14" cm="1">
        <f t="array" aca="1" ref="BW247" ca="1">IF(INDIRECT(ADDRESS($B247+1,BW$230,1,1,"Actively Infected Trend"))=0,#N/A,INDIRECT(ADDRESS($B247+1,BW$230,1,1,"Actively Infected Trend")))</f>
        <v>0.1153647814</v>
      </c>
      <c r="BX247" s="14" cm="1">
        <f t="array" aca="1" ref="BX247" ca="1">IF(INDIRECT(ADDRESS($B247+1,BX$230,1,1,"Actively Infected Trend"))=0,#N/A,INDIRECT(ADDRESS($B247+1,BX$230,1,1,"Actively Infected Trend")))</f>
        <v>0.1101911402</v>
      </c>
      <c r="BY247" s="14" cm="1">
        <f t="array" aca="1" ref="BY247" ca="1">IF(INDIRECT(ADDRESS($B247+1,BY$230,1,1,"Actively Infected Trend"))=0,#N/A,INDIRECT(ADDRESS($B247+1,BY$230,1,1,"Actively Infected Trend")))</f>
        <v>0.1035123287</v>
      </c>
      <c r="BZ247" s="14" cm="1">
        <f t="array" aca="1" ref="BZ247" ca="1">IF(INDIRECT(ADDRESS($B247+1,BZ$230,1,1,"Actively Infected Trend"))=0,#N/A,INDIRECT(ADDRESS($B247+1,BZ$230,1,1,"Actively Infected Trend")))</f>
        <v>9.8515827799999997E-2</v>
      </c>
      <c r="CA247" s="14" cm="1">
        <f t="array" aca="1" ref="CA247" ca="1">IF(INDIRECT(ADDRESS($B247+1,CA$230,1,1,"Actively Infected Trend"))=0,#N/A,INDIRECT(ADDRESS($B247+1,CA$230,1,1,"Actively Infected Trend")))</f>
        <v>8.9127626400000007E-2</v>
      </c>
      <c r="CB247" s="14" cm="1">
        <f t="array" aca="1" ref="CB247" ca="1">IF(INDIRECT(ADDRESS($B247+1,CB$230,1,1,"Actively Infected Trend"))=0,#N/A,INDIRECT(ADDRESS($B247+1,CB$230,1,1,"Actively Infected Trend")))</f>
        <v>8.1180452099999995E-2</v>
      </c>
      <c r="CC247" s="14" cm="1">
        <f t="array" aca="1" ref="CC247" ca="1">IF(INDIRECT(ADDRESS($B247+1,CC$230,1,1,"Actively Infected Trend"))=0,#N/A,INDIRECT(ADDRESS($B247+1,CC$230,1,1,"Actively Infected Trend")))</f>
        <v>7.1867128599999996E-2</v>
      </c>
      <c r="CD247" s="14" cm="1">
        <f t="array" aca="1" ref="CD247" ca="1">IF(INDIRECT(ADDRESS($B247+1,CD$230,1,1,"Actively Infected Trend"))=0,#N/A,INDIRECT(ADDRESS($B247+1,CD$230,1,1,"Actively Infected Trend")))</f>
        <v>6.8119299300000005E-2</v>
      </c>
      <c r="CE247" s="14" cm="1">
        <f t="array" aca="1" ref="CE247" ca="1">IF(INDIRECT(ADDRESS($B247+1,CE$230,1,1,"Actively Infected Trend"))=0,#N/A,INDIRECT(ADDRESS($B247+1,CE$230,1,1,"Actively Infected Trend")))</f>
        <v>6.6422632199999998E-2</v>
      </c>
      <c r="CF247" s="14" cm="1">
        <f t="array" aca="1" ref="CF247" ca="1">IF(INDIRECT(ADDRESS($B247+1,CF$230,1,1,"Actively Infected Trend"))=0,#N/A,INDIRECT(ADDRESS($B247+1,CF$230,1,1,"Actively Infected Trend")))</f>
        <v>6.6683779999999998E-2</v>
      </c>
      <c r="CG247" s="14" cm="1">
        <f t="array" aca="1" ref="CG247" ca="1">IF(INDIRECT(ADDRESS($B247+1,CG$230,1,1,"Actively Infected Trend"))=0,#N/A,INDIRECT(ADDRESS($B247+1,CG$230,1,1,"Actively Infected Trend")))</f>
        <v>6.7263062299999996E-2</v>
      </c>
      <c r="CH247" s="14" cm="1">
        <f t="array" aca="1" ref="CH247" ca="1">IF(INDIRECT(ADDRESS($B247+1,CH$230,1,1,"Actively Infected Trend"))=0,#N/A,INDIRECT(ADDRESS($B247+1,CH$230,1,1,"Actively Infected Trend")))</f>
        <v>6.5628143900000005E-2</v>
      </c>
      <c r="CI247" s="14" cm="1">
        <f t="array" aca="1" ref="CI247" ca="1">IF(INDIRECT(ADDRESS($B247+1,CI$230,1,1,"Actively Infected Trend"))=0,#N/A,INDIRECT(ADDRESS($B247+1,CI$230,1,1,"Actively Infected Trend")))</f>
        <v>6.3110054200000001E-2</v>
      </c>
      <c r="CJ247" s="14" cm="1">
        <f t="array" aca="1" ref="CJ247" ca="1">IF(INDIRECT(ADDRESS($B247+1,CJ$230,1,1,"Actively Infected Trend"))=0,#N/A,INDIRECT(ADDRESS($B247+1,CJ$230,1,1,"Actively Infected Trend")))</f>
        <v>5.8606070099999998E-2</v>
      </c>
      <c r="CK247" s="14" cm="1">
        <f t="array" aca="1" ref="CK247" ca="1">IF(INDIRECT(ADDRESS($B247+1,CK$230,1,1,"Actively Infected Trend"))=0,#N/A,INDIRECT(ADDRESS($B247+1,CK$230,1,1,"Actively Infected Trend")))</f>
        <v>5.6254908899999997E-2</v>
      </c>
      <c r="CL247" s="14" cm="1">
        <f t="array" aca="1" ref="CL247" ca="1">IF(INDIRECT(ADDRESS($B247+1,CL$230,1,1,"Actively Infected Trend"))=0,#N/A,INDIRECT(ADDRESS($B247+1,CL$230,1,1,"Actively Infected Trend")))</f>
        <v>5.8996736399999999E-2</v>
      </c>
      <c r="CM247" s="14" cm="1">
        <f t="array" aca="1" ref="CM247" ca="1">IF(INDIRECT(ADDRESS($B247+1,CM$230,1,1,"Actively Infected Trend"))=0,#N/A,INDIRECT(ADDRESS($B247+1,CM$230,1,1,"Actively Infected Trend")))</f>
        <v>6.85389374E-2</v>
      </c>
      <c r="CN247" s="14" t="e" cm="1">
        <f t="array" aca="1" ref="CN247" ca="1">IF(INDIRECT(ADDRESS($B247+1,CN$230,1,1,"Actively Infected Trend"))=0,#N/A,INDIRECT(ADDRESS($B247+1,CN$230,1,1,"Actively Infected Trend")))</f>
        <v>#N/A</v>
      </c>
      <c r="CO247" s="14" t="e" cm="1">
        <f t="array" aca="1" ref="CO247" ca="1">IF(INDIRECT(ADDRESS($B247+1,CO$230,1,1,"Actively Infected Trend"))=0,#N/A,INDIRECT(ADDRESS($B247+1,CO$230,1,1,"Actively Infected Trend")))</f>
        <v>#N/A</v>
      </c>
      <c r="CP247" s="14" t="e" cm="1">
        <f t="array" aca="1" ref="CP247" ca="1">IF(INDIRECT(ADDRESS($B247+1,CP$230,1,1,"Actively Infected Trend"))=0,#N/A,INDIRECT(ADDRESS($B247+1,CP$230,1,1,"Actively Infected Trend")))</f>
        <v>#N/A</v>
      </c>
      <c r="CQ247" s="14" t="e" cm="1">
        <f t="array" aca="1" ref="CQ247" ca="1">IF(INDIRECT(ADDRESS($B247+1,CQ$230,1,1,"Actively Infected Trend"))=0,#N/A,INDIRECT(ADDRESS($B247+1,CQ$230,1,1,"Actively Infected Trend")))</f>
        <v>#N/A</v>
      </c>
      <c r="CR247" s="14" t="e" cm="1">
        <f t="array" aca="1" ref="CR247" ca="1">IF(INDIRECT(ADDRESS($B247+1,CR$230,1,1,"Actively Infected Trend"))=0,#N/A,INDIRECT(ADDRESS($B247+1,CR$230,1,1,"Actively Infected Trend")))</f>
        <v>#N/A</v>
      </c>
    </row>
    <row r="248" spans="2:96" x14ac:dyDescent="0.25">
      <c r="B248">
        <f t="shared" si="349"/>
        <v>17</v>
      </c>
      <c r="C248" t="str" cm="1">
        <f t="array" aca="1" ref="C248" ca="1">INDIRECT(ADDRESS($B248+1,1,1,1,"Actively Infected Trend"))</f>
        <v>Sweden</v>
      </c>
      <c r="E248" s="14" t="e" cm="1">
        <f t="array" aca="1" ref="E248" ca="1">IF(INDIRECT(ADDRESS($B248+1,E$230,1,1,"Actively Infected Trend"))=0,#N/A,INDIRECT(ADDRESS($B248+1,E$230,1,1,"Actively Infected Trend")))</f>
        <v>#N/A</v>
      </c>
      <c r="F248" s="14" t="e" cm="1">
        <f t="array" aca="1" ref="F248" ca="1">IF(INDIRECT(ADDRESS($B248+1,F$230,1,1,"Actively Infected Trend"))=0,#N/A,INDIRECT(ADDRESS($B248+1,F$230,1,1,"Actively Infected Trend")))</f>
        <v>#N/A</v>
      </c>
      <c r="G248" s="14" t="e" cm="1">
        <f t="array" aca="1" ref="G248" ca="1">IF(INDIRECT(ADDRESS($B248+1,G$230,1,1,"Actively Infected Trend"))=0,#N/A,INDIRECT(ADDRESS($B248+1,G$230,1,1,"Actively Infected Trend")))</f>
        <v>#N/A</v>
      </c>
      <c r="H248" s="14" t="e" cm="1">
        <f t="array" aca="1" ref="H248" ca="1">IF(INDIRECT(ADDRESS($B248+1,H$230,1,1,"Actively Infected Trend"))=0,#N/A,INDIRECT(ADDRESS($B248+1,H$230,1,1,"Actively Infected Trend")))</f>
        <v>#N/A</v>
      </c>
      <c r="I248" s="14" t="e" cm="1">
        <f t="array" aca="1" ref="I248" ca="1">IF(INDIRECT(ADDRESS($B248+1,I$230,1,1,"Actively Infected Trend"))=0,#N/A,INDIRECT(ADDRESS($B248+1,I$230,1,1,"Actively Infected Trend")))</f>
        <v>#N/A</v>
      </c>
      <c r="J248" s="14" t="e" cm="1">
        <f t="array" aca="1" ref="J248" ca="1">IF(INDIRECT(ADDRESS($B248+1,J$230,1,1,"Actively Infected Trend"))=0,#N/A,INDIRECT(ADDRESS($B248+1,J$230,1,1,"Actively Infected Trend")))</f>
        <v>#N/A</v>
      </c>
      <c r="K248" s="14" t="e" cm="1">
        <f t="array" aca="1" ref="K248" ca="1">IF(INDIRECT(ADDRESS($B248+1,K$230,1,1,"Actively Infected Trend"))=0,#N/A,INDIRECT(ADDRESS($B248+1,K$230,1,1,"Actively Infected Trend")))</f>
        <v>#N/A</v>
      </c>
      <c r="L248" s="14" t="e" cm="1">
        <f t="array" aca="1" ref="L248" ca="1">IF(INDIRECT(ADDRESS($B248+1,L$230,1,1,"Actively Infected Trend"))=0,#N/A,INDIRECT(ADDRESS($B248+1,L$230,1,1,"Actively Infected Trend")))</f>
        <v>#N/A</v>
      </c>
      <c r="M248" s="14" t="e" cm="1">
        <f t="array" aca="1" ref="M248" ca="1">IF(INDIRECT(ADDRESS($B248+1,M$230,1,1,"Actively Infected Trend"))=0,#N/A,INDIRECT(ADDRESS($B248+1,M$230,1,1,"Actively Infected Trend")))</f>
        <v>#N/A</v>
      </c>
      <c r="N248" s="14" t="e" cm="1">
        <f t="array" aca="1" ref="N248" ca="1">IF(INDIRECT(ADDRESS($B248+1,N$230,1,1,"Actively Infected Trend"))=0,#N/A,INDIRECT(ADDRESS($B248+1,N$230,1,1,"Actively Infected Trend")))</f>
        <v>#N/A</v>
      </c>
      <c r="O248" s="14" t="e" cm="1">
        <f t="array" aca="1" ref="O248" ca="1">IF(INDIRECT(ADDRESS($B248+1,O$230,1,1,"Actively Infected Trend"))=0,#N/A,INDIRECT(ADDRESS($B248+1,O$230,1,1,"Actively Infected Trend")))</f>
        <v>#N/A</v>
      </c>
      <c r="P248" s="14" t="e" cm="1">
        <f t="array" aca="1" ref="P248" ca="1">IF(INDIRECT(ADDRESS($B248+1,P$230,1,1,"Actively Infected Trend"))=0,#N/A,INDIRECT(ADDRESS($B248+1,P$230,1,1,"Actively Infected Trend")))</f>
        <v>#N/A</v>
      </c>
      <c r="Q248" s="14" t="e" cm="1">
        <f t="array" aca="1" ref="Q248" ca="1">IF(INDIRECT(ADDRESS($B248+1,Q$230,1,1,"Actively Infected Trend"))=0,#N/A,INDIRECT(ADDRESS($B248+1,Q$230,1,1,"Actively Infected Trend")))</f>
        <v>#N/A</v>
      </c>
      <c r="R248" s="14" t="e" cm="1">
        <f t="array" aca="1" ref="R248" ca="1">IF(INDIRECT(ADDRESS($B248+1,R$230,1,1,"Actively Infected Trend"))=0,#N/A,INDIRECT(ADDRESS($B248+1,R$230,1,1,"Actively Infected Trend")))</f>
        <v>#N/A</v>
      </c>
      <c r="S248" s="14" t="e" cm="1">
        <f t="array" aca="1" ref="S248" ca="1">IF(INDIRECT(ADDRESS($B248+1,S$230,1,1,"Actively Infected Trend"))=0,#N/A,INDIRECT(ADDRESS($B248+1,S$230,1,1,"Actively Infected Trend")))</f>
        <v>#N/A</v>
      </c>
      <c r="T248" s="14" t="e" cm="1">
        <f t="array" aca="1" ref="T248" ca="1">IF(INDIRECT(ADDRESS($B248+1,T$230,1,1,"Actively Infected Trend"))=0,#N/A,INDIRECT(ADDRESS($B248+1,T$230,1,1,"Actively Infected Trend")))</f>
        <v>#N/A</v>
      </c>
      <c r="U248" s="14" t="e" cm="1">
        <f t="array" aca="1" ref="U248" ca="1">IF(INDIRECT(ADDRESS($B248+1,U$230,1,1,"Actively Infected Trend"))=0,#N/A,INDIRECT(ADDRESS($B248+1,U$230,1,1,"Actively Infected Trend")))</f>
        <v>#N/A</v>
      </c>
      <c r="V248" s="14" t="e" cm="1">
        <f t="array" aca="1" ref="V248" ca="1">IF(INDIRECT(ADDRESS($B248+1,V$230,1,1,"Actively Infected Trend"))=0,#N/A,INDIRECT(ADDRESS($B248+1,V$230,1,1,"Actively Infected Trend")))</f>
        <v>#N/A</v>
      </c>
      <c r="W248" s="14" t="e" cm="1">
        <f t="array" aca="1" ref="W248" ca="1">IF(INDIRECT(ADDRESS($B248+1,W$230,1,1,"Actively Infected Trend"))=0,#N/A,INDIRECT(ADDRESS($B248+1,W$230,1,1,"Actively Infected Trend")))</f>
        <v>#N/A</v>
      </c>
      <c r="X248" s="14" t="e" cm="1">
        <f t="array" aca="1" ref="X248" ca="1">IF(INDIRECT(ADDRESS($B248+1,X$230,1,1,"Actively Infected Trend"))=0,#N/A,INDIRECT(ADDRESS($B248+1,X$230,1,1,"Actively Infected Trend")))</f>
        <v>#N/A</v>
      </c>
      <c r="Y248" s="14" t="e" cm="1">
        <f t="array" aca="1" ref="Y248" ca="1">IF(INDIRECT(ADDRESS($B248+1,Y$230,1,1,"Actively Infected Trend"))=0,#N/A,INDIRECT(ADDRESS($B248+1,Y$230,1,1,"Actively Infected Trend")))</f>
        <v>#N/A</v>
      </c>
      <c r="Z248" s="14" t="e" cm="1">
        <f t="array" aca="1" ref="Z248" ca="1">IF(INDIRECT(ADDRESS($B248+1,Z$230,1,1,"Actively Infected Trend"))=0,#N/A,INDIRECT(ADDRESS($B248+1,Z$230,1,1,"Actively Infected Trend")))</f>
        <v>#N/A</v>
      </c>
      <c r="AA248" s="14" t="e" cm="1">
        <f t="array" aca="1" ref="AA248" ca="1">IF(INDIRECT(ADDRESS($B248+1,AA$230,1,1,"Actively Infected Trend"))=0,#N/A,INDIRECT(ADDRESS($B248+1,AA$230,1,1,"Actively Infected Trend")))</f>
        <v>#N/A</v>
      </c>
      <c r="AB248" s="14" t="e" cm="1">
        <f t="array" aca="1" ref="AB248" ca="1">IF(INDIRECT(ADDRESS($B248+1,AB$230,1,1,"Actively Infected Trend"))=0,#N/A,INDIRECT(ADDRESS($B248+1,AB$230,1,1,"Actively Infected Trend")))</f>
        <v>#N/A</v>
      </c>
      <c r="AC248" s="14" t="e" cm="1">
        <f t="array" aca="1" ref="AC248" ca="1">IF(INDIRECT(ADDRESS($B248+1,AC$230,1,1,"Actively Infected Trend"))=0,#N/A,INDIRECT(ADDRESS($B248+1,AC$230,1,1,"Actively Infected Trend")))</f>
        <v>#N/A</v>
      </c>
      <c r="AD248" s="14" t="e" cm="1">
        <f t="array" aca="1" ref="AD248" ca="1">IF(INDIRECT(ADDRESS($B248+1,AD$230,1,1,"Actively Infected Trend"))=0,#N/A,INDIRECT(ADDRESS($B248+1,AD$230,1,1,"Actively Infected Trend")))</f>
        <v>#N/A</v>
      </c>
      <c r="AE248" s="14" t="e" cm="1">
        <f t="array" aca="1" ref="AE248" ca="1">IF(INDIRECT(ADDRESS($B248+1,AE$230,1,1,"Actively Infected Trend"))=0,#N/A,INDIRECT(ADDRESS($B248+1,AE$230,1,1,"Actively Infected Trend")))</f>
        <v>#N/A</v>
      </c>
      <c r="AF248" s="14" t="e" cm="1">
        <f t="array" aca="1" ref="AF248" ca="1">IF(INDIRECT(ADDRESS($B248+1,AF$230,1,1,"Actively Infected Trend"))=0,#N/A,INDIRECT(ADDRESS($B248+1,AF$230,1,1,"Actively Infected Trend")))</f>
        <v>#N/A</v>
      </c>
      <c r="AG248" s="14" t="e" cm="1">
        <f t="array" aca="1" ref="AG248" ca="1">IF(INDIRECT(ADDRESS($B248+1,AG$230,1,1,"Actively Infected Trend"))=0,#N/A,INDIRECT(ADDRESS($B248+1,AG$230,1,1,"Actively Infected Trend")))</f>
        <v>#N/A</v>
      </c>
      <c r="AH248" s="14" t="e" cm="1">
        <f t="array" aca="1" ref="AH248" ca="1">IF(INDIRECT(ADDRESS($B248+1,AH$230,1,1,"Actively Infected Trend"))=0,#N/A,INDIRECT(ADDRESS($B248+1,AH$230,1,1,"Actively Infected Trend")))</f>
        <v>#N/A</v>
      </c>
      <c r="AI248" s="14" t="e" cm="1">
        <f t="array" aca="1" ref="AI248" ca="1">IF(INDIRECT(ADDRESS($B248+1,AI$230,1,1,"Actively Infected Trend"))=0,#N/A,INDIRECT(ADDRESS($B248+1,AI$230,1,1,"Actively Infected Trend")))</f>
        <v>#N/A</v>
      </c>
      <c r="AJ248" s="14" t="e" cm="1">
        <f t="array" aca="1" ref="AJ248" ca="1">IF(INDIRECT(ADDRESS($B248+1,AJ$230,1,1,"Actively Infected Trend"))=0,#N/A,INDIRECT(ADDRESS($B248+1,AJ$230,1,1,"Actively Infected Trend")))</f>
        <v>#N/A</v>
      </c>
      <c r="AK248" s="14" t="e" cm="1">
        <f t="array" aca="1" ref="AK248" ca="1">IF(INDIRECT(ADDRESS($B248+1,AK$230,1,1,"Actively Infected Trend"))=0,#N/A,INDIRECT(ADDRESS($B248+1,AK$230,1,1,"Actively Infected Trend")))</f>
        <v>#N/A</v>
      </c>
      <c r="AL248" s="14" t="e" cm="1">
        <f t="array" aca="1" ref="AL248" ca="1">IF(INDIRECT(ADDRESS($B248+1,AL$230,1,1,"Actively Infected Trend"))=0,#N/A,INDIRECT(ADDRESS($B248+1,AL$230,1,1,"Actively Infected Trend")))</f>
        <v>#N/A</v>
      </c>
      <c r="AM248" s="14" t="e" cm="1">
        <f t="array" aca="1" ref="AM248" ca="1">IF(INDIRECT(ADDRESS($B248+1,AM$230,1,1,"Actively Infected Trend"))=0,#N/A,INDIRECT(ADDRESS($B248+1,AM$230,1,1,"Actively Infected Trend")))</f>
        <v>#N/A</v>
      </c>
      <c r="AN248" s="14" t="e" cm="1">
        <f t="array" aca="1" ref="AN248" ca="1">IF(INDIRECT(ADDRESS($B248+1,AN$230,1,1,"Actively Infected Trend"))=0,#N/A,INDIRECT(ADDRESS($B248+1,AN$230,1,1,"Actively Infected Trend")))</f>
        <v>#N/A</v>
      </c>
      <c r="AO248" s="14" t="e" cm="1">
        <f t="array" aca="1" ref="AO248" ca="1">IF(INDIRECT(ADDRESS($B248+1,AO$230,1,1,"Actively Infected Trend"))=0,#N/A,INDIRECT(ADDRESS($B248+1,AO$230,1,1,"Actively Infected Trend")))</f>
        <v>#N/A</v>
      </c>
      <c r="AP248" s="14" t="e" cm="1">
        <f t="array" aca="1" ref="AP248" ca="1">IF(INDIRECT(ADDRESS($B248+1,AP$230,1,1,"Actively Infected Trend"))=0,#N/A,INDIRECT(ADDRESS($B248+1,AP$230,1,1,"Actively Infected Trend")))</f>
        <v>#N/A</v>
      </c>
      <c r="AQ248" s="14" t="e" cm="1">
        <f t="array" aca="1" ref="AQ248" ca="1">IF(INDIRECT(ADDRESS($B248+1,AQ$230,1,1,"Actively Infected Trend"))=0,#N/A,INDIRECT(ADDRESS($B248+1,AQ$230,1,1,"Actively Infected Trend")))</f>
        <v>#N/A</v>
      </c>
      <c r="AR248" s="14" t="e" cm="1">
        <f t="array" aca="1" ref="AR248" ca="1">IF(INDIRECT(ADDRESS($B248+1,AR$230,1,1,"Actively Infected Trend"))=0,#N/A,INDIRECT(ADDRESS($B248+1,AR$230,1,1,"Actively Infected Trend")))</f>
        <v>#N/A</v>
      </c>
      <c r="AS248" s="14" t="e" cm="1">
        <f t="array" aca="1" ref="AS248" ca="1">IF(INDIRECT(ADDRESS($B248+1,AS$230,1,1,"Actively Infected Trend"))=0,#N/A,INDIRECT(ADDRESS($B248+1,AS$230,1,1,"Actively Infected Trend")))</f>
        <v>#N/A</v>
      </c>
      <c r="AT248" s="14" t="e" cm="1">
        <f t="array" aca="1" ref="AT248" ca="1">IF(INDIRECT(ADDRESS($B248+1,AT$230,1,1,"Actively Infected Trend"))=0,#N/A,INDIRECT(ADDRESS($B248+1,AT$230,1,1,"Actively Infected Trend")))</f>
        <v>#N/A</v>
      </c>
      <c r="AU248" s="14" t="e" cm="1">
        <f t="array" aca="1" ref="AU248" ca="1">IF(INDIRECT(ADDRESS($B248+1,AU$230,1,1,"Actively Infected Trend"))=0,#N/A,INDIRECT(ADDRESS($B248+1,AU$230,1,1,"Actively Infected Trend")))</f>
        <v>#N/A</v>
      </c>
      <c r="AV248" s="14" t="e" cm="1">
        <f t="array" aca="1" ref="AV248" ca="1">IF(INDIRECT(ADDRESS($B248+1,AV$230,1,1,"Actively Infected Trend"))=0,#N/A,INDIRECT(ADDRESS($B248+1,AV$230,1,1,"Actively Infected Trend")))</f>
        <v>#N/A</v>
      </c>
      <c r="AW248" s="14" cm="1">
        <f t="array" aca="1" ref="AW248" ca="1">IF(INDIRECT(ADDRESS($B248+1,AW$230,1,1,"Actively Infected Trend"))=0,#N/A,INDIRECT(ADDRESS($B248+1,AW$230,1,1,"Actively Infected Trend")))</f>
        <v>0.54438060479999995</v>
      </c>
      <c r="AX248" s="14" cm="1">
        <f t="array" aca="1" ref="AX248" ca="1">IF(INDIRECT(ADDRESS($B248+1,AX$230,1,1,"Actively Infected Trend"))=0,#N/A,INDIRECT(ADDRESS($B248+1,AX$230,1,1,"Actively Infected Trend")))</f>
        <v>0.63746262840000001</v>
      </c>
      <c r="AY248" s="14" cm="1">
        <f t="array" aca="1" ref="AY248" ca="1">IF(INDIRECT(ADDRESS($B248+1,AY$230,1,1,"Actively Infected Trend"))=0,#N/A,INDIRECT(ADDRESS($B248+1,AY$230,1,1,"Actively Infected Trend")))</f>
        <v>0.60270622240000005</v>
      </c>
      <c r="AZ248" s="14" cm="1">
        <f t="array" aca="1" ref="AZ248" ca="1">IF(INDIRECT(ADDRESS($B248+1,AZ$230,1,1,"Actively Infected Trend"))=0,#N/A,INDIRECT(ADDRESS($B248+1,AZ$230,1,1,"Actively Infected Trend")))</f>
        <v>0.4229376011</v>
      </c>
      <c r="BA248" s="14" cm="1">
        <f t="array" aca="1" ref="BA248" ca="1">IF(INDIRECT(ADDRESS($B248+1,BA$230,1,1,"Actively Infected Trend"))=0,#N/A,INDIRECT(ADDRESS($B248+1,BA$230,1,1,"Actively Infected Trend")))</f>
        <v>0.36924711199999999</v>
      </c>
      <c r="BB248" s="14" cm="1">
        <f t="array" aca="1" ref="BB248" ca="1">IF(INDIRECT(ADDRESS($B248+1,BB$230,1,1,"Actively Infected Trend"))=0,#N/A,INDIRECT(ADDRESS($B248+1,BB$230,1,1,"Actively Infected Trend")))</f>
        <v>0.32803857730000002</v>
      </c>
      <c r="BC248" s="14" cm="1">
        <f t="array" aca="1" ref="BC248" ca="1">IF(INDIRECT(ADDRESS($B248+1,BC$230,1,1,"Actively Infected Trend"))=0,#N/A,INDIRECT(ADDRESS($B248+1,BC$230,1,1,"Actively Infected Trend")))</f>
        <v>0.33367343570000002</v>
      </c>
      <c r="BD248" s="14" cm="1">
        <f t="array" aca="1" ref="BD248" ca="1">IF(INDIRECT(ADDRESS($B248+1,BD$230,1,1,"Actively Infected Trend"))=0,#N/A,INDIRECT(ADDRESS($B248+1,BD$230,1,1,"Actively Infected Trend")))</f>
        <v>0.33355369159999998</v>
      </c>
      <c r="BE248" s="14" cm="1">
        <f t="array" aca="1" ref="BE248" ca="1">IF(INDIRECT(ADDRESS($B248+1,BE$230,1,1,"Actively Infected Trend"))=0,#N/A,INDIRECT(ADDRESS($B248+1,BE$230,1,1,"Actively Infected Trend")))</f>
        <v>0.31396610870000002</v>
      </c>
      <c r="BF248" s="14" cm="1">
        <f t="array" aca="1" ref="BF248" ca="1">IF(INDIRECT(ADDRESS($B248+1,BF$230,1,1,"Actively Infected Trend"))=0,#N/A,INDIRECT(ADDRESS($B248+1,BF$230,1,1,"Actively Infected Trend")))</f>
        <v>0.2655501623</v>
      </c>
      <c r="BG248" s="14" cm="1">
        <f t="array" aca="1" ref="BG248" ca="1">IF(INDIRECT(ADDRESS($B248+1,BG$230,1,1,"Actively Infected Trend"))=0,#N/A,INDIRECT(ADDRESS($B248+1,BG$230,1,1,"Actively Infected Trend")))</f>
        <v>0.20985557530000001</v>
      </c>
      <c r="BH248" s="14" cm="1">
        <f t="array" aca="1" ref="BH248" ca="1">IF(INDIRECT(ADDRESS($B248+1,BH$230,1,1,"Actively Infected Trend"))=0,#N/A,INDIRECT(ADDRESS($B248+1,BH$230,1,1,"Actively Infected Trend")))</f>
        <v>0.1499868422</v>
      </c>
      <c r="BI248" s="14" cm="1">
        <f t="array" aca="1" ref="BI248" ca="1">IF(INDIRECT(ADDRESS($B248+1,BI$230,1,1,"Actively Infected Trend"))=0,#N/A,INDIRECT(ADDRESS($B248+1,BI$230,1,1,"Actively Infected Trend")))</f>
        <v>0.11056109059999999</v>
      </c>
      <c r="BJ248" s="14" cm="1">
        <f t="array" aca="1" ref="BJ248" ca="1">IF(INDIRECT(ADDRESS($B248+1,BJ$230,1,1,"Actively Infected Trend"))=0,#N/A,INDIRECT(ADDRESS($B248+1,BJ$230,1,1,"Actively Infected Trend")))</f>
        <v>9.33105553E-2</v>
      </c>
      <c r="BK248" s="14" cm="1">
        <f t="array" aca="1" ref="BK248" ca="1">IF(INDIRECT(ADDRESS($B248+1,BK$230,1,1,"Actively Infected Trend"))=0,#N/A,INDIRECT(ADDRESS($B248+1,BK$230,1,1,"Actively Infected Trend")))</f>
        <v>9.59675428E-2</v>
      </c>
      <c r="BL248" s="14" cm="1">
        <f t="array" aca="1" ref="BL248" ca="1">IF(INDIRECT(ADDRESS($B248+1,BL$230,1,1,"Actively Infected Trend"))=0,#N/A,INDIRECT(ADDRESS($B248+1,BL$230,1,1,"Actively Infected Trend")))</f>
        <v>0.1092702827</v>
      </c>
      <c r="BM248" s="14" cm="1">
        <f t="array" aca="1" ref="BM248" ca="1">IF(INDIRECT(ADDRESS($B248+1,BM$230,1,1,"Actively Infected Trend"))=0,#N/A,INDIRECT(ADDRESS($B248+1,BM$230,1,1,"Actively Infected Trend")))</f>
        <v>0.1179216609</v>
      </c>
      <c r="BN248" s="14" cm="1">
        <f t="array" aca="1" ref="BN248" ca="1">IF(INDIRECT(ADDRESS($B248+1,BN$230,1,1,"Actively Infected Trend"))=0,#N/A,INDIRECT(ADDRESS($B248+1,BN$230,1,1,"Actively Infected Trend")))</f>
        <v>0.11495626640000001</v>
      </c>
      <c r="BO248" s="14" cm="1">
        <f t="array" aca="1" ref="BO248" ca="1">IF(INDIRECT(ADDRESS($B248+1,BO$230,1,1,"Actively Infected Trend"))=0,#N/A,INDIRECT(ADDRESS($B248+1,BO$230,1,1,"Actively Infected Trend")))</f>
        <v>0.11257426</v>
      </c>
      <c r="BP248" s="14" cm="1">
        <f t="array" aca="1" ref="BP248" ca="1">IF(INDIRECT(ADDRESS($B248+1,BP$230,1,1,"Actively Infected Trend"))=0,#N/A,INDIRECT(ADDRESS($B248+1,BP$230,1,1,"Actively Infected Trend")))</f>
        <v>0.11342938380000001</v>
      </c>
      <c r="BQ248" s="14" cm="1">
        <f t="array" aca="1" ref="BQ248" ca="1">IF(INDIRECT(ADDRESS($B248+1,BQ$230,1,1,"Actively Infected Trend"))=0,#N/A,INDIRECT(ADDRESS($B248+1,BQ$230,1,1,"Actively Infected Trend")))</f>
        <v>0.1195163898</v>
      </c>
      <c r="BR248" s="14" cm="1">
        <f t="array" aca="1" ref="BR248" ca="1">IF(INDIRECT(ADDRESS($B248+1,BR$230,1,1,"Actively Infected Trend"))=0,#N/A,INDIRECT(ADDRESS($B248+1,BR$230,1,1,"Actively Infected Trend")))</f>
        <v>0.1372834409</v>
      </c>
      <c r="BS248" s="14" cm="1">
        <f t="array" aca="1" ref="BS248" ca="1">IF(INDIRECT(ADDRESS($B248+1,BS$230,1,1,"Actively Infected Trend"))=0,#N/A,INDIRECT(ADDRESS($B248+1,BS$230,1,1,"Actively Infected Trend")))</f>
        <v>0.14616332039999999</v>
      </c>
      <c r="BT248" s="14" cm="1">
        <f t="array" aca="1" ref="BT248" ca="1">IF(INDIRECT(ADDRESS($B248+1,BT$230,1,1,"Actively Infected Trend"))=0,#N/A,INDIRECT(ADDRESS($B248+1,BT$230,1,1,"Actively Infected Trend")))</f>
        <v>0.14474958339999999</v>
      </c>
      <c r="BU248" s="14" cm="1">
        <f t="array" aca="1" ref="BU248" ca="1">IF(INDIRECT(ADDRESS($B248+1,BU$230,1,1,"Actively Infected Trend"))=0,#N/A,INDIRECT(ADDRESS($B248+1,BU$230,1,1,"Actively Infected Trend")))</f>
        <v>0.13675210979999999</v>
      </c>
      <c r="BV248" s="14" cm="1">
        <f t="array" aca="1" ref="BV248" ca="1">IF(INDIRECT(ADDRESS($B248+1,BV$230,1,1,"Actively Infected Trend"))=0,#N/A,INDIRECT(ADDRESS($B248+1,BV$230,1,1,"Actively Infected Trend")))</f>
        <v>0.13095782610000001</v>
      </c>
      <c r="BW248" s="14" cm="1">
        <f t="array" aca="1" ref="BW248" ca="1">IF(INDIRECT(ADDRESS($B248+1,BW$230,1,1,"Actively Infected Trend"))=0,#N/A,INDIRECT(ADDRESS($B248+1,BW$230,1,1,"Actively Infected Trend")))</f>
        <v>0.12700571760000001</v>
      </c>
      <c r="BX248" s="14" cm="1">
        <f t="array" aca="1" ref="BX248" ca="1">IF(INDIRECT(ADDRESS($B248+1,BX$230,1,1,"Actively Infected Trend"))=0,#N/A,INDIRECT(ADDRESS($B248+1,BX$230,1,1,"Actively Infected Trend")))</f>
        <v>0.13467137809999999</v>
      </c>
      <c r="BY248" s="14" cm="1">
        <f t="array" aca="1" ref="BY248" ca="1">IF(INDIRECT(ADDRESS($B248+1,BY$230,1,1,"Actively Infected Trend"))=0,#N/A,INDIRECT(ADDRESS($B248+1,BY$230,1,1,"Actively Infected Trend")))</f>
        <v>0.1429757083</v>
      </c>
      <c r="BZ248" s="14" cm="1">
        <f t="array" aca="1" ref="BZ248" ca="1">IF(INDIRECT(ADDRESS($B248+1,BZ$230,1,1,"Actively Infected Trend"))=0,#N/A,INDIRECT(ADDRESS($B248+1,BZ$230,1,1,"Actively Infected Trend")))</f>
        <v>0.14472556119999999</v>
      </c>
      <c r="CA248" s="14" cm="1">
        <f t="array" aca="1" ref="CA248" ca="1">IF(INDIRECT(ADDRESS($B248+1,CA$230,1,1,"Actively Infected Trend"))=0,#N/A,INDIRECT(ADDRESS($B248+1,CA$230,1,1,"Actively Infected Trend")))</f>
        <v>0.13499594030000001</v>
      </c>
      <c r="CB248" s="14" cm="1">
        <f t="array" aca="1" ref="CB248" ca="1">IF(INDIRECT(ADDRESS($B248+1,CB$230,1,1,"Actively Infected Trend"))=0,#N/A,INDIRECT(ADDRESS($B248+1,CB$230,1,1,"Actively Infected Trend")))</f>
        <v>0.1143039163</v>
      </c>
      <c r="CC248" s="14" cm="1">
        <f t="array" aca="1" ref="CC248" ca="1">IF(INDIRECT(ADDRESS($B248+1,CC$230,1,1,"Actively Infected Trend"))=0,#N/A,INDIRECT(ADDRESS($B248+1,CC$230,1,1,"Actively Infected Trend")))</f>
        <v>9.8013746099999993E-2</v>
      </c>
      <c r="CD248" s="14" cm="1">
        <f t="array" aca="1" ref="CD248" ca="1">IF(INDIRECT(ADDRESS($B248+1,CD$230,1,1,"Actively Infected Trend"))=0,#N/A,INDIRECT(ADDRESS($B248+1,CD$230,1,1,"Actively Infected Trend")))</f>
        <v>9.25183168E-2</v>
      </c>
      <c r="CE248" s="14" cm="1">
        <f t="array" aca="1" ref="CE248" ca="1">IF(INDIRECT(ADDRESS($B248+1,CE$230,1,1,"Actively Infected Trend"))=0,#N/A,INDIRECT(ADDRESS($B248+1,CE$230,1,1,"Actively Infected Trend")))</f>
        <v>9.8771031300000006E-2</v>
      </c>
      <c r="CF248" s="14" cm="1">
        <f t="array" aca="1" ref="CF248" ca="1">IF(INDIRECT(ADDRESS($B248+1,CF$230,1,1,"Actively Infected Trend"))=0,#N/A,INDIRECT(ADDRESS($B248+1,CF$230,1,1,"Actively Infected Trend")))</f>
        <v>0.10829143400000001</v>
      </c>
      <c r="CG248" s="14" cm="1">
        <f t="array" aca="1" ref="CG248" ca="1">IF(INDIRECT(ADDRESS($B248+1,CG$230,1,1,"Actively Infected Trend"))=0,#N/A,INDIRECT(ADDRESS($B248+1,CG$230,1,1,"Actively Infected Trend")))</f>
        <v>0.1129817979</v>
      </c>
      <c r="CH248" s="14" cm="1">
        <f t="array" aca="1" ref="CH248" ca="1">IF(INDIRECT(ADDRESS($B248+1,CH$230,1,1,"Actively Infected Trend"))=0,#N/A,INDIRECT(ADDRESS($B248+1,CH$230,1,1,"Actively Infected Trend")))</f>
        <v>0.10484434820000001</v>
      </c>
      <c r="CI248" s="14" cm="1">
        <f t="array" aca="1" ref="CI248" ca="1">IF(INDIRECT(ADDRESS($B248+1,CI$230,1,1,"Actively Infected Trend"))=0,#N/A,INDIRECT(ADDRESS($B248+1,CI$230,1,1,"Actively Infected Trend")))</f>
        <v>9.0974609499999998E-2</v>
      </c>
      <c r="CJ248" s="14" cm="1">
        <f t="array" aca="1" ref="CJ248" ca="1">IF(INDIRECT(ADDRESS($B248+1,CJ$230,1,1,"Actively Infected Trend"))=0,#N/A,INDIRECT(ADDRESS($B248+1,CJ$230,1,1,"Actively Infected Trend")))</f>
        <v>7.8512868200000002E-2</v>
      </c>
      <c r="CK248" s="14" cm="1">
        <f t="array" aca="1" ref="CK248" ca="1">IF(INDIRECT(ADDRESS($B248+1,CK$230,1,1,"Actively Infected Trend"))=0,#N/A,INDIRECT(ADDRESS($B248+1,CK$230,1,1,"Actively Infected Trend")))</f>
        <v>7.3841695900000004E-2</v>
      </c>
      <c r="CL248" s="14" cm="1">
        <f t="array" aca="1" ref="CL248" ca="1">IF(INDIRECT(ADDRESS($B248+1,CL$230,1,1,"Actively Infected Trend"))=0,#N/A,INDIRECT(ADDRESS($B248+1,CL$230,1,1,"Actively Infected Trend")))</f>
        <v>7.7759281E-2</v>
      </c>
      <c r="CM248" s="14" cm="1">
        <f t="array" aca="1" ref="CM248" ca="1">IF(INDIRECT(ADDRESS($B248+1,CM$230,1,1,"Actively Infected Trend"))=0,#N/A,INDIRECT(ADDRESS($B248+1,CM$230,1,1,"Actively Infected Trend")))</f>
        <v>8.4210805299999997E-2</v>
      </c>
      <c r="CN248" s="14" t="e" cm="1">
        <f t="array" aca="1" ref="CN248" ca="1">IF(INDIRECT(ADDRESS($B248+1,CN$230,1,1,"Actively Infected Trend"))=0,#N/A,INDIRECT(ADDRESS($B248+1,CN$230,1,1,"Actively Infected Trend")))</f>
        <v>#N/A</v>
      </c>
      <c r="CO248" s="14" t="e" cm="1">
        <f t="array" aca="1" ref="CO248" ca="1">IF(INDIRECT(ADDRESS($B248+1,CO$230,1,1,"Actively Infected Trend"))=0,#N/A,INDIRECT(ADDRESS($B248+1,CO$230,1,1,"Actively Infected Trend")))</f>
        <v>#N/A</v>
      </c>
      <c r="CP248" s="14" t="e" cm="1">
        <f t="array" aca="1" ref="CP248" ca="1">IF(INDIRECT(ADDRESS($B248+1,CP$230,1,1,"Actively Infected Trend"))=0,#N/A,INDIRECT(ADDRESS($B248+1,CP$230,1,1,"Actively Infected Trend")))</f>
        <v>#N/A</v>
      </c>
      <c r="CQ248" s="14" t="e" cm="1">
        <f t="array" aca="1" ref="CQ248" ca="1">IF(INDIRECT(ADDRESS($B248+1,CQ$230,1,1,"Actively Infected Trend"))=0,#N/A,INDIRECT(ADDRESS($B248+1,CQ$230,1,1,"Actively Infected Trend")))</f>
        <v>#N/A</v>
      </c>
      <c r="CR248" s="14" t="e" cm="1">
        <f t="array" aca="1" ref="CR248" ca="1">IF(INDIRECT(ADDRESS($B248+1,CR$230,1,1,"Actively Infected Trend"))=0,#N/A,INDIRECT(ADDRESS($B248+1,CR$230,1,1,"Actively Infected Trend")))</f>
        <v>#N/A</v>
      </c>
    </row>
    <row r="249" spans="2:96" x14ac:dyDescent="0.25">
      <c r="B249">
        <f t="shared" si="349"/>
        <v>18</v>
      </c>
      <c r="C249" t="str" cm="1">
        <f t="array" aca="1" ref="C249" ca="1">INDIRECT(ADDRESS($B249+1,1,1,1,"Actively Infected Trend"))</f>
        <v>Switzerland</v>
      </c>
      <c r="E249" s="14" t="e" cm="1">
        <f t="array" aca="1" ref="E249" ca="1">IF(INDIRECT(ADDRESS($B249+1,E$230,1,1,"Actively Infected Trend"))=0,#N/A,INDIRECT(ADDRESS($B249+1,E$230,1,1,"Actively Infected Trend")))</f>
        <v>#N/A</v>
      </c>
      <c r="F249" s="14" t="e" cm="1">
        <f t="array" aca="1" ref="F249" ca="1">IF(INDIRECT(ADDRESS($B249+1,F$230,1,1,"Actively Infected Trend"))=0,#N/A,INDIRECT(ADDRESS($B249+1,F$230,1,1,"Actively Infected Trend")))</f>
        <v>#N/A</v>
      </c>
      <c r="G249" s="14" t="e" cm="1">
        <f t="array" aca="1" ref="G249" ca="1">IF(INDIRECT(ADDRESS($B249+1,G$230,1,1,"Actively Infected Trend"))=0,#N/A,INDIRECT(ADDRESS($B249+1,G$230,1,1,"Actively Infected Trend")))</f>
        <v>#N/A</v>
      </c>
      <c r="H249" s="14" t="e" cm="1">
        <f t="array" aca="1" ref="H249" ca="1">IF(INDIRECT(ADDRESS($B249+1,H$230,1,1,"Actively Infected Trend"))=0,#N/A,INDIRECT(ADDRESS($B249+1,H$230,1,1,"Actively Infected Trend")))</f>
        <v>#N/A</v>
      </c>
      <c r="I249" s="14" t="e" cm="1">
        <f t="array" aca="1" ref="I249" ca="1">IF(INDIRECT(ADDRESS($B249+1,I$230,1,1,"Actively Infected Trend"))=0,#N/A,INDIRECT(ADDRESS($B249+1,I$230,1,1,"Actively Infected Trend")))</f>
        <v>#N/A</v>
      </c>
      <c r="J249" s="14" t="e" cm="1">
        <f t="array" aca="1" ref="J249" ca="1">IF(INDIRECT(ADDRESS($B249+1,J$230,1,1,"Actively Infected Trend"))=0,#N/A,INDIRECT(ADDRESS($B249+1,J$230,1,1,"Actively Infected Trend")))</f>
        <v>#N/A</v>
      </c>
      <c r="K249" s="14" t="e" cm="1">
        <f t="array" aca="1" ref="K249" ca="1">IF(INDIRECT(ADDRESS($B249+1,K$230,1,1,"Actively Infected Trend"))=0,#N/A,INDIRECT(ADDRESS($B249+1,K$230,1,1,"Actively Infected Trend")))</f>
        <v>#N/A</v>
      </c>
      <c r="L249" s="14" t="e" cm="1">
        <f t="array" aca="1" ref="L249" ca="1">IF(INDIRECT(ADDRESS($B249+1,L$230,1,1,"Actively Infected Trend"))=0,#N/A,INDIRECT(ADDRESS($B249+1,L$230,1,1,"Actively Infected Trend")))</f>
        <v>#N/A</v>
      </c>
      <c r="M249" s="14" t="e" cm="1">
        <f t="array" aca="1" ref="M249" ca="1">IF(INDIRECT(ADDRESS($B249+1,M$230,1,1,"Actively Infected Trend"))=0,#N/A,INDIRECT(ADDRESS($B249+1,M$230,1,1,"Actively Infected Trend")))</f>
        <v>#N/A</v>
      </c>
      <c r="N249" s="14" t="e" cm="1">
        <f t="array" aca="1" ref="N249" ca="1">IF(INDIRECT(ADDRESS($B249+1,N$230,1,1,"Actively Infected Trend"))=0,#N/A,INDIRECT(ADDRESS($B249+1,N$230,1,1,"Actively Infected Trend")))</f>
        <v>#N/A</v>
      </c>
      <c r="O249" s="14" t="e" cm="1">
        <f t="array" aca="1" ref="O249" ca="1">IF(INDIRECT(ADDRESS($B249+1,O$230,1,1,"Actively Infected Trend"))=0,#N/A,INDIRECT(ADDRESS($B249+1,O$230,1,1,"Actively Infected Trend")))</f>
        <v>#N/A</v>
      </c>
      <c r="P249" s="14" t="e" cm="1">
        <f t="array" aca="1" ref="P249" ca="1">IF(INDIRECT(ADDRESS($B249+1,P$230,1,1,"Actively Infected Trend"))=0,#N/A,INDIRECT(ADDRESS($B249+1,P$230,1,1,"Actively Infected Trend")))</f>
        <v>#N/A</v>
      </c>
      <c r="Q249" s="14" t="e" cm="1">
        <f t="array" aca="1" ref="Q249" ca="1">IF(INDIRECT(ADDRESS($B249+1,Q$230,1,1,"Actively Infected Trend"))=0,#N/A,INDIRECT(ADDRESS($B249+1,Q$230,1,1,"Actively Infected Trend")))</f>
        <v>#N/A</v>
      </c>
      <c r="R249" s="14" t="e" cm="1">
        <f t="array" aca="1" ref="R249" ca="1">IF(INDIRECT(ADDRESS($B249+1,R$230,1,1,"Actively Infected Trend"))=0,#N/A,INDIRECT(ADDRESS($B249+1,R$230,1,1,"Actively Infected Trend")))</f>
        <v>#N/A</v>
      </c>
      <c r="S249" s="14" t="e" cm="1">
        <f t="array" aca="1" ref="S249" ca="1">IF(INDIRECT(ADDRESS($B249+1,S$230,1,1,"Actively Infected Trend"))=0,#N/A,INDIRECT(ADDRESS($B249+1,S$230,1,1,"Actively Infected Trend")))</f>
        <v>#N/A</v>
      </c>
      <c r="T249" s="14" t="e" cm="1">
        <f t="array" aca="1" ref="T249" ca="1">IF(INDIRECT(ADDRESS($B249+1,T$230,1,1,"Actively Infected Trend"))=0,#N/A,INDIRECT(ADDRESS($B249+1,T$230,1,1,"Actively Infected Trend")))</f>
        <v>#N/A</v>
      </c>
      <c r="U249" s="14" t="e" cm="1">
        <f t="array" aca="1" ref="U249" ca="1">IF(INDIRECT(ADDRESS($B249+1,U$230,1,1,"Actively Infected Trend"))=0,#N/A,INDIRECT(ADDRESS($B249+1,U$230,1,1,"Actively Infected Trend")))</f>
        <v>#N/A</v>
      </c>
      <c r="V249" s="14" t="e" cm="1">
        <f t="array" aca="1" ref="V249" ca="1">IF(INDIRECT(ADDRESS($B249+1,V$230,1,1,"Actively Infected Trend"))=0,#N/A,INDIRECT(ADDRESS($B249+1,V$230,1,1,"Actively Infected Trend")))</f>
        <v>#N/A</v>
      </c>
      <c r="W249" s="14" t="e" cm="1">
        <f t="array" aca="1" ref="W249" ca="1">IF(INDIRECT(ADDRESS($B249+1,W$230,1,1,"Actively Infected Trend"))=0,#N/A,INDIRECT(ADDRESS($B249+1,W$230,1,1,"Actively Infected Trend")))</f>
        <v>#N/A</v>
      </c>
      <c r="X249" s="14" t="e" cm="1">
        <f t="array" aca="1" ref="X249" ca="1">IF(INDIRECT(ADDRESS($B249+1,X$230,1,1,"Actively Infected Trend"))=0,#N/A,INDIRECT(ADDRESS($B249+1,X$230,1,1,"Actively Infected Trend")))</f>
        <v>#N/A</v>
      </c>
      <c r="Y249" s="14" t="e" cm="1">
        <f t="array" aca="1" ref="Y249" ca="1">IF(INDIRECT(ADDRESS($B249+1,Y$230,1,1,"Actively Infected Trend"))=0,#N/A,INDIRECT(ADDRESS($B249+1,Y$230,1,1,"Actively Infected Trend")))</f>
        <v>#N/A</v>
      </c>
      <c r="Z249" s="14" t="e" cm="1">
        <f t="array" aca="1" ref="Z249" ca="1">IF(INDIRECT(ADDRESS($B249+1,Z$230,1,1,"Actively Infected Trend"))=0,#N/A,INDIRECT(ADDRESS($B249+1,Z$230,1,1,"Actively Infected Trend")))</f>
        <v>#N/A</v>
      </c>
      <c r="AA249" s="14" t="e" cm="1">
        <f t="array" aca="1" ref="AA249" ca="1">IF(INDIRECT(ADDRESS($B249+1,AA$230,1,1,"Actively Infected Trend"))=0,#N/A,INDIRECT(ADDRESS($B249+1,AA$230,1,1,"Actively Infected Trend")))</f>
        <v>#N/A</v>
      </c>
      <c r="AB249" s="14" t="e" cm="1">
        <f t="array" aca="1" ref="AB249" ca="1">IF(INDIRECT(ADDRESS($B249+1,AB$230,1,1,"Actively Infected Trend"))=0,#N/A,INDIRECT(ADDRESS($B249+1,AB$230,1,1,"Actively Infected Trend")))</f>
        <v>#N/A</v>
      </c>
      <c r="AC249" s="14" t="e" cm="1">
        <f t="array" aca="1" ref="AC249" ca="1">IF(INDIRECT(ADDRESS($B249+1,AC$230,1,1,"Actively Infected Trend"))=0,#N/A,INDIRECT(ADDRESS($B249+1,AC$230,1,1,"Actively Infected Trend")))</f>
        <v>#N/A</v>
      </c>
      <c r="AD249" s="14" t="e" cm="1">
        <f t="array" aca="1" ref="AD249" ca="1">IF(INDIRECT(ADDRESS($B249+1,AD$230,1,1,"Actively Infected Trend"))=0,#N/A,INDIRECT(ADDRESS($B249+1,AD$230,1,1,"Actively Infected Trend")))</f>
        <v>#N/A</v>
      </c>
      <c r="AE249" s="14" t="e" cm="1">
        <f t="array" aca="1" ref="AE249" ca="1">IF(INDIRECT(ADDRESS($B249+1,AE$230,1,1,"Actively Infected Trend"))=0,#N/A,INDIRECT(ADDRESS($B249+1,AE$230,1,1,"Actively Infected Trend")))</f>
        <v>#N/A</v>
      </c>
      <c r="AF249" s="14" t="e" cm="1">
        <f t="array" aca="1" ref="AF249" ca="1">IF(INDIRECT(ADDRESS($B249+1,AF$230,1,1,"Actively Infected Trend"))=0,#N/A,INDIRECT(ADDRESS($B249+1,AF$230,1,1,"Actively Infected Trend")))</f>
        <v>#N/A</v>
      </c>
      <c r="AG249" s="14" t="e" cm="1">
        <f t="array" aca="1" ref="AG249" ca="1">IF(INDIRECT(ADDRESS($B249+1,AG$230,1,1,"Actively Infected Trend"))=0,#N/A,INDIRECT(ADDRESS($B249+1,AG$230,1,1,"Actively Infected Trend")))</f>
        <v>#N/A</v>
      </c>
      <c r="AH249" s="14" t="e" cm="1">
        <f t="array" aca="1" ref="AH249" ca="1">IF(INDIRECT(ADDRESS($B249+1,AH$230,1,1,"Actively Infected Trend"))=0,#N/A,INDIRECT(ADDRESS($B249+1,AH$230,1,1,"Actively Infected Trend")))</f>
        <v>#N/A</v>
      </c>
      <c r="AI249" s="14" t="e" cm="1">
        <f t="array" aca="1" ref="AI249" ca="1">IF(INDIRECT(ADDRESS($B249+1,AI$230,1,1,"Actively Infected Trend"))=0,#N/A,INDIRECT(ADDRESS($B249+1,AI$230,1,1,"Actively Infected Trend")))</f>
        <v>#N/A</v>
      </c>
      <c r="AJ249" s="14" t="e" cm="1">
        <f t="array" aca="1" ref="AJ249" ca="1">IF(INDIRECT(ADDRESS($B249+1,AJ$230,1,1,"Actively Infected Trend"))=0,#N/A,INDIRECT(ADDRESS($B249+1,AJ$230,1,1,"Actively Infected Trend")))</f>
        <v>#N/A</v>
      </c>
      <c r="AK249" s="14" t="e" cm="1">
        <f t="array" aca="1" ref="AK249" ca="1">IF(INDIRECT(ADDRESS($B249+1,AK$230,1,1,"Actively Infected Trend"))=0,#N/A,INDIRECT(ADDRESS($B249+1,AK$230,1,1,"Actively Infected Trend")))</f>
        <v>#N/A</v>
      </c>
      <c r="AL249" s="14" t="e" cm="1">
        <f t="array" aca="1" ref="AL249" ca="1">IF(INDIRECT(ADDRESS($B249+1,AL$230,1,1,"Actively Infected Trend"))=0,#N/A,INDIRECT(ADDRESS($B249+1,AL$230,1,1,"Actively Infected Trend")))</f>
        <v>#N/A</v>
      </c>
      <c r="AM249" s="14" t="e" cm="1">
        <f t="array" aca="1" ref="AM249" ca="1">IF(INDIRECT(ADDRESS($B249+1,AM$230,1,1,"Actively Infected Trend"))=0,#N/A,INDIRECT(ADDRESS($B249+1,AM$230,1,1,"Actively Infected Trend")))</f>
        <v>#N/A</v>
      </c>
      <c r="AN249" s="14" t="e" cm="1">
        <f t="array" aca="1" ref="AN249" ca="1">IF(INDIRECT(ADDRESS($B249+1,AN$230,1,1,"Actively Infected Trend"))=0,#N/A,INDIRECT(ADDRESS($B249+1,AN$230,1,1,"Actively Infected Trend")))</f>
        <v>#N/A</v>
      </c>
      <c r="AO249" s="14" t="e" cm="1">
        <f t="array" aca="1" ref="AO249" ca="1">IF(INDIRECT(ADDRESS($B249+1,AO$230,1,1,"Actively Infected Trend"))=0,#N/A,INDIRECT(ADDRESS($B249+1,AO$230,1,1,"Actively Infected Trend")))</f>
        <v>#N/A</v>
      </c>
      <c r="AP249" s="14" t="e" cm="1">
        <f t="array" aca="1" ref="AP249" ca="1">IF(INDIRECT(ADDRESS($B249+1,AP$230,1,1,"Actively Infected Trend"))=0,#N/A,INDIRECT(ADDRESS($B249+1,AP$230,1,1,"Actively Infected Trend")))</f>
        <v>#N/A</v>
      </c>
      <c r="AQ249" s="14" t="e" cm="1">
        <f t="array" aca="1" ref="AQ249" ca="1">IF(INDIRECT(ADDRESS($B249+1,AQ$230,1,1,"Actively Infected Trend"))=0,#N/A,INDIRECT(ADDRESS($B249+1,AQ$230,1,1,"Actively Infected Trend")))</f>
        <v>#N/A</v>
      </c>
      <c r="AR249" s="14" t="e" cm="1">
        <f t="array" aca="1" ref="AR249" ca="1">IF(INDIRECT(ADDRESS($B249+1,AR$230,1,1,"Actively Infected Trend"))=0,#N/A,INDIRECT(ADDRESS($B249+1,AR$230,1,1,"Actively Infected Trend")))</f>
        <v>#N/A</v>
      </c>
      <c r="AS249" s="14" t="e" cm="1">
        <f t="array" aca="1" ref="AS249" ca="1">IF(INDIRECT(ADDRESS($B249+1,AS$230,1,1,"Actively Infected Trend"))=0,#N/A,INDIRECT(ADDRESS($B249+1,AS$230,1,1,"Actively Infected Trend")))</f>
        <v>#N/A</v>
      </c>
      <c r="AT249" s="14" t="e" cm="1">
        <f t="array" aca="1" ref="AT249" ca="1">IF(INDIRECT(ADDRESS($B249+1,AT$230,1,1,"Actively Infected Trend"))=0,#N/A,INDIRECT(ADDRESS($B249+1,AT$230,1,1,"Actively Infected Trend")))</f>
        <v>#N/A</v>
      </c>
      <c r="AU249" s="14" t="e" cm="1">
        <f t="array" aca="1" ref="AU249" ca="1">IF(INDIRECT(ADDRESS($B249+1,AU$230,1,1,"Actively Infected Trend"))=0,#N/A,INDIRECT(ADDRESS($B249+1,AU$230,1,1,"Actively Infected Trend")))</f>
        <v>#N/A</v>
      </c>
      <c r="AV249" s="14" cm="1">
        <f t="array" aca="1" ref="AV249" ca="1">IF(INDIRECT(ADDRESS($B249+1,AV$230,1,1,"Actively Infected Trend"))=0,#N/A,INDIRECT(ADDRESS($B249+1,AV$230,1,1,"Actively Infected Trend")))</f>
        <v>0.4591054557</v>
      </c>
      <c r="AW249" s="14" cm="1">
        <f t="array" aca="1" ref="AW249" ca="1">IF(INDIRECT(ADDRESS($B249+1,AW$230,1,1,"Actively Infected Trend"))=0,#N/A,INDIRECT(ADDRESS($B249+1,AW$230,1,1,"Actively Infected Trend")))</f>
        <v>0.48277588960000001</v>
      </c>
      <c r="AX249" s="14" cm="1">
        <f t="array" aca="1" ref="AX249" ca="1">IF(INDIRECT(ADDRESS($B249+1,AX$230,1,1,"Actively Infected Trend"))=0,#N/A,INDIRECT(ADDRESS($B249+1,AX$230,1,1,"Actively Infected Trend")))</f>
        <v>0.47948158530000001</v>
      </c>
      <c r="AY249" s="14" cm="1">
        <f t="array" aca="1" ref="AY249" ca="1">IF(INDIRECT(ADDRESS($B249+1,AY$230,1,1,"Actively Infected Trend"))=0,#N/A,INDIRECT(ADDRESS($B249+1,AY$230,1,1,"Actively Infected Trend")))</f>
        <v>0.4473677767</v>
      </c>
      <c r="AZ249" s="14" cm="1">
        <f t="array" aca="1" ref="AZ249" ca="1">IF(INDIRECT(ADDRESS($B249+1,AZ$230,1,1,"Actively Infected Trend"))=0,#N/A,INDIRECT(ADDRESS($B249+1,AZ$230,1,1,"Actively Infected Trend")))</f>
        <v>0.39511683600000003</v>
      </c>
      <c r="BA249" s="14" cm="1">
        <f t="array" aca="1" ref="BA249" ca="1">IF(INDIRECT(ADDRESS($B249+1,BA$230,1,1,"Actively Infected Trend"))=0,#N/A,INDIRECT(ADDRESS($B249+1,BA$230,1,1,"Actively Infected Trend")))</f>
        <v>0.30407092679999997</v>
      </c>
      <c r="BB249" s="14" cm="1">
        <f t="array" aca="1" ref="BB249" ca="1">IF(INDIRECT(ADDRESS($B249+1,BB$230,1,1,"Actively Infected Trend"))=0,#N/A,INDIRECT(ADDRESS($B249+1,BB$230,1,1,"Actively Infected Trend")))</f>
        <v>0.26471557340000001</v>
      </c>
      <c r="BC249" s="14" cm="1">
        <f t="array" aca="1" ref="BC249" ca="1">IF(INDIRECT(ADDRESS($B249+1,BC$230,1,1,"Actively Infected Trend"))=0,#N/A,INDIRECT(ADDRESS($B249+1,BC$230,1,1,"Actively Infected Trend")))</f>
        <v>0.25835740169999999</v>
      </c>
      <c r="BD249" s="14" cm="1">
        <f t="array" aca="1" ref="BD249" ca="1">IF(INDIRECT(ADDRESS($B249+1,BD$230,1,1,"Actively Infected Trend"))=0,#N/A,INDIRECT(ADDRESS($B249+1,BD$230,1,1,"Actively Infected Trend")))</f>
        <v>0.29038092189999998</v>
      </c>
      <c r="BE249" s="14" cm="1">
        <f t="array" aca="1" ref="BE249" ca="1">IF(INDIRECT(ADDRESS($B249+1,BE$230,1,1,"Actively Infected Trend"))=0,#N/A,INDIRECT(ADDRESS($B249+1,BE$230,1,1,"Actively Infected Trend")))</f>
        <v>0.30021766890000001</v>
      </c>
      <c r="BF249" s="14" cm="1">
        <f t="array" aca="1" ref="BF249" ca="1">IF(INDIRECT(ADDRESS($B249+1,BF$230,1,1,"Actively Infected Trend"))=0,#N/A,INDIRECT(ADDRESS($B249+1,BF$230,1,1,"Actively Infected Trend")))</f>
        <v>0.33063291839999998</v>
      </c>
      <c r="BG249" s="14" cm="1">
        <f t="array" aca="1" ref="BG249" ca="1">IF(INDIRECT(ADDRESS($B249+1,BG$230,1,1,"Actively Infected Trend"))=0,#N/A,INDIRECT(ADDRESS($B249+1,BG$230,1,1,"Actively Infected Trend")))</f>
        <v>0.31571875090000001</v>
      </c>
      <c r="BH249" s="14" cm="1">
        <f t="array" aca="1" ref="BH249" ca="1">IF(INDIRECT(ADDRESS($B249+1,BH$230,1,1,"Actively Infected Trend"))=0,#N/A,INDIRECT(ADDRESS($B249+1,BH$230,1,1,"Actively Infected Trend")))</f>
        <v>0.2921607719</v>
      </c>
      <c r="BI249" s="14" cm="1">
        <f t="array" aca="1" ref="BI249" ca="1">IF(INDIRECT(ADDRESS($B249+1,BI$230,1,1,"Actively Infected Trend"))=0,#N/A,INDIRECT(ADDRESS($B249+1,BI$230,1,1,"Actively Infected Trend")))</f>
        <v>0.2534818378</v>
      </c>
      <c r="BJ249" s="14" cm="1">
        <f t="array" aca="1" ref="BJ249" ca="1">IF(INDIRECT(ADDRESS($B249+1,BJ$230,1,1,"Actively Infected Trend"))=0,#N/A,INDIRECT(ADDRESS($B249+1,BJ$230,1,1,"Actively Infected Trend")))</f>
        <v>0.20769133789999999</v>
      </c>
      <c r="BK249" s="14" cm="1">
        <f t="array" aca="1" ref="BK249" ca="1">IF(INDIRECT(ADDRESS($B249+1,BK$230,1,1,"Actively Infected Trend"))=0,#N/A,INDIRECT(ADDRESS($B249+1,BK$230,1,1,"Actively Infected Trend")))</f>
        <v>0.20683486240000001</v>
      </c>
      <c r="BL249" s="14" cm="1">
        <f t="array" aca="1" ref="BL249" ca="1">IF(INDIRECT(ADDRESS($B249+1,BL$230,1,1,"Actively Infected Trend"))=0,#N/A,INDIRECT(ADDRESS($B249+1,BL$230,1,1,"Actively Infected Trend")))</f>
        <v>0.2226819813</v>
      </c>
      <c r="BM249" s="14" cm="1">
        <f t="array" aca="1" ref="BM249" ca="1">IF(INDIRECT(ADDRESS($B249+1,BM$230,1,1,"Actively Infected Trend"))=0,#N/A,INDIRECT(ADDRESS($B249+1,BM$230,1,1,"Actively Infected Trend")))</f>
        <v>0.25147451529999998</v>
      </c>
      <c r="BN249" s="14" cm="1">
        <f t="array" aca="1" ref="BN249" ca="1">IF(INDIRECT(ADDRESS($B249+1,BN$230,1,1,"Actively Infected Trend"))=0,#N/A,INDIRECT(ADDRESS($B249+1,BN$230,1,1,"Actively Infected Trend")))</f>
        <v>0.24599051829999999</v>
      </c>
      <c r="BO249" s="14" cm="1">
        <f t="array" aca="1" ref="BO249" ca="1">IF(INDIRECT(ADDRESS($B249+1,BO$230,1,1,"Actively Infected Trend"))=0,#N/A,INDIRECT(ADDRESS($B249+1,BO$230,1,1,"Actively Infected Trend")))</f>
        <v>0.2158264879</v>
      </c>
      <c r="BP249" s="14" cm="1">
        <f t="array" aca="1" ref="BP249" ca="1">IF(INDIRECT(ADDRESS($B249+1,BP$230,1,1,"Actively Infected Trend"))=0,#N/A,INDIRECT(ADDRESS($B249+1,BP$230,1,1,"Actively Infected Trend")))</f>
        <v>0.17759652279999999</v>
      </c>
      <c r="BQ249" s="14" cm="1">
        <f t="array" aca="1" ref="BQ249" ca="1">IF(INDIRECT(ADDRESS($B249+1,BQ$230,1,1,"Actively Infected Trend"))=0,#N/A,INDIRECT(ADDRESS($B249+1,BQ$230,1,1,"Actively Infected Trend")))</f>
        <v>0.15068656450000001</v>
      </c>
      <c r="BR249" s="14" cm="1">
        <f t="array" aca="1" ref="BR249" ca="1">IF(INDIRECT(ADDRESS($B249+1,BR$230,1,1,"Actively Infected Trend"))=0,#N/A,INDIRECT(ADDRESS($B249+1,BR$230,1,1,"Actively Infected Trend")))</f>
        <v>0.12894168180000001</v>
      </c>
      <c r="BS249" s="14" cm="1">
        <f t="array" aca="1" ref="BS249" ca="1">IF(INDIRECT(ADDRESS($B249+1,BS$230,1,1,"Actively Infected Trend"))=0,#N/A,INDIRECT(ADDRESS($B249+1,BS$230,1,1,"Actively Infected Trend")))</f>
        <v>0.1149156197</v>
      </c>
      <c r="BT249" s="14" cm="1">
        <f t="array" aca="1" ref="BT249" ca="1">IF(INDIRECT(ADDRESS($B249+1,BT$230,1,1,"Actively Infected Trend"))=0,#N/A,INDIRECT(ADDRESS($B249+1,BT$230,1,1,"Actively Infected Trend")))</f>
        <v>0.1063977604</v>
      </c>
      <c r="BU249" s="14" cm="1">
        <f t="array" aca="1" ref="BU249" ca="1">IF(INDIRECT(ADDRESS($B249+1,BU$230,1,1,"Actively Infected Trend"))=0,#N/A,INDIRECT(ADDRESS($B249+1,BU$230,1,1,"Actively Infected Trend")))</f>
        <v>9.8100254900000003E-2</v>
      </c>
      <c r="BV249" s="14" cm="1">
        <f t="array" aca="1" ref="BV249" ca="1">IF(INDIRECT(ADDRESS($B249+1,BV$230,1,1,"Actively Infected Trend"))=0,#N/A,INDIRECT(ADDRESS($B249+1,BV$230,1,1,"Actively Infected Trend")))</f>
        <v>8.7976912099999999E-2</v>
      </c>
      <c r="BW249" s="14" cm="1">
        <f t="array" aca="1" ref="BW249" ca="1">IF(INDIRECT(ADDRESS($B249+1,BW$230,1,1,"Actively Infected Trend"))=0,#N/A,INDIRECT(ADDRESS($B249+1,BW$230,1,1,"Actively Infected Trend")))</f>
        <v>8.06655711E-2</v>
      </c>
      <c r="BX249" s="14" cm="1">
        <f t="array" aca="1" ref="BX249" ca="1">IF(INDIRECT(ADDRESS($B249+1,BX$230,1,1,"Actively Infected Trend"))=0,#N/A,INDIRECT(ADDRESS($B249+1,BX$230,1,1,"Actively Infected Trend")))</f>
        <v>7.9044224499999996E-2</v>
      </c>
      <c r="BY249" s="14" cm="1">
        <f t="array" aca="1" ref="BY249" ca="1">IF(INDIRECT(ADDRESS($B249+1,BY$230,1,1,"Actively Infected Trend"))=0,#N/A,INDIRECT(ADDRESS($B249+1,BY$230,1,1,"Actively Infected Trend")))</f>
        <v>7.9672518799999995E-2</v>
      </c>
      <c r="BZ249" s="14" cm="1">
        <f t="array" aca="1" ref="BZ249" ca="1">IF(INDIRECT(ADDRESS($B249+1,BZ$230,1,1,"Actively Infected Trend"))=0,#N/A,INDIRECT(ADDRESS($B249+1,BZ$230,1,1,"Actively Infected Trend")))</f>
        <v>8.2758539000000006E-2</v>
      </c>
      <c r="CA249" s="14" cm="1">
        <f t="array" aca="1" ref="CA249" ca="1">IF(INDIRECT(ADDRESS($B249+1,CA$230,1,1,"Actively Infected Trend"))=0,#N/A,INDIRECT(ADDRESS($B249+1,CA$230,1,1,"Actively Infected Trend")))</f>
        <v>7.7937998999999994E-2</v>
      </c>
      <c r="CB249" s="14" cm="1">
        <f t="array" aca="1" ref="CB249" ca="1">IF(INDIRECT(ADDRESS($B249+1,CB$230,1,1,"Actively Infected Trend"))=0,#N/A,INDIRECT(ADDRESS($B249+1,CB$230,1,1,"Actively Infected Trend")))</f>
        <v>7.45215397E-2</v>
      </c>
      <c r="CC249" s="14" cm="1">
        <f t="array" aca="1" ref="CC249" ca="1">IF(INDIRECT(ADDRESS($B249+1,CC$230,1,1,"Actively Infected Trend"))=0,#N/A,INDIRECT(ADDRESS($B249+1,CC$230,1,1,"Actively Infected Trend")))</f>
        <v>6.6658830899999993E-2</v>
      </c>
      <c r="CD249" s="14" cm="1">
        <f t="array" aca="1" ref="CD249" ca="1">IF(INDIRECT(ADDRESS($B249+1,CD$230,1,1,"Actively Infected Trend"))=0,#N/A,INDIRECT(ADDRESS($B249+1,CD$230,1,1,"Actively Infected Trend")))</f>
        <v>6.2607838900000004E-2</v>
      </c>
      <c r="CE249" s="14" cm="1">
        <f t="array" aca="1" ref="CE249" ca="1">IF(INDIRECT(ADDRESS($B249+1,CE$230,1,1,"Actively Infected Trend"))=0,#N/A,INDIRECT(ADDRESS($B249+1,CE$230,1,1,"Actively Infected Trend")))</f>
        <v>6.4000676800000003E-2</v>
      </c>
      <c r="CF249" s="14" cm="1">
        <f t="array" aca="1" ref="CF249" ca="1">IF(INDIRECT(ADDRESS($B249+1,CF$230,1,1,"Actively Infected Trend"))=0,#N/A,INDIRECT(ADDRESS($B249+1,CF$230,1,1,"Actively Infected Trend")))</f>
        <v>6.8544806900000005E-2</v>
      </c>
      <c r="CG249" s="14" cm="1">
        <f t="array" aca="1" ref="CG249" ca="1">IF(INDIRECT(ADDRESS($B249+1,CG$230,1,1,"Actively Infected Trend"))=0,#N/A,INDIRECT(ADDRESS($B249+1,CG$230,1,1,"Actively Infected Trend")))</f>
        <v>7.2592033400000006E-2</v>
      </c>
      <c r="CH249" s="14" cm="1">
        <f t="array" aca="1" ref="CH249" ca="1">IF(INDIRECT(ADDRESS($B249+1,CH$230,1,1,"Actively Infected Trend"))=0,#N/A,INDIRECT(ADDRESS($B249+1,CH$230,1,1,"Actively Infected Trend")))</f>
        <v>6.7516385600000006E-2</v>
      </c>
      <c r="CI249" s="14" cm="1">
        <f t="array" aca="1" ref="CI249" ca="1">IF(INDIRECT(ADDRESS($B249+1,CI$230,1,1,"Actively Infected Trend"))=0,#N/A,INDIRECT(ADDRESS($B249+1,CI$230,1,1,"Actively Infected Trend")))</f>
        <v>6.0498111E-2</v>
      </c>
      <c r="CJ249" s="14" cm="1">
        <f t="array" aca="1" ref="CJ249" ca="1">IF(INDIRECT(ADDRESS($B249+1,CJ$230,1,1,"Actively Infected Trend"))=0,#N/A,INDIRECT(ADDRESS($B249+1,CJ$230,1,1,"Actively Infected Trend")))</f>
        <v>4.85653396E-2</v>
      </c>
      <c r="CK249" s="14" cm="1">
        <f t="array" aca="1" ref="CK249" ca="1">IF(INDIRECT(ADDRESS($B249+1,CK$230,1,1,"Actively Infected Trend"))=0,#N/A,INDIRECT(ADDRESS($B249+1,CK$230,1,1,"Actively Infected Trend")))</f>
        <v>4.3390621900000002E-2</v>
      </c>
      <c r="CL249" s="14" cm="1">
        <f t="array" aca="1" ref="CL249" ca="1">IF(INDIRECT(ADDRESS($B249+1,CL$230,1,1,"Actively Infected Trend"))=0,#N/A,INDIRECT(ADDRESS($B249+1,CL$230,1,1,"Actively Infected Trend")))</f>
        <v>4.3424285200000003E-2</v>
      </c>
      <c r="CM249" s="14" cm="1">
        <f t="array" aca="1" ref="CM249" ca="1">IF(INDIRECT(ADDRESS($B249+1,CM$230,1,1,"Actively Infected Trend"))=0,#N/A,INDIRECT(ADDRESS($B249+1,CM$230,1,1,"Actively Infected Trend")))</f>
        <v>4.5911198399999999E-2</v>
      </c>
      <c r="CN249" s="14" t="e" cm="1">
        <f t="array" aca="1" ref="CN249" ca="1">IF(INDIRECT(ADDRESS($B249+1,CN$230,1,1,"Actively Infected Trend"))=0,#N/A,INDIRECT(ADDRESS($B249+1,CN$230,1,1,"Actively Infected Trend")))</f>
        <v>#N/A</v>
      </c>
      <c r="CO249" s="14" t="e" cm="1">
        <f t="array" aca="1" ref="CO249" ca="1">IF(INDIRECT(ADDRESS($B249+1,CO$230,1,1,"Actively Infected Trend"))=0,#N/A,INDIRECT(ADDRESS($B249+1,CO$230,1,1,"Actively Infected Trend")))</f>
        <v>#N/A</v>
      </c>
      <c r="CP249" s="14" t="e" cm="1">
        <f t="array" aca="1" ref="CP249" ca="1">IF(INDIRECT(ADDRESS($B249+1,CP$230,1,1,"Actively Infected Trend"))=0,#N/A,INDIRECT(ADDRESS($B249+1,CP$230,1,1,"Actively Infected Trend")))</f>
        <v>#N/A</v>
      </c>
      <c r="CQ249" s="14" t="e" cm="1">
        <f t="array" aca="1" ref="CQ249" ca="1">IF(INDIRECT(ADDRESS($B249+1,CQ$230,1,1,"Actively Infected Trend"))=0,#N/A,INDIRECT(ADDRESS($B249+1,CQ$230,1,1,"Actively Infected Trend")))</f>
        <v>#N/A</v>
      </c>
      <c r="CR249" s="14" t="e" cm="1">
        <f t="array" aca="1" ref="CR249" ca="1">IF(INDIRECT(ADDRESS($B249+1,CR$230,1,1,"Actively Infected Trend"))=0,#N/A,INDIRECT(ADDRESS($B249+1,CR$230,1,1,"Actively Infected Trend")))</f>
        <v>#N/A</v>
      </c>
    </row>
    <row r="250" spans="2:96" x14ac:dyDescent="0.25">
      <c r="B250">
        <f t="shared" si="349"/>
        <v>19</v>
      </c>
      <c r="C250" t="str" cm="1">
        <f t="array" aca="1" ref="C250" ca="1">INDIRECT(ADDRESS($B250+1,1,1,1,"Actively Infected Trend"))</f>
        <v>US</v>
      </c>
      <c r="E250" s="14" t="e" cm="1">
        <f t="array" aca="1" ref="E250" ca="1">IF(INDIRECT(ADDRESS($B250+1,E$230,1,1,"Actively Infected Trend"))=0,#N/A,INDIRECT(ADDRESS($B250+1,E$230,1,1,"Actively Infected Trend")))</f>
        <v>#N/A</v>
      </c>
      <c r="F250" s="14" t="e" cm="1">
        <f t="array" aca="1" ref="F250" ca="1">IF(INDIRECT(ADDRESS($B250+1,F$230,1,1,"Actively Infected Trend"))=0,#N/A,INDIRECT(ADDRESS($B250+1,F$230,1,1,"Actively Infected Trend")))</f>
        <v>#N/A</v>
      </c>
      <c r="G250" s="14" t="e" cm="1">
        <f t="array" aca="1" ref="G250" ca="1">IF(INDIRECT(ADDRESS($B250+1,G$230,1,1,"Actively Infected Trend"))=0,#N/A,INDIRECT(ADDRESS($B250+1,G$230,1,1,"Actively Infected Trend")))</f>
        <v>#N/A</v>
      </c>
      <c r="H250" s="14" t="e" cm="1">
        <f t="array" aca="1" ref="H250" ca="1">IF(INDIRECT(ADDRESS($B250+1,H$230,1,1,"Actively Infected Trend"))=0,#N/A,INDIRECT(ADDRESS($B250+1,H$230,1,1,"Actively Infected Trend")))</f>
        <v>#N/A</v>
      </c>
      <c r="I250" s="14" t="e" cm="1">
        <f t="array" aca="1" ref="I250" ca="1">IF(INDIRECT(ADDRESS($B250+1,I$230,1,1,"Actively Infected Trend"))=0,#N/A,INDIRECT(ADDRESS($B250+1,I$230,1,1,"Actively Infected Trend")))</f>
        <v>#N/A</v>
      </c>
      <c r="J250" s="14" t="e" cm="1">
        <f t="array" aca="1" ref="J250" ca="1">IF(INDIRECT(ADDRESS($B250+1,J$230,1,1,"Actively Infected Trend"))=0,#N/A,INDIRECT(ADDRESS($B250+1,J$230,1,1,"Actively Infected Trend")))</f>
        <v>#N/A</v>
      </c>
      <c r="K250" s="14" t="e" cm="1">
        <f t="array" aca="1" ref="K250" ca="1">IF(INDIRECT(ADDRESS($B250+1,K$230,1,1,"Actively Infected Trend"))=0,#N/A,INDIRECT(ADDRESS($B250+1,K$230,1,1,"Actively Infected Trend")))</f>
        <v>#N/A</v>
      </c>
      <c r="L250" s="14" t="e" cm="1">
        <f t="array" aca="1" ref="L250" ca="1">IF(INDIRECT(ADDRESS($B250+1,L$230,1,1,"Actively Infected Trend"))=0,#N/A,INDIRECT(ADDRESS($B250+1,L$230,1,1,"Actively Infected Trend")))</f>
        <v>#N/A</v>
      </c>
      <c r="M250" s="14" t="e" cm="1">
        <f t="array" aca="1" ref="M250" ca="1">IF(INDIRECT(ADDRESS($B250+1,M$230,1,1,"Actively Infected Trend"))=0,#N/A,INDIRECT(ADDRESS($B250+1,M$230,1,1,"Actively Infected Trend")))</f>
        <v>#N/A</v>
      </c>
      <c r="N250" s="14" t="e" cm="1">
        <f t="array" aca="1" ref="N250" ca="1">IF(INDIRECT(ADDRESS($B250+1,N$230,1,1,"Actively Infected Trend"))=0,#N/A,INDIRECT(ADDRESS($B250+1,N$230,1,1,"Actively Infected Trend")))</f>
        <v>#N/A</v>
      </c>
      <c r="O250" s="14" t="e" cm="1">
        <f t="array" aca="1" ref="O250" ca="1">IF(INDIRECT(ADDRESS($B250+1,O$230,1,1,"Actively Infected Trend"))=0,#N/A,INDIRECT(ADDRESS($B250+1,O$230,1,1,"Actively Infected Trend")))</f>
        <v>#N/A</v>
      </c>
      <c r="P250" s="14" t="e" cm="1">
        <f t="array" aca="1" ref="P250" ca="1">IF(INDIRECT(ADDRESS($B250+1,P$230,1,1,"Actively Infected Trend"))=0,#N/A,INDIRECT(ADDRESS($B250+1,P$230,1,1,"Actively Infected Trend")))</f>
        <v>#N/A</v>
      </c>
      <c r="Q250" s="14" t="e" cm="1">
        <f t="array" aca="1" ref="Q250" ca="1">IF(INDIRECT(ADDRESS($B250+1,Q$230,1,1,"Actively Infected Trend"))=0,#N/A,INDIRECT(ADDRESS($B250+1,Q$230,1,1,"Actively Infected Trend")))</f>
        <v>#N/A</v>
      </c>
      <c r="R250" s="14" t="e" cm="1">
        <f t="array" aca="1" ref="R250" ca="1">IF(INDIRECT(ADDRESS($B250+1,R$230,1,1,"Actively Infected Trend"))=0,#N/A,INDIRECT(ADDRESS($B250+1,R$230,1,1,"Actively Infected Trend")))</f>
        <v>#N/A</v>
      </c>
      <c r="S250" s="14" t="e" cm="1">
        <f t="array" aca="1" ref="S250" ca="1">IF(INDIRECT(ADDRESS($B250+1,S$230,1,1,"Actively Infected Trend"))=0,#N/A,INDIRECT(ADDRESS($B250+1,S$230,1,1,"Actively Infected Trend")))</f>
        <v>#N/A</v>
      </c>
      <c r="T250" s="14" t="e" cm="1">
        <f t="array" aca="1" ref="T250" ca="1">IF(INDIRECT(ADDRESS($B250+1,T$230,1,1,"Actively Infected Trend"))=0,#N/A,INDIRECT(ADDRESS($B250+1,T$230,1,1,"Actively Infected Trend")))</f>
        <v>#N/A</v>
      </c>
      <c r="U250" s="14" t="e" cm="1">
        <f t="array" aca="1" ref="U250" ca="1">IF(INDIRECT(ADDRESS($B250+1,U$230,1,1,"Actively Infected Trend"))=0,#N/A,INDIRECT(ADDRESS($B250+1,U$230,1,1,"Actively Infected Trend")))</f>
        <v>#N/A</v>
      </c>
      <c r="V250" s="14" t="e" cm="1">
        <f t="array" aca="1" ref="V250" ca="1">IF(INDIRECT(ADDRESS($B250+1,V$230,1,1,"Actively Infected Trend"))=0,#N/A,INDIRECT(ADDRESS($B250+1,V$230,1,1,"Actively Infected Trend")))</f>
        <v>#N/A</v>
      </c>
      <c r="W250" s="14" cm="1">
        <f t="array" aca="1" ref="W250" ca="1">IF(INDIRECT(ADDRESS($B250+1,W$230,1,1,"Actively Infected Trend"))=0,#N/A,INDIRECT(ADDRESS($B250+1,W$230,1,1,"Actively Infected Trend")))</f>
        <v>1.9237624700000001E-2</v>
      </c>
      <c r="X250" s="14" cm="1">
        <f t="array" aca="1" ref="X250" ca="1">IF(INDIRECT(ADDRESS($B250+1,X$230,1,1,"Actively Infected Trend"))=0,#N/A,INDIRECT(ADDRESS($B250+1,X$230,1,1,"Actively Infected Trend")))</f>
        <v>2.0046439700000002E-2</v>
      </c>
      <c r="Y250" s="14" cm="1">
        <f t="array" aca="1" ref="Y250" ca="1">IF(INDIRECT(ADDRESS($B250+1,Y$230,1,1,"Actively Infected Trend"))=0,#N/A,INDIRECT(ADDRESS($B250+1,Y$230,1,1,"Actively Infected Trend")))</f>
        <v>2.09271912E-2</v>
      </c>
      <c r="Z250" s="14" cm="1">
        <f t="array" aca="1" ref="Z250" ca="1">IF(INDIRECT(ADDRESS($B250+1,Z$230,1,1,"Actively Infected Trend"))=0,#N/A,INDIRECT(ADDRESS($B250+1,Z$230,1,1,"Actively Infected Trend")))</f>
        <v>2.6425619000000001E-2</v>
      </c>
      <c r="AA250" s="14" cm="1">
        <f t="array" aca="1" ref="AA250" ca="1">IF(INDIRECT(ADDRESS($B250+1,AA$230,1,1,"Actively Infected Trend"))=0,#N/A,INDIRECT(ADDRESS($B250+1,AA$230,1,1,"Actively Infected Trend")))</f>
        <v>3.7188635499999997E-2</v>
      </c>
      <c r="AB250" s="14" cm="1">
        <f t="array" aca="1" ref="AB250" ca="1">IF(INDIRECT(ADDRESS($B250+1,AB$230,1,1,"Actively Infected Trend"))=0,#N/A,INDIRECT(ADDRESS($B250+1,AB$230,1,1,"Actively Infected Trend")))</f>
        <v>5.0770981100000001E-2</v>
      </c>
      <c r="AC250" s="14" cm="1">
        <f t="array" aca="1" ref="AC250" ca="1">IF(INDIRECT(ADDRESS($B250+1,AC$230,1,1,"Actively Infected Trend"))=0,#N/A,INDIRECT(ADDRESS($B250+1,AC$230,1,1,"Actively Infected Trend")))</f>
        <v>6.8160568000000005E-2</v>
      </c>
      <c r="AD250" s="14" cm="1">
        <f t="array" aca="1" ref="AD250" ca="1">IF(INDIRECT(ADDRESS($B250+1,AD$230,1,1,"Actively Infected Trend"))=0,#N/A,INDIRECT(ADDRESS($B250+1,AD$230,1,1,"Actively Infected Trend")))</f>
        <v>8.8061176500000005E-2</v>
      </c>
      <c r="AE250" s="14" cm="1">
        <f t="array" aca="1" ref="AE250" ca="1">IF(INDIRECT(ADDRESS($B250+1,AE$230,1,1,"Actively Infected Trend"))=0,#N/A,INDIRECT(ADDRESS($B250+1,AE$230,1,1,"Actively Infected Trend")))</f>
        <v>0.1125305491</v>
      </c>
      <c r="AF250" s="14" cm="1">
        <f t="array" aca="1" ref="AF250" ca="1">IF(INDIRECT(ADDRESS($B250+1,AF$230,1,1,"Actively Infected Trend"))=0,#N/A,INDIRECT(ADDRESS($B250+1,AF$230,1,1,"Actively Infected Trend")))</f>
        <v>9.2744865499999996E-2</v>
      </c>
      <c r="AG250" s="14" cm="1">
        <f t="array" aca="1" ref="AG250" ca="1">IF(INDIRECT(ADDRESS($B250+1,AG$230,1,1,"Actively Infected Trend"))=0,#N/A,INDIRECT(ADDRESS($B250+1,AG$230,1,1,"Actively Infected Trend")))</f>
        <v>8.1897255000000002E-2</v>
      </c>
      <c r="AH250" s="14" cm="1">
        <f t="array" aca="1" ref="AH250" ca="1">IF(INDIRECT(ADDRESS($B250+1,AH$230,1,1,"Actively Infected Trend"))=0,#N/A,INDIRECT(ADDRESS($B250+1,AH$230,1,1,"Actively Infected Trend")))</f>
        <v>7.8777105900000005E-2</v>
      </c>
      <c r="AI250" s="14" cm="1">
        <f t="array" aca="1" ref="AI250" ca="1">IF(INDIRECT(ADDRESS($B250+1,AI$230,1,1,"Actively Infected Trend"))=0,#N/A,INDIRECT(ADDRESS($B250+1,AI$230,1,1,"Actively Infected Trend")))</f>
        <v>7.5882812600000002E-2</v>
      </c>
      <c r="AJ250" s="14" cm="1">
        <f t="array" aca="1" ref="AJ250" ca="1">IF(INDIRECT(ADDRESS($B250+1,AJ$230,1,1,"Actively Infected Trend"))=0,#N/A,INDIRECT(ADDRESS($B250+1,AJ$230,1,1,"Actively Infected Trend")))</f>
        <v>0.1372388353</v>
      </c>
      <c r="AK250" s="14" cm="1">
        <f t="array" aca="1" ref="AK250" ca="1">IF(INDIRECT(ADDRESS($B250+1,AK$230,1,1,"Actively Infected Trend"))=0,#N/A,INDIRECT(ADDRESS($B250+1,AK$230,1,1,"Actively Infected Trend")))</f>
        <v>0.2479412228</v>
      </c>
      <c r="AL250" s="14" cm="1">
        <f t="array" aca="1" ref="AL250" ca="1">IF(INDIRECT(ADDRESS($B250+1,AL$230,1,1,"Actively Infected Trend"))=0,#N/A,INDIRECT(ADDRESS($B250+1,AL$230,1,1,"Actively Infected Trend")))</f>
        <v>0.365807084</v>
      </c>
      <c r="AM250" s="14" cm="1">
        <f t="array" aca="1" ref="AM250" ca="1">IF(INDIRECT(ADDRESS($B250+1,AM$230,1,1,"Actively Infected Trend"))=0,#N/A,INDIRECT(ADDRESS($B250+1,AM$230,1,1,"Actively Infected Trend")))</f>
        <v>0.44114429799999999</v>
      </c>
      <c r="AN250" s="14" cm="1">
        <f t="array" aca="1" ref="AN250" ca="1">IF(INDIRECT(ADDRESS($B250+1,AN$230,1,1,"Actively Infected Trend"))=0,#N/A,INDIRECT(ADDRESS($B250+1,AN$230,1,1,"Actively Infected Trend")))</f>
        <v>0.38405471229999999</v>
      </c>
      <c r="AO250" s="14" cm="1">
        <f t="array" aca="1" ref="AO250" ca="1">IF(INDIRECT(ADDRESS($B250+1,AO$230,1,1,"Actively Infected Trend"))=0,#N/A,INDIRECT(ADDRESS($B250+1,AO$230,1,1,"Actively Infected Trend")))</f>
        <v>0.26016277030000001</v>
      </c>
      <c r="AP250" s="14" cm="1">
        <f t="array" aca="1" ref="AP250" ca="1">IF(INDIRECT(ADDRESS($B250+1,AP$230,1,1,"Actively Infected Trend"))=0,#N/A,INDIRECT(ADDRESS($B250+1,AP$230,1,1,"Actively Infected Trend")))</f>
        <v>0.13590525070000001</v>
      </c>
      <c r="AQ250" s="14" cm="1">
        <f t="array" aca="1" ref="AQ250" ca="1">IF(INDIRECT(ADDRESS($B250+1,AQ$230,1,1,"Actively Infected Trend"))=0,#N/A,INDIRECT(ADDRESS($B250+1,AQ$230,1,1,"Actively Infected Trend")))</f>
        <v>8.2441754699999995E-2</v>
      </c>
      <c r="AR250" s="14" cm="1">
        <f t="array" aca="1" ref="AR250" ca="1">IF(INDIRECT(ADDRESS($B250+1,AR$230,1,1,"Actively Infected Trend"))=0,#N/A,INDIRECT(ADDRESS($B250+1,AR$230,1,1,"Actively Infected Trend")))</f>
        <v>6.9661892700000005E-2</v>
      </c>
      <c r="AS250" s="14" cm="1">
        <f t="array" aca="1" ref="AS250" ca="1">IF(INDIRECT(ADDRESS($B250+1,AS$230,1,1,"Actively Infected Trend"))=0,#N/A,INDIRECT(ADDRESS($B250+1,AS$230,1,1,"Actively Infected Trend")))</f>
        <v>0.1069182996</v>
      </c>
      <c r="AT250" s="14" cm="1">
        <f t="array" aca="1" ref="AT250" ca="1">IF(INDIRECT(ADDRESS($B250+1,AT$230,1,1,"Actively Infected Trend"))=0,#N/A,INDIRECT(ADDRESS($B250+1,AT$230,1,1,"Actively Infected Trend")))</f>
        <v>0.15307893319999999</v>
      </c>
      <c r="AU250" s="14" cm="1">
        <f t="array" aca="1" ref="AU250" ca="1">IF(INDIRECT(ADDRESS($B250+1,AU$230,1,1,"Actively Infected Trend"))=0,#N/A,INDIRECT(ADDRESS($B250+1,AU$230,1,1,"Actively Infected Trend")))</f>
        <v>0.20336318859999999</v>
      </c>
      <c r="AV250" s="14" cm="1">
        <f t="array" aca="1" ref="AV250" ca="1">IF(INDIRECT(ADDRESS($B250+1,AV$230,1,1,"Actively Infected Trend"))=0,#N/A,INDIRECT(ADDRESS($B250+1,AV$230,1,1,"Actively Infected Trend")))</f>
        <v>0.26195806589999998</v>
      </c>
      <c r="AW250" s="14" cm="1">
        <f t="array" aca="1" ref="AW250" ca="1">IF(INDIRECT(ADDRESS($B250+1,AW$230,1,1,"Actively Infected Trend"))=0,#N/A,INDIRECT(ADDRESS($B250+1,AW$230,1,1,"Actively Infected Trend")))</f>
        <v>0.28836285620000002</v>
      </c>
      <c r="AX250" s="14" cm="1">
        <f t="array" aca="1" ref="AX250" ca="1">IF(INDIRECT(ADDRESS($B250+1,AX$230,1,1,"Actively Infected Trend"))=0,#N/A,INDIRECT(ADDRESS($B250+1,AX$230,1,1,"Actively Infected Trend")))</f>
        <v>0.34326987660000002</v>
      </c>
      <c r="AY250" s="14" cm="1">
        <f t="array" aca="1" ref="AY250" ca="1">IF(INDIRECT(ADDRESS($B250+1,AY$230,1,1,"Actively Infected Trend"))=0,#N/A,INDIRECT(ADDRESS($B250+1,AY$230,1,1,"Actively Infected Trend")))</f>
        <v>0.36927298790000002</v>
      </c>
      <c r="AZ250" s="14" cm="1">
        <f t="array" aca="1" ref="AZ250" ca="1">IF(INDIRECT(ADDRESS($B250+1,AZ$230,1,1,"Actively Infected Trend"))=0,#N/A,INDIRECT(ADDRESS($B250+1,AZ$230,1,1,"Actively Infected Trend")))</f>
        <v>0.35887515980000001</v>
      </c>
      <c r="BA250" s="14" cm="1">
        <f t="array" aca="1" ref="BA250" ca="1">IF(INDIRECT(ADDRESS($B250+1,BA$230,1,1,"Actively Infected Trend"))=0,#N/A,INDIRECT(ADDRESS($B250+1,BA$230,1,1,"Actively Infected Trend")))</f>
        <v>0.3664214509</v>
      </c>
      <c r="BB250" s="14" cm="1">
        <f t="array" aca="1" ref="BB250" ca="1">IF(INDIRECT(ADDRESS($B250+1,BB$230,1,1,"Actively Infected Trend"))=0,#N/A,INDIRECT(ADDRESS($B250+1,BB$230,1,1,"Actively Infected Trend")))</f>
        <v>0.35366806649999999</v>
      </c>
      <c r="BC250" s="14" cm="1">
        <f t="array" aca="1" ref="BC250" ca="1">IF(INDIRECT(ADDRESS($B250+1,BC$230,1,1,"Actively Infected Trend"))=0,#N/A,INDIRECT(ADDRESS($B250+1,BC$230,1,1,"Actively Infected Trend")))</f>
        <v>0.36059299210000001</v>
      </c>
      <c r="BD250" s="14" cm="1">
        <f t="array" aca="1" ref="BD250" ca="1">IF(INDIRECT(ADDRESS($B250+1,BD$230,1,1,"Actively Infected Trend"))=0,#N/A,INDIRECT(ADDRESS($B250+1,BD$230,1,1,"Actively Infected Trend")))</f>
        <v>0.36891384170000002</v>
      </c>
      <c r="BE250" s="14" cm="1">
        <f t="array" aca="1" ref="BE250" ca="1">IF(INDIRECT(ADDRESS($B250+1,BE$230,1,1,"Actively Infected Trend"))=0,#N/A,INDIRECT(ADDRESS($B250+1,BE$230,1,1,"Actively Infected Trend")))</f>
        <v>0.34491313109999999</v>
      </c>
      <c r="BF250" s="14" cm="1">
        <f t="array" aca="1" ref="BF250" ca="1">IF(INDIRECT(ADDRESS($B250+1,BF$230,1,1,"Actively Infected Trend"))=0,#N/A,INDIRECT(ADDRESS($B250+1,BF$230,1,1,"Actively Infected Trend")))</f>
        <v>0.32035572289999997</v>
      </c>
      <c r="BG250" s="14" cm="1">
        <f t="array" aca="1" ref="BG250" ca="1">IF(INDIRECT(ADDRESS($B250+1,BG$230,1,1,"Actively Infected Trend"))=0,#N/A,INDIRECT(ADDRESS($B250+1,BG$230,1,1,"Actively Infected Trend")))</f>
        <v>0.2977805999</v>
      </c>
      <c r="BH250" s="14" cm="1">
        <f t="array" aca="1" ref="BH250" ca="1">IF(INDIRECT(ADDRESS($B250+1,BH$230,1,1,"Actively Infected Trend"))=0,#N/A,INDIRECT(ADDRESS($B250+1,BH$230,1,1,"Actively Infected Trend")))</f>
        <v>0.30380696880000002</v>
      </c>
      <c r="BI250" s="14" cm="1">
        <f t="array" aca="1" ref="BI250" ca="1">IF(INDIRECT(ADDRESS($B250+1,BI$230,1,1,"Actively Infected Trend"))=0,#N/A,INDIRECT(ADDRESS($B250+1,BI$230,1,1,"Actively Infected Trend")))</f>
        <v>0.30716525459999999</v>
      </c>
      <c r="BJ250" s="14" cm="1">
        <f t="array" aca="1" ref="BJ250" ca="1">IF(INDIRECT(ADDRESS($B250+1,BJ$230,1,1,"Actively Infected Trend"))=0,#N/A,INDIRECT(ADDRESS($B250+1,BJ$230,1,1,"Actively Infected Trend")))</f>
        <v>0.35602769829999997</v>
      </c>
      <c r="BK250" s="14" cm="1">
        <f t="array" aca="1" ref="BK250" ca="1">IF(INDIRECT(ADDRESS($B250+1,BK$230,1,1,"Actively Infected Trend"))=0,#N/A,INDIRECT(ADDRESS($B250+1,BK$230,1,1,"Actively Infected Trend")))</f>
        <v>0.39771539010000001</v>
      </c>
      <c r="BL250" s="14" cm="1">
        <f t="array" aca="1" ref="BL250" ca="1">IF(INDIRECT(ADDRESS($B250+1,BL$230,1,1,"Actively Infected Trend"))=0,#N/A,INDIRECT(ADDRESS($B250+1,BL$230,1,1,"Actively Infected Trend")))</f>
        <v>0.42335745629999999</v>
      </c>
      <c r="BM250" s="14" cm="1">
        <f t="array" aca="1" ref="BM250" ca="1">IF(INDIRECT(ADDRESS($B250+1,BM$230,1,1,"Actively Infected Trend"))=0,#N/A,INDIRECT(ADDRESS($B250+1,BM$230,1,1,"Actively Infected Trend")))</f>
        <v>0.43395144130000002</v>
      </c>
      <c r="BN250" s="14" cm="1">
        <f t="array" aca="1" ref="BN250" ca="1">IF(INDIRECT(ADDRESS($B250+1,BN$230,1,1,"Actively Infected Trend"))=0,#N/A,INDIRECT(ADDRESS($B250+1,BN$230,1,1,"Actively Infected Trend")))</f>
        <v>0.38974767850000003</v>
      </c>
      <c r="BO250" s="14" cm="1">
        <f t="array" aca="1" ref="BO250" ca="1">IF(INDIRECT(ADDRESS($B250+1,BO$230,1,1,"Actively Infected Trend"))=0,#N/A,INDIRECT(ADDRESS($B250+1,BO$230,1,1,"Actively Infected Trend")))</f>
        <v>0.34435644069999999</v>
      </c>
      <c r="BP250" s="14" cm="1">
        <f t="array" aca="1" ref="BP250" ca="1">IF(INDIRECT(ADDRESS($B250+1,BP$230,1,1,"Actively Infected Trend"))=0,#N/A,INDIRECT(ADDRESS($B250+1,BP$230,1,1,"Actively Infected Trend")))</f>
        <v>0.29783129250000001</v>
      </c>
      <c r="BQ250" s="14" cm="1">
        <f t="array" aca="1" ref="BQ250" ca="1">IF(INDIRECT(ADDRESS($B250+1,BQ$230,1,1,"Actively Infected Trend"))=0,#N/A,INDIRECT(ADDRESS($B250+1,BQ$230,1,1,"Actively Infected Trend")))</f>
        <v>0.27554316919999999</v>
      </c>
      <c r="BR250" s="14" cm="1">
        <f t="array" aca="1" ref="BR250" ca="1">IF(INDIRECT(ADDRESS($B250+1,BR$230,1,1,"Actively Infected Trend"))=0,#N/A,INDIRECT(ADDRESS($B250+1,BR$230,1,1,"Actively Infected Trend")))</f>
        <v>0.25610238749999997</v>
      </c>
      <c r="BS250" s="14" cm="1">
        <f t="array" aca="1" ref="BS250" ca="1">IF(INDIRECT(ADDRESS($B250+1,BS$230,1,1,"Actively Infected Trend"))=0,#N/A,INDIRECT(ADDRESS($B250+1,BS$230,1,1,"Actively Infected Trend")))</f>
        <v>0.2430331131</v>
      </c>
      <c r="BT250" s="14" cm="1">
        <f t="array" aca="1" ref="BT250" ca="1">IF(INDIRECT(ADDRESS($B250+1,BT$230,1,1,"Actively Infected Trend"))=0,#N/A,INDIRECT(ADDRESS($B250+1,BT$230,1,1,"Actively Infected Trend")))</f>
        <v>0.2274480002</v>
      </c>
      <c r="BU250" s="14" cm="1">
        <f t="array" aca="1" ref="BU250" ca="1">IF(INDIRECT(ADDRESS($B250+1,BU$230,1,1,"Actively Infected Trend"))=0,#N/A,INDIRECT(ADDRESS($B250+1,BU$230,1,1,"Actively Infected Trend")))</f>
        <v>0.2077482054</v>
      </c>
      <c r="BV250" s="14" cm="1">
        <f t="array" aca="1" ref="BV250" ca="1">IF(INDIRECT(ADDRESS($B250+1,BV$230,1,1,"Actively Infected Trend"))=0,#N/A,INDIRECT(ADDRESS($B250+1,BV$230,1,1,"Actively Infected Trend")))</f>
        <v>0.18870553200000001</v>
      </c>
      <c r="BW250" s="14" cm="1">
        <f t="array" aca="1" ref="BW250" ca="1">IF(INDIRECT(ADDRESS($B250+1,BW$230,1,1,"Actively Infected Trend"))=0,#N/A,INDIRECT(ADDRESS($B250+1,BW$230,1,1,"Actively Infected Trend")))</f>
        <v>0.17014367629999999</v>
      </c>
      <c r="BX250" s="14" cm="1">
        <f t="array" aca="1" ref="BX250" ca="1">IF(INDIRECT(ADDRESS($B250+1,BX$230,1,1,"Actively Infected Trend"))=0,#N/A,INDIRECT(ADDRESS($B250+1,BX$230,1,1,"Actively Infected Trend")))</f>
        <v>0.1630660069</v>
      </c>
      <c r="BY250" s="14" cm="1">
        <f t="array" aca="1" ref="BY250" ca="1">IF(INDIRECT(ADDRESS($B250+1,BY$230,1,1,"Actively Infected Trend"))=0,#N/A,INDIRECT(ADDRESS($B250+1,BY$230,1,1,"Actively Infected Trend")))</f>
        <v>0.15742074249999999</v>
      </c>
      <c r="BZ250" s="14" cm="1">
        <f t="array" aca="1" ref="BZ250" ca="1">IF(INDIRECT(ADDRESS($B250+1,BZ$230,1,1,"Actively Infected Trend"))=0,#N/A,INDIRECT(ADDRESS($B250+1,BZ$230,1,1,"Actively Infected Trend")))</f>
        <v>0.15230436019999999</v>
      </c>
      <c r="CA250" s="14" cm="1">
        <f t="array" aca="1" ref="CA250" ca="1">IF(INDIRECT(ADDRESS($B250+1,CA$230,1,1,"Actively Infected Trend"))=0,#N/A,INDIRECT(ADDRESS($B250+1,CA$230,1,1,"Actively Infected Trend")))</f>
        <v>0.14524243680000001</v>
      </c>
      <c r="CB250" s="14" cm="1">
        <f t="array" aca="1" ref="CB250" ca="1">IF(INDIRECT(ADDRESS($B250+1,CB$230,1,1,"Actively Infected Trend"))=0,#N/A,INDIRECT(ADDRESS($B250+1,CB$230,1,1,"Actively Infected Trend")))</f>
        <v>0.13541644729999999</v>
      </c>
      <c r="CC250" s="14" cm="1">
        <f t="array" aca="1" ref="CC250" ca="1">IF(INDIRECT(ADDRESS($B250+1,CC$230,1,1,"Actively Infected Trend"))=0,#N/A,INDIRECT(ADDRESS($B250+1,CC$230,1,1,"Actively Infected Trend")))</f>
        <v>0.1236770308</v>
      </c>
      <c r="CD250" s="14" cm="1">
        <f t="array" aca="1" ref="CD250" ca="1">IF(INDIRECT(ADDRESS($B250+1,CD$230,1,1,"Actively Infected Trend"))=0,#N/A,INDIRECT(ADDRESS($B250+1,CD$230,1,1,"Actively Infected Trend")))</f>
        <v>0.1125463006</v>
      </c>
      <c r="CE250" s="14" cm="1">
        <f t="array" aca="1" ref="CE250" ca="1">IF(INDIRECT(ADDRESS($B250+1,CE$230,1,1,"Actively Infected Trend"))=0,#N/A,INDIRECT(ADDRESS($B250+1,CE$230,1,1,"Actively Infected Trend")))</f>
        <v>0.10636388369999999</v>
      </c>
      <c r="CF250" s="14" cm="1">
        <f t="array" aca="1" ref="CF250" ca="1">IF(INDIRECT(ADDRESS($B250+1,CF$230,1,1,"Actively Infected Trend"))=0,#N/A,INDIRECT(ADDRESS($B250+1,CF$230,1,1,"Actively Infected Trend")))</f>
        <v>0.10290672820000001</v>
      </c>
      <c r="CG250" s="14" cm="1">
        <f t="array" aca="1" ref="CG250" ca="1">IF(INDIRECT(ADDRESS($B250+1,CG$230,1,1,"Actively Infected Trend"))=0,#N/A,INDIRECT(ADDRESS($B250+1,CG$230,1,1,"Actively Infected Trend")))</f>
        <v>0.1011462731</v>
      </c>
      <c r="CH250" s="14" cm="1">
        <f t="array" aca="1" ref="CH250" ca="1">IF(INDIRECT(ADDRESS($B250+1,CH$230,1,1,"Actively Infected Trend"))=0,#N/A,INDIRECT(ADDRESS($B250+1,CH$230,1,1,"Actively Infected Trend")))</f>
        <v>9.7424925199999998E-2</v>
      </c>
      <c r="CI250" s="14" cm="1">
        <f t="array" aca="1" ref="CI250" ca="1">IF(INDIRECT(ADDRESS($B250+1,CI$230,1,1,"Actively Infected Trend"))=0,#N/A,INDIRECT(ADDRESS($B250+1,CI$230,1,1,"Actively Infected Trend")))</f>
        <v>9.1679919600000007E-2</v>
      </c>
      <c r="CJ250" s="14" cm="1">
        <f t="array" aca="1" ref="CJ250" ca="1">IF(INDIRECT(ADDRESS($B250+1,CJ$230,1,1,"Actively Infected Trend"))=0,#N/A,INDIRECT(ADDRESS($B250+1,CJ$230,1,1,"Actively Infected Trend")))</f>
        <v>8.5270653299999999E-2</v>
      </c>
      <c r="CK250" s="14" cm="1">
        <f t="array" aca="1" ref="CK250" ca="1">IF(INDIRECT(ADDRESS($B250+1,CK$230,1,1,"Actively Infected Trend"))=0,#N/A,INDIRECT(ADDRESS($B250+1,CK$230,1,1,"Actively Infected Trend")))</f>
        <v>7.966471E-2</v>
      </c>
      <c r="CL250" s="14" cm="1">
        <f t="array" aca="1" ref="CL250" ca="1">IF(INDIRECT(ADDRESS($B250+1,CL$230,1,1,"Actively Infected Trend"))=0,#N/A,INDIRECT(ADDRESS($B250+1,CL$230,1,1,"Actively Infected Trend")))</f>
        <v>7.7330765199999998E-2</v>
      </c>
      <c r="CM250" s="14" cm="1">
        <f t="array" aca="1" ref="CM250" ca="1">IF(INDIRECT(ADDRESS($B250+1,CM$230,1,1,"Actively Infected Trend"))=0,#N/A,INDIRECT(ADDRESS($B250+1,CM$230,1,1,"Actively Infected Trend")))</f>
        <v>7.8895882099999995E-2</v>
      </c>
      <c r="CN250" s="14" t="e" cm="1">
        <f t="array" aca="1" ref="CN250" ca="1">IF(INDIRECT(ADDRESS($B250+1,CN$230,1,1,"Actively Infected Trend"))=0,#N/A,INDIRECT(ADDRESS($B250+1,CN$230,1,1,"Actively Infected Trend")))</f>
        <v>#N/A</v>
      </c>
      <c r="CO250" s="14" t="e" cm="1">
        <f t="array" aca="1" ref="CO250" ca="1">IF(INDIRECT(ADDRESS($B250+1,CO$230,1,1,"Actively Infected Trend"))=0,#N/A,INDIRECT(ADDRESS($B250+1,CO$230,1,1,"Actively Infected Trend")))</f>
        <v>#N/A</v>
      </c>
      <c r="CP250" s="14" t="e" cm="1">
        <f t="array" aca="1" ref="CP250" ca="1">IF(INDIRECT(ADDRESS($B250+1,CP$230,1,1,"Actively Infected Trend"))=0,#N/A,INDIRECT(ADDRESS($B250+1,CP$230,1,1,"Actively Infected Trend")))</f>
        <v>#N/A</v>
      </c>
      <c r="CQ250" s="14" t="e" cm="1">
        <f t="array" aca="1" ref="CQ250" ca="1">IF(INDIRECT(ADDRESS($B250+1,CQ$230,1,1,"Actively Infected Trend"))=0,#N/A,INDIRECT(ADDRESS($B250+1,CQ$230,1,1,"Actively Infected Trend")))</f>
        <v>#N/A</v>
      </c>
      <c r="CR250" s="14" t="e" cm="1">
        <f t="array" aca="1" ref="CR250" ca="1">IF(INDIRECT(ADDRESS($B250+1,CR$230,1,1,"Actively Infected Trend"))=0,#N/A,INDIRECT(ADDRESS($B250+1,CR$230,1,1,"Actively Infected Trend")))</f>
        <v>#N/A</v>
      </c>
    </row>
    <row r="251" spans="2:96" x14ac:dyDescent="0.25">
      <c r="B251">
        <f t="shared" si="349"/>
        <v>20</v>
      </c>
      <c r="C251" t="str" cm="1">
        <f t="array" aca="1" ref="C251" ca="1">INDIRECT(ADDRESS($B251+1,1,1,1,"Actively Infected Trend"))</f>
        <v>United Kingdom</v>
      </c>
      <c r="E251" s="14" t="e" cm="1">
        <f t="array" aca="1" ref="E251" ca="1">IF(INDIRECT(ADDRESS($B251+1,E$230,1,1,"Actively Infected Trend"))=0,#N/A,INDIRECT(ADDRESS($B251+1,E$230,1,1,"Actively Infected Trend")))</f>
        <v>#N/A</v>
      </c>
      <c r="F251" s="14" t="e" cm="1">
        <f t="array" aca="1" ref="F251" ca="1">IF(INDIRECT(ADDRESS($B251+1,F$230,1,1,"Actively Infected Trend"))=0,#N/A,INDIRECT(ADDRESS($B251+1,F$230,1,1,"Actively Infected Trend")))</f>
        <v>#N/A</v>
      </c>
      <c r="G251" s="14" t="e" cm="1">
        <f t="array" aca="1" ref="G251" ca="1">IF(INDIRECT(ADDRESS($B251+1,G$230,1,1,"Actively Infected Trend"))=0,#N/A,INDIRECT(ADDRESS($B251+1,G$230,1,1,"Actively Infected Trend")))</f>
        <v>#N/A</v>
      </c>
      <c r="H251" s="14" t="e" cm="1">
        <f t="array" aca="1" ref="H251" ca="1">IF(INDIRECT(ADDRESS($B251+1,H$230,1,1,"Actively Infected Trend"))=0,#N/A,INDIRECT(ADDRESS($B251+1,H$230,1,1,"Actively Infected Trend")))</f>
        <v>#N/A</v>
      </c>
      <c r="I251" s="14" t="e" cm="1">
        <f t="array" aca="1" ref="I251" ca="1">IF(INDIRECT(ADDRESS($B251+1,I$230,1,1,"Actively Infected Trend"))=0,#N/A,INDIRECT(ADDRESS($B251+1,I$230,1,1,"Actively Infected Trend")))</f>
        <v>#N/A</v>
      </c>
      <c r="J251" s="14" t="e" cm="1">
        <f t="array" aca="1" ref="J251" ca="1">IF(INDIRECT(ADDRESS($B251+1,J$230,1,1,"Actively Infected Trend"))=0,#N/A,INDIRECT(ADDRESS($B251+1,J$230,1,1,"Actively Infected Trend")))</f>
        <v>#N/A</v>
      </c>
      <c r="K251" s="14" t="e" cm="1">
        <f t="array" aca="1" ref="K251" ca="1">IF(INDIRECT(ADDRESS($B251+1,K$230,1,1,"Actively Infected Trend"))=0,#N/A,INDIRECT(ADDRESS($B251+1,K$230,1,1,"Actively Infected Trend")))</f>
        <v>#N/A</v>
      </c>
      <c r="L251" s="14" t="e" cm="1">
        <f t="array" aca="1" ref="L251" ca="1">IF(INDIRECT(ADDRESS($B251+1,L$230,1,1,"Actively Infected Trend"))=0,#N/A,INDIRECT(ADDRESS($B251+1,L$230,1,1,"Actively Infected Trend")))</f>
        <v>#N/A</v>
      </c>
      <c r="M251" s="14" t="e" cm="1">
        <f t="array" aca="1" ref="M251" ca="1">IF(INDIRECT(ADDRESS($B251+1,M$230,1,1,"Actively Infected Trend"))=0,#N/A,INDIRECT(ADDRESS($B251+1,M$230,1,1,"Actively Infected Trend")))</f>
        <v>#N/A</v>
      </c>
      <c r="N251" s="14" t="e" cm="1">
        <f t="array" aca="1" ref="N251" ca="1">IF(INDIRECT(ADDRESS($B251+1,N$230,1,1,"Actively Infected Trend"))=0,#N/A,INDIRECT(ADDRESS($B251+1,N$230,1,1,"Actively Infected Trend")))</f>
        <v>#N/A</v>
      </c>
      <c r="O251" s="14" t="e" cm="1">
        <f t="array" aca="1" ref="O251" ca="1">IF(INDIRECT(ADDRESS($B251+1,O$230,1,1,"Actively Infected Trend"))=0,#N/A,INDIRECT(ADDRESS($B251+1,O$230,1,1,"Actively Infected Trend")))</f>
        <v>#N/A</v>
      </c>
      <c r="P251" s="14" t="e" cm="1">
        <f t="array" aca="1" ref="P251" ca="1">IF(INDIRECT(ADDRESS($B251+1,P$230,1,1,"Actively Infected Trend"))=0,#N/A,INDIRECT(ADDRESS($B251+1,P$230,1,1,"Actively Infected Trend")))</f>
        <v>#N/A</v>
      </c>
      <c r="Q251" s="14" t="e" cm="1">
        <f t="array" aca="1" ref="Q251" ca="1">IF(INDIRECT(ADDRESS($B251+1,Q$230,1,1,"Actively Infected Trend"))=0,#N/A,INDIRECT(ADDRESS($B251+1,Q$230,1,1,"Actively Infected Trend")))</f>
        <v>#N/A</v>
      </c>
      <c r="R251" s="14" t="e" cm="1">
        <f t="array" aca="1" ref="R251" ca="1">IF(INDIRECT(ADDRESS($B251+1,R$230,1,1,"Actively Infected Trend"))=0,#N/A,INDIRECT(ADDRESS($B251+1,R$230,1,1,"Actively Infected Trend")))</f>
        <v>#N/A</v>
      </c>
      <c r="S251" s="14" t="e" cm="1">
        <f t="array" aca="1" ref="S251" ca="1">IF(INDIRECT(ADDRESS($B251+1,S$230,1,1,"Actively Infected Trend"))=0,#N/A,INDIRECT(ADDRESS($B251+1,S$230,1,1,"Actively Infected Trend")))</f>
        <v>#N/A</v>
      </c>
      <c r="T251" s="14" t="e" cm="1">
        <f t="array" aca="1" ref="T251" ca="1">IF(INDIRECT(ADDRESS($B251+1,T$230,1,1,"Actively Infected Trend"))=0,#N/A,INDIRECT(ADDRESS($B251+1,T$230,1,1,"Actively Infected Trend")))</f>
        <v>#N/A</v>
      </c>
      <c r="U251" s="14" t="e" cm="1">
        <f t="array" aca="1" ref="U251" ca="1">IF(INDIRECT(ADDRESS($B251+1,U$230,1,1,"Actively Infected Trend"))=0,#N/A,INDIRECT(ADDRESS($B251+1,U$230,1,1,"Actively Infected Trend")))</f>
        <v>#N/A</v>
      </c>
      <c r="V251" s="14" t="e" cm="1">
        <f t="array" aca="1" ref="V251" ca="1">IF(INDIRECT(ADDRESS($B251+1,V$230,1,1,"Actively Infected Trend"))=0,#N/A,INDIRECT(ADDRESS($B251+1,V$230,1,1,"Actively Infected Trend")))</f>
        <v>#N/A</v>
      </c>
      <c r="W251" s="14" t="e" cm="1">
        <f t="array" aca="1" ref="W251" ca="1">IF(INDIRECT(ADDRESS($B251+1,W$230,1,1,"Actively Infected Trend"))=0,#N/A,INDIRECT(ADDRESS($B251+1,W$230,1,1,"Actively Infected Trend")))</f>
        <v>#N/A</v>
      </c>
      <c r="X251" s="14" t="e" cm="1">
        <f t="array" aca="1" ref="X251" ca="1">IF(INDIRECT(ADDRESS($B251+1,X$230,1,1,"Actively Infected Trend"))=0,#N/A,INDIRECT(ADDRESS($B251+1,X$230,1,1,"Actively Infected Trend")))</f>
        <v>#N/A</v>
      </c>
      <c r="Y251" s="14" t="e" cm="1">
        <f t="array" aca="1" ref="Y251" ca="1">IF(INDIRECT(ADDRESS($B251+1,Y$230,1,1,"Actively Infected Trend"))=0,#N/A,INDIRECT(ADDRESS($B251+1,Y$230,1,1,"Actively Infected Trend")))</f>
        <v>#N/A</v>
      </c>
      <c r="Z251" s="14" t="e" cm="1">
        <f t="array" aca="1" ref="Z251" ca="1">IF(INDIRECT(ADDRESS($B251+1,Z$230,1,1,"Actively Infected Trend"))=0,#N/A,INDIRECT(ADDRESS($B251+1,Z$230,1,1,"Actively Infected Trend")))</f>
        <v>#N/A</v>
      </c>
      <c r="AA251" s="14" t="e" cm="1">
        <f t="array" aca="1" ref="AA251" ca="1">IF(INDIRECT(ADDRESS($B251+1,AA$230,1,1,"Actively Infected Trend"))=0,#N/A,INDIRECT(ADDRESS($B251+1,AA$230,1,1,"Actively Infected Trend")))</f>
        <v>#N/A</v>
      </c>
      <c r="AB251" s="14" t="e" cm="1">
        <f t="array" aca="1" ref="AB251" ca="1">IF(INDIRECT(ADDRESS($B251+1,AB$230,1,1,"Actively Infected Trend"))=0,#N/A,INDIRECT(ADDRESS($B251+1,AB$230,1,1,"Actively Infected Trend")))</f>
        <v>#N/A</v>
      </c>
      <c r="AC251" s="14" t="e" cm="1">
        <f t="array" aca="1" ref="AC251" ca="1">IF(INDIRECT(ADDRESS($B251+1,AC$230,1,1,"Actively Infected Trend"))=0,#N/A,INDIRECT(ADDRESS($B251+1,AC$230,1,1,"Actively Infected Trend")))</f>
        <v>#N/A</v>
      </c>
      <c r="AD251" s="14" t="e" cm="1">
        <f t="array" aca="1" ref="AD251" ca="1">IF(INDIRECT(ADDRESS($B251+1,AD$230,1,1,"Actively Infected Trend"))=0,#N/A,INDIRECT(ADDRESS($B251+1,AD$230,1,1,"Actively Infected Trend")))</f>
        <v>#N/A</v>
      </c>
      <c r="AE251" s="14" t="e" cm="1">
        <f t="array" aca="1" ref="AE251" ca="1">IF(INDIRECT(ADDRESS($B251+1,AE$230,1,1,"Actively Infected Trend"))=0,#N/A,INDIRECT(ADDRESS($B251+1,AE$230,1,1,"Actively Infected Trend")))</f>
        <v>#N/A</v>
      </c>
      <c r="AF251" s="14" t="e" cm="1">
        <f t="array" aca="1" ref="AF251" ca="1">IF(INDIRECT(ADDRESS($B251+1,AF$230,1,1,"Actively Infected Trend"))=0,#N/A,INDIRECT(ADDRESS($B251+1,AF$230,1,1,"Actively Infected Trend")))</f>
        <v>#N/A</v>
      </c>
      <c r="AG251" s="14" t="e" cm="1">
        <f t="array" aca="1" ref="AG251" ca="1">IF(INDIRECT(ADDRESS($B251+1,AG$230,1,1,"Actively Infected Trend"))=0,#N/A,INDIRECT(ADDRESS($B251+1,AG$230,1,1,"Actively Infected Trend")))</f>
        <v>#N/A</v>
      </c>
      <c r="AH251" s="14" t="e" cm="1">
        <f t="array" aca="1" ref="AH251" ca="1">IF(INDIRECT(ADDRESS($B251+1,AH$230,1,1,"Actively Infected Trend"))=0,#N/A,INDIRECT(ADDRESS($B251+1,AH$230,1,1,"Actively Infected Trend")))</f>
        <v>#N/A</v>
      </c>
      <c r="AI251" s="14" cm="1">
        <f t="array" aca="1" ref="AI251" ca="1">IF(INDIRECT(ADDRESS($B251+1,AI$230,1,1,"Actively Infected Trend"))=0,#N/A,INDIRECT(ADDRESS($B251+1,AI$230,1,1,"Actively Infected Trend")))</f>
        <v>4.1073558500000003E-2</v>
      </c>
      <c r="AJ251" s="14" cm="1">
        <f t="array" aca="1" ref="AJ251" ca="1">IF(INDIRECT(ADDRESS($B251+1,AJ$230,1,1,"Actively Infected Trend"))=0,#N/A,INDIRECT(ADDRESS($B251+1,AJ$230,1,1,"Actively Infected Trend")))</f>
        <v>3.9489005899999999E-2</v>
      </c>
      <c r="AK251" s="14" cm="1">
        <f t="array" aca="1" ref="AK251" ca="1">IF(INDIRECT(ADDRESS($B251+1,AK$230,1,1,"Actively Infected Trend"))=0,#N/A,INDIRECT(ADDRESS($B251+1,AK$230,1,1,"Actively Infected Trend")))</f>
        <v>3.80204019E-2</v>
      </c>
      <c r="AL251" s="14" cm="1">
        <f t="array" aca="1" ref="AL251" ca="1">IF(INDIRECT(ADDRESS($B251+1,AL$230,1,1,"Actively Infected Trend"))=0,#N/A,INDIRECT(ADDRESS($B251+1,AL$230,1,1,"Actively Infected Trend")))</f>
        <v>7.3311199800000004E-2</v>
      </c>
      <c r="AM251" s="14" cm="1">
        <f t="array" aca="1" ref="AM251" ca="1">IF(INDIRECT(ADDRESS($B251+1,AM$230,1,1,"Actively Infected Trend"))=0,#N/A,INDIRECT(ADDRESS($B251+1,AM$230,1,1,"Actively Infected Trend")))</f>
        <v>7.8325891600000003E-2</v>
      </c>
      <c r="AN251" s="14" cm="1">
        <f t="array" aca="1" ref="AN251" ca="1">IF(INDIRECT(ADDRESS($B251+1,AN$230,1,1,"Actively Infected Trend"))=0,#N/A,INDIRECT(ADDRESS($B251+1,AN$230,1,1,"Actively Infected Trend")))</f>
        <v>8.8815462900000003E-2</v>
      </c>
      <c r="AO251" s="14" cm="1">
        <f t="array" aca="1" ref="AO251" ca="1">IF(INDIRECT(ADDRESS($B251+1,AO$230,1,1,"Actively Infected Trend"))=0,#N/A,INDIRECT(ADDRESS($B251+1,AO$230,1,1,"Actively Infected Trend")))</f>
        <v>0.101343299</v>
      </c>
      <c r="AP251" s="14" cm="1">
        <f t="array" aca="1" ref="AP251" ca="1">IF(INDIRECT(ADDRESS($B251+1,AP$230,1,1,"Actively Infected Trend"))=0,#N/A,INDIRECT(ADDRESS($B251+1,AP$230,1,1,"Actively Infected Trend")))</f>
        <v>0.1305087811</v>
      </c>
      <c r="AQ251" s="14" cm="1">
        <f t="array" aca="1" ref="AQ251" ca="1">IF(INDIRECT(ADDRESS($B251+1,AQ$230,1,1,"Actively Infected Trend"))=0,#N/A,INDIRECT(ADDRESS($B251+1,AQ$230,1,1,"Actively Infected Trend")))</f>
        <v>0.1803951681</v>
      </c>
      <c r="AR251" s="14" cm="1">
        <f t="array" aca="1" ref="AR251" ca="1">IF(INDIRECT(ADDRESS($B251+1,AR$230,1,1,"Actively Infected Trend"))=0,#N/A,INDIRECT(ADDRESS($B251+1,AR$230,1,1,"Actively Infected Trend")))</f>
        <v>0.24991161840000001</v>
      </c>
      <c r="AS251" s="14" cm="1">
        <f t="array" aca="1" ref="AS251" ca="1">IF(INDIRECT(ADDRESS($B251+1,AS$230,1,1,"Actively Infected Trend"))=0,#N/A,INDIRECT(ADDRESS($B251+1,AS$230,1,1,"Actively Infected Trend")))</f>
        <v>0.31609665260000003</v>
      </c>
      <c r="AT251" s="14" cm="1">
        <f t="array" aca="1" ref="AT251" ca="1">IF(INDIRECT(ADDRESS($B251+1,AT$230,1,1,"Actively Infected Trend"))=0,#N/A,INDIRECT(ADDRESS($B251+1,AT$230,1,1,"Actively Infected Trend")))</f>
        <v>0.34001291569999997</v>
      </c>
      <c r="AU251" s="14" cm="1">
        <f t="array" aca="1" ref="AU251" ca="1">IF(INDIRECT(ADDRESS($B251+1,AU$230,1,1,"Actively Infected Trend"))=0,#N/A,INDIRECT(ADDRESS($B251+1,AU$230,1,1,"Actively Infected Trend")))</f>
        <v>0.36904574109999999</v>
      </c>
      <c r="AV251" s="14" cm="1">
        <f t="array" aca="1" ref="AV251" ca="1">IF(INDIRECT(ADDRESS($B251+1,AV$230,1,1,"Actively Infected Trend"))=0,#N/A,INDIRECT(ADDRESS($B251+1,AV$230,1,1,"Actively Infected Trend")))</f>
        <v>0.3729265551</v>
      </c>
      <c r="AW251" s="14" cm="1">
        <f t="array" aca="1" ref="AW251" ca="1">IF(INDIRECT(ADDRESS($B251+1,AW$230,1,1,"Actively Infected Trend"))=0,#N/A,INDIRECT(ADDRESS($B251+1,AW$230,1,1,"Actively Infected Trend")))</f>
        <v>0.41428185270000001</v>
      </c>
      <c r="AX251" s="14" cm="1">
        <f t="array" aca="1" ref="AX251" ca="1">IF(INDIRECT(ADDRESS($B251+1,AX$230,1,1,"Actively Infected Trend"))=0,#N/A,INDIRECT(ADDRESS($B251+1,AX$230,1,1,"Actively Infected Trend")))</f>
        <v>0.42250128199999998</v>
      </c>
      <c r="AY251" s="14" cm="1">
        <f t="array" aca="1" ref="AY251" ca="1">IF(INDIRECT(ADDRESS($B251+1,AY$230,1,1,"Actively Infected Trend"))=0,#N/A,INDIRECT(ADDRESS($B251+1,AY$230,1,1,"Actively Infected Trend")))</f>
        <v>0.40057824209999998</v>
      </c>
      <c r="AZ251" s="14" cm="1">
        <f t="array" aca="1" ref="AZ251" ca="1">IF(INDIRECT(ADDRESS($B251+1,AZ$230,1,1,"Actively Infected Trend"))=0,#N/A,INDIRECT(ADDRESS($B251+1,AZ$230,1,1,"Actively Infected Trend")))</f>
        <v>0.35033446309999999</v>
      </c>
      <c r="BA251" s="14" cm="1">
        <f t="array" aca="1" ref="BA251" ca="1">IF(INDIRECT(ADDRESS($B251+1,BA$230,1,1,"Actively Infected Trend"))=0,#N/A,INDIRECT(ADDRESS($B251+1,BA$230,1,1,"Actively Infected Trend")))</f>
        <v>0.2909266982</v>
      </c>
      <c r="BB251" s="14" cm="1">
        <f t="array" aca="1" ref="BB251" ca="1">IF(INDIRECT(ADDRESS($B251+1,BB$230,1,1,"Actively Infected Trend"))=0,#N/A,INDIRECT(ADDRESS($B251+1,BB$230,1,1,"Actively Infected Trend")))</f>
        <v>0.25188636860000002</v>
      </c>
      <c r="BC251" s="14" cm="1">
        <f t="array" aca="1" ref="BC251" ca="1">IF(INDIRECT(ADDRESS($B251+1,BC$230,1,1,"Actively Infected Trend"))=0,#N/A,INDIRECT(ADDRESS($B251+1,BC$230,1,1,"Actively Infected Trend")))</f>
        <v>0.2346816511</v>
      </c>
      <c r="BD251" s="14" cm="1">
        <f t="array" aca="1" ref="BD251" ca="1">IF(INDIRECT(ADDRESS($B251+1,BD$230,1,1,"Actively Infected Trend"))=0,#N/A,INDIRECT(ADDRESS($B251+1,BD$230,1,1,"Actively Infected Trend")))</f>
        <v>0.24442253999999999</v>
      </c>
      <c r="BE251" s="14" cm="1">
        <f t="array" aca="1" ref="BE251" ca="1">IF(INDIRECT(ADDRESS($B251+1,BE$230,1,1,"Actively Infected Trend"))=0,#N/A,INDIRECT(ADDRESS($B251+1,BE$230,1,1,"Actively Infected Trend")))</f>
        <v>0.27886359789999998</v>
      </c>
      <c r="BF251" s="14" cm="1">
        <f t="array" aca="1" ref="BF251" ca="1">IF(INDIRECT(ADDRESS($B251+1,BF$230,1,1,"Actively Infected Trend"))=0,#N/A,INDIRECT(ADDRESS($B251+1,BF$230,1,1,"Actively Infected Trend")))</f>
        <v>0.30516257279999998</v>
      </c>
      <c r="BG251" s="14" cm="1">
        <f t="array" aca="1" ref="BG251" ca="1">IF(INDIRECT(ADDRESS($B251+1,BG$230,1,1,"Actively Infected Trend"))=0,#N/A,INDIRECT(ADDRESS($B251+1,BG$230,1,1,"Actively Infected Trend")))</f>
        <v>0.29803857480000001</v>
      </c>
      <c r="BH251" s="14" cm="1">
        <f t="array" aca="1" ref="BH251" ca="1">IF(INDIRECT(ADDRESS($B251+1,BH$230,1,1,"Actively Infected Trend"))=0,#N/A,INDIRECT(ADDRESS($B251+1,BH$230,1,1,"Actively Infected Trend")))</f>
        <v>0.27389126930000002</v>
      </c>
      <c r="BI251" s="14" cm="1">
        <f t="array" aca="1" ref="BI251" ca="1">IF(INDIRECT(ADDRESS($B251+1,BI$230,1,1,"Actively Infected Trend"))=0,#N/A,INDIRECT(ADDRESS($B251+1,BI$230,1,1,"Actively Infected Trend")))</f>
        <v>0.25091320509999998</v>
      </c>
      <c r="BJ251" s="14" cm="1">
        <f t="array" aca="1" ref="BJ251" ca="1">IF(INDIRECT(ADDRESS($B251+1,BJ$230,1,1,"Actively Infected Trend"))=0,#N/A,INDIRECT(ADDRESS($B251+1,BJ$230,1,1,"Actively Infected Trend")))</f>
        <v>0.2318019539</v>
      </c>
      <c r="BK251" s="14" cm="1">
        <f t="array" aca="1" ref="BK251" ca="1">IF(INDIRECT(ADDRESS($B251+1,BK$230,1,1,"Actively Infected Trend"))=0,#N/A,INDIRECT(ADDRESS($B251+1,BK$230,1,1,"Actively Infected Trend")))</f>
        <v>0.24370603120000001</v>
      </c>
      <c r="BL251" s="14" cm="1">
        <f t="array" aca="1" ref="BL251" ca="1">IF(INDIRECT(ADDRESS($B251+1,BL$230,1,1,"Actively Infected Trend"))=0,#N/A,INDIRECT(ADDRESS($B251+1,BL$230,1,1,"Actively Infected Trend")))</f>
        <v>0.25902521880000001</v>
      </c>
      <c r="BM251" s="14" cm="1">
        <f t="array" aca="1" ref="BM251" ca="1">IF(INDIRECT(ADDRESS($B251+1,BM$230,1,1,"Actively Infected Trend"))=0,#N/A,INDIRECT(ADDRESS($B251+1,BM$230,1,1,"Actively Infected Trend")))</f>
        <v>0.2573572656</v>
      </c>
      <c r="BN251" s="14" cm="1">
        <f t="array" aca="1" ref="BN251" ca="1">IF(INDIRECT(ADDRESS($B251+1,BN$230,1,1,"Actively Infected Trend"))=0,#N/A,INDIRECT(ADDRESS($B251+1,BN$230,1,1,"Actively Infected Trend")))</f>
        <v>0.25604474020000001</v>
      </c>
      <c r="BO251" s="14" cm="1">
        <f t="array" aca="1" ref="BO251" ca="1">IF(INDIRECT(ADDRESS($B251+1,BO$230,1,1,"Actively Infected Trend"))=0,#N/A,INDIRECT(ADDRESS($B251+1,BO$230,1,1,"Actively Infected Trend")))</f>
        <v>0.22917786949999999</v>
      </c>
      <c r="BP251" s="14" cm="1">
        <f t="array" aca="1" ref="BP251" ca="1">IF(INDIRECT(ADDRESS($B251+1,BP$230,1,1,"Actively Infected Trend"))=0,#N/A,INDIRECT(ADDRESS($B251+1,BP$230,1,1,"Actively Infected Trend")))</f>
        <v>0.2104635007</v>
      </c>
      <c r="BQ251" s="14" cm="1">
        <f t="array" aca="1" ref="BQ251" ca="1">IF(INDIRECT(ADDRESS($B251+1,BQ$230,1,1,"Actively Infected Trend"))=0,#N/A,INDIRECT(ADDRESS($B251+1,BQ$230,1,1,"Actively Infected Trend")))</f>
        <v>0.1988474637</v>
      </c>
      <c r="BR251" s="14" cm="1">
        <f t="array" aca="1" ref="BR251" ca="1">IF(INDIRECT(ADDRESS($B251+1,BR$230,1,1,"Actively Infected Trend"))=0,#N/A,INDIRECT(ADDRESS($B251+1,BR$230,1,1,"Actively Infected Trend")))</f>
        <v>0.20940872420000001</v>
      </c>
      <c r="BS251" s="14" cm="1">
        <f t="array" aca="1" ref="BS251" ca="1">IF(INDIRECT(ADDRESS($B251+1,BS$230,1,1,"Actively Infected Trend"))=0,#N/A,INDIRECT(ADDRESS($B251+1,BS$230,1,1,"Actively Infected Trend")))</f>
        <v>0.22158412860000001</v>
      </c>
      <c r="BT251" s="14" cm="1">
        <f t="array" aca="1" ref="BT251" ca="1">IF(INDIRECT(ADDRESS($B251+1,BT$230,1,1,"Actively Infected Trend"))=0,#N/A,INDIRECT(ADDRESS($B251+1,BT$230,1,1,"Actively Infected Trend")))</f>
        <v>0.2202101031</v>
      </c>
      <c r="BU251" s="14" cm="1">
        <f t="array" aca="1" ref="BU251" ca="1">IF(INDIRECT(ADDRESS($B251+1,BU$230,1,1,"Actively Infected Trend"))=0,#N/A,INDIRECT(ADDRESS($B251+1,BU$230,1,1,"Actively Infected Trend")))</f>
        <v>0.2046019812</v>
      </c>
      <c r="BV251" s="14" cm="1">
        <f t="array" aca="1" ref="BV251" ca="1">IF(INDIRECT(ADDRESS($B251+1,BV$230,1,1,"Actively Infected Trend"))=0,#N/A,INDIRECT(ADDRESS($B251+1,BV$230,1,1,"Actively Infected Trend")))</f>
        <v>0.18362055529999999</v>
      </c>
      <c r="BW251" s="14" cm="1">
        <f t="array" aca="1" ref="BW251" ca="1">IF(INDIRECT(ADDRESS($B251+1,BW$230,1,1,"Actively Infected Trend"))=0,#N/A,INDIRECT(ADDRESS($B251+1,BW$230,1,1,"Actively Infected Trend")))</f>
        <v>0.16902803490000001</v>
      </c>
      <c r="BX251" s="14" cm="1">
        <f t="array" aca="1" ref="BX251" ca="1">IF(INDIRECT(ADDRESS($B251+1,BX$230,1,1,"Actively Infected Trend"))=0,#N/A,INDIRECT(ADDRESS($B251+1,BX$230,1,1,"Actively Infected Trend")))</f>
        <v>0.16024434479999999</v>
      </c>
      <c r="BY251" s="14" cm="1">
        <f t="array" aca="1" ref="BY251" ca="1">IF(INDIRECT(ADDRESS($B251+1,BY$230,1,1,"Actively Infected Trend"))=0,#N/A,INDIRECT(ADDRESS($B251+1,BY$230,1,1,"Actively Infected Trend")))</f>
        <v>0.1630886023</v>
      </c>
      <c r="BZ251" s="14" cm="1">
        <f t="array" aca="1" ref="BZ251" ca="1">IF(INDIRECT(ADDRESS($B251+1,BZ$230,1,1,"Actively Infected Trend"))=0,#N/A,INDIRECT(ADDRESS($B251+1,BZ$230,1,1,"Actively Infected Trend")))</f>
        <v>0.16174772709999999</v>
      </c>
      <c r="CA251" s="14" cm="1">
        <f t="array" aca="1" ref="CA251" ca="1">IF(INDIRECT(ADDRESS($B251+1,CA$230,1,1,"Actively Infected Trend"))=0,#N/A,INDIRECT(ADDRESS($B251+1,CA$230,1,1,"Actively Infected Trend")))</f>
        <v>0.1544343497</v>
      </c>
      <c r="CB251" s="14" cm="1">
        <f t="array" aca="1" ref="CB251" ca="1">IF(INDIRECT(ADDRESS($B251+1,CB$230,1,1,"Actively Infected Trend"))=0,#N/A,INDIRECT(ADDRESS($B251+1,CB$230,1,1,"Actively Infected Trend")))</f>
        <v>0.1430562225</v>
      </c>
      <c r="CC251" s="14" cm="1">
        <f t="array" aca="1" ref="CC251" ca="1">IF(INDIRECT(ADDRESS($B251+1,CC$230,1,1,"Actively Infected Trend"))=0,#N/A,INDIRECT(ADDRESS($B251+1,CC$230,1,1,"Actively Infected Trend")))</f>
        <v>0.13049117430000001</v>
      </c>
      <c r="CD251" s="14" cm="1">
        <f t="array" aca="1" ref="CD251" ca="1">IF(INDIRECT(ADDRESS($B251+1,CD$230,1,1,"Actively Infected Trend"))=0,#N/A,INDIRECT(ADDRESS($B251+1,CD$230,1,1,"Actively Infected Trend")))</f>
        <v>0.1205331835</v>
      </c>
      <c r="CE251" s="14" cm="1">
        <f t="array" aca="1" ref="CE251" ca="1">IF(INDIRECT(ADDRESS($B251+1,CE$230,1,1,"Actively Infected Trend"))=0,#N/A,INDIRECT(ADDRESS($B251+1,CE$230,1,1,"Actively Infected Trend")))</f>
        <v>0.1106391477</v>
      </c>
      <c r="CF251" s="14" cm="1">
        <f t="array" aca="1" ref="CF251" ca="1">IF(INDIRECT(ADDRESS($B251+1,CF$230,1,1,"Actively Infected Trend"))=0,#N/A,INDIRECT(ADDRESS($B251+1,CF$230,1,1,"Actively Infected Trend")))</f>
        <v>0.11225258740000001</v>
      </c>
      <c r="CG251" s="14" cm="1">
        <f t="array" aca="1" ref="CG251" ca="1">IF(INDIRECT(ADDRESS($B251+1,CG$230,1,1,"Actively Infected Trend"))=0,#N/A,INDIRECT(ADDRESS($B251+1,CG$230,1,1,"Actively Infected Trend")))</f>
        <v>0.11407501220000001</v>
      </c>
      <c r="CH251" s="14" cm="1">
        <f t="array" aca="1" ref="CH251" ca="1">IF(INDIRECT(ADDRESS($B251+1,CH$230,1,1,"Actively Infected Trend"))=0,#N/A,INDIRECT(ADDRESS($B251+1,CH$230,1,1,"Actively Infected Trend")))</f>
        <v>0.1178373744</v>
      </c>
      <c r="CI251" s="14" cm="1">
        <f t="array" aca="1" ref="CI251" ca="1">IF(INDIRECT(ADDRESS($B251+1,CI$230,1,1,"Actively Infected Trend"))=0,#N/A,INDIRECT(ADDRESS($B251+1,CI$230,1,1,"Actively Infected Trend")))</f>
        <v>0.114717111</v>
      </c>
      <c r="CJ251" s="14" cm="1">
        <f t="array" aca="1" ref="CJ251" ca="1">IF(INDIRECT(ADDRESS($B251+1,CJ$230,1,1,"Actively Infected Trend"))=0,#N/A,INDIRECT(ADDRESS($B251+1,CJ$230,1,1,"Actively Infected Trend")))</f>
        <v>0.1027997623</v>
      </c>
      <c r="CK251" s="14" cm="1">
        <f t="array" aca="1" ref="CK251" ca="1">IF(INDIRECT(ADDRESS($B251+1,CK$230,1,1,"Actively Infected Trend"))=0,#N/A,INDIRECT(ADDRESS($B251+1,CK$230,1,1,"Actively Infected Trend")))</f>
        <v>9.3772641099999998E-2</v>
      </c>
      <c r="CL251" s="14" cm="1">
        <f t="array" aca="1" ref="CL251" ca="1">IF(INDIRECT(ADDRESS($B251+1,CL$230,1,1,"Actively Infected Trend"))=0,#N/A,INDIRECT(ADDRESS($B251+1,CL$230,1,1,"Actively Infected Trend")))</f>
        <v>8.4136285300000002E-2</v>
      </c>
      <c r="CM251" s="14" cm="1">
        <f t="array" aca="1" ref="CM251" ca="1">IF(INDIRECT(ADDRESS($B251+1,CM$230,1,1,"Actively Infected Trend"))=0,#N/A,INDIRECT(ADDRESS($B251+1,CM$230,1,1,"Actively Infected Trend")))</f>
        <v>8.2432433400000005E-2</v>
      </c>
      <c r="CN251" s="14" t="e" cm="1">
        <f t="array" aca="1" ref="CN251" ca="1">IF(INDIRECT(ADDRESS($B251+1,CN$230,1,1,"Actively Infected Trend"))=0,#N/A,INDIRECT(ADDRESS($B251+1,CN$230,1,1,"Actively Infected Trend")))</f>
        <v>#N/A</v>
      </c>
      <c r="CO251" s="14" t="e" cm="1">
        <f t="array" aca="1" ref="CO251" ca="1">IF(INDIRECT(ADDRESS($B251+1,CO$230,1,1,"Actively Infected Trend"))=0,#N/A,INDIRECT(ADDRESS($B251+1,CO$230,1,1,"Actively Infected Trend")))</f>
        <v>#N/A</v>
      </c>
      <c r="CP251" s="14" t="e" cm="1">
        <f t="array" aca="1" ref="CP251" ca="1">IF(INDIRECT(ADDRESS($B251+1,CP$230,1,1,"Actively Infected Trend"))=0,#N/A,INDIRECT(ADDRESS($B251+1,CP$230,1,1,"Actively Infected Trend")))</f>
        <v>#N/A</v>
      </c>
      <c r="CQ251" s="14" t="e" cm="1">
        <f t="array" aca="1" ref="CQ251" ca="1">IF(INDIRECT(ADDRESS($B251+1,CQ$230,1,1,"Actively Infected Trend"))=0,#N/A,INDIRECT(ADDRESS($B251+1,CQ$230,1,1,"Actively Infected Trend")))</f>
        <v>#N/A</v>
      </c>
      <c r="CR251" s="14" t="e" cm="1">
        <f t="array" aca="1" ref="CR251" ca="1">IF(INDIRECT(ADDRESS($B251+1,CR$230,1,1,"Actively Infected Trend"))=0,#N/A,INDIRECT(ADDRESS($B251+1,CR$230,1,1,"Actively Infected Trend")))</f>
        <v>#N/A</v>
      </c>
    </row>
    <row r="252" spans="2:96" x14ac:dyDescent="0.25">
      <c r="B252">
        <f t="shared" si="349"/>
        <v>21</v>
      </c>
      <c r="C252" cm="1">
        <f t="array" aca="1" ref="C252" ca="1">INDIRECT(ADDRESS($B252+1,1,1,1,"Actively Infected Trend"))</f>
        <v>0</v>
      </c>
      <c r="E252" s="14" t="e" cm="1">
        <f t="array" aca="1" ref="E252" ca="1">IF(INDIRECT(ADDRESS($B252+1,E$230,1,1,"Actively Infected Trend"))=0,#N/A,INDIRECT(ADDRESS($B252+1,E$230,1,1,"Actively Infected Trend")))</f>
        <v>#N/A</v>
      </c>
      <c r="F252" s="14" t="e" cm="1">
        <f t="array" aca="1" ref="F252" ca="1">IF(INDIRECT(ADDRESS($B252+1,F$230,1,1,"Actively Infected Trend"))=0,#N/A,INDIRECT(ADDRESS($B252+1,F$230,1,1,"Actively Infected Trend")))</f>
        <v>#N/A</v>
      </c>
      <c r="G252" s="14" t="e" cm="1">
        <f t="array" aca="1" ref="G252" ca="1">IF(INDIRECT(ADDRESS($B252+1,G$230,1,1,"Actively Infected Trend"))=0,#N/A,INDIRECT(ADDRESS($B252+1,G$230,1,1,"Actively Infected Trend")))</f>
        <v>#N/A</v>
      </c>
      <c r="H252" s="14" t="e" cm="1">
        <f t="array" aca="1" ref="H252" ca="1">IF(INDIRECT(ADDRESS($B252+1,H$230,1,1,"Actively Infected Trend"))=0,#N/A,INDIRECT(ADDRESS($B252+1,H$230,1,1,"Actively Infected Trend")))</f>
        <v>#N/A</v>
      </c>
      <c r="I252" s="14" t="e" cm="1">
        <f t="array" aca="1" ref="I252" ca="1">IF(INDIRECT(ADDRESS($B252+1,I$230,1,1,"Actively Infected Trend"))=0,#N/A,INDIRECT(ADDRESS($B252+1,I$230,1,1,"Actively Infected Trend")))</f>
        <v>#N/A</v>
      </c>
      <c r="J252" s="14" t="e" cm="1">
        <f t="array" aca="1" ref="J252" ca="1">IF(INDIRECT(ADDRESS($B252+1,J$230,1,1,"Actively Infected Trend"))=0,#N/A,INDIRECT(ADDRESS($B252+1,J$230,1,1,"Actively Infected Trend")))</f>
        <v>#N/A</v>
      </c>
      <c r="K252" s="14" t="e" cm="1">
        <f t="array" aca="1" ref="K252" ca="1">IF(INDIRECT(ADDRESS($B252+1,K$230,1,1,"Actively Infected Trend"))=0,#N/A,INDIRECT(ADDRESS($B252+1,K$230,1,1,"Actively Infected Trend")))</f>
        <v>#N/A</v>
      </c>
      <c r="L252" s="14" t="e" cm="1">
        <f t="array" aca="1" ref="L252" ca="1">IF(INDIRECT(ADDRESS($B252+1,L$230,1,1,"Actively Infected Trend"))=0,#N/A,INDIRECT(ADDRESS($B252+1,L$230,1,1,"Actively Infected Trend")))</f>
        <v>#N/A</v>
      </c>
      <c r="M252" s="14" t="e" cm="1">
        <f t="array" aca="1" ref="M252" ca="1">IF(INDIRECT(ADDRESS($B252+1,M$230,1,1,"Actively Infected Trend"))=0,#N/A,INDIRECT(ADDRESS($B252+1,M$230,1,1,"Actively Infected Trend")))</f>
        <v>#N/A</v>
      </c>
      <c r="N252" s="14" t="e" cm="1">
        <f t="array" aca="1" ref="N252" ca="1">IF(INDIRECT(ADDRESS($B252+1,N$230,1,1,"Actively Infected Trend"))=0,#N/A,INDIRECT(ADDRESS($B252+1,N$230,1,1,"Actively Infected Trend")))</f>
        <v>#N/A</v>
      </c>
      <c r="O252" s="14" t="e" cm="1">
        <f t="array" aca="1" ref="O252" ca="1">IF(INDIRECT(ADDRESS($B252+1,O$230,1,1,"Actively Infected Trend"))=0,#N/A,INDIRECT(ADDRESS($B252+1,O$230,1,1,"Actively Infected Trend")))</f>
        <v>#N/A</v>
      </c>
      <c r="P252" s="14" t="e" cm="1">
        <f t="array" aca="1" ref="P252" ca="1">IF(INDIRECT(ADDRESS($B252+1,P$230,1,1,"Actively Infected Trend"))=0,#N/A,INDIRECT(ADDRESS($B252+1,P$230,1,1,"Actively Infected Trend")))</f>
        <v>#N/A</v>
      </c>
      <c r="Q252" s="14" t="e" cm="1">
        <f t="array" aca="1" ref="Q252" ca="1">IF(INDIRECT(ADDRESS($B252+1,Q$230,1,1,"Actively Infected Trend"))=0,#N/A,INDIRECT(ADDRESS($B252+1,Q$230,1,1,"Actively Infected Trend")))</f>
        <v>#N/A</v>
      </c>
      <c r="R252" s="14" t="e" cm="1">
        <f t="array" aca="1" ref="R252" ca="1">IF(INDIRECT(ADDRESS($B252+1,R$230,1,1,"Actively Infected Trend"))=0,#N/A,INDIRECT(ADDRESS($B252+1,R$230,1,1,"Actively Infected Trend")))</f>
        <v>#N/A</v>
      </c>
      <c r="S252" s="14" t="e" cm="1">
        <f t="array" aca="1" ref="S252" ca="1">IF(INDIRECT(ADDRESS($B252+1,S$230,1,1,"Actively Infected Trend"))=0,#N/A,INDIRECT(ADDRESS($B252+1,S$230,1,1,"Actively Infected Trend")))</f>
        <v>#N/A</v>
      </c>
      <c r="T252" s="14" t="e" cm="1">
        <f t="array" aca="1" ref="T252" ca="1">IF(INDIRECT(ADDRESS($B252+1,T$230,1,1,"Actively Infected Trend"))=0,#N/A,INDIRECT(ADDRESS($B252+1,T$230,1,1,"Actively Infected Trend")))</f>
        <v>#N/A</v>
      </c>
      <c r="U252" s="14" t="e" cm="1">
        <f t="array" aca="1" ref="U252" ca="1">IF(INDIRECT(ADDRESS($B252+1,U$230,1,1,"Actively Infected Trend"))=0,#N/A,INDIRECT(ADDRESS($B252+1,U$230,1,1,"Actively Infected Trend")))</f>
        <v>#N/A</v>
      </c>
      <c r="V252" s="14" t="e" cm="1">
        <f t="array" aca="1" ref="V252" ca="1">IF(INDIRECT(ADDRESS($B252+1,V$230,1,1,"Actively Infected Trend"))=0,#N/A,INDIRECT(ADDRESS($B252+1,V$230,1,1,"Actively Infected Trend")))</f>
        <v>#N/A</v>
      </c>
      <c r="W252" s="14" t="e" cm="1">
        <f t="array" aca="1" ref="W252" ca="1">IF(INDIRECT(ADDRESS($B252+1,W$230,1,1,"Actively Infected Trend"))=0,#N/A,INDIRECT(ADDRESS($B252+1,W$230,1,1,"Actively Infected Trend")))</f>
        <v>#N/A</v>
      </c>
      <c r="X252" s="14" t="e" cm="1">
        <f t="array" aca="1" ref="X252" ca="1">IF(INDIRECT(ADDRESS($B252+1,X$230,1,1,"Actively Infected Trend"))=0,#N/A,INDIRECT(ADDRESS($B252+1,X$230,1,1,"Actively Infected Trend")))</f>
        <v>#N/A</v>
      </c>
      <c r="Y252" s="14" t="e" cm="1">
        <f t="array" aca="1" ref="Y252" ca="1">IF(INDIRECT(ADDRESS($B252+1,Y$230,1,1,"Actively Infected Trend"))=0,#N/A,INDIRECT(ADDRESS($B252+1,Y$230,1,1,"Actively Infected Trend")))</f>
        <v>#N/A</v>
      </c>
      <c r="Z252" s="14" t="e" cm="1">
        <f t="array" aca="1" ref="Z252" ca="1">IF(INDIRECT(ADDRESS($B252+1,Z$230,1,1,"Actively Infected Trend"))=0,#N/A,INDIRECT(ADDRESS($B252+1,Z$230,1,1,"Actively Infected Trend")))</f>
        <v>#N/A</v>
      </c>
      <c r="AA252" s="14" t="e" cm="1">
        <f t="array" aca="1" ref="AA252" ca="1">IF(INDIRECT(ADDRESS($B252+1,AA$230,1,1,"Actively Infected Trend"))=0,#N/A,INDIRECT(ADDRESS($B252+1,AA$230,1,1,"Actively Infected Trend")))</f>
        <v>#N/A</v>
      </c>
      <c r="AB252" s="14" t="e" cm="1">
        <f t="array" aca="1" ref="AB252" ca="1">IF(INDIRECT(ADDRESS($B252+1,AB$230,1,1,"Actively Infected Trend"))=0,#N/A,INDIRECT(ADDRESS($B252+1,AB$230,1,1,"Actively Infected Trend")))</f>
        <v>#N/A</v>
      </c>
      <c r="AC252" s="14" t="e" cm="1">
        <f t="array" aca="1" ref="AC252" ca="1">IF(INDIRECT(ADDRESS($B252+1,AC$230,1,1,"Actively Infected Trend"))=0,#N/A,INDIRECT(ADDRESS($B252+1,AC$230,1,1,"Actively Infected Trend")))</f>
        <v>#N/A</v>
      </c>
      <c r="AD252" s="14" t="e" cm="1">
        <f t="array" aca="1" ref="AD252" ca="1">IF(INDIRECT(ADDRESS($B252+1,AD$230,1,1,"Actively Infected Trend"))=0,#N/A,INDIRECT(ADDRESS($B252+1,AD$230,1,1,"Actively Infected Trend")))</f>
        <v>#N/A</v>
      </c>
      <c r="AE252" s="14" t="e" cm="1">
        <f t="array" aca="1" ref="AE252" ca="1">IF(INDIRECT(ADDRESS($B252+1,AE$230,1,1,"Actively Infected Trend"))=0,#N/A,INDIRECT(ADDRESS($B252+1,AE$230,1,1,"Actively Infected Trend")))</f>
        <v>#N/A</v>
      </c>
      <c r="AF252" s="14" t="e" cm="1">
        <f t="array" aca="1" ref="AF252" ca="1">IF(INDIRECT(ADDRESS($B252+1,AF$230,1,1,"Actively Infected Trend"))=0,#N/A,INDIRECT(ADDRESS($B252+1,AF$230,1,1,"Actively Infected Trend")))</f>
        <v>#N/A</v>
      </c>
      <c r="AG252" s="14" t="e" cm="1">
        <f t="array" aca="1" ref="AG252" ca="1">IF(INDIRECT(ADDRESS($B252+1,AG$230,1,1,"Actively Infected Trend"))=0,#N/A,INDIRECT(ADDRESS($B252+1,AG$230,1,1,"Actively Infected Trend")))</f>
        <v>#N/A</v>
      </c>
      <c r="AH252" s="14" t="e" cm="1">
        <f t="array" aca="1" ref="AH252" ca="1">IF(INDIRECT(ADDRESS($B252+1,AH$230,1,1,"Actively Infected Trend"))=0,#N/A,INDIRECT(ADDRESS($B252+1,AH$230,1,1,"Actively Infected Trend")))</f>
        <v>#N/A</v>
      </c>
      <c r="AI252" s="14" t="e" cm="1">
        <f t="array" aca="1" ref="AI252" ca="1">IF(INDIRECT(ADDRESS($B252+1,AI$230,1,1,"Actively Infected Trend"))=0,#N/A,INDIRECT(ADDRESS($B252+1,AI$230,1,1,"Actively Infected Trend")))</f>
        <v>#N/A</v>
      </c>
      <c r="AJ252" s="14" t="e" cm="1">
        <f t="array" aca="1" ref="AJ252" ca="1">IF(INDIRECT(ADDRESS($B252+1,AJ$230,1,1,"Actively Infected Trend"))=0,#N/A,INDIRECT(ADDRESS($B252+1,AJ$230,1,1,"Actively Infected Trend")))</f>
        <v>#N/A</v>
      </c>
      <c r="AK252" s="14" t="e" cm="1">
        <f t="array" aca="1" ref="AK252" ca="1">IF(INDIRECT(ADDRESS($B252+1,AK$230,1,1,"Actively Infected Trend"))=0,#N/A,INDIRECT(ADDRESS($B252+1,AK$230,1,1,"Actively Infected Trend")))</f>
        <v>#N/A</v>
      </c>
      <c r="AL252" s="14" t="e" cm="1">
        <f t="array" aca="1" ref="AL252" ca="1">IF(INDIRECT(ADDRESS($B252+1,AL$230,1,1,"Actively Infected Trend"))=0,#N/A,INDIRECT(ADDRESS($B252+1,AL$230,1,1,"Actively Infected Trend")))</f>
        <v>#N/A</v>
      </c>
      <c r="AM252" s="14" t="e" cm="1">
        <f t="array" aca="1" ref="AM252" ca="1">IF(INDIRECT(ADDRESS($B252+1,AM$230,1,1,"Actively Infected Trend"))=0,#N/A,INDIRECT(ADDRESS($B252+1,AM$230,1,1,"Actively Infected Trend")))</f>
        <v>#N/A</v>
      </c>
      <c r="AN252" s="14" t="e" cm="1">
        <f t="array" aca="1" ref="AN252" ca="1">IF(INDIRECT(ADDRESS($B252+1,AN$230,1,1,"Actively Infected Trend"))=0,#N/A,INDIRECT(ADDRESS($B252+1,AN$230,1,1,"Actively Infected Trend")))</f>
        <v>#N/A</v>
      </c>
      <c r="AO252" s="14" t="e" cm="1">
        <f t="array" aca="1" ref="AO252" ca="1">IF(INDIRECT(ADDRESS($B252+1,AO$230,1,1,"Actively Infected Trend"))=0,#N/A,INDIRECT(ADDRESS($B252+1,AO$230,1,1,"Actively Infected Trend")))</f>
        <v>#N/A</v>
      </c>
      <c r="AP252" s="14" t="e" cm="1">
        <f t="array" aca="1" ref="AP252" ca="1">IF(INDIRECT(ADDRESS($B252+1,AP$230,1,1,"Actively Infected Trend"))=0,#N/A,INDIRECT(ADDRESS($B252+1,AP$230,1,1,"Actively Infected Trend")))</f>
        <v>#N/A</v>
      </c>
      <c r="AQ252" s="14" t="e" cm="1">
        <f t="array" aca="1" ref="AQ252" ca="1">IF(INDIRECT(ADDRESS($B252+1,AQ$230,1,1,"Actively Infected Trend"))=0,#N/A,INDIRECT(ADDRESS($B252+1,AQ$230,1,1,"Actively Infected Trend")))</f>
        <v>#N/A</v>
      </c>
      <c r="AR252" s="14" t="e" cm="1">
        <f t="array" aca="1" ref="AR252" ca="1">IF(INDIRECT(ADDRESS($B252+1,AR$230,1,1,"Actively Infected Trend"))=0,#N/A,INDIRECT(ADDRESS($B252+1,AR$230,1,1,"Actively Infected Trend")))</f>
        <v>#N/A</v>
      </c>
      <c r="AS252" s="14" t="e" cm="1">
        <f t="array" aca="1" ref="AS252" ca="1">IF(INDIRECT(ADDRESS($B252+1,AS$230,1,1,"Actively Infected Trend"))=0,#N/A,INDIRECT(ADDRESS($B252+1,AS$230,1,1,"Actively Infected Trend")))</f>
        <v>#N/A</v>
      </c>
      <c r="AT252" s="14" t="e" cm="1">
        <f t="array" aca="1" ref="AT252" ca="1">IF(INDIRECT(ADDRESS($B252+1,AT$230,1,1,"Actively Infected Trend"))=0,#N/A,INDIRECT(ADDRESS($B252+1,AT$230,1,1,"Actively Infected Trend")))</f>
        <v>#N/A</v>
      </c>
      <c r="AU252" s="14" t="e" cm="1">
        <f t="array" aca="1" ref="AU252" ca="1">IF(INDIRECT(ADDRESS($B252+1,AU$230,1,1,"Actively Infected Trend"))=0,#N/A,INDIRECT(ADDRESS($B252+1,AU$230,1,1,"Actively Infected Trend")))</f>
        <v>#N/A</v>
      </c>
      <c r="AV252" s="14" t="e" cm="1">
        <f t="array" aca="1" ref="AV252" ca="1">IF(INDIRECT(ADDRESS($B252+1,AV$230,1,1,"Actively Infected Trend"))=0,#N/A,INDIRECT(ADDRESS($B252+1,AV$230,1,1,"Actively Infected Trend")))</f>
        <v>#N/A</v>
      </c>
      <c r="AW252" s="14" t="e" cm="1">
        <f t="array" aca="1" ref="AW252" ca="1">IF(INDIRECT(ADDRESS($B252+1,AW$230,1,1,"Actively Infected Trend"))=0,#N/A,INDIRECT(ADDRESS($B252+1,AW$230,1,1,"Actively Infected Trend")))</f>
        <v>#N/A</v>
      </c>
      <c r="AX252" s="14" t="e" cm="1">
        <f t="array" aca="1" ref="AX252" ca="1">IF(INDIRECT(ADDRESS($B252+1,AX$230,1,1,"Actively Infected Trend"))=0,#N/A,INDIRECT(ADDRESS($B252+1,AX$230,1,1,"Actively Infected Trend")))</f>
        <v>#N/A</v>
      </c>
      <c r="AY252" s="14" t="e" cm="1">
        <f t="array" aca="1" ref="AY252" ca="1">IF(INDIRECT(ADDRESS($B252+1,AY$230,1,1,"Actively Infected Trend"))=0,#N/A,INDIRECT(ADDRESS($B252+1,AY$230,1,1,"Actively Infected Trend")))</f>
        <v>#N/A</v>
      </c>
      <c r="AZ252" s="14" t="e" cm="1">
        <f t="array" aca="1" ref="AZ252" ca="1">IF(INDIRECT(ADDRESS($B252+1,AZ$230,1,1,"Actively Infected Trend"))=0,#N/A,INDIRECT(ADDRESS($B252+1,AZ$230,1,1,"Actively Infected Trend")))</f>
        <v>#N/A</v>
      </c>
      <c r="BA252" s="14" t="e" cm="1">
        <f t="array" aca="1" ref="BA252" ca="1">IF(INDIRECT(ADDRESS($B252+1,BA$230,1,1,"Actively Infected Trend"))=0,#N/A,INDIRECT(ADDRESS($B252+1,BA$230,1,1,"Actively Infected Trend")))</f>
        <v>#N/A</v>
      </c>
      <c r="BB252" s="14" t="e" cm="1">
        <f t="array" aca="1" ref="BB252" ca="1">IF(INDIRECT(ADDRESS($B252+1,BB$230,1,1,"Actively Infected Trend"))=0,#N/A,INDIRECT(ADDRESS($B252+1,BB$230,1,1,"Actively Infected Trend")))</f>
        <v>#N/A</v>
      </c>
      <c r="BC252" s="14" t="e" cm="1">
        <f t="array" aca="1" ref="BC252" ca="1">IF(INDIRECT(ADDRESS($B252+1,BC$230,1,1,"Actively Infected Trend"))=0,#N/A,INDIRECT(ADDRESS($B252+1,BC$230,1,1,"Actively Infected Trend")))</f>
        <v>#N/A</v>
      </c>
      <c r="BD252" s="14" t="e" cm="1">
        <f t="array" aca="1" ref="BD252" ca="1">IF(INDIRECT(ADDRESS($B252+1,BD$230,1,1,"Actively Infected Trend"))=0,#N/A,INDIRECT(ADDRESS($B252+1,BD$230,1,1,"Actively Infected Trend")))</f>
        <v>#N/A</v>
      </c>
      <c r="BE252" s="14" t="e" cm="1">
        <f t="array" aca="1" ref="BE252" ca="1">IF(INDIRECT(ADDRESS($B252+1,BE$230,1,1,"Actively Infected Trend"))=0,#N/A,INDIRECT(ADDRESS($B252+1,BE$230,1,1,"Actively Infected Trend")))</f>
        <v>#N/A</v>
      </c>
      <c r="BF252" s="14" t="e" cm="1">
        <f t="array" aca="1" ref="BF252" ca="1">IF(INDIRECT(ADDRESS($B252+1,BF$230,1,1,"Actively Infected Trend"))=0,#N/A,INDIRECT(ADDRESS($B252+1,BF$230,1,1,"Actively Infected Trend")))</f>
        <v>#N/A</v>
      </c>
      <c r="BG252" s="14" t="e" cm="1">
        <f t="array" aca="1" ref="BG252" ca="1">IF(INDIRECT(ADDRESS($B252+1,BG$230,1,1,"Actively Infected Trend"))=0,#N/A,INDIRECT(ADDRESS($B252+1,BG$230,1,1,"Actively Infected Trend")))</f>
        <v>#N/A</v>
      </c>
      <c r="BH252" s="14" t="e" cm="1">
        <f t="array" aca="1" ref="BH252" ca="1">IF(INDIRECT(ADDRESS($B252+1,BH$230,1,1,"Actively Infected Trend"))=0,#N/A,INDIRECT(ADDRESS($B252+1,BH$230,1,1,"Actively Infected Trend")))</f>
        <v>#N/A</v>
      </c>
      <c r="BI252" s="14" t="e" cm="1">
        <f t="array" aca="1" ref="BI252" ca="1">IF(INDIRECT(ADDRESS($B252+1,BI$230,1,1,"Actively Infected Trend"))=0,#N/A,INDIRECT(ADDRESS($B252+1,BI$230,1,1,"Actively Infected Trend")))</f>
        <v>#N/A</v>
      </c>
      <c r="BJ252" s="14" t="e" cm="1">
        <f t="array" aca="1" ref="BJ252" ca="1">IF(INDIRECT(ADDRESS($B252+1,BJ$230,1,1,"Actively Infected Trend"))=0,#N/A,INDIRECT(ADDRESS($B252+1,BJ$230,1,1,"Actively Infected Trend")))</f>
        <v>#N/A</v>
      </c>
      <c r="BK252" s="14" t="e" cm="1">
        <f t="array" aca="1" ref="BK252" ca="1">IF(INDIRECT(ADDRESS($B252+1,BK$230,1,1,"Actively Infected Trend"))=0,#N/A,INDIRECT(ADDRESS($B252+1,BK$230,1,1,"Actively Infected Trend")))</f>
        <v>#N/A</v>
      </c>
      <c r="BL252" s="14" t="e" cm="1">
        <f t="array" aca="1" ref="BL252" ca="1">IF(INDIRECT(ADDRESS($B252+1,BL$230,1,1,"Actively Infected Trend"))=0,#N/A,INDIRECT(ADDRESS($B252+1,BL$230,1,1,"Actively Infected Trend")))</f>
        <v>#N/A</v>
      </c>
      <c r="BM252" s="14" t="e" cm="1">
        <f t="array" aca="1" ref="BM252" ca="1">IF(INDIRECT(ADDRESS($B252+1,BM$230,1,1,"Actively Infected Trend"))=0,#N/A,INDIRECT(ADDRESS($B252+1,BM$230,1,1,"Actively Infected Trend")))</f>
        <v>#N/A</v>
      </c>
      <c r="BN252" s="14" t="e" cm="1">
        <f t="array" aca="1" ref="BN252" ca="1">IF(INDIRECT(ADDRESS($B252+1,BN$230,1,1,"Actively Infected Trend"))=0,#N/A,INDIRECT(ADDRESS($B252+1,BN$230,1,1,"Actively Infected Trend")))</f>
        <v>#N/A</v>
      </c>
      <c r="BO252" s="14" t="e" cm="1">
        <f t="array" aca="1" ref="BO252" ca="1">IF(INDIRECT(ADDRESS($B252+1,BO$230,1,1,"Actively Infected Trend"))=0,#N/A,INDIRECT(ADDRESS($B252+1,BO$230,1,1,"Actively Infected Trend")))</f>
        <v>#N/A</v>
      </c>
      <c r="BP252" s="14" t="e" cm="1">
        <f t="array" aca="1" ref="BP252" ca="1">IF(INDIRECT(ADDRESS($B252+1,BP$230,1,1,"Actively Infected Trend"))=0,#N/A,INDIRECT(ADDRESS($B252+1,BP$230,1,1,"Actively Infected Trend")))</f>
        <v>#N/A</v>
      </c>
      <c r="BQ252" s="14" t="e" cm="1">
        <f t="array" aca="1" ref="BQ252" ca="1">IF(INDIRECT(ADDRESS($B252+1,BQ$230,1,1,"Actively Infected Trend"))=0,#N/A,INDIRECT(ADDRESS($B252+1,BQ$230,1,1,"Actively Infected Trend")))</f>
        <v>#N/A</v>
      </c>
      <c r="BR252" s="14" t="e" cm="1">
        <f t="array" aca="1" ref="BR252" ca="1">IF(INDIRECT(ADDRESS($B252+1,BR$230,1,1,"Actively Infected Trend"))=0,#N/A,INDIRECT(ADDRESS($B252+1,BR$230,1,1,"Actively Infected Trend")))</f>
        <v>#N/A</v>
      </c>
      <c r="BS252" s="14" t="e" cm="1">
        <f t="array" aca="1" ref="BS252" ca="1">IF(INDIRECT(ADDRESS($B252+1,BS$230,1,1,"Actively Infected Trend"))=0,#N/A,INDIRECT(ADDRESS($B252+1,BS$230,1,1,"Actively Infected Trend")))</f>
        <v>#N/A</v>
      </c>
      <c r="BT252" s="14" t="e" cm="1">
        <f t="array" aca="1" ref="BT252" ca="1">IF(INDIRECT(ADDRESS($B252+1,BT$230,1,1,"Actively Infected Trend"))=0,#N/A,INDIRECT(ADDRESS($B252+1,BT$230,1,1,"Actively Infected Trend")))</f>
        <v>#N/A</v>
      </c>
      <c r="BU252" s="14" t="e" cm="1">
        <f t="array" aca="1" ref="BU252" ca="1">IF(INDIRECT(ADDRESS($B252+1,BU$230,1,1,"Actively Infected Trend"))=0,#N/A,INDIRECT(ADDRESS($B252+1,BU$230,1,1,"Actively Infected Trend")))</f>
        <v>#N/A</v>
      </c>
      <c r="BV252" s="14" t="e" cm="1">
        <f t="array" aca="1" ref="BV252" ca="1">IF(INDIRECT(ADDRESS($B252+1,BV$230,1,1,"Actively Infected Trend"))=0,#N/A,INDIRECT(ADDRESS($B252+1,BV$230,1,1,"Actively Infected Trend")))</f>
        <v>#N/A</v>
      </c>
      <c r="BW252" s="14" t="e" cm="1">
        <f t="array" aca="1" ref="BW252" ca="1">IF(INDIRECT(ADDRESS($B252+1,BW$230,1,1,"Actively Infected Trend"))=0,#N/A,INDIRECT(ADDRESS($B252+1,BW$230,1,1,"Actively Infected Trend")))</f>
        <v>#N/A</v>
      </c>
      <c r="BX252" s="14" t="e" cm="1">
        <f t="array" aca="1" ref="BX252" ca="1">IF(INDIRECT(ADDRESS($B252+1,BX$230,1,1,"Actively Infected Trend"))=0,#N/A,INDIRECT(ADDRESS($B252+1,BX$230,1,1,"Actively Infected Trend")))</f>
        <v>#N/A</v>
      </c>
      <c r="BY252" s="14" t="e" cm="1">
        <f t="array" aca="1" ref="BY252" ca="1">IF(INDIRECT(ADDRESS($B252+1,BY$230,1,1,"Actively Infected Trend"))=0,#N/A,INDIRECT(ADDRESS($B252+1,BY$230,1,1,"Actively Infected Trend")))</f>
        <v>#N/A</v>
      </c>
      <c r="BZ252" s="14" t="e" cm="1">
        <f t="array" aca="1" ref="BZ252" ca="1">IF(INDIRECT(ADDRESS($B252+1,BZ$230,1,1,"Actively Infected Trend"))=0,#N/A,INDIRECT(ADDRESS($B252+1,BZ$230,1,1,"Actively Infected Trend")))</f>
        <v>#N/A</v>
      </c>
      <c r="CA252" s="14" t="e" cm="1">
        <f t="array" aca="1" ref="CA252" ca="1">IF(INDIRECT(ADDRESS($B252+1,CA$230,1,1,"Actively Infected Trend"))=0,#N/A,INDIRECT(ADDRESS($B252+1,CA$230,1,1,"Actively Infected Trend")))</f>
        <v>#N/A</v>
      </c>
      <c r="CB252" s="14" t="e" cm="1">
        <f t="array" aca="1" ref="CB252" ca="1">IF(INDIRECT(ADDRESS($B252+1,CB$230,1,1,"Actively Infected Trend"))=0,#N/A,INDIRECT(ADDRESS($B252+1,CB$230,1,1,"Actively Infected Trend")))</f>
        <v>#N/A</v>
      </c>
      <c r="CC252" s="14" t="e" cm="1">
        <f t="array" aca="1" ref="CC252" ca="1">IF(INDIRECT(ADDRESS($B252+1,CC$230,1,1,"Actively Infected Trend"))=0,#N/A,INDIRECT(ADDRESS($B252+1,CC$230,1,1,"Actively Infected Trend")))</f>
        <v>#N/A</v>
      </c>
      <c r="CD252" s="14" t="e" cm="1">
        <f t="array" aca="1" ref="CD252" ca="1">IF(INDIRECT(ADDRESS($B252+1,CD$230,1,1,"Actively Infected Trend"))=0,#N/A,INDIRECT(ADDRESS($B252+1,CD$230,1,1,"Actively Infected Trend")))</f>
        <v>#N/A</v>
      </c>
      <c r="CE252" s="14" t="e" cm="1">
        <f t="array" aca="1" ref="CE252" ca="1">IF(INDIRECT(ADDRESS($B252+1,CE$230,1,1,"Actively Infected Trend"))=0,#N/A,INDIRECT(ADDRESS($B252+1,CE$230,1,1,"Actively Infected Trend")))</f>
        <v>#N/A</v>
      </c>
      <c r="CF252" s="14" t="e" cm="1">
        <f t="array" aca="1" ref="CF252" ca="1">IF(INDIRECT(ADDRESS($B252+1,CF$230,1,1,"Actively Infected Trend"))=0,#N/A,INDIRECT(ADDRESS($B252+1,CF$230,1,1,"Actively Infected Trend")))</f>
        <v>#N/A</v>
      </c>
      <c r="CG252" s="14" t="e" cm="1">
        <f t="array" aca="1" ref="CG252" ca="1">IF(INDIRECT(ADDRESS($B252+1,CG$230,1,1,"Actively Infected Trend"))=0,#N/A,INDIRECT(ADDRESS($B252+1,CG$230,1,1,"Actively Infected Trend")))</f>
        <v>#N/A</v>
      </c>
      <c r="CH252" s="14" t="e" cm="1">
        <f t="array" aca="1" ref="CH252" ca="1">IF(INDIRECT(ADDRESS($B252+1,CH$230,1,1,"Actively Infected Trend"))=0,#N/A,INDIRECT(ADDRESS($B252+1,CH$230,1,1,"Actively Infected Trend")))</f>
        <v>#N/A</v>
      </c>
      <c r="CI252" s="14" t="e" cm="1">
        <f t="array" aca="1" ref="CI252" ca="1">IF(INDIRECT(ADDRESS($B252+1,CI$230,1,1,"Actively Infected Trend"))=0,#N/A,INDIRECT(ADDRESS($B252+1,CI$230,1,1,"Actively Infected Trend")))</f>
        <v>#N/A</v>
      </c>
      <c r="CJ252" s="14" t="e" cm="1">
        <f t="array" aca="1" ref="CJ252" ca="1">IF(INDIRECT(ADDRESS($B252+1,CJ$230,1,1,"Actively Infected Trend"))=0,#N/A,INDIRECT(ADDRESS($B252+1,CJ$230,1,1,"Actively Infected Trend")))</f>
        <v>#N/A</v>
      </c>
      <c r="CK252" s="14" t="e" cm="1">
        <f t="array" aca="1" ref="CK252" ca="1">IF(INDIRECT(ADDRESS($B252+1,CK$230,1,1,"Actively Infected Trend"))=0,#N/A,INDIRECT(ADDRESS($B252+1,CK$230,1,1,"Actively Infected Trend")))</f>
        <v>#N/A</v>
      </c>
      <c r="CL252" s="14" t="e" cm="1">
        <f t="array" aca="1" ref="CL252" ca="1">IF(INDIRECT(ADDRESS($B252+1,CL$230,1,1,"Actively Infected Trend"))=0,#N/A,INDIRECT(ADDRESS($B252+1,CL$230,1,1,"Actively Infected Trend")))</f>
        <v>#N/A</v>
      </c>
      <c r="CM252" s="14" t="e" cm="1">
        <f t="array" aca="1" ref="CM252" ca="1">IF(INDIRECT(ADDRESS($B252+1,CM$230,1,1,"Actively Infected Trend"))=0,#N/A,INDIRECT(ADDRESS($B252+1,CM$230,1,1,"Actively Infected Trend")))</f>
        <v>#N/A</v>
      </c>
      <c r="CN252" s="14" t="e" cm="1">
        <f t="array" aca="1" ref="CN252" ca="1">IF(INDIRECT(ADDRESS($B252+1,CN$230,1,1,"Actively Infected Trend"))=0,#N/A,INDIRECT(ADDRESS($B252+1,CN$230,1,1,"Actively Infected Trend")))</f>
        <v>#N/A</v>
      </c>
      <c r="CO252" s="14" t="e" cm="1">
        <f t="array" aca="1" ref="CO252" ca="1">IF(INDIRECT(ADDRESS($B252+1,CO$230,1,1,"Actively Infected Trend"))=0,#N/A,INDIRECT(ADDRESS($B252+1,CO$230,1,1,"Actively Infected Trend")))</f>
        <v>#N/A</v>
      </c>
      <c r="CP252" s="14" t="e" cm="1">
        <f t="array" aca="1" ref="CP252" ca="1">IF(INDIRECT(ADDRESS($B252+1,CP$230,1,1,"Actively Infected Trend"))=0,#N/A,INDIRECT(ADDRESS($B252+1,CP$230,1,1,"Actively Infected Trend")))</f>
        <v>#N/A</v>
      </c>
      <c r="CQ252" s="14" t="e" cm="1">
        <f t="array" aca="1" ref="CQ252" ca="1">IF(INDIRECT(ADDRESS($B252+1,CQ$230,1,1,"Actively Infected Trend"))=0,#N/A,INDIRECT(ADDRESS($B252+1,CQ$230,1,1,"Actively Infected Trend")))</f>
        <v>#N/A</v>
      </c>
      <c r="CR252" s="14" t="e" cm="1">
        <f t="array" aca="1" ref="CR252" ca="1">IF(INDIRECT(ADDRESS($B252+1,CR$230,1,1,"Actively Infected Trend"))=0,#N/A,INDIRECT(ADDRESS($B252+1,CR$230,1,1,"Actively Infected Trend")))</f>
        <v>#N/A</v>
      </c>
    </row>
    <row r="253" spans="2:96" x14ac:dyDescent="0.25">
      <c r="B253">
        <f t="shared" si="349"/>
        <v>22</v>
      </c>
      <c r="C253" cm="1">
        <f t="array" aca="1" ref="C253" ca="1">INDIRECT(ADDRESS($B253+1,1,1,1,"Actively Infected Trend"))</f>
        <v>0</v>
      </c>
      <c r="E253" s="14" t="e" cm="1">
        <f t="array" aca="1" ref="E253" ca="1">IF(INDIRECT(ADDRESS($B253+1,E$230,1,1,"Actively Infected Trend"))=0,#N/A,INDIRECT(ADDRESS($B253+1,E$230,1,1,"Actively Infected Trend")))</f>
        <v>#N/A</v>
      </c>
      <c r="F253" s="14" t="e" cm="1">
        <f t="array" aca="1" ref="F253" ca="1">IF(INDIRECT(ADDRESS($B253+1,F$230,1,1,"Actively Infected Trend"))=0,#N/A,INDIRECT(ADDRESS($B253+1,F$230,1,1,"Actively Infected Trend")))</f>
        <v>#N/A</v>
      </c>
      <c r="G253" s="14" t="e" cm="1">
        <f t="array" aca="1" ref="G253" ca="1">IF(INDIRECT(ADDRESS($B253+1,G$230,1,1,"Actively Infected Trend"))=0,#N/A,INDIRECT(ADDRESS($B253+1,G$230,1,1,"Actively Infected Trend")))</f>
        <v>#N/A</v>
      </c>
      <c r="H253" s="14" t="e" cm="1">
        <f t="array" aca="1" ref="H253" ca="1">IF(INDIRECT(ADDRESS($B253+1,H$230,1,1,"Actively Infected Trend"))=0,#N/A,INDIRECT(ADDRESS($B253+1,H$230,1,1,"Actively Infected Trend")))</f>
        <v>#N/A</v>
      </c>
      <c r="I253" s="14" t="e" cm="1">
        <f t="array" aca="1" ref="I253" ca="1">IF(INDIRECT(ADDRESS($B253+1,I$230,1,1,"Actively Infected Trend"))=0,#N/A,INDIRECT(ADDRESS($B253+1,I$230,1,1,"Actively Infected Trend")))</f>
        <v>#N/A</v>
      </c>
      <c r="J253" s="14" t="e" cm="1">
        <f t="array" aca="1" ref="J253" ca="1">IF(INDIRECT(ADDRESS($B253+1,J$230,1,1,"Actively Infected Trend"))=0,#N/A,INDIRECT(ADDRESS($B253+1,J$230,1,1,"Actively Infected Trend")))</f>
        <v>#N/A</v>
      </c>
      <c r="K253" s="14" t="e" cm="1">
        <f t="array" aca="1" ref="K253" ca="1">IF(INDIRECT(ADDRESS($B253+1,K$230,1,1,"Actively Infected Trend"))=0,#N/A,INDIRECT(ADDRESS($B253+1,K$230,1,1,"Actively Infected Trend")))</f>
        <v>#N/A</v>
      </c>
      <c r="L253" s="14" t="e" cm="1">
        <f t="array" aca="1" ref="L253" ca="1">IF(INDIRECT(ADDRESS($B253+1,L$230,1,1,"Actively Infected Trend"))=0,#N/A,INDIRECT(ADDRESS($B253+1,L$230,1,1,"Actively Infected Trend")))</f>
        <v>#N/A</v>
      </c>
      <c r="M253" s="14" t="e" cm="1">
        <f t="array" aca="1" ref="M253" ca="1">IF(INDIRECT(ADDRESS($B253+1,M$230,1,1,"Actively Infected Trend"))=0,#N/A,INDIRECT(ADDRESS($B253+1,M$230,1,1,"Actively Infected Trend")))</f>
        <v>#N/A</v>
      </c>
      <c r="N253" s="14" t="e" cm="1">
        <f t="array" aca="1" ref="N253" ca="1">IF(INDIRECT(ADDRESS($B253+1,N$230,1,1,"Actively Infected Trend"))=0,#N/A,INDIRECT(ADDRESS($B253+1,N$230,1,1,"Actively Infected Trend")))</f>
        <v>#N/A</v>
      </c>
      <c r="O253" s="14" t="e" cm="1">
        <f t="array" aca="1" ref="O253" ca="1">IF(INDIRECT(ADDRESS($B253+1,O$230,1,1,"Actively Infected Trend"))=0,#N/A,INDIRECT(ADDRESS($B253+1,O$230,1,1,"Actively Infected Trend")))</f>
        <v>#N/A</v>
      </c>
      <c r="P253" s="14" t="e" cm="1">
        <f t="array" aca="1" ref="P253" ca="1">IF(INDIRECT(ADDRESS($B253+1,P$230,1,1,"Actively Infected Trend"))=0,#N/A,INDIRECT(ADDRESS($B253+1,P$230,1,1,"Actively Infected Trend")))</f>
        <v>#N/A</v>
      </c>
      <c r="Q253" s="14" t="e" cm="1">
        <f t="array" aca="1" ref="Q253" ca="1">IF(INDIRECT(ADDRESS($B253+1,Q$230,1,1,"Actively Infected Trend"))=0,#N/A,INDIRECT(ADDRESS($B253+1,Q$230,1,1,"Actively Infected Trend")))</f>
        <v>#N/A</v>
      </c>
      <c r="R253" s="14" t="e" cm="1">
        <f t="array" aca="1" ref="R253" ca="1">IF(INDIRECT(ADDRESS($B253+1,R$230,1,1,"Actively Infected Trend"))=0,#N/A,INDIRECT(ADDRESS($B253+1,R$230,1,1,"Actively Infected Trend")))</f>
        <v>#N/A</v>
      </c>
      <c r="S253" s="14" t="e" cm="1">
        <f t="array" aca="1" ref="S253" ca="1">IF(INDIRECT(ADDRESS($B253+1,S$230,1,1,"Actively Infected Trend"))=0,#N/A,INDIRECT(ADDRESS($B253+1,S$230,1,1,"Actively Infected Trend")))</f>
        <v>#N/A</v>
      </c>
      <c r="T253" s="14" t="e" cm="1">
        <f t="array" aca="1" ref="T253" ca="1">IF(INDIRECT(ADDRESS($B253+1,T$230,1,1,"Actively Infected Trend"))=0,#N/A,INDIRECT(ADDRESS($B253+1,T$230,1,1,"Actively Infected Trend")))</f>
        <v>#N/A</v>
      </c>
      <c r="U253" s="14" t="e" cm="1">
        <f t="array" aca="1" ref="U253" ca="1">IF(INDIRECT(ADDRESS($B253+1,U$230,1,1,"Actively Infected Trend"))=0,#N/A,INDIRECT(ADDRESS($B253+1,U$230,1,1,"Actively Infected Trend")))</f>
        <v>#N/A</v>
      </c>
      <c r="V253" s="14" t="e" cm="1">
        <f t="array" aca="1" ref="V253" ca="1">IF(INDIRECT(ADDRESS($B253+1,V$230,1,1,"Actively Infected Trend"))=0,#N/A,INDIRECT(ADDRESS($B253+1,V$230,1,1,"Actively Infected Trend")))</f>
        <v>#N/A</v>
      </c>
      <c r="W253" s="14" t="e" cm="1">
        <f t="array" aca="1" ref="W253" ca="1">IF(INDIRECT(ADDRESS($B253+1,W$230,1,1,"Actively Infected Trend"))=0,#N/A,INDIRECT(ADDRESS($B253+1,W$230,1,1,"Actively Infected Trend")))</f>
        <v>#N/A</v>
      </c>
      <c r="X253" s="14" t="e" cm="1">
        <f t="array" aca="1" ref="X253" ca="1">IF(INDIRECT(ADDRESS($B253+1,X$230,1,1,"Actively Infected Trend"))=0,#N/A,INDIRECT(ADDRESS($B253+1,X$230,1,1,"Actively Infected Trend")))</f>
        <v>#N/A</v>
      </c>
      <c r="Y253" s="14" t="e" cm="1">
        <f t="array" aca="1" ref="Y253" ca="1">IF(INDIRECT(ADDRESS($B253+1,Y$230,1,1,"Actively Infected Trend"))=0,#N/A,INDIRECT(ADDRESS($B253+1,Y$230,1,1,"Actively Infected Trend")))</f>
        <v>#N/A</v>
      </c>
      <c r="Z253" s="14" t="e" cm="1">
        <f t="array" aca="1" ref="Z253" ca="1">IF(INDIRECT(ADDRESS($B253+1,Z$230,1,1,"Actively Infected Trend"))=0,#N/A,INDIRECT(ADDRESS($B253+1,Z$230,1,1,"Actively Infected Trend")))</f>
        <v>#N/A</v>
      </c>
      <c r="AA253" s="14" t="e" cm="1">
        <f t="array" aca="1" ref="AA253" ca="1">IF(INDIRECT(ADDRESS($B253+1,AA$230,1,1,"Actively Infected Trend"))=0,#N/A,INDIRECT(ADDRESS($B253+1,AA$230,1,1,"Actively Infected Trend")))</f>
        <v>#N/A</v>
      </c>
      <c r="AB253" s="14" t="e" cm="1">
        <f t="array" aca="1" ref="AB253" ca="1">IF(INDIRECT(ADDRESS($B253+1,AB$230,1,1,"Actively Infected Trend"))=0,#N/A,INDIRECT(ADDRESS($B253+1,AB$230,1,1,"Actively Infected Trend")))</f>
        <v>#N/A</v>
      </c>
      <c r="AC253" s="14" t="e" cm="1">
        <f t="array" aca="1" ref="AC253" ca="1">IF(INDIRECT(ADDRESS($B253+1,AC$230,1,1,"Actively Infected Trend"))=0,#N/A,INDIRECT(ADDRESS($B253+1,AC$230,1,1,"Actively Infected Trend")))</f>
        <v>#N/A</v>
      </c>
      <c r="AD253" s="14" t="e" cm="1">
        <f t="array" aca="1" ref="AD253" ca="1">IF(INDIRECT(ADDRESS($B253+1,AD$230,1,1,"Actively Infected Trend"))=0,#N/A,INDIRECT(ADDRESS($B253+1,AD$230,1,1,"Actively Infected Trend")))</f>
        <v>#N/A</v>
      </c>
      <c r="AE253" s="14" t="e" cm="1">
        <f t="array" aca="1" ref="AE253" ca="1">IF(INDIRECT(ADDRESS($B253+1,AE$230,1,1,"Actively Infected Trend"))=0,#N/A,INDIRECT(ADDRESS($B253+1,AE$230,1,1,"Actively Infected Trend")))</f>
        <v>#N/A</v>
      </c>
      <c r="AF253" s="14" t="e" cm="1">
        <f t="array" aca="1" ref="AF253" ca="1">IF(INDIRECT(ADDRESS($B253+1,AF$230,1,1,"Actively Infected Trend"))=0,#N/A,INDIRECT(ADDRESS($B253+1,AF$230,1,1,"Actively Infected Trend")))</f>
        <v>#N/A</v>
      </c>
      <c r="AG253" s="14" t="e" cm="1">
        <f t="array" aca="1" ref="AG253" ca="1">IF(INDIRECT(ADDRESS($B253+1,AG$230,1,1,"Actively Infected Trend"))=0,#N/A,INDIRECT(ADDRESS($B253+1,AG$230,1,1,"Actively Infected Trend")))</f>
        <v>#N/A</v>
      </c>
      <c r="AH253" s="14" t="e" cm="1">
        <f t="array" aca="1" ref="AH253" ca="1">IF(INDIRECT(ADDRESS($B253+1,AH$230,1,1,"Actively Infected Trend"))=0,#N/A,INDIRECT(ADDRESS($B253+1,AH$230,1,1,"Actively Infected Trend")))</f>
        <v>#N/A</v>
      </c>
      <c r="AI253" s="14" t="e" cm="1">
        <f t="array" aca="1" ref="AI253" ca="1">IF(INDIRECT(ADDRESS($B253+1,AI$230,1,1,"Actively Infected Trend"))=0,#N/A,INDIRECT(ADDRESS($B253+1,AI$230,1,1,"Actively Infected Trend")))</f>
        <v>#N/A</v>
      </c>
      <c r="AJ253" s="14" t="e" cm="1">
        <f t="array" aca="1" ref="AJ253" ca="1">IF(INDIRECT(ADDRESS($B253+1,AJ$230,1,1,"Actively Infected Trend"))=0,#N/A,INDIRECT(ADDRESS($B253+1,AJ$230,1,1,"Actively Infected Trend")))</f>
        <v>#N/A</v>
      </c>
      <c r="AK253" s="14" t="e" cm="1">
        <f t="array" aca="1" ref="AK253" ca="1">IF(INDIRECT(ADDRESS($B253+1,AK$230,1,1,"Actively Infected Trend"))=0,#N/A,INDIRECT(ADDRESS($B253+1,AK$230,1,1,"Actively Infected Trend")))</f>
        <v>#N/A</v>
      </c>
      <c r="AL253" s="14" t="e" cm="1">
        <f t="array" aca="1" ref="AL253" ca="1">IF(INDIRECT(ADDRESS($B253+1,AL$230,1,1,"Actively Infected Trend"))=0,#N/A,INDIRECT(ADDRESS($B253+1,AL$230,1,1,"Actively Infected Trend")))</f>
        <v>#N/A</v>
      </c>
      <c r="AM253" s="14" t="e" cm="1">
        <f t="array" aca="1" ref="AM253" ca="1">IF(INDIRECT(ADDRESS($B253+1,AM$230,1,1,"Actively Infected Trend"))=0,#N/A,INDIRECT(ADDRESS($B253+1,AM$230,1,1,"Actively Infected Trend")))</f>
        <v>#N/A</v>
      </c>
      <c r="AN253" s="14" t="e" cm="1">
        <f t="array" aca="1" ref="AN253" ca="1">IF(INDIRECT(ADDRESS($B253+1,AN$230,1,1,"Actively Infected Trend"))=0,#N/A,INDIRECT(ADDRESS($B253+1,AN$230,1,1,"Actively Infected Trend")))</f>
        <v>#N/A</v>
      </c>
      <c r="AO253" s="14" t="e" cm="1">
        <f t="array" aca="1" ref="AO253" ca="1">IF(INDIRECT(ADDRESS($B253+1,AO$230,1,1,"Actively Infected Trend"))=0,#N/A,INDIRECT(ADDRESS($B253+1,AO$230,1,1,"Actively Infected Trend")))</f>
        <v>#N/A</v>
      </c>
      <c r="AP253" s="14" t="e" cm="1">
        <f t="array" aca="1" ref="AP253" ca="1">IF(INDIRECT(ADDRESS($B253+1,AP$230,1,1,"Actively Infected Trend"))=0,#N/A,INDIRECT(ADDRESS($B253+1,AP$230,1,1,"Actively Infected Trend")))</f>
        <v>#N/A</v>
      </c>
      <c r="AQ253" s="14" t="e" cm="1">
        <f t="array" aca="1" ref="AQ253" ca="1">IF(INDIRECT(ADDRESS($B253+1,AQ$230,1,1,"Actively Infected Trend"))=0,#N/A,INDIRECT(ADDRESS($B253+1,AQ$230,1,1,"Actively Infected Trend")))</f>
        <v>#N/A</v>
      </c>
      <c r="AR253" s="14" t="e" cm="1">
        <f t="array" aca="1" ref="AR253" ca="1">IF(INDIRECT(ADDRESS($B253+1,AR$230,1,1,"Actively Infected Trend"))=0,#N/A,INDIRECT(ADDRESS($B253+1,AR$230,1,1,"Actively Infected Trend")))</f>
        <v>#N/A</v>
      </c>
      <c r="AS253" s="14" t="e" cm="1">
        <f t="array" aca="1" ref="AS253" ca="1">IF(INDIRECT(ADDRESS($B253+1,AS$230,1,1,"Actively Infected Trend"))=0,#N/A,INDIRECT(ADDRESS($B253+1,AS$230,1,1,"Actively Infected Trend")))</f>
        <v>#N/A</v>
      </c>
      <c r="AT253" s="14" t="e" cm="1">
        <f t="array" aca="1" ref="AT253" ca="1">IF(INDIRECT(ADDRESS($B253+1,AT$230,1,1,"Actively Infected Trend"))=0,#N/A,INDIRECT(ADDRESS($B253+1,AT$230,1,1,"Actively Infected Trend")))</f>
        <v>#N/A</v>
      </c>
      <c r="AU253" s="14" t="e" cm="1">
        <f t="array" aca="1" ref="AU253" ca="1">IF(INDIRECT(ADDRESS($B253+1,AU$230,1,1,"Actively Infected Trend"))=0,#N/A,INDIRECT(ADDRESS($B253+1,AU$230,1,1,"Actively Infected Trend")))</f>
        <v>#N/A</v>
      </c>
      <c r="AV253" s="14" t="e" cm="1">
        <f t="array" aca="1" ref="AV253" ca="1">IF(INDIRECT(ADDRESS($B253+1,AV$230,1,1,"Actively Infected Trend"))=0,#N/A,INDIRECT(ADDRESS($B253+1,AV$230,1,1,"Actively Infected Trend")))</f>
        <v>#N/A</v>
      </c>
      <c r="AW253" s="14" t="e" cm="1">
        <f t="array" aca="1" ref="AW253" ca="1">IF(INDIRECT(ADDRESS($B253+1,AW$230,1,1,"Actively Infected Trend"))=0,#N/A,INDIRECT(ADDRESS($B253+1,AW$230,1,1,"Actively Infected Trend")))</f>
        <v>#N/A</v>
      </c>
      <c r="AX253" s="14" t="e" cm="1">
        <f t="array" aca="1" ref="AX253" ca="1">IF(INDIRECT(ADDRESS($B253+1,AX$230,1,1,"Actively Infected Trend"))=0,#N/A,INDIRECT(ADDRESS($B253+1,AX$230,1,1,"Actively Infected Trend")))</f>
        <v>#N/A</v>
      </c>
      <c r="AY253" s="14" t="e" cm="1">
        <f t="array" aca="1" ref="AY253" ca="1">IF(INDIRECT(ADDRESS($B253+1,AY$230,1,1,"Actively Infected Trend"))=0,#N/A,INDIRECT(ADDRESS($B253+1,AY$230,1,1,"Actively Infected Trend")))</f>
        <v>#N/A</v>
      </c>
      <c r="AZ253" s="14" t="e" cm="1">
        <f t="array" aca="1" ref="AZ253" ca="1">IF(INDIRECT(ADDRESS($B253+1,AZ$230,1,1,"Actively Infected Trend"))=0,#N/A,INDIRECT(ADDRESS($B253+1,AZ$230,1,1,"Actively Infected Trend")))</f>
        <v>#N/A</v>
      </c>
      <c r="BA253" s="14" t="e" cm="1">
        <f t="array" aca="1" ref="BA253" ca="1">IF(INDIRECT(ADDRESS($B253+1,BA$230,1,1,"Actively Infected Trend"))=0,#N/A,INDIRECT(ADDRESS($B253+1,BA$230,1,1,"Actively Infected Trend")))</f>
        <v>#N/A</v>
      </c>
      <c r="BB253" s="14" t="e" cm="1">
        <f t="array" aca="1" ref="BB253" ca="1">IF(INDIRECT(ADDRESS($B253+1,BB$230,1,1,"Actively Infected Trend"))=0,#N/A,INDIRECT(ADDRESS($B253+1,BB$230,1,1,"Actively Infected Trend")))</f>
        <v>#N/A</v>
      </c>
      <c r="BC253" s="14" t="e" cm="1">
        <f t="array" aca="1" ref="BC253" ca="1">IF(INDIRECT(ADDRESS($B253+1,BC$230,1,1,"Actively Infected Trend"))=0,#N/A,INDIRECT(ADDRESS($B253+1,BC$230,1,1,"Actively Infected Trend")))</f>
        <v>#N/A</v>
      </c>
      <c r="BD253" s="14" t="e" cm="1">
        <f t="array" aca="1" ref="BD253" ca="1">IF(INDIRECT(ADDRESS($B253+1,BD$230,1,1,"Actively Infected Trend"))=0,#N/A,INDIRECT(ADDRESS($B253+1,BD$230,1,1,"Actively Infected Trend")))</f>
        <v>#N/A</v>
      </c>
      <c r="BE253" s="14" t="e" cm="1">
        <f t="array" aca="1" ref="BE253" ca="1">IF(INDIRECT(ADDRESS($B253+1,BE$230,1,1,"Actively Infected Trend"))=0,#N/A,INDIRECT(ADDRESS($B253+1,BE$230,1,1,"Actively Infected Trend")))</f>
        <v>#N/A</v>
      </c>
      <c r="BF253" s="14" t="e" cm="1">
        <f t="array" aca="1" ref="BF253" ca="1">IF(INDIRECT(ADDRESS($B253+1,BF$230,1,1,"Actively Infected Trend"))=0,#N/A,INDIRECT(ADDRESS($B253+1,BF$230,1,1,"Actively Infected Trend")))</f>
        <v>#N/A</v>
      </c>
      <c r="BG253" s="14" t="e" cm="1">
        <f t="array" aca="1" ref="BG253" ca="1">IF(INDIRECT(ADDRESS($B253+1,BG$230,1,1,"Actively Infected Trend"))=0,#N/A,INDIRECT(ADDRESS($B253+1,BG$230,1,1,"Actively Infected Trend")))</f>
        <v>#N/A</v>
      </c>
      <c r="BH253" s="14" t="e" cm="1">
        <f t="array" aca="1" ref="BH253" ca="1">IF(INDIRECT(ADDRESS($B253+1,BH$230,1,1,"Actively Infected Trend"))=0,#N/A,INDIRECT(ADDRESS($B253+1,BH$230,1,1,"Actively Infected Trend")))</f>
        <v>#N/A</v>
      </c>
      <c r="BI253" s="14" t="e" cm="1">
        <f t="array" aca="1" ref="BI253" ca="1">IF(INDIRECT(ADDRESS($B253+1,BI$230,1,1,"Actively Infected Trend"))=0,#N/A,INDIRECT(ADDRESS($B253+1,BI$230,1,1,"Actively Infected Trend")))</f>
        <v>#N/A</v>
      </c>
      <c r="BJ253" s="14" t="e" cm="1">
        <f t="array" aca="1" ref="BJ253" ca="1">IF(INDIRECT(ADDRESS($B253+1,BJ$230,1,1,"Actively Infected Trend"))=0,#N/A,INDIRECT(ADDRESS($B253+1,BJ$230,1,1,"Actively Infected Trend")))</f>
        <v>#N/A</v>
      </c>
      <c r="BK253" s="14" t="e" cm="1">
        <f t="array" aca="1" ref="BK253" ca="1">IF(INDIRECT(ADDRESS($B253+1,BK$230,1,1,"Actively Infected Trend"))=0,#N/A,INDIRECT(ADDRESS($B253+1,BK$230,1,1,"Actively Infected Trend")))</f>
        <v>#N/A</v>
      </c>
      <c r="BL253" s="14" t="e" cm="1">
        <f t="array" aca="1" ref="BL253" ca="1">IF(INDIRECT(ADDRESS($B253+1,BL$230,1,1,"Actively Infected Trend"))=0,#N/A,INDIRECT(ADDRESS($B253+1,BL$230,1,1,"Actively Infected Trend")))</f>
        <v>#N/A</v>
      </c>
      <c r="BM253" s="14" t="e" cm="1">
        <f t="array" aca="1" ref="BM253" ca="1">IF(INDIRECT(ADDRESS($B253+1,BM$230,1,1,"Actively Infected Trend"))=0,#N/A,INDIRECT(ADDRESS($B253+1,BM$230,1,1,"Actively Infected Trend")))</f>
        <v>#N/A</v>
      </c>
      <c r="BN253" s="14" t="e" cm="1">
        <f t="array" aca="1" ref="BN253" ca="1">IF(INDIRECT(ADDRESS($B253+1,BN$230,1,1,"Actively Infected Trend"))=0,#N/A,INDIRECT(ADDRESS($B253+1,BN$230,1,1,"Actively Infected Trend")))</f>
        <v>#N/A</v>
      </c>
      <c r="BO253" s="14" t="e" cm="1">
        <f t="array" aca="1" ref="BO253" ca="1">IF(INDIRECT(ADDRESS($B253+1,BO$230,1,1,"Actively Infected Trend"))=0,#N/A,INDIRECT(ADDRESS($B253+1,BO$230,1,1,"Actively Infected Trend")))</f>
        <v>#N/A</v>
      </c>
      <c r="BP253" s="14" t="e" cm="1">
        <f t="array" aca="1" ref="BP253" ca="1">IF(INDIRECT(ADDRESS($B253+1,BP$230,1,1,"Actively Infected Trend"))=0,#N/A,INDIRECT(ADDRESS($B253+1,BP$230,1,1,"Actively Infected Trend")))</f>
        <v>#N/A</v>
      </c>
      <c r="BQ253" s="14" t="e" cm="1">
        <f t="array" aca="1" ref="BQ253" ca="1">IF(INDIRECT(ADDRESS($B253+1,BQ$230,1,1,"Actively Infected Trend"))=0,#N/A,INDIRECT(ADDRESS($B253+1,BQ$230,1,1,"Actively Infected Trend")))</f>
        <v>#N/A</v>
      </c>
      <c r="BR253" s="14" t="e" cm="1">
        <f t="array" aca="1" ref="BR253" ca="1">IF(INDIRECT(ADDRESS($B253+1,BR$230,1,1,"Actively Infected Trend"))=0,#N/A,INDIRECT(ADDRESS($B253+1,BR$230,1,1,"Actively Infected Trend")))</f>
        <v>#N/A</v>
      </c>
      <c r="BS253" s="14" t="e" cm="1">
        <f t="array" aca="1" ref="BS253" ca="1">IF(INDIRECT(ADDRESS($B253+1,BS$230,1,1,"Actively Infected Trend"))=0,#N/A,INDIRECT(ADDRESS($B253+1,BS$230,1,1,"Actively Infected Trend")))</f>
        <v>#N/A</v>
      </c>
      <c r="BT253" s="14" t="e" cm="1">
        <f t="array" aca="1" ref="BT253" ca="1">IF(INDIRECT(ADDRESS($B253+1,BT$230,1,1,"Actively Infected Trend"))=0,#N/A,INDIRECT(ADDRESS($B253+1,BT$230,1,1,"Actively Infected Trend")))</f>
        <v>#N/A</v>
      </c>
      <c r="BU253" s="14" t="e" cm="1">
        <f t="array" aca="1" ref="BU253" ca="1">IF(INDIRECT(ADDRESS($B253+1,BU$230,1,1,"Actively Infected Trend"))=0,#N/A,INDIRECT(ADDRESS($B253+1,BU$230,1,1,"Actively Infected Trend")))</f>
        <v>#N/A</v>
      </c>
      <c r="BV253" s="14" t="e" cm="1">
        <f t="array" aca="1" ref="BV253" ca="1">IF(INDIRECT(ADDRESS($B253+1,BV$230,1,1,"Actively Infected Trend"))=0,#N/A,INDIRECT(ADDRESS($B253+1,BV$230,1,1,"Actively Infected Trend")))</f>
        <v>#N/A</v>
      </c>
      <c r="BW253" s="14" t="e" cm="1">
        <f t="array" aca="1" ref="BW253" ca="1">IF(INDIRECT(ADDRESS($B253+1,BW$230,1,1,"Actively Infected Trend"))=0,#N/A,INDIRECT(ADDRESS($B253+1,BW$230,1,1,"Actively Infected Trend")))</f>
        <v>#N/A</v>
      </c>
      <c r="BX253" s="14" t="e" cm="1">
        <f t="array" aca="1" ref="BX253" ca="1">IF(INDIRECT(ADDRESS($B253+1,BX$230,1,1,"Actively Infected Trend"))=0,#N/A,INDIRECT(ADDRESS($B253+1,BX$230,1,1,"Actively Infected Trend")))</f>
        <v>#N/A</v>
      </c>
      <c r="BY253" s="14" t="e" cm="1">
        <f t="array" aca="1" ref="BY253" ca="1">IF(INDIRECT(ADDRESS($B253+1,BY$230,1,1,"Actively Infected Trend"))=0,#N/A,INDIRECT(ADDRESS($B253+1,BY$230,1,1,"Actively Infected Trend")))</f>
        <v>#N/A</v>
      </c>
      <c r="BZ253" s="14" t="e" cm="1">
        <f t="array" aca="1" ref="BZ253" ca="1">IF(INDIRECT(ADDRESS($B253+1,BZ$230,1,1,"Actively Infected Trend"))=0,#N/A,INDIRECT(ADDRESS($B253+1,BZ$230,1,1,"Actively Infected Trend")))</f>
        <v>#N/A</v>
      </c>
      <c r="CA253" s="14" t="e" cm="1">
        <f t="array" aca="1" ref="CA253" ca="1">IF(INDIRECT(ADDRESS($B253+1,CA$230,1,1,"Actively Infected Trend"))=0,#N/A,INDIRECT(ADDRESS($B253+1,CA$230,1,1,"Actively Infected Trend")))</f>
        <v>#N/A</v>
      </c>
      <c r="CB253" s="14" t="e" cm="1">
        <f t="array" aca="1" ref="CB253" ca="1">IF(INDIRECT(ADDRESS($B253+1,CB$230,1,1,"Actively Infected Trend"))=0,#N/A,INDIRECT(ADDRESS($B253+1,CB$230,1,1,"Actively Infected Trend")))</f>
        <v>#N/A</v>
      </c>
      <c r="CC253" s="14" t="e" cm="1">
        <f t="array" aca="1" ref="CC253" ca="1">IF(INDIRECT(ADDRESS($B253+1,CC$230,1,1,"Actively Infected Trend"))=0,#N/A,INDIRECT(ADDRESS($B253+1,CC$230,1,1,"Actively Infected Trend")))</f>
        <v>#N/A</v>
      </c>
      <c r="CD253" s="14" t="e" cm="1">
        <f t="array" aca="1" ref="CD253" ca="1">IF(INDIRECT(ADDRESS($B253+1,CD$230,1,1,"Actively Infected Trend"))=0,#N/A,INDIRECT(ADDRESS($B253+1,CD$230,1,1,"Actively Infected Trend")))</f>
        <v>#N/A</v>
      </c>
      <c r="CE253" s="14" t="e" cm="1">
        <f t="array" aca="1" ref="CE253" ca="1">IF(INDIRECT(ADDRESS($B253+1,CE$230,1,1,"Actively Infected Trend"))=0,#N/A,INDIRECT(ADDRESS($B253+1,CE$230,1,1,"Actively Infected Trend")))</f>
        <v>#N/A</v>
      </c>
      <c r="CF253" s="14" t="e" cm="1">
        <f t="array" aca="1" ref="CF253" ca="1">IF(INDIRECT(ADDRESS($B253+1,CF$230,1,1,"Actively Infected Trend"))=0,#N/A,INDIRECT(ADDRESS($B253+1,CF$230,1,1,"Actively Infected Trend")))</f>
        <v>#N/A</v>
      </c>
      <c r="CG253" s="14" t="e" cm="1">
        <f t="array" aca="1" ref="CG253" ca="1">IF(INDIRECT(ADDRESS($B253+1,CG$230,1,1,"Actively Infected Trend"))=0,#N/A,INDIRECT(ADDRESS($B253+1,CG$230,1,1,"Actively Infected Trend")))</f>
        <v>#N/A</v>
      </c>
      <c r="CH253" s="14" t="e" cm="1">
        <f t="array" aca="1" ref="CH253" ca="1">IF(INDIRECT(ADDRESS($B253+1,CH$230,1,1,"Actively Infected Trend"))=0,#N/A,INDIRECT(ADDRESS($B253+1,CH$230,1,1,"Actively Infected Trend")))</f>
        <v>#N/A</v>
      </c>
      <c r="CI253" s="14" t="e" cm="1">
        <f t="array" aca="1" ref="CI253" ca="1">IF(INDIRECT(ADDRESS($B253+1,CI$230,1,1,"Actively Infected Trend"))=0,#N/A,INDIRECT(ADDRESS($B253+1,CI$230,1,1,"Actively Infected Trend")))</f>
        <v>#N/A</v>
      </c>
      <c r="CJ253" s="14" t="e" cm="1">
        <f t="array" aca="1" ref="CJ253" ca="1">IF(INDIRECT(ADDRESS($B253+1,CJ$230,1,1,"Actively Infected Trend"))=0,#N/A,INDIRECT(ADDRESS($B253+1,CJ$230,1,1,"Actively Infected Trend")))</f>
        <v>#N/A</v>
      </c>
      <c r="CK253" s="14" t="e" cm="1">
        <f t="array" aca="1" ref="CK253" ca="1">IF(INDIRECT(ADDRESS($B253+1,CK$230,1,1,"Actively Infected Trend"))=0,#N/A,INDIRECT(ADDRESS($B253+1,CK$230,1,1,"Actively Infected Trend")))</f>
        <v>#N/A</v>
      </c>
      <c r="CL253" s="14" t="e" cm="1">
        <f t="array" aca="1" ref="CL253" ca="1">IF(INDIRECT(ADDRESS($B253+1,CL$230,1,1,"Actively Infected Trend"))=0,#N/A,INDIRECT(ADDRESS($B253+1,CL$230,1,1,"Actively Infected Trend")))</f>
        <v>#N/A</v>
      </c>
      <c r="CM253" s="14" t="e" cm="1">
        <f t="array" aca="1" ref="CM253" ca="1">IF(INDIRECT(ADDRESS($B253+1,CM$230,1,1,"Actively Infected Trend"))=0,#N/A,INDIRECT(ADDRESS($B253+1,CM$230,1,1,"Actively Infected Trend")))</f>
        <v>#N/A</v>
      </c>
      <c r="CN253" s="14" t="e" cm="1">
        <f t="array" aca="1" ref="CN253" ca="1">IF(INDIRECT(ADDRESS($B253+1,CN$230,1,1,"Actively Infected Trend"))=0,#N/A,INDIRECT(ADDRESS($B253+1,CN$230,1,1,"Actively Infected Trend")))</f>
        <v>#N/A</v>
      </c>
      <c r="CO253" s="14" t="e" cm="1">
        <f t="array" aca="1" ref="CO253" ca="1">IF(INDIRECT(ADDRESS($B253+1,CO$230,1,1,"Actively Infected Trend"))=0,#N/A,INDIRECT(ADDRESS($B253+1,CO$230,1,1,"Actively Infected Trend")))</f>
        <v>#N/A</v>
      </c>
      <c r="CP253" s="14" t="e" cm="1">
        <f t="array" aca="1" ref="CP253" ca="1">IF(INDIRECT(ADDRESS($B253+1,CP$230,1,1,"Actively Infected Trend"))=0,#N/A,INDIRECT(ADDRESS($B253+1,CP$230,1,1,"Actively Infected Trend")))</f>
        <v>#N/A</v>
      </c>
      <c r="CQ253" s="14" t="e" cm="1">
        <f t="array" aca="1" ref="CQ253" ca="1">IF(INDIRECT(ADDRESS($B253+1,CQ$230,1,1,"Actively Infected Trend"))=0,#N/A,INDIRECT(ADDRESS($B253+1,CQ$230,1,1,"Actively Infected Trend")))</f>
        <v>#N/A</v>
      </c>
      <c r="CR253" s="14" t="e" cm="1">
        <f t="array" aca="1" ref="CR253" ca="1">IF(INDIRECT(ADDRESS($B253+1,CR$230,1,1,"Actively Infected Trend"))=0,#N/A,INDIRECT(ADDRESS($B253+1,CR$230,1,1,"Actively Infected Trend")))</f>
        <v>#N/A</v>
      </c>
    </row>
    <row r="254" spans="2:96" x14ac:dyDescent="0.25">
      <c r="B254">
        <f t="shared" si="349"/>
        <v>23</v>
      </c>
      <c r="C254" cm="1">
        <f t="array" aca="1" ref="C254" ca="1">INDIRECT(ADDRESS($B254+1,1,1,1,"Actively Infected Trend"))</f>
        <v>0</v>
      </c>
      <c r="E254" s="14" t="e" cm="1">
        <f t="array" aca="1" ref="E254" ca="1">IF(INDIRECT(ADDRESS($B254+1,E$230,1,1,"Actively Infected Trend"))=0,#N/A,INDIRECT(ADDRESS($B254+1,E$230,1,1,"Actively Infected Trend")))</f>
        <v>#N/A</v>
      </c>
      <c r="F254" s="14" t="e" cm="1">
        <f t="array" aca="1" ref="F254" ca="1">IF(INDIRECT(ADDRESS($B254+1,F$230,1,1,"Actively Infected Trend"))=0,#N/A,INDIRECT(ADDRESS($B254+1,F$230,1,1,"Actively Infected Trend")))</f>
        <v>#N/A</v>
      </c>
      <c r="G254" s="14" t="e" cm="1">
        <f t="array" aca="1" ref="G254" ca="1">IF(INDIRECT(ADDRESS($B254+1,G$230,1,1,"Actively Infected Trend"))=0,#N/A,INDIRECT(ADDRESS($B254+1,G$230,1,1,"Actively Infected Trend")))</f>
        <v>#N/A</v>
      </c>
      <c r="H254" s="14" t="e" cm="1">
        <f t="array" aca="1" ref="H254" ca="1">IF(INDIRECT(ADDRESS($B254+1,H$230,1,1,"Actively Infected Trend"))=0,#N/A,INDIRECT(ADDRESS($B254+1,H$230,1,1,"Actively Infected Trend")))</f>
        <v>#N/A</v>
      </c>
      <c r="I254" s="14" t="e" cm="1">
        <f t="array" aca="1" ref="I254" ca="1">IF(INDIRECT(ADDRESS($B254+1,I$230,1,1,"Actively Infected Trend"))=0,#N/A,INDIRECT(ADDRESS($B254+1,I$230,1,1,"Actively Infected Trend")))</f>
        <v>#N/A</v>
      </c>
      <c r="J254" s="14" t="e" cm="1">
        <f t="array" aca="1" ref="J254" ca="1">IF(INDIRECT(ADDRESS($B254+1,J$230,1,1,"Actively Infected Trend"))=0,#N/A,INDIRECT(ADDRESS($B254+1,J$230,1,1,"Actively Infected Trend")))</f>
        <v>#N/A</v>
      </c>
      <c r="K254" s="14" t="e" cm="1">
        <f t="array" aca="1" ref="K254" ca="1">IF(INDIRECT(ADDRESS($B254+1,K$230,1,1,"Actively Infected Trend"))=0,#N/A,INDIRECT(ADDRESS($B254+1,K$230,1,1,"Actively Infected Trend")))</f>
        <v>#N/A</v>
      </c>
      <c r="L254" s="14" t="e" cm="1">
        <f t="array" aca="1" ref="L254" ca="1">IF(INDIRECT(ADDRESS($B254+1,L$230,1,1,"Actively Infected Trend"))=0,#N/A,INDIRECT(ADDRESS($B254+1,L$230,1,1,"Actively Infected Trend")))</f>
        <v>#N/A</v>
      </c>
      <c r="M254" s="14" t="e" cm="1">
        <f t="array" aca="1" ref="M254" ca="1">IF(INDIRECT(ADDRESS($B254+1,M$230,1,1,"Actively Infected Trend"))=0,#N/A,INDIRECT(ADDRESS($B254+1,M$230,1,1,"Actively Infected Trend")))</f>
        <v>#N/A</v>
      </c>
      <c r="N254" s="14" t="e" cm="1">
        <f t="array" aca="1" ref="N254" ca="1">IF(INDIRECT(ADDRESS($B254+1,N$230,1,1,"Actively Infected Trend"))=0,#N/A,INDIRECT(ADDRESS($B254+1,N$230,1,1,"Actively Infected Trend")))</f>
        <v>#N/A</v>
      </c>
      <c r="O254" s="14" t="e" cm="1">
        <f t="array" aca="1" ref="O254" ca="1">IF(INDIRECT(ADDRESS($B254+1,O$230,1,1,"Actively Infected Trend"))=0,#N/A,INDIRECT(ADDRESS($B254+1,O$230,1,1,"Actively Infected Trend")))</f>
        <v>#N/A</v>
      </c>
      <c r="P254" s="14" t="e" cm="1">
        <f t="array" aca="1" ref="P254" ca="1">IF(INDIRECT(ADDRESS($B254+1,P$230,1,1,"Actively Infected Trend"))=0,#N/A,INDIRECT(ADDRESS($B254+1,P$230,1,1,"Actively Infected Trend")))</f>
        <v>#N/A</v>
      </c>
      <c r="Q254" s="14" t="e" cm="1">
        <f t="array" aca="1" ref="Q254" ca="1">IF(INDIRECT(ADDRESS($B254+1,Q$230,1,1,"Actively Infected Trend"))=0,#N/A,INDIRECT(ADDRESS($B254+1,Q$230,1,1,"Actively Infected Trend")))</f>
        <v>#N/A</v>
      </c>
      <c r="R254" s="14" t="e" cm="1">
        <f t="array" aca="1" ref="R254" ca="1">IF(INDIRECT(ADDRESS($B254+1,R$230,1,1,"Actively Infected Trend"))=0,#N/A,INDIRECT(ADDRESS($B254+1,R$230,1,1,"Actively Infected Trend")))</f>
        <v>#N/A</v>
      </c>
      <c r="S254" s="14" t="e" cm="1">
        <f t="array" aca="1" ref="S254" ca="1">IF(INDIRECT(ADDRESS($B254+1,S$230,1,1,"Actively Infected Trend"))=0,#N/A,INDIRECT(ADDRESS($B254+1,S$230,1,1,"Actively Infected Trend")))</f>
        <v>#N/A</v>
      </c>
      <c r="T254" s="14" t="e" cm="1">
        <f t="array" aca="1" ref="T254" ca="1">IF(INDIRECT(ADDRESS($B254+1,T$230,1,1,"Actively Infected Trend"))=0,#N/A,INDIRECT(ADDRESS($B254+1,T$230,1,1,"Actively Infected Trend")))</f>
        <v>#N/A</v>
      </c>
      <c r="U254" s="14" t="e" cm="1">
        <f t="array" aca="1" ref="U254" ca="1">IF(INDIRECT(ADDRESS($B254+1,U$230,1,1,"Actively Infected Trend"))=0,#N/A,INDIRECT(ADDRESS($B254+1,U$230,1,1,"Actively Infected Trend")))</f>
        <v>#N/A</v>
      </c>
      <c r="V254" s="14" t="e" cm="1">
        <f t="array" aca="1" ref="V254" ca="1">IF(INDIRECT(ADDRESS($B254+1,V$230,1,1,"Actively Infected Trend"))=0,#N/A,INDIRECT(ADDRESS($B254+1,V$230,1,1,"Actively Infected Trend")))</f>
        <v>#N/A</v>
      </c>
      <c r="W254" s="14" t="e" cm="1">
        <f t="array" aca="1" ref="W254" ca="1">IF(INDIRECT(ADDRESS($B254+1,W$230,1,1,"Actively Infected Trend"))=0,#N/A,INDIRECT(ADDRESS($B254+1,W$230,1,1,"Actively Infected Trend")))</f>
        <v>#N/A</v>
      </c>
      <c r="X254" s="14" t="e" cm="1">
        <f t="array" aca="1" ref="X254" ca="1">IF(INDIRECT(ADDRESS($B254+1,X$230,1,1,"Actively Infected Trend"))=0,#N/A,INDIRECT(ADDRESS($B254+1,X$230,1,1,"Actively Infected Trend")))</f>
        <v>#N/A</v>
      </c>
      <c r="Y254" s="14" t="e" cm="1">
        <f t="array" aca="1" ref="Y254" ca="1">IF(INDIRECT(ADDRESS($B254+1,Y$230,1,1,"Actively Infected Trend"))=0,#N/A,INDIRECT(ADDRESS($B254+1,Y$230,1,1,"Actively Infected Trend")))</f>
        <v>#N/A</v>
      </c>
      <c r="Z254" s="14" t="e" cm="1">
        <f t="array" aca="1" ref="Z254" ca="1">IF(INDIRECT(ADDRESS($B254+1,Z$230,1,1,"Actively Infected Trend"))=0,#N/A,INDIRECT(ADDRESS($B254+1,Z$230,1,1,"Actively Infected Trend")))</f>
        <v>#N/A</v>
      </c>
      <c r="AA254" s="14" t="e" cm="1">
        <f t="array" aca="1" ref="AA254" ca="1">IF(INDIRECT(ADDRESS($B254+1,AA$230,1,1,"Actively Infected Trend"))=0,#N/A,INDIRECT(ADDRESS($B254+1,AA$230,1,1,"Actively Infected Trend")))</f>
        <v>#N/A</v>
      </c>
      <c r="AB254" s="14" t="e" cm="1">
        <f t="array" aca="1" ref="AB254" ca="1">IF(INDIRECT(ADDRESS($B254+1,AB$230,1,1,"Actively Infected Trend"))=0,#N/A,INDIRECT(ADDRESS($B254+1,AB$230,1,1,"Actively Infected Trend")))</f>
        <v>#N/A</v>
      </c>
      <c r="AC254" s="14" t="e" cm="1">
        <f t="array" aca="1" ref="AC254" ca="1">IF(INDIRECT(ADDRESS($B254+1,AC$230,1,1,"Actively Infected Trend"))=0,#N/A,INDIRECT(ADDRESS($B254+1,AC$230,1,1,"Actively Infected Trend")))</f>
        <v>#N/A</v>
      </c>
      <c r="AD254" s="14" t="e" cm="1">
        <f t="array" aca="1" ref="AD254" ca="1">IF(INDIRECT(ADDRESS($B254+1,AD$230,1,1,"Actively Infected Trend"))=0,#N/A,INDIRECT(ADDRESS($B254+1,AD$230,1,1,"Actively Infected Trend")))</f>
        <v>#N/A</v>
      </c>
      <c r="AE254" s="14" t="e" cm="1">
        <f t="array" aca="1" ref="AE254" ca="1">IF(INDIRECT(ADDRESS($B254+1,AE$230,1,1,"Actively Infected Trend"))=0,#N/A,INDIRECT(ADDRESS($B254+1,AE$230,1,1,"Actively Infected Trend")))</f>
        <v>#N/A</v>
      </c>
      <c r="AF254" s="14" t="e" cm="1">
        <f t="array" aca="1" ref="AF254" ca="1">IF(INDIRECT(ADDRESS($B254+1,AF$230,1,1,"Actively Infected Trend"))=0,#N/A,INDIRECT(ADDRESS($B254+1,AF$230,1,1,"Actively Infected Trend")))</f>
        <v>#N/A</v>
      </c>
      <c r="AG254" s="14" t="e" cm="1">
        <f t="array" aca="1" ref="AG254" ca="1">IF(INDIRECT(ADDRESS($B254+1,AG$230,1,1,"Actively Infected Trend"))=0,#N/A,INDIRECT(ADDRESS($B254+1,AG$230,1,1,"Actively Infected Trend")))</f>
        <v>#N/A</v>
      </c>
      <c r="AH254" s="14" t="e" cm="1">
        <f t="array" aca="1" ref="AH254" ca="1">IF(INDIRECT(ADDRESS($B254+1,AH$230,1,1,"Actively Infected Trend"))=0,#N/A,INDIRECT(ADDRESS($B254+1,AH$230,1,1,"Actively Infected Trend")))</f>
        <v>#N/A</v>
      </c>
      <c r="AI254" s="14" t="e" cm="1">
        <f t="array" aca="1" ref="AI254" ca="1">IF(INDIRECT(ADDRESS($B254+1,AI$230,1,1,"Actively Infected Trend"))=0,#N/A,INDIRECT(ADDRESS($B254+1,AI$230,1,1,"Actively Infected Trend")))</f>
        <v>#N/A</v>
      </c>
      <c r="AJ254" s="14" t="e" cm="1">
        <f t="array" aca="1" ref="AJ254" ca="1">IF(INDIRECT(ADDRESS($B254+1,AJ$230,1,1,"Actively Infected Trend"))=0,#N/A,INDIRECT(ADDRESS($B254+1,AJ$230,1,1,"Actively Infected Trend")))</f>
        <v>#N/A</v>
      </c>
      <c r="AK254" s="14" t="e" cm="1">
        <f t="array" aca="1" ref="AK254" ca="1">IF(INDIRECT(ADDRESS($B254+1,AK$230,1,1,"Actively Infected Trend"))=0,#N/A,INDIRECT(ADDRESS($B254+1,AK$230,1,1,"Actively Infected Trend")))</f>
        <v>#N/A</v>
      </c>
      <c r="AL254" s="14" t="e" cm="1">
        <f t="array" aca="1" ref="AL254" ca="1">IF(INDIRECT(ADDRESS($B254+1,AL$230,1,1,"Actively Infected Trend"))=0,#N/A,INDIRECT(ADDRESS($B254+1,AL$230,1,1,"Actively Infected Trend")))</f>
        <v>#N/A</v>
      </c>
      <c r="AM254" s="14" t="e" cm="1">
        <f t="array" aca="1" ref="AM254" ca="1">IF(INDIRECT(ADDRESS($B254+1,AM$230,1,1,"Actively Infected Trend"))=0,#N/A,INDIRECT(ADDRESS($B254+1,AM$230,1,1,"Actively Infected Trend")))</f>
        <v>#N/A</v>
      </c>
      <c r="AN254" s="14" t="e" cm="1">
        <f t="array" aca="1" ref="AN254" ca="1">IF(INDIRECT(ADDRESS($B254+1,AN$230,1,1,"Actively Infected Trend"))=0,#N/A,INDIRECT(ADDRESS($B254+1,AN$230,1,1,"Actively Infected Trend")))</f>
        <v>#N/A</v>
      </c>
      <c r="AO254" s="14" t="e" cm="1">
        <f t="array" aca="1" ref="AO254" ca="1">IF(INDIRECT(ADDRESS($B254+1,AO$230,1,1,"Actively Infected Trend"))=0,#N/A,INDIRECT(ADDRESS($B254+1,AO$230,1,1,"Actively Infected Trend")))</f>
        <v>#N/A</v>
      </c>
      <c r="AP254" s="14" t="e" cm="1">
        <f t="array" aca="1" ref="AP254" ca="1">IF(INDIRECT(ADDRESS($B254+1,AP$230,1,1,"Actively Infected Trend"))=0,#N/A,INDIRECT(ADDRESS($B254+1,AP$230,1,1,"Actively Infected Trend")))</f>
        <v>#N/A</v>
      </c>
      <c r="AQ254" s="14" t="e" cm="1">
        <f t="array" aca="1" ref="AQ254" ca="1">IF(INDIRECT(ADDRESS($B254+1,AQ$230,1,1,"Actively Infected Trend"))=0,#N/A,INDIRECT(ADDRESS($B254+1,AQ$230,1,1,"Actively Infected Trend")))</f>
        <v>#N/A</v>
      </c>
      <c r="AR254" s="14" t="e" cm="1">
        <f t="array" aca="1" ref="AR254" ca="1">IF(INDIRECT(ADDRESS($B254+1,AR$230,1,1,"Actively Infected Trend"))=0,#N/A,INDIRECT(ADDRESS($B254+1,AR$230,1,1,"Actively Infected Trend")))</f>
        <v>#N/A</v>
      </c>
      <c r="AS254" s="14" t="e" cm="1">
        <f t="array" aca="1" ref="AS254" ca="1">IF(INDIRECT(ADDRESS($B254+1,AS$230,1,1,"Actively Infected Trend"))=0,#N/A,INDIRECT(ADDRESS($B254+1,AS$230,1,1,"Actively Infected Trend")))</f>
        <v>#N/A</v>
      </c>
      <c r="AT254" s="14" t="e" cm="1">
        <f t="array" aca="1" ref="AT254" ca="1">IF(INDIRECT(ADDRESS($B254+1,AT$230,1,1,"Actively Infected Trend"))=0,#N/A,INDIRECT(ADDRESS($B254+1,AT$230,1,1,"Actively Infected Trend")))</f>
        <v>#N/A</v>
      </c>
      <c r="AU254" s="14" t="e" cm="1">
        <f t="array" aca="1" ref="AU254" ca="1">IF(INDIRECT(ADDRESS($B254+1,AU$230,1,1,"Actively Infected Trend"))=0,#N/A,INDIRECT(ADDRESS($B254+1,AU$230,1,1,"Actively Infected Trend")))</f>
        <v>#N/A</v>
      </c>
      <c r="AV254" s="14" t="e" cm="1">
        <f t="array" aca="1" ref="AV254" ca="1">IF(INDIRECT(ADDRESS($B254+1,AV$230,1,1,"Actively Infected Trend"))=0,#N/A,INDIRECT(ADDRESS($B254+1,AV$230,1,1,"Actively Infected Trend")))</f>
        <v>#N/A</v>
      </c>
      <c r="AW254" s="14" t="e" cm="1">
        <f t="array" aca="1" ref="AW254" ca="1">IF(INDIRECT(ADDRESS($B254+1,AW$230,1,1,"Actively Infected Trend"))=0,#N/A,INDIRECT(ADDRESS($B254+1,AW$230,1,1,"Actively Infected Trend")))</f>
        <v>#N/A</v>
      </c>
      <c r="AX254" s="14" t="e" cm="1">
        <f t="array" aca="1" ref="AX254" ca="1">IF(INDIRECT(ADDRESS($B254+1,AX$230,1,1,"Actively Infected Trend"))=0,#N/A,INDIRECT(ADDRESS($B254+1,AX$230,1,1,"Actively Infected Trend")))</f>
        <v>#N/A</v>
      </c>
      <c r="AY254" s="14" t="e" cm="1">
        <f t="array" aca="1" ref="AY254" ca="1">IF(INDIRECT(ADDRESS($B254+1,AY$230,1,1,"Actively Infected Trend"))=0,#N/A,INDIRECT(ADDRESS($B254+1,AY$230,1,1,"Actively Infected Trend")))</f>
        <v>#N/A</v>
      </c>
      <c r="AZ254" s="14" t="e" cm="1">
        <f t="array" aca="1" ref="AZ254" ca="1">IF(INDIRECT(ADDRESS($B254+1,AZ$230,1,1,"Actively Infected Trend"))=0,#N/A,INDIRECT(ADDRESS($B254+1,AZ$230,1,1,"Actively Infected Trend")))</f>
        <v>#N/A</v>
      </c>
      <c r="BA254" s="14" t="e" cm="1">
        <f t="array" aca="1" ref="BA254" ca="1">IF(INDIRECT(ADDRESS($B254+1,BA$230,1,1,"Actively Infected Trend"))=0,#N/A,INDIRECT(ADDRESS($B254+1,BA$230,1,1,"Actively Infected Trend")))</f>
        <v>#N/A</v>
      </c>
      <c r="BB254" s="14" t="e" cm="1">
        <f t="array" aca="1" ref="BB254" ca="1">IF(INDIRECT(ADDRESS($B254+1,BB$230,1,1,"Actively Infected Trend"))=0,#N/A,INDIRECT(ADDRESS($B254+1,BB$230,1,1,"Actively Infected Trend")))</f>
        <v>#N/A</v>
      </c>
      <c r="BC254" s="14" t="e" cm="1">
        <f t="array" aca="1" ref="BC254" ca="1">IF(INDIRECT(ADDRESS($B254+1,BC$230,1,1,"Actively Infected Trend"))=0,#N/A,INDIRECT(ADDRESS($B254+1,BC$230,1,1,"Actively Infected Trend")))</f>
        <v>#N/A</v>
      </c>
      <c r="BD254" s="14" t="e" cm="1">
        <f t="array" aca="1" ref="BD254" ca="1">IF(INDIRECT(ADDRESS($B254+1,BD$230,1,1,"Actively Infected Trend"))=0,#N/A,INDIRECT(ADDRESS($B254+1,BD$230,1,1,"Actively Infected Trend")))</f>
        <v>#N/A</v>
      </c>
      <c r="BE254" s="14" t="e" cm="1">
        <f t="array" aca="1" ref="BE254" ca="1">IF(INDIRECT(ADDRESS($B254+1,BE$230,1,1,"Actively Infected Trend"))=0,#N/A,INDIRECT(ADDRESS($B254+1,BE$230,1,1,"Actively Infected Trend")))</f>
        <v>#N/A</v>
      </c>
      <c r="BF254" s="14" t="e" cm="1">
        <f t="array" aca="1" ref="BF254" ca="1">IF(INDIRECT(ADDRESS($B254+1,BF$230,1,1,"Actively Infected Trend"))=0,#N/A,INDIRECT(ADDRESS($B254+1,BF$230,1,1,"Actively Infected Trend")))</f>
        <v>#N/A</v>
      </c>
      <c r="BG254" s="14" t="e" cm="1">
        <f t="array" aca="1" ref="BG254" ca="1">IF(INDIRECT(ADDRESS($B254+1,BG$230,1,1,"Actively Infected Trend"))=0,#N/A,INDIRECT(ADDRESS($B254+1,BG$230,1,1,"Actively Infected Trend")))</f>
        <v>#N/A</v>
      </c>
      <c r="BH254" s="14" t="e" cm="1">
        <f t="array" aca="1" ref="BH254" ca="1">IF(INDIRECT(ADDRESS($B254+1,BH$230,1,1,"Actively Infected Trend"))=0,#N/A,INDIRECT(ADDRESS($B254+1,BH$230,1,1,"Actively Infected Trend")))</f>
        <v>#N/A</v>
      </c>
      <c r="BI254" s="14" t="e" cm="1">
        <f t="array" aca="1" ref="BI254" ca="1">IF(INDIRECT(ADDRESS($B254+1,BI$230,1,1,"Actively Infected Trend"))=0,#N/A,INDIRECT(ADDRESS($B254+1,BI$230,1,1,"Actively Infected Trend")))</f>
        <v>#N/A</v>
      </c>
      <c r="BJ254" s="14" t="e" cm="1">
        <f t="array" aca="1" ref="BJ254" ca="1">IF(INDIRECT(ADDRESS($B254+1,BJ$230,1,1,"Actively Infected Trend"))=0,#N/A,INDIRECT(ADDRESS($B254+1,BJ$230,1,1,"Actively Infected Trend")))</f>
        <v>#N/A</v>
      </c>
      <c r="BK254" s="14" t="e" cm="1">
        <f t="array" aca="1" ref="BK254" ca="1">IF(INDIRECT(ADDRESS($B254+1,BK$230,1,1,"Actively Infected Trend"))=0,#N/A,INDIRECT(ADDRESS($B254+1,BK$230,1,1,"Actively Infected Trend")))</f>
        <v>#N/A</v>
      </c>
      <c r="BL254" s="14" t="e" cm="1">
        <f t="array" aca="1" ref="BL254" ca="1">IF(INDIRECT(ADDRESS($B254+1,BL$230,1,1,"Actively Infected Trend"))=0,#N/A,INDIRECT(ADDRESS($B254+1,BL$230,1,1,"Actively Infected Trend")))</f>
        <v>#N/A</v>
      </c>
      <c r="BM254" s="14" t="e" cm="1">
        <f t="array" aca="1" ref="BM254" ca="1">IF(INDIRECT(ADDRESS($B254+1,BM$230,1,1,"Actively Infected Trend"))=0,#N/A,INDIRECT(ADDRESS($B254+1,BM$230,1,1,"Actively Infected Trend")))</f>
        <v>#N/A</v>
      </c>
      <c r="BN254" s="14" t="e" cm="1">
        <f t="array" aca="1" ref="BN254" ca="1">IF(INDIRECT(ADDRESS($B254+1,BN$230,1,1,"Actively Infected Trend"))=0,#N/A,INDIRECT(ADDRESS($B254+1,BN$230,1,1,"Actively Infected Trend")))</f>
        <v>#N/A</v>
      </c>
      <c r="BO254" s="14" t="e" cm="1">
        <f t="array" aca="1" ref="BO254" ca="1">IF(INDIRECT(ADDRESS($B254+1,BO$230,1,1,"Actively Infected Trend"))=0,#N/A,INDIRECT(ADDRESS($B254+1,BO$230,1,1,"Actively Infected Trend")))</f>
        <v>#N/A</v>
      </c>
      <c r="BP254" s="14" t="e" cm="1">
        <f t="array" aca="1" ref="BP254" ca="1">IF(INDIRECT(ADDRESS($B254+1,BP$230,1,1,"Actively Infected Trend"))=0,#N/A,INDIRECT(ADDRESS($B254+1,BP$230,1,1,"Actively Infected Trend")))</f>
        <v>#N/A</v>
      </c>
      <c r="BQ254" s="14" t="e" cm="1">
        <f t="array" aca="1" ref="BQ254" ca="1">IF(INDIRECT(ADDRESS($B254+1,BQ$230,1,1,"Actively Infected Trend"))=0,#N/A,INDIRECT(ADDRESS($B254+1,BQ$230,1,1,"Actively Infected Trend")))</f>
        <v>#N/A</v>
      </c>
      <c r="BR254" s="14" t="e" cm="1">
        <f t="array" aca="1" ref="BR254" ca="1">IF(INDIRECT(ADDRESS($B254+1,BR$230,1,1,"Actively Infected Trend"))=0,#N/A,INDIRECT(ADDRESS($B254+1,BR$230,1,1,"Actively Infected Trend")))</f>
        <v>#N/A</v>
      </c>
      <c r="BS254" s="14" t="e" cm="1">
        <f t="array" aca="1" ref="BS254" ca="1">IF(INDIRECT(ADDRESS($B254+1,BS$230,1,1,"Actively Infected Trend"))=0,#N/A,INDIRECT(ADDRESS($B254+1,BS$230,1,1,"Actively Infected Trend")))</f>
        <v>#N/A</v>
      </c>
      <c r="BT254" s="14" t="e" cm="1">
        <f t="array" aca="1" ref="BT254" ca="1">IF(INDIRECT(ADDRESS($B254+1,BT$230,1,1,"Actively Infected Trend"))=0,#N/A,INDIRECT(ADDRESS($B254+1,BT$230,1,1,"Actively Infected Trend")))</f>
        <v>#N/A</v>
      </c>
      <c r="BU254" s="14" t="e" cm="1">
        <f t="array" aca="1" ref="BU254" ca="1">IF(INDIRECT(ADDRESS($B254+1,BU$230,1,1,"Actively Infected Trend"))=0,#N/A,INDIRECT(ADDRESS($B254+1,BU$230,1,1,"Actively Infected Trend")))</f>
        <v>#N/A</v>
      </c>
      <c r="BV254" s="14" t="e" cm="1">
        <f t="array" aca="1" ref="BV254" ca="1">IF(INDIRECT(ADDRESS($B254+1,BV$230,1,1,"Actively Infected Trend"))=0,#N/A,INDIRECT(ADDRESS($B254+1,BV$230,1,1,"Actively Infected Trend")))</f>
        <v>#N/A</v>
      </c>
      <c r="BW254" s="14" t="e" cm="1">
        <f t="array" aca="1" ref="BW254" ca="1">IF(INDIRECT(ADDRESS($B254+1,BW$230,1,1,"Actively Infected Trend"))=0,#N/A,INDIRECT(ADDRESS($B254+1,BW$230,1,1,"Actively Infected Trend")))</f>
        <v>#N/A</v>
      </c>
      <c r="BX254" s="14" t="e" cm="1">
        <f t="array" aca="1" ref="BX254" ca="1">IF(INDIRECT(ADDRESS($B254+1,BX$230,1,1,"Actively Infected Trend"))=0,#N/A,INDIRECT(ADDRESS($B254+1,BX$230,1,1,"Actively Infected Trend")))</f>
        <v>#N/A</v>
      </c>
      <c r="BY254" s="14" t="e" cm="1">
        <f t="array" aca="1" ref="BY254" ca="1">IF(INDIRECT(ADDRESS($B254+1,BY$230,1,1,"Actively Infected Trend"))=0,#N/A,INDIRECT(ADDRESS($B254+1,BY$230,1,1,"Actively Infected Trend")))</f>
        <v>#N/A</v>
      </c>
      <c r="BZ254" s="14" t="e" cm="1">
        <f t="array" aca="1" ref="BZ254" ca="1">IF(INDIRECT(ADDRESS($B254+1,BZ$230,1,1,"Actively Infected Trend"))=0,#N/A,INDIRECT(ADDRESS($B254+1,BZ$230,1,1,"Actively Infected Trend")))</f>
        <v>#N/A</v>
      </c>
      <c r="CA254" s="14" t="e" cm="1">
        <f t="array" aca="1" ref="CA254" ca="1">IF(INDIRECT(ADDRESS($B254+1,CA$230,1,1,"Actively Infected Trend"))=0,#N/A,INDIRECT(ADDRESS($B254+1,CA$230,1,1,"Actively Infected Trend")))</f>
        <v>#N/A</v>
      </c>
      <c r="CB254" s="14" t="e" cm="1">
        <f t="array" aca="1" ref="CB254" ca="1">IF(INDIRECT(ADDRESS($B254+1,CB$230,1,1,"Actively Infected Trend"))=0,#N/A,INDIRECT(ADDRESS($B254+1,CB$230,1,1,"Actively Infected Trend")))</f>
        <v>#N/A</v>
      </c>
      <c r="CC254" s="14" t="e" cm="1">
        <f t="array" aca="1" ref="CC254" ca="1">IF(INDIRECT(ADDRESS($B254+1,CC$230,1,1,"Actively Infected Trend"))=0,#N/A,INDIRECT(ADDRESS($B254+1,CC$230,1,1,"Actively Infected Trend")))</f>
        <v>#N/A</v>
      </c>
      <c r="CD254" s="14" t="e" cm="1">
        <f t="array" aca="1" ref="CD254" ca="1">IF(INDIRECT(ADDRESS($B254+1,CD$230,1,1,"Actively Infected Trend"))=0,#N/A,INDIRECT(ADDRESS($B254+1,CD$230,1,1,"Actively Infected Trend")))</f>
        <v>#N/A</v>
      </c>
      <c r="CE254" s="14" t="e" cm="1">
        <f t="array" aca="1" ref="CE254" ca="1">IF(INDIRECT(ADDRESS($B254+1,CE$230,1,1,"Actively Infected Trend"))=0,#N/A,INDIRECT(ADDRESS($B254+1,CE$230,1,1,"Actively Infected Trend")))</f>
        <v>#N/A</v>
      </c>
      <c r="CF254" s="14" t="e" cm="1">
        <f t="array" aca="1" ref="CF254" ca="1">IF(INDIRECT(ADDRESS($B254+1,CF$230,1,1,"Actively Infected Trend"))=0,#N/A,INDIRECT(ADDRESS($B254+1,CF$230,1,1,"Actively Infected Trend")))</f>
        <v>#N/A</v>
      </c>
      <c r="CG254" s="14" t="e" cm="1">
        <f t="array" aca="1" ref="CG254" ca="1">IF(INDIRECT(ADDRESS($B254+1,CG$230,1,1,"Actively Infected Trend"))=0,#N/A,INDIRECT(ADDRESS($B254+1,CG$230,1,1,"Actively Infected Trend")))</f>
        <v>#N/A</v>
      </c>
      <c r="CH254" s="14" t="e" cm="1">
        <f t="array" aca="1" ref="CH254" ca="1">IF(INDIRECT(ADDRESS($B254+1,CH$230,1,1,"Actively Infected Trend"))=0,#N/A,INDIRECT(ADDRESS($B254+1,CH$230,1,1,"Actively Infected Trend")))</f>
        <v>#N/A</v>
      </c>
      <c r="CI254" s="14" t="e" cm="1">
        <f t="array" aca="1" ref="CI254" ca="1">IF(INDIRECT(ADDRESS($B254+1,CI$230,1,1,"Actively Infected Trend"))=0,#N/A,INDIRECT(ADDRESS($B254+1,CI$230,1,1,"Actively Infected Trend")))</f>
        <v>#N/A</v>
      </c>
      <c r="CJ254" s="14" t="e" cm="1">
        <f t="array" aca="1" ref="CJ254" ca="1">IF(INDIRECT(ADDRESS($B254+1,CJ$230,1,1,"Actively Infected Trend"))=0,#N/A,INDIRECT(ADDRESS($B254+1,CJ$230,1,1,"Actively Infected Trend")))</f>
        <v>#N/A</v>
      </c>
      <c r="CK254" s="14" t="e" cm="1">
        <f t="array" aca="1" ref="CK254" ca="1">IF(INDIRECT(ADDRESS($B254+1,CK$230,1,1,"Actively Infected Trend"))=0,#N/A,INDIRECT(ADDRESS($B254+1,CK$230,1,1,"Actively Infected Trend")))</f>
        <v>#N/A</v>
      </c>
      <c r="CL254" s="14" t="e" cm="1">
        <f t="array" aca="1" ref="CL254" ca="1">IF(INDIRECT(ADDRESS($B254+1,CL$230,1,1,"Actively Infected Trend"))=0,#N/A,INDIRECT(ADDRESS($B254+1,CL$230,1,1,"Actively Infected Trend")))</f>
        <v>#N/A</v>
      </c>
      <c r="CM254" s="14" t="e" cm="1">
        <f t="array" aca="1" ref="CM254" ca="1">IF(INDIRECT(ADDRESS($B254+1,CM$230,1,1,"Actively Infected Trend"))=0,#N/A,INDIRECT(ADDRESS($B254+1,CM$230,1,1,"Actively Infected Trend")))</f>
        <v>#N/A</v>
      </c>
      <c r="CN254" s="14" t="e" cm="1">
        <f t="array" aca="1" ref="CN254" ca="1">IF(INDIRECT(ADDRESS($B254+1,CN$230,1,1,"Actively Infected Trend"))=0,#N/A,INDIRECT(ADDRESS($B254+1,CN$230,1,1,"Actively Infected Trend")))</f>
        <v>#N/A</v>
      </c>
      <c r="CO254" s="14" t="e" cm="1">
        <f t="array" aca="1" ref="CO254" ca="1">IF(INDIRECT(ADDRESS($B254+1,CO$230,1,1,"Actively Infected Trend"))=0,#N/A,INDIRECT(ADDRESS($B254+1,CO$230,1,1,"Actively Infected Trend")))</f>
        <v>#N/A</v>
      </c>
      <c r="CP254" s="14" t="e" cm="1">
        <f t="array" aca="1" ref="CP254" ca="1">IF(INDIRECT(ADDRESS($B254+1,CP$230,1,1,"Actively Infected Trend"))=0,#N/A,INDIRECT(ADDRESS($B254+1,CP$230,1,1,"Actively Infected Trend")))</f>
        <v>#N/A</v>
      </c>
      <c r="CQ254" s="14" t="e" cm="1">
        <f t="array" aca="1" ref="CQ254" ca="1">IF(INDIRECT(ADDRESS($B254+1,CQ$230,1,1,"Actively Infected Trend"))=0,#N/A,INDIRECT(ADDRESS($B254+1,CQ$230,1,1,"Actively Infected Trend")))</f>
        <v>#N/A</v>
      </c>
      <c r="CR254" s="14" t="e" cm="1">
        <f t="array" aca="1" ref="CR254" ca="1">IF(INDIRECT(ADDRESS($B254+1,CR$230,1,1,"Actively Infected Trend"))=0,#N/A,INDIRECT(ADDRESS($B254+1,CR$230,1,1,"Actively Infected Trend")))</f>
        <v>#N/A</v>
      </c>
    </row>
    <row r="255" spans="2:96" x14ac:dyDescent="0.25">
      <c r="B255">
        <f t="shared" si="349"/>
        <v>24</v>
      </c>
      <c r="C255" cm="1">
        <f t="array" aca="1" ref="C255" ca="1">INDIRECT(ADDRESS($B255+1,1,1,1,"Actively Infected Trend"))</f>
        <v>0</v>
      </c>
      <c r="E255" s="14" t="e" cm="1">
        <f t="array" aca="1" ref="E255" ca="1">IF(INDIRECT(ADDRESS($B255+1,E$230,1,1,"Actively Infected Trend"))=0,#N/A,INDIRECT(ADDRESS($B255+1,E$230,1,1,"Actively Infected Trend")))</f>
        <v>#N/A</v>
      </c>
      <c r="F255" s="14" t="e" cm="1">
        <f t="array" aca="1" ref="F255" ca="1">IF(INDIRECT(ADDRESS($B255+1,F$230,1,1,"Actively Infected Trend"))=0,#N/A,INDIRECT(ADDRESS($B255+1,F$230,1,1,"Actively Infected Trend")))</f>
        <v>#N/A</v>
      </c>
      <c r="G255" s="14" t="e" cm="1">
        <f t="array" aca="1" ref="G255" ca="1">IF(INDIRECT(ADDRESS($B255+1,G$230,1,1,"Actively Infected Trend"))=0,#N/A,INDIRECT(ADDRESS($B255+1,G$230,1,1,"Actively Infected Trend")))</f>
        <v>#N/A</v>
      </c>
      <c r="H255" s="14" t="e" cm="1">
        <f t="array" aca="1" ref="H255" ca="1">IF(INDIRECT(ADDRESS($B255+1,H$230,1,1,"Actively Infected Trend"))=0,#N/A,INDIRECT(ADDRESS($B255+1,H$230,1,1,"Actively Infected Trend")))</f>
        <v>#N/A</v>
      </c>
      <c r="I255" s="14" t="e" cm="1">
        <f t="array" aca="1" ref="I255" ca="1">IF(INDIRECT(ADDRESS($B255+1,I$230,1,1,"Actively Infected Trend"))=0,#N/A,INDIRECT(ADDRESS($B255+1,I$230,1,1,"Actively Infected Trend")))</f>
        <v>#N/A</v>
      </c>
      <c r="J255" s="14" t="e" cm="1">
        <f t="array" aca="1" ref="J255" ca="1">IF(INDIRECT(ADDRESS($B255+1,J$230,1,1,"Actively Infected Trend"))=0,#N/A,INDIRECT(ADDRESS($B255+1,J$230,1,1,"Actively Infected Trend")))</f>
        <v>#N/A</v>
      </c>
      <c r="K255" s="14" t="e" cm="1">
        <f t="array" aca="1" ref="K255" ca="1">IF(INDIRECT(ADDRESS($B255+1,K$230,1,1,"Actively Infected Trend"))=0,#N/A,INDIRECT(ADDRESS($B255+1,K$230,1,1,"Actively Infected Trend")))</f>
        <v>#N/A</v>
      </c>
      <c r="L255" s="14" t="e" cm="1">
        <f t="array" aca="1" ref="L255" ca="1">IF(INDIRECT(ADDRESS($B255+1,L$230,1,1,"Actively Infected Trend"))=0,#N/A,INDIRECT(ADDRESS($B255+1,L$230,1,1,"Actively Infected Trend")))</f>
        <v>#N/A</v>
      </c>
      <c r="M255" s="14" t="e" cm="1">
        <f t="array" aca="1" ref="M255" ca="1">IF(INDIRECT(ADDRESS($B255+1,M$230,1,1,"Actively Infected Trend"))=0,#N/A,INDIRECT(ADDRESS($B255+1,M$230,1,1,"Actively Infected Trend")))</f>
        <v>#N/A</v>
      </c>
      <c r="N255" s="14" t="e" cm="1">
        <f t="array" aca="1" ref="N255" ca="1">IF(INDIRECT(ADDRESS($B255+1,N$230,1,1,"Actively Infected Trend"))=0,#N/A,INDIRECT(ADDRESS($B255+1,N$230,1,1,"Actively Infected Trend")))</f>
        <v>#N/A</v>
      </c>
      <c r="O255" s="14" t="e" cm="1">
        <f t="array" aca="1" ref="O255" ca="1">IF(INDIRECT(ADDRESS($B255+1,O$230,1,1,"Actively Infected Trend"))=0,#N/A,INDIRECT(ADDRESS($B255+1,O$230,1,1,"Actively Infected Trend")))</f>
        <v>#N/A</v>
      </c>
      <c r="P255" s="14" t="e" cm="1">
        <f t="array" aca="1" ref="P255" ca="1">IF(INDIRECT(ADDRESS($B255+1,P$230,1,1,"Actively Infected Trend"))=0,#N/A,INDIRECT(ADDRESS($B255+1,P$230,1,1,"Actively Infected Trend")))</f>
        <v>#N/A</v>
      </c>
      <c r="Q255" s="14" t="e" cm="1">
        <f t="array" aca="1" ref="Q255" ca="1">IF(INDIRECT(ADDRESS($B255+1,Q$230,1,1,"Actively Infected Trend"))=0,#N/A,INDIRECT(ADDRESS($B255+1,Q$230,1,1,"Actively Infected Trend")))</f>
        <v>#N/A</v>
      </c>
      <c r="R255" s="14" t="e" cm="1">
        <f t="array" aca="1" ref="R255" ca="1">IF(INDIRECT(ADDRESS($B255+1,R$230,1,1,"Actively Infected Trend"))=0,#N/A,INDIRECT(ADDRESS($B255+1,R$230,1,1,"Actively Infected Trend")))</f>
        <v>#N/A</v>
      </c>
      <c r="S255" s="14" t="e" cm="1">
        <f t="array" aca="1" ref="S255" ca="1">IF(INDIRECT(ADDRESS($B255+1,S$230,1,1,"Actively Infected Trend"))=0,#N/A,INDIRECT(ADDRESS($B255+1,S$230,1,1,"Actively Infected Trend")))</f>
        <v>#N/A</v>
      </c>
      <c r="T255" s="14" t="e" cm="1">
        <f t="array" aca="1" ref="T255" ca="1">IF(INDIRECT(ADDRESS($B255+1,T$230,1,1,"Actively Infected Trend"))=0,#N/A,INDIRECT(ADDRESS($B255+1,T$230,1,1,"Actively Infected Trend")))</f>
        <v>#N/A</v>
      </c>
      <c r="U255" s="14" t="e" cm="1">
        <f t="array" aca="1" ref="U255" ca="1">IF(INDIRECT(ADDRESS($B255+1,U$230,1,1,"Actively Infected Trend"))=0,#N/A,INDIRECT(ADDRESS($B255+1,U$230,1,1,"Actively Infected Trend")))</f>
        <v>#N/A</v>
      </c>
      <c r="V255" s="14" t="e" cm="1">
        <f t="array" aca="1" ref="V255" ca="1">IF(INDIRECT(ADDRESS($B255+1,V$230,1,1,"Actively Infected Trend"))=0,#N/A,INDIRECT(ADDRESS($B255+1,V$230,1,1,"Actively Infected Trend")))</f>
        <v>#N/A</v>
      </c>
      <c r="W255" s="14" t="e" cm="1">
        <f t="array" aca="1" ref="W255" ca="1">IF(INDIRECT(ADDRESS($B255+1,W$230,1,1,"Actively Infected Trend"))=0,#N/A,INDIRECT(ADDRESS($B255+1,W$230,1,1,"Actively Infected Trend")))</f>
        <v>#N/A</v>
      </c>
      <c r="X255" s="14" t="e" cm="1">
        <f t="array" aca="1" ref="X255" ca="1">IF(INDIRECT(ADDRESS($B255+1,X$230,1,1,"Actively Infected Trend"))=0,#N/A,INDIRECT(ADDRESS($B255+1,X$230,1,1,"Actively Infected Trend")))</f>
        <v>#N/A</v>
      </c>
      <c r="Y255" s="14" t="e" cm="1">
        <f t="array" aca="1" ref="Y255" ca="1">IF(INDIRECT(ADDRESS($B255+1,Y$230,1,1,"Actively Infected Trend"))=0,#N/A,INDIRECT(ADDRESS($B255+1,Y$230,1,1,"Actively Infected Trend")))</f>
        <v>#N/A</v>
      </c>
      <c r="Z255" s="14" t="e" cm="1">
        <f t="array" aca="1" ref="Z255" ca="1">IF(INDIRECT(ADDRESS($B255+1,Z$230,1,1,"Actively Infected Trend"))=0,#N/A,INDIRECT(ADDRESS($B255+1,Z$230,1,1,"Actively Infected Trend")))</f>
        <v>#N/A</v>
      </c>
      <c r="AA255" s="14" t="e" cm="1">
        <f t="array" aca="1" ref="AA255" ca="1">IF(INDIRECT(ADDRESS($B255+1,AA$230,1,1,"Actively Infected Trend"))=0,#N/A,INDIRECT(ADDRESS($B255+1,AA$230,1,1,"Actively Infected Trend")))</f>
        <v>#N/A</v>
      </c>
      <c r="AB255" s="14" t="e" cm="1">
        <f t="array" aca="1" ref="AB255" ca="1">IF(INDIRECT(ADDRESS($B255+1,AB$230,1,1,"Actively Infected Trend"))=0,#N/A,INDIRECT(ADDRESS($B255+1,AB$230,1,1,"Actively Infected Trend")))</f>
        <v>#N/A</v>
      </c>
      <c r="AC255" s="14" t="e" cm="1">
        <f t="array" aca="1" ref="AC255" ca="1">IF(INDIRECT(ADDRESS($B255+1,AC$230,1,1,"Actively Infected Trend"))=0,#N/A,INDIRECT(ADDRESS($B255+1,AC$230,1,1,"Actively Infected Trend")))</f>
        <v>#N/A</v>
      </c>
      <c r="AD255" s="14" t="e" cm="1">
        <f t="array" aca="1" ref="AD255" ca="1">IF(INDIRECT(ADDRESS($B255+1,AD$230,1,1,"Actively Infected Trend"))=0,#N/A,INDIRECT(ADDRESS($B255+1,AD$230,1,1,"Actively Infected Trend")))</f>
        <v>#N/A</v>
      </c>
      <c r="AE255" s="14" t="e" cm="1">
        <f t="array" aca="1" ref="AE255" ca="1">IF(INDIRECT(ADDRESS($B255+1,AE$230,1,1,"Actively Infected Trend"))=0,#N/A,INDIRECT(ADDRESS($B255+1,AE$230,1,1,"Actively Infected Trend")))</f>
        <v>#N/A</v>
      </c>
      <c r="AF255" s="14" t="e" cm="1">
        <f t="array" aca="1" ref="AF255" ca="1">IF(INDIRECT(ADDRESS($B255+1,AF$230,1,1,"Actively Infected Trend"))=0,#N/A,INDIRECT(ADDRESS($B255+1,AF$230,1,1,"Actively Infected Trend")))</f>
        <v>#N/A</v>
      </c>
      <c r="AG255" s="14" t="e" cm="1">
        <f t="array" aca="1" ref="AG255" ca="1">IF(INDIRECT(ADDRESS($B255+1,AG$230,1,1,"Actively Infected Trend"))=0,#N/A,INDIRECT(ADDRESS($B255+1,AG$230,1,1,"Actively Infected Trend")))</f>
        <v>#N/A</v>
      </c>
      <c r="AH255" s="14" t="e" cm="1">
        <f t="array" aca="1" ref="AH255" ca="1">IF(INDIRECT(ADDRESS($B255+1,AH$230,1,1,"Actively Infected Trend"))=0,#N/A,INDIRECT(ADDRESS($B255+1,AH$230,1,1,"Actively Infected Trend")))</f>
        <v>#N/A</v>
      </c>
      <c r="AI255" s="14" t="e" cm="1">
        <f t="array" aca="1" ref="AI255" ca="1">IF(INDIRECT(ADDRESS($B255+1,AI$230,1,1,"Actively Infected Trend"))=0,#N/A,INDIRECT(ADDRESS($B255+1,AI$230,1,1,"Actively Infected Trend")))</f>
        <v>#N/A</v>
      </c>
      <c r="AJ255" s="14" t="e" cm="1">
        <f t="array" aca="1" ref="AJ255" ca="1">IF(INDIRECT(ADDRESS($B255+1,AJ$230,1,1,"Actively Infected Trend"))=0,#N/A,INDIRECT(ADDRESS($B255+1,AJ$230,1,1,"Actively Infected Trend")))</f>
        <v>#N/A</v>
      </c>
      <c r="AK255" s="14" t="e" cm="1">
        <f t="array" aca="1" ref="AK255" ca="1">IF(INDIRECT(ADDRESS($B255+1,AK$230,1,1,"Actively Infected Trend"))=0,#N/A,INDIRECT(ADDRESS($B255+1,AK$230,1,1,"Actively Infected Trend")))</f>
        <v>#N/A</v>
      </c>
      <c r="AL255" s="14" t="e" cm="1">
        <f t="array" aca="1" ref="AL255" ca="1">IF(INDIRECT(ADDRESS($B255+1,AL$230,1,1,"Actively Infected Trend"))=0,#N/A,INDIRECT(ADDRESS($B255+1,AL$230,1,1,"Actively Infected Trend")))</f>
        <v>#N/A</v>
      </c>
      <c r="AM255" s="14" t="e" cm="1">
        <f t="array" aca="1" ref="AM255" ca="1">IF(INDIRECT(ADDRESS($B255+1,AM$230,1,1,"Actively Infected Trend"))=0,#N/A,INDIRECT(ADDRESS($B255+1,AM$230,1,1,"Actively Infected Trend")))</f>
        <v>#N/A</v>
      </c>
      <c r="AN255" s="14" t="e" cm="1">
        <f t="array" aca="1" ref="AN255" ca="1">IF(INDIRECT(ADDRESS($B255+1,AN$230,1,1,"Actively Infected Trend"))=0,#N/A,INDIRECT(ADDRESS($B255+1,AN$230,1,1,"Actively Infected Trend")))</f>
        <v>#N/A</v>
      </c>
      <c r="AO255" s="14" t="e" cm="1">
        <f t="array" aca="1" ref="AO255" ca="1">IF(INDIRECT(ADDRESS($B255+1,AO$230,1,1,"Actively Infected Trend"))=0,#N/A,INDIRECT(ADDRESS($B255+1,AO$230,1,1,"Actively Infected Trend")))</f>
        <v>#N/A</v>
      </c>
      <c r="AP255" s="14" t="e" cm="1">
        <f t="array" aca="1" ref="AP255" ca="1">IF(INDIRECT(ADDRESS($B255+1,AP$230,1,1,"Actively Infected Trend"))=0,#N/A,INDIRECT(ADDRESS($B255+1,AP$230,1,1,"Actively Infected Trend")))</f>
        <v>#N/A</v>
      </c>
      <c r="AQ255" s="14" t="e" cm="1">
        <f t="array" aca="1" ref="AQ255" ca="1">IF(INDIRECT(ADDRESS($B255+1,AQ$230,1,1,"Actively Infected Trend"))=0,#N/A,INDIRECT(ADDRESS($B255+1,AQ$230,1,1,"Actively Infected Trend")))</f>
        <v>#N/A</v>
      </c>
      <c r="AR255" s="14" t="e" cm="1">
        <f t="array" aca="1" ref="AR255" ca="1">IF(INDIRECT(ADDRESS($B255+1,AR$230,1,1,"Actively Infected Trend"))=0,#N/A,INDIRECT(ADDRESS($B255+1,AR$230,1,1,"Actively Infected Trend")))</f>
        <v>#N/A</v>
      </c>
      <c r="AS255" s="14" t="e" cm="1">
        <f t="array" aca="1" ref="AS255" ca="1">IF(INDIRECT(ADDRESS($B255+1,AS$230,1,1,"Actively Infected Trend"))=0,#N/A,INDIRECT(ADDRESS($B255+1,AS$230,1,1,"Actively Infected Trend")))</f>
        <v>#N/A</v>
      </c>
      <c r="AT255" s="14" t="e" cm="1">
        <f t="array" aca="1" ref="AT255" ca="1">IF(INDIRECT(ADDRESS($B255+1,AT$230,1,1,"Actively Infected Trend"))=0,#N/A,INDIRECT(ADDRESS($B255+1,AT$230,1,1,"Actively Infected Trend")))</f>
        <v>#N/A</v>
      </c>
      <c r="AU255" s="14" t="e" cm="1">
        <f t="array" aca="1" ref="AU255" ca="1">IF(INDIRECT(ADDRESS($B255+1,AU$230,1,1,"Actively Infected Trend"))=0,#N/A,INDIRECT(ADDRESS($B255+1,AU$230,1,1,"Actively Infected Trend")))</f>
        <v>#N/A</v>
      </c>
      <c r="AV255" s="14" t="e" cm="1">
        <f t="array" aca="1" ref="AV255" ca="1">IF(INDIRECT(ADDRESS($B255+1,AV$230,1,1,"Actively Infected Trend"))=0,#N/A,INDIRECT(ADDRESS($B255+1,AV$230,1,1,"Actively Infected Trend")))</f>
        <v>#N/A</v>
      </c>
      <c r="AW255" s="14" t="e" cm="1">
        <f t="array" aca="1" ref="AW255" ca="1">IF(INDIRECT(ADDRESS($B255+1,AW$230,1,1,"Actively Infected Trend"))=0,#N/A,INDIRECT(ADDRESS($B255+1,AW$230,1,1,"Actively Infected Trend")))</f>
        <v>#N/A</v>
      </c>
      <c r="AX255" s="14" t="e" cm="1">
        <f t="array" aca="1" ref="AX255" ca="1">IF(INDIRECT(ADDRESS($B255+1,AX$230,1,1,"Actively Infected Trend"))=0,#N/A,INDIRECT(ADDRESS($B255+1,AX$230,1,1,"Actively Infected Trend")))</f>
        <v>#N/A</v>
      </c>
      <c r="AY255" s="14" t="e" cm="1">
        <f t="array" aca="1" ref="AY255" ca="1">IF(INDIRECT(ADDRESS($B255+1,AY$230,1,1,"Actively Infected Trend"))=0,#N/A,INDIRECT(ADDRESS($B255+1,AY$230,1,1,"Actively Infected Trend")))</f>
        <v>#N/A</v>
      </c>
      <c r="AZ255" s="14" t="e" cm="1">
        <f t="array" aca="1" ref="AZ255" ca="1">IF(INDIRECT(ADDRESS($B255+1,AZ$230,1,1,"Actively Infected Trend"))=0,#N/A,INDIRECT(ADDRESS($B255+1,AZ$230,1,1,"Actively Infected Trend")))</f>
        <v>#N/A</v>
      </c>
      <c r="BA255" s="14" t="e" cm="1">
        <f t="array" aca="1" ref="BA255" ca="1">IF(INDIRECT(ADDRESS($B255+1,BA$230,1,1,"Actively Infected Trend"))=0,#N/A,INDIRECT(ADDRESS($B255+1,BA$230,1,1,"Actively Infected Trend")))</f>
        <v>#N/A</v>
      </c>
      <c r="BB255" s="14" t="e" cm="1">
        <f t="array" aca="1" ref="BB255" ca="1">IF(INDIRECT(ADDRESS($B255+1,BB$230,1,1,"Actively Infected Trend"))=0,#N/A,INDIRECT(ADDRESS($B255+1,BB$230,1,1,"Actively Infected Trend")))</f>
        <v>#N/A</v>
      </c>
      <c r="BC255" s="14" t="e" cm="1">
        <f t="array" aca="1" ref="BC255" ca="1">IF(INDIRECT(ADDRESS($B255+1,BC$230,1,1,"Actively Infected Trend"))=0,#N/A,INDIRECT(ADDRESS($B255+1,BC$230,1,1,"Actively Infected Trend")))</f>
        <v>#N/A</v>
      </c>
      <c r="BD255" s="14" t="e" cm="1">
        <f t="array" aca="1" ref="BD255" ca="1">IF(INDIRECT(ADDRESS($B255+1,BD$230,1,1,"Actively Infected Trend"))=0,#N/A,INDIRECT(ADDRESS($B255+1,BD$230,1,1,"Actively Infected Trend")))</f>
        <v>#N/A</v>
      </c>
      <c r="BE255" s="14" t="e" cm="1">
        <f t="array" aca="1" ref="BE255" ca="1">IF(INDIRECT(ADDRESS($B255+1,BE$230,1,1,"Actively Infected Trend"))=0,#N/A,INDIRECT(ADDRESS($B255+1,BE$230,1,1,"Actively Infected Trend")))</f>
        <v>#N/A</v>
      </c>
      <c r="BF255" s="14" t="e" cm="1">
        <f t="array" aca="1" ref="BF255" ca="1">IF(INDIRECT(ADDRESS($B255+1,BF$230,1,1,"Actively Infected Trend"))=0,#N/A,INDIRECT(ADDRESS($B255+1,BF$230,1,1,"Actively Infected Trend")))</f>
        <v>#N/A</v>
      </c>
      <c r="BG255" s="14" t="e" cm="1">
        <f t="array" aca="1" ref="BG255" ca="1">IF(INDIRECT(ADDRESS($B255+1,BG$230,1,1,"Actively Infected Trend"))=0,#N/A,INDIRECT(ADDRESS($B255+1,BG$230,1,1,"Actively Infected Trend")))</f>
        <v>#N/A</v>
      </c>
      <c r="BH255" s="14" t="e" cm="1">
        <f t="array" aca="1" ref="BH255" ca="1">IF(INDIRECT(ADDRESS($B255+1,BH$230,1,1,"Actively Infected Trend"))=0,#N/A,INDIRECT(ADDRESS($B255+1,BH$230,1,1,"Actively Infected Trend")))</f>
        <v>#N/A</v>
      </c>
      <c r="BI255" s="14" t="e" cm="1">
        <f t="array" aca="1" ref="BI255" ca="1">IF(INDIRECT(ADDRESS($B255+1,BI$230,1,1,"Actively Infected Trend"))=0,#N/A,INDIRECT(ADDRESS($B255+1,BI$230,1,1,"Actively Infected Trend")))</f>
        <v>#N/A</v>
      </c>
      <c r="BJ255" s="14" t="e" cm="1">
        <f t="array" aca="1" ref="BJ255" ca="1">IF(INDIRECT(ADDRESS($B255+1,BJ$230,1,1,"Actively Infected Trend"))=0,#N/A,INDIRECT(ADDRESS($B255+1,BJ$230,1,1,"Actively Infected Trend")))</f>
        <v>#N/A</v>
      </c>
      <c r="BK255" s="14" t="e" cm="1">
        <f t="array" aca="1" ref="BK255" ca="1">IF(INDIRECT(ADDRESS($B255+1,BK$230,1,1,"Actively Infected Trend"))=0,#N/A,INDIRECT(ADDRESS($B255+1,BK$230,1,1,"Actively Infected Trend")))</f>
        <v>#N/A</v>
      </c>
      <c r="BL255" s="14" t="e" cm="1">
        <f t="array" aca="1" ref="BL255" ca="1">IF(INDIRECT(ADDRESS($B255+1,BL$230,1,1,"Actively Infected Trend"))=0,#N/A,INDIRECT(ADDRESS($B255+1,BL$230,1,1,"Actively Infected Trend")))</f>
        <v>#N/A</v>
      </c>
      <c r="BM255" s="14" t="e" cm="1">
        <f t="array" aca="1" ref="BM255" ca="1">IF(INDIRECT(ADDRESS($B255+1,BM$230,1,1,"Actively Infected Trend"))=0,#N/A,INDIRECT(ADDRESS($B255+1,BM$230,1,1,"Actively Infected Trend")))</f>
        <v>#N/A</v>
      </c>
      <c r="BN255" s="14" t="e" cm="1">
        <f t="array" aca="1" ref="BN255" ca="1">IF(INDIRECT(ADDRESS($B255+1,BN$230,1,1,"Actively Infected Trend"))=0,#N/A,INDIRECT(ADDRESS($B255+1,BN$230,1,1,"Actively Infected Trend")))</f>
        <v>#N/A</v>
      </c>
      <c r="BO255" s="14" t="e" cm="1">
        <f t="array" aca="1" ref="BO255" ca="1">IF(INDIRECT(ADDRESS($B255+1,BO$230,1,1,"Actively Infected Trend"))=0,#N/A,INDIRECT(ADDRESS($B255+1,BO$230,1,1,"Actively Infected Trend")))</f>
        <v>#N/A</v>
      </c>
      <c r="BP255" s="14" t="e" cm="1">
        <f t="array" aca="1" ref="BP255" ca="1">IF(INDIRECT(ADDRESS($B255+1,BP$230,1,1,"Actively Infected Trend"))=0,#N/A,INDIRECT(ADDRESS($B255+1,BP$230,1,1,"Actively Infected Trend")))</f>
        <v>#N/A</v>
      </c>
      <c r="BQ255" s="14" t="e" cm="1">
        <f t="array" aca="1" ref="BQ255" ca="1">IF(INDIRECT(ADDRESS($B255+1,BQ$230,1,1,"Actively Infected Trend"))=0,#N/A,INDIRECT(ADDRESS($B255+1,BQ$230,1,1,"Actively Infected Trend")))</f>
        <v>#N/A</v>
      </c>
      <c r="BR255" s="14" t="e" cm="1">
        <f t="array" aca="1" ref="BR255" ca="1">IF(INDIRECT(ADDRESS($B255+1,BR$230,1,1,"Actively Infected Trend"))=0,#N/A,INDIRECT(ADDRESS($B255+1,BR$230,1,1,"Actively Infected Trend")))</f>
        <v>#N/A</v>
      </c>
      <c r="BS255" s="14" t="e" cm="1">
        <f t="array" aca="1" ref="BS255" ca="1">IF(INDIRECT(ADDRESS($B255+1,BS$230,1,1,"Actively Infected Trend"))=0,#N/A,INDIRECT(ADDRESS($B255+1,BS$230,1,1,"Actively Infected Trend")))</f>
        <v>#N/A</v>
      </c>
      <c r="BT255" s="14" t="e" cm="1">
        <f t="array" aca="1" ref="BT255" ca="1">IF(INDIRECT(ADDRESS($B255+1,BT$230,1,1,"Actively Infected Trend"))=0,#N/A,INDIRECT(ADDRESS($B255+1,BT$230,1,1,"Actively Infected Trend")))</f>
        <v>#N/A</v>
      </c>
      <c r="BU255" s="14" t="e" cm="1">
        <f t="array" aca="1" ref="BU255" ca="1">IF(INDIRECT(ADDRESS($B255+1,BU$230,1,1,"Actively Infected Trend"))=0,#N/A,INDIRECT(ADDRESS($B255+1,BU$230,1,1,"Actively Infected Trend")))</f>
        <v>#N/A</v>
      </c>
      <c r="BV255" s="14" t="e" cm="1">
        <f t="array" aca="1" ref="BV255" ca="1">IF(INDIRECT(ADDRESS($B255+1,BV$230,1,1,"Actively Infected Trend"))=0,#N/A,INDIRECT(ADDRESS($B255+1,BV$230,1,1,"Actively Infected Trend")))</f>
        <v>#N/A</v>
      </c>
      <c r="BW255" s="14" t="e" cm="1">
        <f t="array" aca="1" ref="BW255" ca="1">IF(INDIRECT(ADDRESS($B255+1,BW$230,1,1,"Actively Infected Trend"))=0,#N/A,INDIRECT(ADDRESS($B255+1,BW$230,1,1,"Actively Infected Trend")))</f>
        <v>#N/A</v>
      </c>
      <c r="BX255" s="14" t="e" cm="1">
        <f t="array" aca="1" ref="BX255" ca="1">IF(INDIRECT(ADDRESS($B255+1,BX$230,1,1,"Actively Infected Trend"))=0,#N/A,INDIRECT(ADDRESS($B255+1,BX$230,1,1,"Actively Infected Trend")))</f>
        <v>#N/A</v>
      </c>
      <c r="BY255" s="14" t="e" cm="1">
        <f t="array" aca="1" ref="BY255" ca="1">IF(INDIRECT(ADDRESS($B255+1,BY$230,1,1,"Actively Infected Trend"))=0,#N/A,INDIRECT(ADDRESS($B255+1,BY$230,1,1,"Actively Infected Trend")))</f>
        <v>#N/A</v>
      </c>
      <c r="BZ255" s="14" t="e" cm="1">
        <f t="array" aca="1" ref="BZ255" ca="1">IF(INDIRECT(ADDRESS($B255+1,BZ$230,1,1,"Actively Infected Trend"))=0,#N/A,INDIRECT(ADDRESS($B255+1,BZ$230,1,1,"Actively Infected Trend")))</f>
        <v>#N/A</v>
      </c>
      <c r="CA255" s="14" t="e" cm="1">
        <f t="array" aca="1" ref="CA255" ca="1">IF(INDIRECT(ADDRESS($B255+1,CA$230,1,1,"Actively Infected Trend"))=0,#N/A,INDIRECT(ADDRESS($B255+1,CA$230,1,1,"Actively Infected Trend")))</f>
        <v>#N/A</v>
      </c>
      <c r="CB255" s="14" t="e" cm="1">
        <f t="array" aca="1" ref="CB255" ca="1">IF(INDIRECT(ADDRESS($B255+1,CB$230,1,1,"Actively Infected Trend"))=0,#N/A,INDIRECT(ADDRESS($B255+1,CB$230,1,1,"Actively Infected Trend")))</f>
        <v>#N/A</v>
      </c>
      <c r="CC255" s="14" t="e" cm="1">
        <f t="array" aca="1" ref="CC255" ca="1">IF(INDIRECT(ADDRESS($B255+1,CC$230,1,1,"Actively Infected Trend"))=0,#N/A,INDIRECT(ADDRESS($B255+1,CC$230,1,1,"Actively Infected Trend")))</f>
        <v>#N/A</v>
      </c>
      <c r="CD255" s="14" t="e" cm="1">
        <f t="array" aca="1" ref="CD255" ca="1">IF(INDIRECT(ADDRESS($B255+1,CD$230,1,1,"Actively Infected Trend"))=0,#N/A,INDIRECT(ADDRESS($B255+1,CD$230,1,1,"Actively Infected Trend")))</f>
        <v>#N/A</v>
      </c>
      <c r="CE255" s="14" t="e" cm="1">
        <f t="array" aca="1" ref="CE255" ca="1">IF(INDIRECT(ADDRESS($B255+1,CE$230,1,1,"Actively Infected Trend"))=0,#N/A,INDIRECT(ADDRESS($B255+1,CE$230,1,1,"Actively Infected Trend")))</f>
        <v>#N/A</v>
      </c>
      <c r="CF255" s="14" t="e" cm="1">
        <f t="array" aca="1" ref="CF255" ca="1">IF(INDIRECT(ADDRESS($B255+1,CF$230,1,1,"Actively Infected Trend"))=0,#N/A,INDIRECT(ADDRESS($B255+1,CF$230,1,1,"Actively Infected Trend")))</f>
        <v>#N/A</v>
      </c>
      <c r="CG255" s="14" t="e" cm="1">
        <f t="array" aca="1" ref="CG255" ca="1">IF(INDIRECT(ADDRESS($B255+1,CG$230,1,1,"Actively Infected Trend"))=0,#N/A,INDIRECT(ADDRESS($B255+1,CG$230,1,1,"Actively Infected Trend")))</f>
        <v>#N/A</v>
      </c>
      <c r="CH255" s="14" t="e" cm="1">
        <f t="array" aca="1" ref="CH255" ca="1">IF(INDIRECT(ADDRESS($B255+1,CH$230,1,1,"Actively Infected Trend"))=0,#N/A,INDIRECT(ADDRESS($B255+1,CH$230,1,1,"Actively Infected Trend")))</f>
        <v>#N/A</v>
      </c>
      <c r="CI255" s="14" t="e" cm="1">
        <f t="array" aca="1" ref="CI255" ca="1">IF(INDIRECT(ADDRESS($B255+1,CI$230,1,1,"Actively Infected Trend"))=0,#N/A,INDIRECT(ADDRESS($B255+1,CI$230,1,1,"Actively Infected Trend")))</f>
        <v>#N/A</v>
      </c>
      <c r="CJ255" s="14" t="e" cm="1">
        <f t="array" aca="1" ref="CJ255" ca="1">IF(INDIRECT(ADDRESS($B255+1,CJ$230,1,1,"Actively Infected Trend"))=0,#N/A,INDIRECT(ADDRESS($B255+1,CJ$230,1,1,"Actively Infected Trend")))</f>
        <v>#N/A</v>
      </c>
      <c r="CK255" s="14" t="e" cm="1">
        <f t="array" aca="1" ref="CK255" ca="1">IF(INDIRECT(ADDRESS($B255+1,CK$230,1,1,"Actively Infected Trend"))=0,#N/A,INDIRECT(ADDRESS($B255+1,CK$230,1,1,"Actively Infected Trend")))</f>
        <v>#N/A</v>
      </c>
      <c r="CL255" s="14" t="e" cm="1">
        <f t="array" aca="1" ref="CL255" ca="1">IF(INDIRECT(ADDRESS($B255+1,CL$230,1,1,"Actively Infected Trend"))=0,#N/A,INDIRECT(ADDRESS($B255+1,CL$230,1,1,"Actively Infected Trend")))</f>
        <v>#N/A</v>
      </c>
      <c r="CM255" s="14" t="e" cm="1">
        <f t="array" aca="1" ref="CM255" ca="1">IF(INDIRECT(ADDRESS($B255+1,CM$230,1,1,"Actively Infected Trend"))=0,#N/A,INDIRECT(ADDRESS($B255+1,CM$230,1,1,"Actively Infected Trend")))</f>
        <v>#N/A</v>
      </c>
      <c r="CN255" s="14" t="e" cm="1">
        <f t="array" aca="1" ref="CN255" ca="1">IF(INDIRECT(ADDRESS($B255+1,CN$230,1,1,"Actively Infected Trend"))=0,#N/A,INDIRECT(ADDRESS($B255+1,CN$230,1,1,"Actively Infected Trend")))</f>
        <v>#N/A</v>
      </c>
      <c r="CO255" s="14" t="e" cm="1">
        <f t="array" aca="1" ref="CO255" ca="1">IF(INDIRECT(ADDRESS($B255+1,CO$230,1,1,"Actively Infected Trend"))=0,#N/A,INDIRECT(ADDRESS($B255+1,CO$230,1,1,"Actively Infected Trend")))</f>
        <v>#N/A</v>
      </c>
      <c r="CP255" s="14" t="e" cm="1">
        <f t="array" aca="1" ref="CP255" ca="1">IF(INDIRECT(ADDRESS($B255+1,CP$230,1,1,"Actively Infected Trend"))=0,#N/A,INDIRECT(ADDRESS($B255+1,CP$230,1,1,"Actively Infected Trend")))</f>
        <v>#N/A</v>
      </c>
      <c r="CQ255" s="14" t="e" cm="1">
        <f t="array" aca="1" ref="CQ255" ca="1">IF(INDIRECT(ADDRESS($B255+1,CQ$230,1,1,"Actively Infected Trend"))=0,#N/A,INDIRECT(ADDRESS($B255+1,CQ$230,1,1,"Actively Infected Trend")))</f>
        <v>#N/A</v>
      </c>
      <c r="CR255" s="14" t="e" cm="1">
        <f t="array" aca="1" ref="CR255" ca="1">IF(INDIRECT(ADDRESS($B255+1,CR$230,1,1,"Actively Infected Trend"))=0,#N/A,INDIRECT(ADDRESS($B255+1,CR$230,1,1,"Actively Infected Trend")))</f>
        <v>#N/A</v>
      </c>
    </row>
    <row r="256" spans="2:96" x14ac:dyDescent="0.25">
      <c r="B256">
        <f t="shared" si="349"/>
        <v>25</v>
      </c>
      <c r="C256" cm="1">
        <f t="array" aca="1" ref="C256" ca="1">INDIRECT(ADDRESS($B256+1,1,1,1,"Actively Infected Trend"))</f>
        <v>0</v>
      </c>
      <c r="E256" s="14" t="e" cm="1">
        <f t="array" aca="1" ref="E256" ca="1">IF(INDIRECT(ADDRESS($B256+1,E$230,1,1,"Actively Infected Trend"))=0,#N/A,INDIRECT(ADDRESS($B256+1,E$230,1,1,"Actively Infected Trend")))</f>
        <v>#N/A</v>
      </c>
      <c r="F256" s="14" t="e" cm="1">
        <f t="array" aca="1" ref="F256" ca="1">IF(INDIRECT(ADDRESS($B256+1,F$230,1,1,"Actively Infected Trend"))=0,#N/A,INDIRECT(ADDRESS($B256+1,F$230,1,1,"Actively Infected Trend")))</f>
        <v>#N/A</v>
      </c>
      <c r="G256" s="14" t="e" cm="1">
        <f t="array" aca="1" ref="G256" ca="1">IF(INDIRECT(ADDRESS($B256+1,G$230,1,1,"Actively Infected Trend"))=0,#N/A,INDIRECT(ADDRESS($B256+1,G$230,1,1,"Actively Infected Trend")))</f>
        <v>#N/A</v>
      </c>
      <c r="H256" s="14" t="e" cm="1">
        <f t="array" aca="1" ref="H256" ca="1">IF(INDIRECT(ADDRESS($B256+1,H$230,1,1,"Actively Infected Trend"))=0,#N/A,INDIRECT(ADDRESS($B256+1,H$230,1,1,"Actively Infected Trend")))</f>
        <v>#N/A</v>
      </c>
      <c r="I256" s="14" t="e" cm="1">
        <f t="array" aca="1" ref="I256" ca="1">IF(INDIRECT(ADDRESS($B256+1,I$230,1,1,"Actively Infected Trend"))=0,#N/A,INDIRECT(ADDRESS($B256+1,I$230,1,1,"Actively Infected Trend")))</f>
        <v>#N/A</v>
      </c>
      <c r="J256" s="14" t="e" cm="1">
        <f t="array" aca="1" ref="J256" ca="1">IF(INDIRECT(ADDRESS($B256+1,J$230,1,1,"Actively Infected Trend"))=0,#N/A,INDIRECT(ADDRESS($B256+1,J$230,1,1,"Actively Infected Trend")))</f>
        <v>#N/A</v>
      </c>
      <c r="K256" s="14" t="e" cm="1">
        <f t="array" aca="1" ref="K256" ca="1">IF(INDIRECT(ADDRESS($B256+1,K$230,1,1,"Actively Infected Trend"))=0,#N/A,INDIRECT(ADDRESS($B256+1,K$230,1,1,"Actively Infected Trend")))</f>
        <v>#N/A</v>
      </c>
      <c r="L256" s="14" t="e" cm="1">
        <f t="array" aca="1" ref="L256" ca="1">IF(INDIRECT(ADDRESS($B256+1,L$230,1,1,"Actively Infected Trend"))=0,#N/A,INDIRECT(ADDRESS($B256+1,L$230,1,1,"Actively Infected Trend")))</f>
        <v>#N/A</v>
      </c>
      <c r="M256" s="14" t="e" cm="1">
        <f t="array" aca="1" ref="M256" ca="1">IF(INDIRECT(ADDRESS($B256+1,M$230,1,1,"Actively Infected Trend"))=0,#N/A,INDIRECT(ADDRESS($B256+1,M$230,1,1,"Actively Infected Trend")))</f>
        <v>#N/A</v>
      </c>
      <c r="N256" s="14" t="e" cm="1">
        <f t="array" aca="1" ref="N256" ca="1">IF(INDIRECT(ADDRESS($B256+1,N$230,1,1,"Actively Infected Trend"))=0,#N/A,INDIRECT(ADDRESS($B256+1,N$230,1,1,"Actively Infected Trend")))</f>
        <v>#N/A</v>
      </c>
      <c r="O256" s="14" t="e" cm="1">
        <f t="array" aca="1" ref="O256" ca="1">IF(INDIRECT(ADDRESS($B256+1,O$230,1,1,"Actively Infected Trend"))=0,#N/A,INDIRECT(ADDRESS($B256+1,O$230,1,1,"Actively Infected Trend")))</f>
        <v>#N/A</v>
      </c>
      <c r="P256" s="14" t="e" cm="1">
        <f t="array" aca="1" ref="P256" ca="1">IF(INDIRECT(ADDRESS($B256+1,P$230,1,1,"Actively Infected Trend"))=0,#N/A,INDIRECT(ADDRESS($B256+1,P$230,1,1,"Actively Infected Trend")))</f>
        <v>#N/A</v>
      </c>
      <c r="Q256" s="14" t="e" cm="1">
        <f t="array" aca="1" ref="Q256" ca="1">IF(INDIRECT(ADDRESS($B256+1,Q$230,1,1,"Actively Infected Trend"))=0,#N/A,INDIRECT(ADDRESS($B256+1,Q$230,1,1,"Actively Infected Trend")))</f>
        <v>#N/A</v>
      </c>
      <c r="R256" s="14" t="e" cm="1">
        <f t="array" aca="1" ref="R256" ca="1">IF(INDIRECT(ADDRESS($B256+1,R$230,1,1,"Actively Infected Trend"))=0,#N/A,INDIRECT(ADDRESS($B256+1,R$230,1,1,"Actively Infected Trend")))</f>
        <v>#N/A</v>
      </c>
      <c r="S256" s="14" t="e" cm="1">
        <f t="array" aca="1" ref="S256" ca="1">IF(INDIRECT(ADDRESS($B256+1,S$230,1,1,"Actively Infected Trend"))=0,#N/A,INDIRECT(ADDRESS($B256+1,S$230,1,1,"Actively Infected Trend")))</f>
        <v>#N/A</v>
      </c>
      <c r="T256" s="14" t="e" cm="1">
        <f t="array" aca="1" ref="T256" ca="1">IF(INDIRECT(ADDRESS($B256+1,T$230,1,1,"Actively Infected Trend"))=0,#N/A,INDIRECT(ADDRESS($B256+1,T$230,1,1,"Actively Infected Trend")))</f>
        <v>#N/A</v>
      </c>
      <c r="U256" s="14" t="e" cm="1">
        <f t="array" aca="1" ref="U256" ca="1">IF(INDIRECT(ADDRESS($B256+1,U$230,1,1,"Actively Infected Trend"))=0,#N/A,INDIRECT(ADDRESS($B256+1,U$230,1,1,"Actively Infected Trend")))</f>
        <v>#N/A</v>
      </c>
      <c r="V256" s="14" t="e" cm="1">
        <f t="array" aca="1" ref="V256" ca="1">IF(INDIRECT(ADDRESS($B256+1,V$230,1,1,"Actively Infected Trend"))=0,#N/A,INDIRECT(ADDRESS($B256+1,V$230,1,1,"Actively Infected Trend")))</f>
        <v>#N/A</v>
      </c>
      <c r="W256" s="14" t="e" cm="1">
        <f t="array" aca="1" ref="W256" ca="1">IF(INDIRECT(ADDRESS($B256+1,W$230,1,1,"Actively Infected Trend"))=0,#N/A,INDIRECT(ADDRESS($B256+1,W$230,1,1,"Actively Infected Trend")))</f>
        <v>#N/A</v>
      </c>
      <c r="X256" s="14" t="e" cm="1">
        <f t="array" aca="1" ref="X256" ca="1">IF(INDIRECT(ADDRESS($B256+1,X$230,1,1,"Actively Infected Trend"))=0,#N/A,INDIRECT(ADDRESS($B256+1,X$230,1,1,"Actively Infected Trend")))</f>
        <v>#N/A</v>
      </c>
      <c r="Y256" s="14" t="e" cm="1">
        <f t="array" aca="1" ref="Y256" ca="1">IF(INDIRECT(ADDRESS($B256+1,Y$230,1,1,"Actively Infected Trend"))=0,#N/A,INDIRECT(ADDRESS($B256+1,Y$230,1,1,"Actively Infected Trend")))</f>
        <v>#N/A</v>
      </c>
      <c r="Z256" s="14" t="e" cm="1">
        <f t="array" aca="1" ref="Z256" ca="1">IF(INDIRECT(ADDRESS($B256+1,Z$230,1,1,"Actively Infected Trend"))=0,#N/A,INDIRECT(ADDRESS($B256+1,Z$230,1,1,"Actively Infected Trend")))</f>
        <v>#N/A</v>
      </c>
      <c r="AA256" s="14" t="e" cm="1">
        <f t="array" aca="1" ref="AA256" ca="1">IF(INDIRECT(ADDRESS($B256+1,AA$230,1,1,"Actively Infected Trend"))=0,#N/A,INDIRECT(ADDRESS($B256+1,AA$230,1,1,"Actively Infected Trend")))</f>
        <v>#N/A</v>
      </c>
      <c r="AB256" s="14" t="e" cm="1">
        <f t="array" aca="1" ref="AB256" ca="1">IF(INDIRECT(ADDRESS($B256+1,AB$230,1,1,"Actively Infected Trend"))=0,#N/A,INDIRECT(ADDRESS($B256+1,AB$230,1,1,"Actively Infected Trend")))</f>
        <v>#N/A</v>
      </c>
      <c r="AC256" s="14" t="e" cm="1">
        <f t="array" aca="1" ref="AC256" ca="1">IF(INDIRECT(ADDRESS($B256+1,AC$230,1,1,"Actively Infected Trend"))=0,#N/A,INDIRECT(ADDRESS($B256+1,AC$230,1,1,"Actively Infected Trend")))</f>
        <v>#N/A</v>
      </c>
      <c r="AD256" s="14" t="e" cm="1">
        <f t="array" aca="1" ref="AD256" ca="1">IF(INDIRECT(ADDRESS($B256+1,AD$230,1,1,"Actively Infected Trend"))=0,#N/A,INDIRECT(ADDRESS($B256+1,AD$230,1,1,"Actively Infected Trend")))</f>
        <v>#N/A</v>
      </c>
      <c r="AE256" s="14" t="e" cm="1">
        <f t="array" aca="1" ref="AE256" ca="1">IF(INDIRECT(ADDRESS($B256+1,AE$230,1,1,"Actively Infected Trend"))=0,#N/A,INDIRECT(ADDRESS($B256+1,AE$230,1,1,"Actively Infected Trend")))</f>
        <v>#N/A</v>
      </c>
      <c r="AF256" s="14" t="e" cm="1">
        <f t="array" aca="1" ref="AF256" ca="1">IF(INDIRECT(ADDRESS($B256+1,AF$230,1,1,"Actively Infected Trend"))=0,#N/A,INDIRECT(ADDRESS($B256+1,AF$230,1,1,"Actively Infected Trend")))</f>
        <v>#N/A</v>
      </c>
      <c r="AG256" s="14" t="e" cm="1">
        <f t="array" aca="1" ref="AG256" ca="1">IF(INDIRECT(ADDRESS($B256+1,AG$230,1,1,"Actively Infected Trend"))=0,#N/A,INDIRECT(ADDRESS($B256+1,AG$230,1,1,"Actively Infected Trend")))</f>
        <v>#N/A</v>
      </c>
      <c r="AH256" s="14" t="e" cm="1">
        <f t="array" aca="1" ref="AH256" ca="1">IF(INDIRECT(ADDRESS($B256+1,AH$230,1,1,"Actively Infected Trend"))=0,#N/A,INDIRECT(ADDRESS($B256+1,AH$230,1,1,"Actively Infected Trend")))</f>
        <v>#N/A</v>
      </c>
      <c r="AI256" s="14" t="e" cm="1">
        <f t="array" aca="1" ref="AI256" ca="1">IF(INDIRECT(ADDRESS($B256+1,AI$230,1,1,"Actively Infected Trend"))=0,#N/A,INDIRECT(ADDRESS($B256+1,AI$230,1,1,"Actively Infected Trend")))</f>
        <v>#N/A</v>
      </c>
      <c r="AJ256" s="14" t="e" cm="1">
        <f t="array" aca="1" ref="AJ256" ca="1">IF(INDIRECT(ADDRESS($B256+1,AJ$230,1,1,"Actively Infected Trend"))=0,#N/A,INDIRECT(ADDRESS($B256+1,AJ$230,1,1,"Actively Infected Trend")))</f>
        <v>#N/A</v>
      </c>
      <c r="AK256" s="14" t="e" cm="1">
        <f t="array" aca="1" ref="AK256" ca="1">IF(INDIRECT(ADDRESS($B256+1,AK$230,1,1,"Actively Infected Trend"))=0,#N/A,INDIRECT(ADDRESS($B256+1,AK$230,1,1,"Actively Infected Trend")))</f>
        <v>#N/A</v>
      </c>
      <c r="AL256" s="14" t="e" cm="1">
        <f t="array" aca="1" ref="AL256" ca="1">IF(INDIRECT(ADDRESS($B256+1,AL$230,1,1,"Actively Infected Trend"))=0,#N/A,INDIRECT(ADDRESS($B256+1,AL$230,1,1,"Actively Infected Trend")))</f>
        <v>#N/A</v>
      </c>
      <c r="AM256" s="14" t="e" cm="1">
        <f t="array" aca="1" ref="AM256" ca="1">IF(INDIRECT(ADDRESS($B256+1,AM$230,1,1,"Actively Infected Trend"))=0,#N/A,INDIRECT(ADDRESS($B256+1,AM$230,1,1,"Actively Infected Trend")))</f>
        <v>#N/A</v>
      </c>
      <c r="AN256" s="14" t="e" cm="1">
        <f t="array" aca="1" ref="AN256" ca="1">IF(INDIRECT(ADDRESS($B256+1,AN$230,1,1,"Actively Infected Trend"))=0,#N/A,INDIRECT(ADDRESS($B256+1,AN$230,1,1,"Actively Infected Trend")))</f>
        <v>#N/A</v>
      </c>
      <c r="AO256" s="14" t="e" cm="1">
        <f t="array" aca="1" ref="AO256" ca="1">IF(INDIRECT(ADDRESS($B256+1,AO$230,1,1,"Actively Infected Trend"))=0,#N/A,INDIRECT(ADDRESS($B256+1,AO$230,1,1,"Actively Infected Trend")))</f>
        <v>#N/A</v>
      </c>
      <c r="AP256" s="14" t="e" cm="1">
        <f t="array" aca="1" ref="AP256" ca="1">IF(INDIRECT(ADDRESS($B256+1,AP$230,1,1,"Actively Infected Trend"))=0,#N/A,INDIRECT(ADDRESS($B256+1,AP$230,1,1,"Actively Infected Trend")))</f>
        <v>#N/A</v>
      </c>
      <c r="AQ256" s="14" t="e" cm="1">
        <f t="array" aca="1" ref="AQ256" ca="1">IF(INDIRECT(ADDRESS($B256+1,AQ$230,1,1,"Actively Infected Trend"))=0,#N/A,INDIRECT(ADDRESS($B256+1,AQ$230,1,1,"Actively Infected Trend")))</f>
        <v>#N/A</v>
      </c>
      <c r="AR256" s="14" t="e" cm="1">
        <f t="array" aca="1" ref="AR256" ca="1">IF(INDIRECT(ADDRESS($B256+1,AR$230,1,1,"Actively Infected Trend"))=0,#N/A,INDIRECT(ADDRESS($B256+1,AR$230,1,1,"Actively Infected Trend")))</f>
        <v>#N/A</v>
      </c>
      <c r="AS256" s="14" t="e" cm="1">
        <f t="array" aca="1" ref="AS256" ca="1">IF(INDIRECT(ADDRESS($B256+1,AS$230,1,1,"Actively Infected Trend"))=0,#N/A,INDIRECT(ADDRESS($B256+1,AS$230,1,1,"Actively Infected Trend")))</f>
        <v>#N/A</v>
      </c>
      <c r="AT256" s="14" t="e" cm="1">
        <f t="array" aca="1" ref="AT256" ca="1">IF(INDIRECT(ADDRESS($B256+1,AT$230,1,1,"Actively Infected Trend"))=0,#N/A,INDIRECT(ADDRESS($B256+1,AT$230,1,1,"Actively Infected Trend")))</f>
        <v>#N/A</v>
      </c>
      <c r="AU256" s="14" t="e" cm="1">
        <f t="array" aca="1" ref="AU256" ca="1">IF(INDIRECT(ADDRESS($B256+1,AU$230,1,1,"Actively Infected Trend"))=0,#N/A,INDIRECT(ADDRESS($B256+1,AU$230,1,1,"Actively Infected Trend")))</f>
        <v>#N/A</v>
      </c>
      <c r="AV256" s="14" t="e" cm="1">
        <f t="array" aca="1" ref="AV256" ca="1">IF(INDIRECT(ADDRESS($B256+1,AV$230,1,1,"Actively Infected Trend"))=0,#N/A,INDIRECT(ADDRESS($B256+1,AV$230,1,1,"Actively Infected Trend")))</f>
        <v>#N/A</v>
      </c>
      <c r="AW256" s="14" t="e" cm="1">
        <f t="array" aca="1" ref="AW256" ca="1">IF(INDIRECT(ADDRESS($B256+1,AW$230,1,1,"Actively Infected Trend"))=0,#N/A,INDIRECT(ADDRESS($B256+1,AW$230,1,1,"Actively Infected Trend")))</f>
        <v>#N/A</v>
      </c>
      <c r="AX256" s="14" t="e" cm="1">
        <f t="array" aca="1" ref="AX256" ca="1">IF(INDIRECT(ADDRESS($B256+1,AX$230,1,1,"Actively Infected Trend"))=0,#N/A,INDIRECT(ADDRESS($B256+1,AX$230,1,1,"Actively Infected Trend")))</f>
        <v>#N/A</v>
      </c>
      <c r="AY256" s="14" t="e" cm="1">
        <f t="array" aca="1" ref="AY256" ca="1">IF(INDIRECT(ADDRESS($B256+1,AY$230,1,1,"Actively Infected Trend"))=0,#N/A,INDIRECT(ADDRESS($B256+1,AY$230,1,1,"Actively Infected Trend")))</f>
        <v>#N/A</v>
      </c>
      <c r="AZ256" s="14" t="e" cm="1">
        <f t="array" aca="1" ref="AZ256" ca="1">IF(INDIRECT(ADDRESS($B256+1,AZ$230,1,1,"Actively Infected Trend"))=0,#N/A,INDIRECT(ADDRESS($B256+1,AZ$230,1,1,"Actively Infected Trend")))</f>
        <v>#N/A</v>
      </c>
      <c r="BA256" s="14" t="e" cm="1">
        <f t="array" aca="1" ref="BA256" ca="1">IF(INDIRECT(ADDRESS($B256+1,BA$230,1,1,"Actively Infected Trend"))=0,#N/A,INDIRECT(ADDRESS($B256+1,BA$230,1,1,"Actively Infected Trend")))</f>
        <v>#N/A</v>
      </c>
      <c r="BB256" s="14" t="e" cm="1">
        <f t="array" aca="1" ref="BB256" ca="1">IF(INDIRECT(ADDRESS($B256+1,BB$230,1,1,"Actively Infected Trend"))=0,#N/A,INDIRECT(ADDRESS($B256+1,BB$230,1,1,"Actively Infected Trend")))</f>
        <v>#N/A</v>
      </c>
      <c r="BC256" s="14" t="e" cm="1">
        <f t="array" aca="1" ref="BC256" ca="1">IF(INDIRECT(ADDRESS($B256+1,BC$230,1,1,"Actively Infected Trend"))=0,#N/A,INDIRECT(ADDRESS($B256+1,BC$230,1,1,"Actively Infected Trend")))</f>
        <v>#N/A</v>
      </c>
      <c r="BD256" s="14" t="e" cm="1">
        <f t="array" aca="1" ref="BD256" ca="1">IF(INDIRECT(ADDRESS($B256+1,BD$230,1,1,"Actively Infected Trend"))=0,#N/A,INDIRECT(ADDRESS($B256+1,BD$230,1,1,"Actively Infected Trend")))</f>
        <v>#N/A</v>
      </c>
      <c r="BE256" s="14" t="e" cm="1">
        <f t="array" aca="1" ref="BE256" ca="1">IF(INDIRECT(ADDRESS($B256+1,BE$230,1,1,"Actively Infected Trend"))=0,#N/A,INDIRECT(ADDRESS($B256+1,BE$230,1,1,"Actively Infected Trend")))</f>
        <v>#N/A</v>
      </c>
      <c r="BF256" s="14" t="e" cm="1">
        <f t="array" aca="1" ref="BF256" ca="1">IF(INDIRECT(ADDRESS($B256+1,BF$230,1,1,"Actively Infected Trend"))=0,#N/A,INDIRECT(ADDRESS($B256+1,BF$230,1,1,"Actively Infected Trend")))</f>
        <v>#N/A</v>
      </c>
      <c r="BG256" s="14" t="e" cm="1">
        <f t="array" aca="1" ref="BG256" ca="1">IF(INDIRECT(ADDRESS($B256+1,BG$230,1,1,"Actively Infected Trend"))=0,#N/A,INDIRECT(ADDRESS($B256+1,BG$230,1,1,"Actively Infected Trend")))</f>
        <v>#N/A</v>
      </c>
      <c r="BH256" s="14" t="e" cm="1">
        <f t="array" aca="1" ref="BH256" ca="1">IF(INDIRECT(ADDRESS($B256+1,BH$230,1,1,"Actively Infected Trend"))=0,#N/A,INDIRECT(ADDRESS($B256+1,BH$230,1,1,"Actively Infected Trend")))</f>
        <v>#N/A</v>
      </c>
      <c r="BI256" s="14" t="e" cm="1">
        <f t="array" aca="1" ref="BI256" ca="1">IF(INDIRECT(ADDRESS($B256+1,BI$230,1,1,"Actively Infected Trend"))=0,#N/A,INDIRECT(ADDRESS($B256+1,BI$230,1,1,"Actively Infected Trend")))</f>
        <v>#N/A</v>
      </c>
      <c r="BJ256" s="14" t="e" cm="1">
        <f t="array" aca="1" ref="BJ256" ca="1">IF(INDIRECT(ADDRESS($B256+1,BJ$230,1,1,"Actively Infected Trend"))=0,#N/A,INDIRECT(ADDRESS($B256+1,BJ$230,1,1,"Actively Infected Trend")))</f>
        <v>#N/A</v>
      </c>
      <c r="BK256" s="14" t="e" cm="1">
        <f t="array" aca="1" ref="BK256" ca="1">IF(INDIRECT(ADDRESS($B256+1,BK$230,1,1,"Actively Infected Trend"))=0,#N/A,INDIRECT(ADDRESS($B256+1,BK$230,1,1,"Actively Infected Trend")))</f>
        <v>#N/A</v>
      </c>
      <c r="BL256" s="14" t="e" cm="1">
        <f t="array" aca="1" ref="BL256" ca="1">IF(INDIRECT(ADDRESS($B256+1,BL$230,1,1,"Actively Infected Trend"))=0,#N/A,INDIRECT(ADDRESS($B256+1,BL$230,1,1,"Actively Infected Trend")))</f>
        <v>#N/A</v>
      </c>
      <c r="BM256" s="14" t="e" cm="1">
        <f t="array" aca="1" ref="BM256" ca="1">IF(INDIRECT(ADDRESS($B256+1,BM$230,1,1,"Actively Infected Trend"))=0,#N/A,INDIRECT(ADDRESS($B256+1,BM$230,1,1,"Actively Infected Trend")))</f>
        <v>#N/A</v>
      </c>
      <c r="BN256" s="14" t="e" cm="1">
        <f t="array" aca="1" ref="BN256" ca="1">IF(INDIRECT(ADDRESS($B256+1,BN$230,1,1,"Actively Infected Trend"))=0,#N/A,INDIRECT(ADDRESS($B256+1,BN$230,1,1,"Actively Infected Trend")))</f>
        <v>#N/A</v>
      </c>
      <c r="BO256" s="14" t="e" cm="1">
        <f t="array" aca="1" ref="BO256" ca="1">IF(INDIRECT(ADDRESS($B256+1,BO$230,1,1,"Actively Infected Trend"))=0,#N/A,INDIRECT(ADDRESS($B256+1,BO$230,1,1,"Actively Infected Trend")))</f>
        <v>#N/A</v>
      </c>
      <c r="BP256" s="14" t="e" cm="1">
        <f t="array" aca="1" ref="BP256" ca="1">IF(INDIRECT(ADDRESS($B256+1,BP$230,1,1,"Actively Infected Trend"))=0,#N/A,INDIRECT(ADDRESS($B256+1,BP$230,1,1,"Actively Infected Trend")))</f>
        <v>#N/A</v>
      </c>
      <c r="BQ256" s="14" t="e" cm="1">
        <f t="array" aca="1" ref="BQ256" ca="1">IF(INDIRECT(ADDRESS($B256+1,BQ$230,1,1,"Actively Infected Trend"))=0,#N/A,INDIRECT(ADDRESS($B256+1,BQ$230,1,1,"Actively Infected Trend")))</f>
        <v>#N/A</v>
      </c>
      <c r="BR256" s="14" t="e" cm="1">
        <f t="array" aca="1" ref="BR256" ca="1">IF(INDIRECT(ADDRESS($B256+1,BR$230,1,1,"Actively Infected Trend"))=0,#N/A,INDIRECT(ADDRESS($B256+1,BR$230,1,1,"Actively Infected Trend")))</f>
        <v>#N/A</v>
      </c>
      <c r="BS256" s="14" t="e" cm="1">
        <f t="array" aca="1" ref="BS256" ca="1">IF(INDIRECT(ADDRESS($B256+1,BS$230,1,1,"Actively Infected Trend"))=0,#N/A,INDIRECT(ADDRESS($B256+1,BS$230,1,1,"Actively Infected Trend")))</f>
        <v>#N/A</v>
      </c>
      <c r="BT256" s="14" t="e" cm="1">
        <f t="array" aca="1" ref="BT256" ca="1">IF(INDIRECT(ADDRESS($B256+1,BT$230,1,1,"Actively Infected Trend"))=0,#N/A,INDIRECT(ADDRESS($B256+1,BT$230,1,1,"Actively Infected Trend")))</f>
        <v>#N/A</v>
      </c>
      <c r="BU256" s="14" t="e" cm="1">
        <f t="array" aca="1" ref="BU256" ca="1">IF(INDIRECT(ADDRESS($B256+1,BU$230,1,1,"Actively Infected Trend"))=0,#N/A,INDIRECT(ADDRESS($B256+1,BU$230,1,1,"Actively Infected Trend")))</f>
        <v>#N/A</v>
      </c>
      <c r="BV256" s="14" t="e" cm="1">
        <f t="array" aca="1" ref="BV256" ca="1">IF(INDIRECT(ADDRESS($B256+1,BV$230,1,1,"Actively Infected Trend"))=0,#N/A,INDIRECT(ADDRESS($B256+1,BV$230,1,1,"Actively Infected Trend")))</f>
        <v>#N/A</v>
      </c>
      <c r="BW256" s="14" t="e" cm="1">
        <f t="array" aca="1" ref="BW256" ca="1">IF(INDIRECT(ADDRESS($B256+1,BW$230,1,1,"Actively Infected Trend"))=0,#N/A,INDIRECT(ADDRESS($B256+1,BW$230,1,1,"Actively Infected Trend")))</f>
        <v>#N/A</v>
      </c>
      <c r="BX256" s="14" t="e" cm="1">
        <f t="array" aca="1" ref="BX256" ca="1">IF(INDIRECT(ADDRESS($B256+1,BX$230,1,1,"Actively Infected Trend"))=0,#N/A,INDIRECT(ADDRESS($B256+1,BX$230,1,1,"Actively Infected Trend")))</f>
        <v>#N/A</v>
      </c>
      <c r="BY256" s="14" t="e" cm="1">
        <f t="array" aca="1" ref="BY256" ca="1">IF(INDIRECT(ADDRESS($B256+1,BY$230,1,1,"Actively Infected Trend"))=0,#N/A,INDIRECT(ADDRESS($B256+1,BY$230,1,1,"Actively Infected Trend")))</f>
        <v>#N/A</v>
      </c>
      <c r="BZ256" s="14" t="e" cm="1">
        <f t="array" aca="1" ref="BZ256" ca="1">IF(INDIRECT(ADDRESS($B256+1,BZ$230,1,1,"Actively Infected Trend"))=0,#N/A,INDIRECT(ADDRESS($B256+1,BZ$230,1,1,"Actively Infected Trend")))</f>
        <v>#N/A</v>
      </c>
      <c r="CA256" s="14" t="e" cm="1">
        <f t="array" aca="1" ref="CA256" ca="1">IF(INDIRECT(ADDRESS($B256+1,CA$230,1,1,"Actively Infected Trend"))=0,#N/A,INDIRECT(ADDRESS($B256+1,CA$230,1,1,"Actively Infected Trend")))</f>
        <v>#N/A</v>
      </c>
      <c r="CB256" s="14" t="e" cm="1">
        <f t="array" aca="1" ref="CB256" ca="1">IF(INDIRECT(ADDRESS($B256+1,CB$230,1,1,"Actively Infected Trend"))=0,#N/A,INDIRECT(ADDRESS($B256+1,CB$230,1,1,"Actively Infected Trend")))</f>
        <v>#N/A</v>
      </c>
      <c r="CC256" s="14" t="e" cm="1">
        <f t="array" aca="1" ref="CC256" ca="1">IF(INDIRECT(ADDRESS($B256+1,CC$230,1,1,"Actively Infected Trend"))=0,#N/A,INDIRECT(ADDRESS($B256+1,CC$230,1,1,"Actively Infected Trend")))</f>
        <v>#N/A</v>
      </c>
      <c r="CD256" s="14" t="e" cm="1">
        <f t="array" aca="1" ref="CD256" ca="1">IF(INDIRECT(ADDRESS($B256+1,CD$230,1,1,"Actively Infected Trend"))=0,#N/A,INDIRECT(ADDRESS($B256+1,CD$230,1,1,"Actively Infected Trend")))</f>
        <v>#N/A</v>
      </c>
      <c r="CE256" s="14" t="e" cm="1">
        <f t="array" aca="1" ref="CE256" ca="1">IF(INDIRECT(ADDRESS($B256+1,CE$230,1,1,"Actively Infected Trend"))=0,#N/A,INDIRECT(ADDRESS($B256+1,CE$230,1,1,"Actively Infected Trend")))</f>
        <v>#N/A</v>
      </c>
      <c r="CF256" s="14" t="e" cm="1">
        <f t="array" aca="1" ref="CF256" ca="1">IF(INDIRECT(ADDRESS($B256+1,CF$230,1,1,"Actively Infected Trend"))=0,#N/A,INDIRECT(ADDRESS($B256+1,CF$230,1,1,"Actively Infected Trend")))</f>
        <v>#N/A</v>
      </c>
      <c r="CG256" s="14" t="e" cm="1">
        <f t="array" aca="1" ref="CG256" ca="1">IF(INDIRECT(ADDRESS($B256+1,CG$230,1,1,"Actively Infected Trend"))=0,#N/A,INDIRECT(ADDRESS($B256+1,CG$230,1,1,"Actively Infected Trend")))</f>
        <v>#N/A</v>
      </c>
      <c r="CH256" s="14" t="e" cm="1">
        <f t="array" aca="1" ref="CH256" ca="1">IF(INDIRECT(ADDRESS($B256+1,CH$230,1,1,"Actively Infected Trend"))=0,#N/A,INDIRECT(ADDRESS($B256+1,CH$230,1,1,"Actively Infected Trend")))</f>
        <v>#N/A</v>
      </c>
      <c r="CI256" s="14" t="e" cm="1">
        <f t="array" aca="1" ref="CI256" ca="1">IF(INDIRECT(ADDRESS($B256+1,CI$230,1,1,"Actively Infected Trend"))=0,#N/A,INDIRECT(ADDRESS($B256+1,CI$230,1,1,"Actively Infected Trend")))</f>
        <v>#N/A</v>
      </c>
      <c r="CJ256" s="14" t="e" cm="1">
        <f t="array" aca="1" ref="CJ256" ca="1">IF(INDIRECT(ADDRESS($B256+1,CJ$230,1,1,"Actively Infected Trend"))=0,#N/A,INDIRECT(ADDRESS($B256+1,CJ$230,1,1,"Actively Infected Trend")))</f>
        <v>#N/A</v>
      </c>
      <c r="CK256" s="14" t="e" cm="1">
        <f t="array" aca="1" ref="CK256" ca="1">IF(INDIRECT(ADDRESS($B256+1,CK$230,1,1,"Actively Infected Trend"))=0,#N/A,INDIRECT(ADDRESS($B256+1,CK$230,1,1,"Actively Infected Trend")))</f>
        <v>#N/A</v>
      </c>
      <c r="CL256" s="14" t="e" cm="1">
        <f t="array" aca="1" ref="CL256" ca="1">IF(INDIRECT(ADDRESS($B256+1,CL$230,1,1,"Actively Infected Trend"))=0,#N/A,INDIRECT(ADDRESS($B256+1,CL$230,1,1,"Actively Infected Trend")))</f>
        <v>#N/A</v>
      </c>
      <c r="CM256" s="14" t="e" cm="1">
        <f t="array" aca="1" ref="CM256" ca="1">IF(INDIRECT(ADDRESS($B256+1,CM$230,1,1,"Actively Infected Trend"))=0,#N/A,INDIRECT(ADDRESS($B256+1,CM$230,1,1,"Actively Infected Trend")))</f>
        <v>#N/A</v>
      </c>
      <c r="CN256" s="14" t="e" cm="1">
        <f t="array" aca="1" ref="CN256" ca="1">IF(INDIRECT(ADDRESS($B256+1,CN$230,1,1,"Actively Infected Trend"))=0,#N/A,INDIRECT(ADDRESS($B256+1,CN$230,1,1,"Actively Infected Trend")))</f>
        <v>#N/A</v>
      </c>
      <c r="CO256" s="14" t="e" cm="1">
        <f t="array" aca="1" ref="CO256" ca="1">IF(INDIRECT(ADDRESS($B256+1,CO$230,1,1,"Actively Infected Trend"))=0,#N/A,INDIRECT(ADDRESS($B256+1,CO$230,1,1,"Actively Infected Trend")))</f>
        <v>#N/A</v>
      </c>
      <c r="CP256" s="14" t="e" cm="1">
        <f t="array" aca="1" ref="CP256" ca="1">IF(INDIRECT(ADDRESS($B256+1,CP$230,1,1,"Actively Infected Trend"))=0,#N/A,INDIRECT(ADDRESS($B256+1,CP$230,1,1,"Actively Infected Trend")))</f>
        <v>#N/A</v>
      </c>
      <c r="CQ256" s="14" t="e" cm="1">
        <f t="array" aca="1" ref="CQ256" ca="1">IF(INDIRECT(ADDRESS($B256+1,CQ$230,1,1,"Actively Infected Trend"))=0,#N/A,INDIRECT(ADDRESS($B256+1,CQ$230,1,1,"Actively Infected Trend")))</f>
        <v>#N/A</v>
      </c>
      <c r="CR256" s="14" t="e" cm="1">
        <f t="array" aca="1" ref="CR256" ca="1">IF(INDIRECT(ADDRESS($B256+1,CR$230,1,1,"Actively Infected Trend"))=0,#N/A,INDIRECT(ADDRESS($B256+1,CR$230,1,1,"Actively Infected Trend")))</f>
        <v>#N/A</v>
      </c>
    </row>
    <row r="257" spans="2:96" x14ac:dyDescent="0.25">
      <c r="B257">
        <f t="shared" si="349"/>
        <v>26</v>
      </c>
      <c r="C257" cm="1">
        <f t="array" aca="1" ref="C257" ca="1">INDIRECT(ADDRESS($B257+1,1,1,1,"Actively Infected Trend"))</f>
        <v>0</v>
      </c>
      <c r="E257" s="14" t="e" cm="1">
        <f t="array" aca="1" ref="E257" ca="1">IF(INDIRECT(ADDRESS($B257+1,E$230,1,1,"Actively Infected Trend"))=0,#N/A,INDIRECT(ADDRESS($B257+1,E$230,1,1,"Actively Infected Trend")))</f>
        <v>#N/A</v>
      </c>
      <c r="F257" s="14" t="e" cm="1">
        <f t="array" aca="1" ref="F257" ca="1">IF(INDIRECT(ADDRESS($B257+1,F$230,1,1,"Actively Infected Trend"))=0,#N/A,INDIRECT(ADDRESS($B257+1,F$230,1,1,"Actively Infected Trend")))</f>
        <v>#N/A</v>
      </c>
      <c r="G257" s="14" t="e" cm="1">
        <f t="array" aca="1" ref="G257" ca="1">IF(INDIRECT(ADDRESS($B257+1,G$230,1,1,"Actively Infected Trend"))=0,#N/A,INDIRECT(ADDRESS($B257+1,G$230,1,1,"Actively Infected Trend")))</f>
        <v>#N/A</v>
      </c>
      <c r="H257" s="14" t="e" cm="1">
        <f t="array" aca="1" ref="H257" ca="1">IF(INDIRECT(ADDRESS($B257+1,H$230,1,1,"Actively Infected Trend"))=0,#N/A,INDIRECT(ADDRESS($B257+1,H$230,1,1,"Actively Infected Trend")))</f>
        <v>#N/A</v>
      </c>
      <c r="I257" s="14" t="e" cm="1">
        <f t="array" aca="1" ref="I257" ca="1">IF(INDIRECT(ADDRESS($B257+1,I$230,1,1,"Actively Infected Trend"))=0,#N/A,INDIRECT(ADDRESS($B257+1,I$230,1,1,"Actively Infected Trend")))</f>
        <v>#N/A</v>
      </c>
      <c r="J257" s="14" t="e" cm="1">
        <f t="array" aca="1" ref="J257" ca="1">IF(INDIRECT(ADDRESS($B257+1,J$230,1,1,"Actively Infected Trend"))=0,#N/A,INDIRECT(ADDRESS($B257+1,J$230,1,1,"Actively Infected Trend")))</f>
        <v>#N/A</v>
      </c>
      <c r="K257" s="14" t="e" cm="1">
        <f t="array" aca="1" ref="K257" ca="1">IF(INDIRECT(ADDRESS($B257+1,K$230,1,1,"Actively Infected Trend"))=0,#N/A,INDIRECT(ADDRESS($B257+1,K$230,1,1,"Actively Infected Trend")))</f>
        <v>#N/A</v>
      </c>
      <c r="L257" s="14" t="e" cm="1">
        <f t="array" aca="1" ref="L257" ca="1">IF(INDIRECT(ADDRESS($B257+1,L$230,1,1,"Actively Infected Trend"))=0,#N/A,INDIRECT(ADDRESS($B257+1,L$230,1,1,"Actively Infected Trend")))</f>
        <v>#N/A</v>
      </c>
      <c r="M257" s="14" t="e" cm="1">
        <f t="array" aca="1" ref="M257" ca="1">IF(INDIRECT(ADDRESS($B257+1,M$230,1,1,"Actively Infected Trend"))=0,#N/A,INDIRECT(ADDRESS($B257+1,M$230,1,1,"Actively Infected Trend")))</f>
        <v>#N/A</v>
      </c>
      <c r="N257" s="14" t="e" cm="1">
        <f t="array" aca="1" ref="N257" ca="1">IF(INDIRECT(ADDRESS($B257+1,N$230,1,1,"Actively Infected Trend"))=0,#N/A,INDIRECT(ADDRESS($B257+1,N$230,1,1,"Actively Infected Trend")))</f>
        <v>#N/A</v>
      </c>
      <c r="O257" s="14" t="e" cm="1">
        <f t="array" aca="1" ref="O257" ca="1">IF(INDIRECT(ADDRESS($B257+1,O$230,1,1,"Actively Infected Trend"))=0,#N/A,INDIRECT(ADDRESS($B257+1,O$230,1,1,"Actively Infected Trend")))</f>
        <v>#N/A</v>
      </c>
      <c r="P257" s="14" t="e" cm="1">
        <f t="array" aca="1" ref="P257" ca="1">IF(INDIRECT(ADDRESS($B257+1,P$230,1,1,"Actively Infected Trend"))=0,#N/A,INDIRECT(ADDRESS($B257+1,P$230,1,1,"Actively Infected Trend")))</f>
        <v>#N/A</v>
      </c>
      <c r="Q257" s="14" t="e" cm="1">
        <f t="array" aca="1" ref="Q257" ca="1">IF(INDIRECT(ADDRESS($B257+1,Q$230,1,1,"Actively Infected Trend"))=0,#N/A,INDIRECT(ADDRESS($B257+1,Q$230,1,1,"Actively Infected Trend")))</f>
        <v>#N/A</v>
      </c>
      <c r="R257" s="14" t="e" cm="1">
        <f t="array" aca="1" ref="R257" ca="1">IF(INDIRECT(ADDRESS($B257+1,R$230,1,1,"Actively Infected Trend"))=0,#N/A,INDIRECT(ADDRESS($B257+1,R$230,1,1,"Actively Infected Trend")))</f>
        <v>#N/A</v>
      </c>
      <c r="S257" s="14" t="e" cm="1">
        <f t="array" aca="1" ref="S257" ca="1">IF(INDIRECT(ADDRESS($B257+1,S$230,1,1,"Actively Infected Trend"))=0,#N/A,INDIRECT(ADDRESS($B257+1,S$230,1,1,"Actively Infected Trend")))</f>
        <v>#N/A</v>
      </c>
      <c r="T257" s="14" t="e" cm="1">
        <f t="array" aca="1" ref="T257" ca="1">IF(INDIRECT(ADDRESS($B257+1,T$230,1,1,"Actively Infected Trend"))=0,#N/A,INDIRECT(ADDRESS($B257+1,T$230,1,1,"Actively Infected Trend")))</f>
        <v>#N/A</v>
      </c>
      <c r="U257" s="14" t="e" cm="1">
        <f t="array" aca="1" ref="U257" ca="1">IF(INDIRECT(ADDRESS($B257+1,U$230,1,1,"Actively Infected Trend"))=0,#N/A,INDIRECT(ADDRESS($B257+1,U$230,1,1,"Actively Infected Trend")))</f>
        <v>#N/A</v>
      </c>
      <c r="V257" s="14" t="e" cm="1">
        <f t="array" aca="1" ref="V257" ca="1">IF(INDIRECT(ADDRESS($B257+1,V$230,1,1,"Actively Infected Trend"))=0,#N/A,INDIRECT(ADDRESS($B257+1,V$230,1,1,"Actively Infected Trend")))</f>
        <v>#N/A</v>
      </c>
      <c r="W257" s="14" t="e" cm="1">
        <f t="array" aca="1" ref="W257" ca="1">IF(INDIRECT(ADDRESS($B257+1,W$230,1,1,"Actively Infected Trend"))=0,#N/A,INDIRECT(ADDRESS($B257+1,W$230,1,1,"Actively Infected Trend")))</f>
        <v>#N/A</v>
      </c>
      <c r="X257" s="14" t="e" cm="1">
        <f t="array" aca="1" ref="X257" ca="1">IF(INDIRECT(ADDRESS($B257+1,X$230,1,1,"Actively Infected Trend"))=0,#N/A,INDIRECT(ADDRESS($B257+1,X$230,1,1,"Actively Infected Trend")))</f>
        <v>#N/A</v>
      </c>
      <c r="Y257" s="14" t="e" cm="1">
        <f t="array" aca="1" ref="Y257" ca="1">IF(INDIRECT(ADDRESS($B257+1,Y$230,1,1,"Actively Infected Trend"))=0,#N/A,INDIRECT(ADDRESS($B257+1,Y$230,1,1,"Actively Infected Trend")))</f>
        <v>#N/A</v>
      </c>
      <c r="Z257" s="14" t="e" cm="1">
        <f t="array" aca="1" ref="Z257" ca="1">IF(INDIRECT(ADDRESS($B257+1,Z$230,1,1,"Actively Infected Trend"))=0,#N/A,INDIRECT(ADDRESS($B257+1,Z$230,1,1,"Actively Infected Trend")))</f>
        <v>#N/A</v>
      </c>
      <c r="AA257" s="14" t="e" cm="1">
        <f t="array" aca="1" ref="AA257" ca="1">IF(INDIRECT(ADDRESS($B257+1,AA$230,1,1,"Actively Infected Trend"))=0,#N/A,INDIRECT(ADDRESS($B257+1,AA$230,1,1,"Actively Infected Trend")))</f>
        <v>#N/A</v>
      </c>
      <c r="AB257" s="14" t="e" cm="1">
        <f t="array" aca="1" ref="AB257" ca="1">IF(INDIRECT(ADDRESS($B257+1,AB$230,1,1,"Actively Infected Trend"))=0,#N/A,INDIRECT(ADDRESS($B257+1,AB$230,1,1,"Actively Infected Trend")))</f>
        <v>#N/A</v>
      </c>
      <c r="AC257" s="14" t="e" cm="1">
        <f t="array" aca="1" ref="AC257" ca="1">IF(INDIRECT(ADDRESS($B257+1,AC$230,1,1,"Actively Infected Trend"))=0,#N/A,INDIRECT(ADDRESS($B257+1,AC$230,1,1,"Actively Infected Trend")))</f>
        <v>#N/A</v>
      </c>
      <c r="AD257" s="14" t="e" cm="1">
        <f t="array" aca="1" ref="AD257" ca="1">IF(INDIRECT(ADDRESS($B257+1,AD$230,1,1,"Actively Infected Trend"))=0,#N/A,INDIRECT(ADDRESS($B257+1,AD$230,1,1,"Actively Infected Trend")))</f>
        <v>#N/A</v>
      </c>
      <c r="AE257" s="14" t="e" cm="1">
        <f t="array" aca="1" ref="AE257" ca="1">IF(INDIRECT(ADDRESS($B257+1,AE$230,1,1,"Actively Infected Trend"))=0,#N/A,INDIRECT(ADDRESS($B257+1,AE$230,1,1,"Actively Infected Trend")))</f>
        <v>#N/A</v>
      </c>
      <c r="AF257" s="14" t="e" cm="1">
        <f t="array" aca="1" ref="AF257" ca="1">IF(INDIRECT(ADDRESS($B257+1,AF$230,1,1,"Actively Infected Trend"))=0,#N/A,INDIRECT(ADDRESS($B257+1,AF$230,1,1,"Actively Infected Trend")))</f>
        <v>#N/A</v>
      </c>
      <c r="AG257" s="14" t="e" cm="1">
        <f t="array" aca="1" ref="AG257" ca="1">IF(INDIRECT(ADDRESS($B257+1,AG$230,1,1,"Actively Infected Trend"))=0,#N/A,INDIRECT(ADDRESS($B257+1,AG$230,1,1,"Actively Infected Trend")))</f>
        <v>#N/A</v>
      </c>
      <c r="AH257" s="14" t="e" cm="1">
        <f t="array" aca="1" ref="AH257" ca="1">IF(INDIRECT(ADDRESS($B257+1,AH$230,1,1,"Actively Infected Trend"))=0,#N/A,INDIRECT(ADDRESS($B257+1,AH$230,1,1,"Actively Infected Trend")))</f>
        <v>#N/A</v>
      </c>
      <c r="AI257" s="14" t="e" cm="1">
        <f t="array" aca="1" ref="AI257" ca="1">IF(INDIRECT(ADDRESS($B257+1,AI$230,1,1,"Actively Infected Trend"))=0,#N/A,INDIRECT(ADDRESS($B257+1,AI$230,1,1,"Actively Infected Trend")))</f>
        <v>#N/A</v>
      </c>
      <c r="AJ257" s="14" t="e" cm="1">
        <f t="array" aca="1" ref="AJ257" ca="1">IF(INDIRECT(ADDRESS($B257+1,AJ$230,1,1,"Actively Infected Trend"))=0,#N/A,INDIRECT(ADDRESS($B257+1,AJ$230,1,1,"Actively Infected Trend")))</f>
        <v>#N/A</v>
      </c>
      <c r="AK257" s="14" t="e" cm="1">
        <f t="array" aca="1" ref="AK257" ca="1">IF(INDIRECT(ADDRESS($B257+1,AK$230,1,1,"Actively Infected Trend"))=0,#N/A,INDIRECT(ADDRESS($B257+1,AK$230,1,1,"Actively Infected Trend")))</f>
        <v>#N/A</v>
      </c>
      <c r="AL257" s="14" t="e" cm="1">
        <f t="array" aca="1" ref="AL257" ca="1">IF(INDIRECT(ADDRESS($B257+1,AL$230,1,1,"Actively Infected Trend"))=0,#N/A,INDIRECT(ADDRESS($B257+1,AL$230,1,1,"Actively Infected Trend")))</f>
        <v>#N/A</v>
      </c>
      <c r="AM257" s="14" t="e" cm="1">
        <f t="array" aca="1" ref="AM257" ca="1">IF(INDIRECT(ADDRESS($B257+1,AM$230,1,1,"Actively Infected Trend"))=0,#N/A,INDIRECT(ADDRESS($B257+1,AM$230,1,1,"Actively Infected Trend")))</f>
        <v>#N/A</v>
      </c>
      <c r="AN257" s="14" t="e" cm="1">
        <f t="array" aca="1" ref="AN257" ca="1">IF(INDIRECT(ADDRESS($B257+1,AN$230,1,1,"Actively Infected Trend"))=0,#N/A,INDIRECT(ADDRESS($B257+1,AN$230,1,1,"Actively Infected Trend")))</f>
        <v>#N/A</v>
      </c>
      <c r="AO257" s="14" t="e" cm="1">
        <f t="array" aca="1" ref="AO257" ca="1">IF(INDIRECT(ADDRESS($B257+1,AO$230,1,1,"Actively Infected Trend"))=0,#N/A,INDIRECT(ADDRESS($B257+1,AO$230,1,1,"Actively Infected Trend")))</f>
        <v>#N/A</v>
      </c>
      <c r="AP257" s="14" t="e" cm="1">
        <f t="array" aca="1" ref="AP257" ca="1">IF(INDIRECT(ADDRESS($B257+1,AP$230,1,1,"Actively Infected Trend"))=0,#N/A,INDIRECT(ADDRESS($B257+1,AP$230,1,1,"Actively Infected Trend")))</f>
        <v>#N/A</v>
      </c>
      <c r="AQ257" s="14" t="e" cm="1">
        <f t="array" aca="1" ref="AQ257" ca="1">IF(INDIRECT(ADDRESS($B257+1,AQ$230,1,1,"Actively Infected Trend"))=0,#N/A,INDIRECT(ADDRESS($B257+1,AQ$230,1,1,"Actively Infected Trend")))</f>
        <v>#N/A</v>
      </c>
      <c r="AR257" s="14" t="e" cm="1">
        <f t="array" aca="1" ref="AR257" ca="1">IF(INDIRECT(ADDRESS($B257+1,AR$230,1,1,"Actively Infected Trend"))=0,#N/A,INDIRECT(ADDRESS($B257+1,AR$230,1,1,"Actively Infected Trend")))</f>
        <v>#N/A</v>
      </c>
      <c r="AS257" s="14" t="e" cm="1">
        <f t="array" aca="1" ref="AS257" ca="1">IF(INDIRECT(ADDRESS($B257+1,AS$230,1,1,"Actively Infected Trend"))=0,#N/A,INDIRECT(ADDRESS($B257+1,AS$230,1,1,"Actively Infected Trend")))</f>
        <v>#N/A</v>
      </c>
      <c r="AT257" s="14" t="e" cm="1">
        <f t="array" aca="1" ref="AT257" ca="1">IF(INDIRECT(ADDRESS($B257+1,AT$230,1,1,"Actively Infected Trend"))=0,#N/A,INDIRECT(ADDRESS($B257+1,AT$230,1,1,"Actively Infected Trend")))</f>
        <v>#N/A</v>
      </c>
      <c r="AU257" s="14" t="e" cm="1">
        <f t="array" aca="1" ref="AU257" ca="1">IF(INDIRECT(ADDRESS($B257+1,AU$230,1,1,"Actively Infected Trend"))=0,#N/A,INDIRECT(ADDRESS($B257+1,AU$230,1,1,"Actively Infected Trend")))</f>
        <v>#N/A</v>
      </c>
      <c r="AV257" s="14" t="e" cm="1">
        <f t="array" aca="1" ref="AV257" ca="1">IF(INDIRECT(ADDRESS($B257+1,AV$230,1,1,"Actively Infected Trend"))=0,#N/A,INDIRECT(ADDRESS($B257+1,AV$230,1,1,"Actively Infected Trend")))</f>
        <v>#N/A</v>
      </c>
      <c r="AW257" s="14" t="e" cm="1">
        <f t="array" aca="1" ref="AW257" ca="1">IF(INDIRECT(ADDRESS($B257+1,AW$230,1,1,"Actively Infected Trend"))=0,#N/A,INDIRECT(ADDRESS($B257+1,AW$230,1,1,"Actively Infected Trend")))</f>
        <v>#N/A</v>
      </c>
      <c r="AX257" s="14" t="e" cm="1">
        <f t="array" aca="1" ref="AX257" ca="1">IF(INDIRECT(ADDRESS($B257+1,AX$230,1,1,"Actively Infected Trend"))=0,#N/A,INDIRECT(ADDRESS($B257+1,AX$230,1,1,"Actively Infected Trend")))</f>
        <v>#N/A</v>
      </c>
      <c r="AY257" s="14" t="e" cm="1">
        <f t="array" aca="1" ref="AY257" ca="1">IF(INDIRECT(ADDRESS($B257+1,AY$230,1,1,"Actively Infected Trend"))=0,#N/A,INDIRECT(ADDRESS($B257+1,AY$230,1,1,"Actively Infected Trend")))</f>
        <v>#N/A</v>
      </c>
      <c r="AZ257" s="14" t="e" cm="1">
        <f t="array" aca="1" ref="AZ257" ca="1">IF(INDIRECT(ADDRESS($B257+1,AZ$230,1,1,"Actively Infected Trend"))=0,#N/A,INDIRECT(ADDRESS($B257+1,AZ$230,1,1,"Actively Infected Trend")))</f>
        <v>#N/A</v>
      </c>
      <c r="BA257" s="14" t="e" cm="1">
        <f t="array" aca="1" ref="BA257" ca="1">IF(INDIRECT(ADDRESS($B257+1,BA$230,1,1,"Actively Infected Trend"))=0,#N/A,INDIRECT(ADDRESS($B257+1,BA$230,1,1,"Actively Infected Trend")))</f>
        <v>#N/A</v>
      </c>
      <c r="BB257" s="14" t="e" cm="1">
        <f t="array" aca="1" ref="BB257" ca="1">IF(INDIRECT(ADDRESS($B257+1,BB$230,1,1,"Actively Infected Trend"))=0,#N/A,INDIRECT(ADDRESS($B257+1,BB$230,1,1,"Actively Infected Trend")))</f>
        <v>#N/A</v>
      </c>
      <c r="BC257" s="14" t="e" cm="1">
        <f t="array" aca="1" ref="BC257" ca="1">IF(INDIRECT(ADDRESS($B257+1,BC$230,1,1,"Actively Infected Trend"))=0,#N/A,INDIRECT(ADDRESS($B257+1,BC$230,1,1,"Actively Infected Trend")))</f>
        <v>#N/A</v>
      </c>
      <c r="BD257" s="14" t="e" cm="1">
        <f t="array" aca="1" ref="BD257" ca="1">IF(INDIRECT(ADDRESS($B257+1,BD$230,1,1,"Actively Infected Trend"))=0,#N/A,INDIRECT(ADDRESS($B257+1,BD$230,1,1,"Actively Infected Trend")))</f>
        <v>#N/A</v>
      </c>
      <c r="BE257" s="14" t="e" cm="1">
        <f t="array" aca="1" ref="BE257" ca="1">IF(INDIRECT(ADDRESS($B257+1,BE$230,1,1,"Actively Infected Trend"))=0,#N/A,INDIRECT(ADDRESS($B257+1,BE$230,1,1,"Actively Infected Trend")))</f>
        <v>#N/A</v>
      </c>
      <c r="BF257" s="14" t="e" cm="1">
        <f t="array" aca="1" ref="BF257" ca="1">IF(INDIRECT(ADDRESS($B257+1,BF$230,1,1,"Actively Infected Trend"))=0,#N/A,INDIRECT(ADDRESS($B257+1,BF$230,1,1,"Actively Infected Trend")))</f>
        <v>#N/A</v>
      </c>
      <c r="BG257" s="14" t="e" cm="1">
        <f t="array" aca="1" ref="BG257" ca="1">IF(INDIRECT(ADDRESS($B257+1,BG$230,1,1,"Actively Infected Trend"))=0,#N/A,INDIRECT(ADDRESS($B257+1,BG$230,1,1,"Actively Infected Trend")))</f>
        <v>#N/A</v>
      </c>
      <c r="BH257" s="14" t="e" cm="1">
        <f t="array" aca="1" ref="BH257" ca="1">IF(INDIRECT(ADDRESS($B257+1,BH$230,1,1,"Actively Infected Trend"))=0,#N/A,INDIRECT(ADDRESS($B257+1,BH$230,1,1,"Actively Infected Trend")))</f>
        <v>#N/A</v>
      </c>
      <c r="BI257" s="14" t="e" cm="1">
        <f t="array" aca="1" ref="BI257" ca="1">IF(INDIRECT(ADDRESS($B257+1,BI$230,1,1,"Actively Infected Trend"))=0,#N/A,INDIRECT(ADDRESS($B257+1,BI$230,1,1,"Actively Infected Trend")))</f>
        <v>#N/A</v>
      </c>
      <c r="BJ257" s="14" t="e" cm="1">
        <f t="array" aca="1" ref="BJ257" ca="1">IF(INDIRECT(ADDRESS($B257+1,BJ$230,1,1,"Actively Infected Trend"))=0,#N/A,INDIRECT(ADDRESS($B257+1,BJ$230,1,1,"Actively Infected Trend")))</f>
        <v>#N/A</v>
      </c>
      <c r="BK257" s="14" t="e" cm="1">
        <f t="array" aca="1" ref="BK257" ca="1">IF(INDIRECT(ADDRESS($B257+1,BK$230,1,1,"Actively Infected Trend"))=0,#N/A,INDIRECT(ADDRESS($B257+1,BK$230,1,1,"Actively Infected Trend")))</f>
        <v>#N/A</v>
      </c>
      <c r="BL257" s="14" t="e" cm="1">
        <f t="array" aca="1" ref="BL257" ca="1">IF(INDIRECT(ADDRESS($B257+1,BL$230,1,1,"Actively Infected Trend"))=0,#N/A,INDIRECT(ADDRESS($B257+1,BL$230,1,1,"Actively Infected Trend")))</f>
        <v>#N/A</v>
      </c>
      <c r="BM257" s="14" t="e" cm="1">
        <f t="array" aca="1" ref="BM257" ca="1">IF(INDIRECT(ADDRESS($B257+1,BM$230,1,1,"Actively Infected Trend"))=0,#N/A,INDIRECT(ADDRESS($B257+1,BM$230,1,1,"Actively Infected Trend")))</f>
        <v>#N/A</v>
      </c>
      <c r="BN257" s="14" t="e" cm="1">
        <f t="array" aca="1" ref="BN257" ca="1">IF(INDIRECT(ADDRESS($B257+1,BN$230,1,1,"Actively Infected Trend"))=0,#N/A,INDIRECT(ADDRESS($B257+1,BN$230,1,1,"Actively Infected Trend")))</f>
        <v>#N/A</v>
      </c>
      <c r="BO257" s="14" t="e" cm="1">
        <f t="array" aca="1" ref="BO257" ca="1">IF(INDIRECT(ADDRESS($B257+1,BO$230,1,1,"Actively Infected Trend"))=0,#N/A,INDIRECT(ADDRESS($B257+1,BO$230,1,1,"Actively Infected Trend")))</f>
        <v>#N/A</v>
      </c>
      <c r="BP257" s="14" t="e" cm="1">
        <f t="array" aca="1" ref="BP257" ca="1">IF(INDIRECT(ADDRESS($B257+1,BP$230,1,1,"Actively Infected Trend"))=0,#N/A,INDIRECT(ADDRESS($B257+1,BP$230,1,1,"Actively Infected Trend")))</f>
        <v>#N/A</v>
      </c>
      <c r="BQ257" s="14" t="e" cm="1">
        <f t="array" aca="1" ref="BQ257" ca="1">IF(INDIRECT(ADDRESS($B257+1,BQ$230,1,1,"Actively Infected Trend"))=0,#N/A,INDIRECT(ADDRESS($B257+1,BQ$230,1,1,"Actively Infected Trend")))</f>
        <v>#N/A</v>
      </c>
      <c r="BR257" s="14" t="e" cm="1">
        <f t="array" aca="1" ref="BR257" ca="1">IF(INDIRECT(ADDRESS($B257+1,BR$230,1,1,"Actively Infected Trend"))=0,#N/A,INDIRECT(ADDRESS($B257+1,BR$230,1,1,"Actively Infected Trend")))</f>
        <v>#N/A</v>
      </c>
      <c r="BS257" s="14" t="e" cm="1">
        <f t="array" aca="1" ref="BS257" ca="1">IF(INDIRECT(ADDRESS($B257+1,BS$230,1,1,"Actively Infected Trend"))=0,#N/A,INDIRECT(ADDRESS($B257+1,BS$230,1,1,"Actively Infected Trend")))</f>
        <v>#N/A</v>
      </c>
      <c r="BT257" s="14" t="e" cm="1">
        <f t="array" aca="1" ref="BT257" ca="1">IF(INDIRECT(ADDRESS($B257+1,BT$230,1,1,"Actively Infected Trend"))=0,#N/A,INDIRECT(ADDRESS($B257+1,BT$230,1,1,"Actively Infected Trend")))</f>
        <v>#N/A</v>
      </c>
      <c r="BU257" s="14" t="e" cm="1">
        <f t="array" aca="1" ref="BU257" ca="1">IF(INDIRECT(ADDRESS($B257+1,BU$230,1,1,"Actively Infected Trend"))=0,#N/A,INDIRECT(ADDRESS($B257+1,BU$230,1,1,"Actively Infected Trend")))</f>
        <v>#N/A</v>
      </c>
      <c r="BV257" s="14" t="e" cm="1">
        <f t="array" aca="1" ref="BV257" ca="1">IF(INDIRECT(ADDRESS($B257+1,BV$230,1,1,"Actively Infected Trend"))=0,#N/A,INDIRECT(ADDRESS($B257+1,BV$230,1,1,"Actively Infected Trend")))</f>
        <v>#N/A</v>
      </c>
      <c r="BW257" s="14" t="e" cm="1">
        <f t="array" aca="1" ref="BW257" ca="1">IF(INDIRECT(ADDRESS($B257+1,BW$230,1,1,"Actively Infected Trend"))=0,#N/A,INDIRECT(ADDRESS($B257+1,BW$230,1,1,"Actively Infected Trend")))</f>
        <v>#N/A</v>
      </c>
      <c r="BX257" s="14" t="e" cm="1">
        <f t="array" aca="1" ref="BX257" ca="1">IF(INDIRECT(ADDRESS($B257+1,BX$230,1,1,"Actively Infected Trend"))=0,#N/A,INDIRECT(ADDRESS($B257+1,BX$230,1,1,"Actively Infected Trend")))</f>
        <v>#N/A</v>
      </c>
      <c r="BY257" s="14" t="e" cm="1">
        <f t="array" aca="1" ref="BY257" ca="1">IF(INDIRECT(ADDRESS($B257+1,BY$230,1,1,"Actively Infected Trend"))=0,#N/A,INDIRECT(ADDRESS($B257+1,BY$230,1,1,"Actively Infected Trend")))</f>
        <v>#N/A</v>
      </c>
      <c r="BZ257" s="14" t="e" cm="1">
        <f t="array" aca="1" ref="BZ257" ca="1">IF(INDIRECT(ADDRESS($B257+1,BZ$230,1,1,"Actively Infected Trend"))=0,#N/A,INDIRECT(ADDRESS($B257+1,BZ$230,1,1,"Actively Infected Trend")))</f>
        <v>#N/A</v>
      </c>
      <c r="CA257" s="14" t="e" cm="1">
        <f t="array" aca="1" ref="CA257" ca="1">IF(INDIRECT(ADDRESS($B257+1,CA$230,1,1,"Actively Infected Trend"))=0,#N/A,INDIRECT(ADDRESS($B257+1,CA$230,1,1,"Actively Infected Trend")))</f>
        <v>#N/A</v>
      </c>
      <c r="CB257" s="14" t="e" cm="1">
        <f t="array" aca="1" ref="CB257" ca="1">IF(INDIRECT(ADDRESS($B257+1,CB$230,1,1,"Actively Infected Trend"))=0,#N/A,INDIRECT(ADDRESS($B257+1,CB$230,1,1,"Actively Infected Trend")))</f>
        <v>#N/A</v>
      </c>
      <c r="CC257" s="14" t="e" cm="1">
        <f t="array" aca="1" ref="CC257" ca="1">IF(INDIRECT(ADDRESS($B257+1,CC$230,1,1,"Actively Infected Trend"))=0,#N/A,INDIRECT(ADDRESS($B257+1,CC$230,1,1,"Actively Infected Trend")))</f>
        <v>#N/A</v>
      </c>
      <c r="CD257" s="14" t="e" cm="1">
        <f t="array" aca="1" ref="CD257" ca="1">IF(INDIRECT(ADDRESS($B257+1,CD$230,1,1,"Actively Infected Trend"))=0,#N/A,INDIRECT(ADDRESS($B257+1,CD$230,1,1,"Actively Infected Trend")))</f>
        <v>#N/A</v>
      </c>
      <c r="CE257" s="14" t="e" cm="1">
        <f t="array" aca="1" ref="CE257" ca="1">IF(INDIRECT(ADDRESS($B257+1,CE$230,1,1,"Actively Infected Trend"))=0,#N/A,INDIRECT(ADDRESS($B257+1,CE$230,1,1,"Actively Infected Trend")))</f>
        <v>#N/A</v>
      </c>
      <c r="CF257" s="14" t="e" cm="1">
        <f t="array" aca="1" ref="CF257" ca="1">IF(INDIRECT(ADDRESS($B257+1,CF$230,1,1,"Actively Infected Trend"))=0,#N/A,INDIRECT(ADDRESS($B257+1,CF$230,1,1,"Actively Infected Trend")))</f>
        <v>#N/A</v>
      </c>
      <c r="CG257" s="14" t="e" cm="1">
        <f t="array" aca="1" ref="CG257" ca="1">IF(INDIRECT(ADDRESS($B257+1,CG$230,1,1,"Actively Infected Trend"))=0,#N/A,INDIRECT(ADDRESS($B257+1,CG$230,1,1,"Actively Infected Trend")))</f>
        <v>#N/A</v>
      </c>
      <c r="CH257" s="14" t="e" cm="1">
        <f t="array" aca="1" ref="CH257" ca="1">IF(INDIRECT(ADDRESS($B257+1,CH$230,1,1,"Actively Infected Trend"))=0,#N/A,INDIRECT(ADDRESS($B257+1,CH$230,1,1,"Actively Infected Trend")))</f>
        <v>#N/A</v>
      </c>
      <c r="CI257" s="14" t="e" cm="1">
        <f t="array" aca="1" ref="CI257" ca="1">IF(INDIRECT(ADDRESS($B257+1,CI$230,1,1,"Actively Infected Trend"))=0,#N/A,INDIRECT(ADDRESS($B257+1,CI$230,1,1,"Actively Infected Trend")))</f>
        <v>#N/A</v>
      </c>
      <c r="CJ257" s="14" t="e" cm="1">
        <f t="array" aca="1" ref="CJ257" ca="1">IF(INDIRECT(ADDRESS($B257+1,CJ$230,1,1,"Actively Infected Trend"))=0,#N/A,INDIRECT(ADDRESS($B257+1,CJ$230,1,1,"Actively Infected Trend")))</f>
        <v>#N/A</v>
      </c>
      <c r="CK257" s="14" t="e" cm="1">
        <f t="array" aca="1" ref="CK257" ca="1">IF(INDIRECT(ADDRESS($B257+1,CK$230,1,1,"Actively Infected Trend"))=0,#N/A,INDIRECT(ADDRESS($B257+1,CK$230,1,1,"Actively Infected Trend")))</f>
        <v>#N/A</v>
      </c>
      <c r="CL257" s="14" t="e" cm="1">
        <f t="array" aca="1" ref="CL257" ca="1">IF(INDIRECT(ADDRESS($B257+1,CL$230,1,1,"Actively Infected Trend"))=0,#N/A,INDIRECT(ADDRESS($B257+1,CL$230,1,1,"Actively Infected Trend")))</f>
        <v>#N/A</v>
      </c>
      <c r="CM257" s="14" t="e" cm="1">
        <f t="array" aca="1" ref="CM257" ca="1">IF(INDIRECT(ADDRESS($B257+1,CM$230,1,1,"Actively Infected Trend"))=0,#N/A,INDIRECT(ADDRESS($B257+1,CM$230,1,1,"Actively Infected Trend")))</f>
        <v>#N/A</v>
      </c>
      <c r="CN257" s="14" t="e" cm="1">
        <f t="array" aca="1" ref="CN257" ca="1">IF(INDIRECT(ADDRESS($B257+1,CN$230,1,1,"Actively Infected Trend"))=0,#N/A,INDIRECT(ADDRESS($B257+1,CN$230,1,1,"Actively Infected Trend")))</f>
        <v>#N/A</v>
      </c>
      <c r="CO257" s="14" t="e" cm="1">
        <f t="array" aca="1" ref="CO257" ca="1">IF(INDIRECT(ADDRESS($B257+1,CO$230,1,1,"Actively Infected Trend"))=0,#N/A,INDIRECT(ADDRESS($B257+1,CO$230,1,1,"Actively Infected Trend")))</f>
        <v>#N/A</v>
      </c>
      <c r="CP257" s="14" t="e" cm="1">
        <f t="array" aca="1" ref="CP257" ca="1">IF(INDIRECT(ADDRESS($B257+1,CP$230,1,1,"Actively Infected Trend"))=0,#N/A,INDIRECT(ADDRESS($B257+1,CP$230,1,1,"Actively Infected Trend")))</f>
        <v>#N/A</v>
      </c>
      <c r="CQ257" s="14" t="e" cm="1">
        <f t="array" aca="1" ref="CQ257" ca="1">IF(INDIRECT(ADDRESS($B257+1,CQ$230,1,1,"Actively Infected Trend"))=0,#N/A,INDIRECT(ADDRESS($B257+1,CQ$230,1,1,"Actively Infected Trend")))</f>
        <v>#N/A</v>
      </c>
      <c r="CR257" s="14" t="e" cm="1">
        <f t="array" aca="1" ref="CR257" ca="1">IF(INDIRECT(ADDRESS($B257+1,CR$230,1,1,"Actively Infected Trend"))=0,#N/A,INDIRECT(ADDRESS($B257+1,CR$230,1,1,"Actively Infected Trend")))</f>
        <v>#N/A</v>
      </c>
    </row>
    <row r="258" spans="2:96" x14ac:dyDescent="0.25">
      <c r="B258">
        <f t="shared" si="349"/>
        <v>27</v>
      </c>
      <c r="C258" cm="1">
        <f t="array" aca="1" ref="C258" ca="1">INDIRECT(ADDRESS($B258+1,1,1,1,"Actively Infected Trend"))</f>
        <v>0</v>
      </c>
      <c r="E258" s="14" t="e" cm="1">
        <f t="array" aca="1" ref="E258" ca="1">IF(INDIRECT(ADDRESS($B258+1,E$230,1,1,"Actively Infected Trend"))=0,#N/A,INDIRECT(ADDRESS($B258+1,E$230,1,1,"Actively Infected Trend")))</f>
        <v>#N/A</v>
      </c>
      <c r="F258" s="14" t="e" cm="1">
        <f t="array" aca="1" ref="F258" ca="1">IF(INDIRECT(ADDRESS($B258+1,F$230,1,1,"Actively Infected Trend"))=0,#N/A,INDIRECT(ADDRESS($B258+1,F$230,1,1,"Actively Infected Trend")))</f>
        <v>#N/A</v>
      </c>
      <c r="G258" s="14" t="e" cm="1">
        <f t="array" aca="1" ref="G258" ca="1">IF(INDIRECT(ADDRESS($B258+1,G$230,1,1,"Actively Infected Trend"))=0,#N/A,INDIRECT(ADDRESS($B258+1,G$230,1,1,"Actively Infected Trend")))</f>
        <v>#N/A</v>
      </c>
      <c r="H258" s="14" t="e" cm="1">
        <f t="array" aca="1" ref="H258" ca="1">IF(INDIRECT(ADDRESS($B258+1,H$230,1,1,"Actively Infected Trend"))=0,#N/A,INDIRECT(ADDRESS($B258+1,H$230,1,1,"Actively Infected Trend")))</f>
        <v>#N/A</v>
      </c>
      <c r="I258" s="14" t="e" cm="1">
        <f t="array" aca="1" ref="I258" ca="1">IF(INDIRECT(ADDRESS($B258+1,I$230,1,1,"Actively Infected Trend"))=0,#N/A,INDIRECT(ADDRESS($B258+1,I$230,1,1,"Actively Infected Trend")))</f>
        <v>#N/A</v>
      </c>
      <c r="J258" s="14" t="e" cm="1">
        <f t="array" aca="1" ref="J258" ca="1">IF(INDIRECT(ADDRESS($B258+1,J$230,1,1,"Actively Infected Trend"))=0,#N/A,INDIRECT(ADDRESS($B258+1,J$230,1,1,"Actively Infected Trend")))</f>
        <v>#N/A</v>
      </c>
      <c r="K258" s="14" t="e" cm="1">
        <f t="array" aca="1" ref="K258" ca="1">IF(INDIRECT(ADDRESS($B258+1,K$230,1,1,"Actively Infected Trend"))=0,#N/A,INDIRECT(ADDRESS($B258+1,K$230,1,1,"Actively Infected Trend")))</f>
        <v>#N/A</v>
      </c>
      <c r="L258" s="14" t="e" cm="1">
        <f t="array" aca="1" ref="L258" ca="1">IF(INDIRECT(ADDRESS($B258+1,L$230,1,1,"Actively Infected Trend"))=0,#N/A,INDIRECT(ADDRESS($B258+1,L$230,1,1,"Actively Infected Trend")))</f>
        <v>#N/A</v>
      </c>
      <c r="M258" s="14" t="e" cm="1">
        <f t="array" aca="1" ref="M258" ca="1">IF(INDIRECT(ADDRESS($B258+1,M$230,1,1,"Actively Infected Trend"))=0,#N/A,INDIRECT(ADDRESS($B258+1,M$230,1,1,"Actively Infected Trend")))</f>
        <v>#N/A</v>
      </c>
      <c r="N258" s="14" t="e" cm="1">
        <f t="array" aca="1" ref="N258" ca="1">IF(INDIRECT(ADDRESS($B258+1,N$230,1,1,"Actively Infected Trend"))=0,#N/A,INDIRECT(ADDRESS($B258+1,N$230,1,1,"Actively Infected Trend")))</f>
        <v>#N/A</v>
      </c>
      <c r="O258" s="14" t="e" cm="1">
        <f t="array" aca="1" ref="O258" ca="1">IF(INDIRECT(ADDRESS($B258+1,O$230,1,1,"Actively Infected Trend"))=0,#N/A,INDIRECT(ADDRESS($B258+1,O$230,1,1,"Actively Infected Trend")))</f>
        <v>#N/A</v>
      </c>
      <c r="P258" s="14" t="e" cm="1">
        <f t="array" aca="1" ref="P258" ca="1">IF(INDIRECT(ADDRESS($B258+1,P$230,1,1,"Actively Infected Trend"))=0,#N/A,INDIRECT(ADDRESS($B258+1,P$230,1,1,"Actively Infected Trend")))</f>
        <v>#N/A</v>
      </c>
      <c r="Q258" s="14" t="e" cm="1">
        <f t="array" aca="1" ref="Q258" ca="1">IF(INDIRECT(ADDRESS($B258+1,Q$230,1,1,"Actively Infected Trend"))=0,#N/A,INDIRECT(ADDRESS($B258+1,Q$230,1,1,"Actively Infected Trend")))</f>
        <v>#N/A</v>
      </c>
      <c r="R258" s="14" t="e" cm="1">
        <f t="array" aca="1" ref="R258" ca="1">IF(INDIRECT(ADDRESS($B258+1,R$230,1,1,"Actively Infected Trend"))=0,#N/A,INDIRECT(ADDRESS($B258+1,R$230,1,1,"Actively Infected Trend")))</f>
        <v>#N/A</v>
      </c>
      <c r="S258" s="14" t="e" cm="1">
        <f t="array" aca="1" ref="S258" ca="1">IF(INDIRECT(ADDRESS($B258+1,S$230,1,1,"Actively Infected Trend"))=0,#N/A,INDIRECT(ADDRESS($B258+1,S$230,1,1,"Actively Infected Trend")))</f>
        <v>#N/A</v>
      </c>
      <c r="T258" s="14" t="e" cm="1">
        <f t="array" aca="1" ref="T258" ca="1">IF(INDIRECT(ADDRESS($B258+1,T$230,1,1,"Actively Infected Trend"))=0,#N/A,INDIRECT(ADDRESS($B258+1,T$230,1,1,"Actively Infected Trend")))</f>
        <v>#N/A</v>
      </c>
      <c r="U258" s="14" t="e" cm="1">
        <f t="array" aca="1" ref="U258" ca="1">IF(INDIRECT(ADDRESS($B258+1,U$230,1,1,"Actively Infected Trend"))=0,#N/A,INDIRECT(ADDRESS($B258+1,U$230,1,1,"Actively Infected Trend")))</f>
        <v>#N/A</v>
      </c>
      <c r="V258" s="14" t="e" cm="1">
        <f t="array" aca="1" ref="V258" ca="1">IF(INDIRECT(ADDRESS($B258+1,V$230,1,1,"Actively Infected Trend"))=0,#N/A,INDIRECT(ADDRESS($B258+1,V$230,1,1,"Actively Infected Trend")))</f>
        <v>#N/A</v>
      </c>
      <c r="W258" s="14" t="e" cm="1">
        <f t="array" aca="1" ref="W258" ca="1">IF(INDIRECT(ADDRESS($B258+1,W$230,1,1,"Actively Infected Trend"))=0,#N/A,INDIRECT(ADDRESS($B258+1,W$230,1,1,"Actively Infected Trend")))</f>
        <v>#N/A</v>
      </c>
      <c r="X258" s="14" t="e" cm="1">
        <f t="array" aca="1" ref="X258" ca="1">IF(INDIRECT(ADDRESS($B258+1,X$230,1,1,"Actively Infected Trend"))=0,#N/A,INDIRECT(ADDRESS($B258+1,X$230,1,1,"Actively Infected Trend")))</f>
        <v>#N/A</v>
      </c>
      <c r="Y258" s="14" t="e" cm="1">
        <f t="array" aca="1" ref="Y258" ca="1">IF(INDIRECT(ADDRESS($B258+1,Y$230,1,1,"Actively Infected Trend"))=0,#N/A,INDIRECT(ADDRESS($B258+1,Y$230,1,1,"Actively Infected Trend")))</f>
        <v>#N/A</v>
      </c>
      <c r="Z258" s="14" t="e" cm="1">
        <f t="array" aca="1" ref="Z258" ca="1">IF(INDIRECT(ADDRESS($B258+1,Z$230,1,1,"Actively Infected Trend"))=0,#N/A,INDIRECT(ADDRESS($B258+1,Z$230,1,1,"Actively Infected Trend")))</f>
        <v>#N/A</v>
      </c>
      <c r="AA258" s="14" t="e" cm="1">
        <f t="array" aca="1" ref="AA258" ca="1">IF(INDIRECT(ADDRESS($B258+1,AA$230,1,1,"Actively Infected Trend"))=0,#N/A,INDIRECT(ADDRESS($B258+1,AA$230,1,1,"Actively Infected Trend")))</f>
        <v>#N/A</v>
      </c>
      <c r="AB258" s="14" t="e" cm="1">
        <f t="array" aca="1" ref="AB258" ca="1">IF(INDIRECT(ADDRESS($B258+1,AB$230,1,1,"Actively Infected Trend"))=0,#N/A,INDIRECT(ADDRESS($B258+1,AB$230,1,1,"Actively Infected Trend")))</f>
        <v>#N/A</v>
      </c>
      <c r="AC258" s="14" t="e" cm="1">
        <f t="array" aca="1" ref="AC258" ca="1">IF(INDIRECT(ADDRESS($B258+1,AC$230,1,1,"Actively Infected Trend"))=0,#N/A,INDIRECT(ADDRESS($B258+1,AC$230,1,1,"Actively Infected Trend")))</f>
        <v>#N/A</v>
      </c>
      <c r="AD258" s="14" t="e" cm="1">
        <f t="array" aca="1" ref="AD258" ca="1">IF(INDIRECT(ADDRESS($B258+1,AD$230,1,1,"Actively Infected Trend"))=0,#N/A,INDIRECT(ADDRESS($B258+1,AD$230,1,1,"Actively Infected Trend")))</f>
        <v>#N/A</v>
      </c>
      <c r="AE258" s="14" t="e" cm="1">
        <f t="array" aca="1" ref="AE258" ca="1">IF(INDIRECT(ADDRESS($B258+1,AE$230,1,1,"Actively Infected Trend"))=0,#N/A,INDIRECT(ADDRESS($B258+1,AE$230,1,1,"Actively Infected Trend")))</f>
        <v>#N/A</v>
      </c>
      <c r="AF258" s="14" t="e" cm="1">
        <f t="array" aca="1" ref="AF258" ca="1">IF(INDIRECT(ADDRESS($B258+1,AF$230,1,1,"Actively Infected Trend"))=0,#N/A,INDIRECT(ADDRESS($B258+1,AF$230,1,1,"Actively Infected Trend")))</f>
        <v>#N/A</v>
      </c>
      <c r="AG258" s="14" t="e" cm="1">
        <f t="array" aca="1" ref="AG258" ca="1">IF(INDIRECT(ADDRESS($B258+1,AG$230,1,1,"Actively Infected Trend"))=0,#N/A,INDIRECT(ADDRESS($B258+1,AG$230,1,1,"Actively Infected Trend")))</f>
        <v>#N/A</v>
      </c>
      <c r="AH258" s="14" t="e" cm="1">
        <f t="array" aca="1" ref="AH258" ca="1">IF(INDIRECT(ADDRESS($B258+1,AH$230,1,1,"Actively Infected Trend"))=0,#N/A,INDIRECT(ADDRESS($B258+1,AH$230,1,1,"Actively Infected Trend")))</f>
        <v>#N/A</v>
      </c>
      <c r="AI258" s="14" t="e" cm="1">
        <f t="array" aca="1" ref="AI258" ca="1">IF(INDIRECT(ADDRESS($B258+1,AI$230,1,1,"Actively Infected Trend"))=0,#N/A,INDIRECT(ADDRESS($B258+1,AI$230,1,1,"Actively Infected Trend")))</f>
        <v>#N/A</v>
      </c>
      <c r="AJ258" s="14" t="e" cm="1">
        <f t="array" aca="1" ref="AJ258" ca="1">IF(INDIRECT(ADDRESS($B258+1,AJ$230,1,1,"Actively Infected Trend"))=0,#N/A,INDIRECT(ADDRESS($B258+1,AJ$230,1,1,"Actively Infected Trend")))</f>
        <v>#N/A</v>
      </c>
      <c r="AK258" s="14" t="e" cm="1">
        <f t="array" aca="1" ref="AK258" ca="1">IF(INDIRECT(ADDRESS($B258+1,AK$230,1,1,"Actively Infected Trend"))=0,#N/A,INDIRECT(ADDRESS($B258+1,AK$230,1,1,"Actively Infected Trend")))</f>
        <v>#N/A</v>
      </c>
      <c r="AL258" s="14" t="e" cm="1">
        <f t="array" aca="1" ref="AL258" ca="1">IF(INDIRECT(ADDRESS($B258+1,AL$230,1,1,"Actively Infected Trend"))=0,#N/A,INDIRECT(ADDRESS($B258+1,AL$230,1,1,"Actively Infected Trend")))</f>
        <v>#N/A</v>
      </c>
      <c r="AM258" s="14" t="e" cm="1">
        <f t="array" aca="1" ref="AM258" ca="1">IF(INDIRECT(ADDRESS($B258+1,AM$230,1,1,"Actively Infected Trend"))=0,#N/A,INDIRECT(ADDRESS($B258+1,AM$230,1,1,"Actively Infected Trend")))</f>
        <v>#N/A</v>
      </c>
      <c r="AN258" s="14" t="e" cm="1">
        <f t="array" aca="1" ref="AN258" ca="1">IF(INDIRECT(ADDRESS($B258+1,AN$230,1,1,"Actively Infected Trend"))=0,#N/A,INDIRECT(ADDRESS($B258+1,AN$230,1,1,"Actively Infected Trend")))</f>
        <v>#N/A</v>
      </c>
      <c r="AO258" s="14" t="e" cm="1">
        <f t="array" aca="1" ref="AO258" ca="1">IF(INDIRECT(ADDRESS($B258+1,AO$230,1,1,"Actively Infected Trend"))=0,#N/A,INDIRECT(ADDRESS($B258+1,AO$230,1,1,"Actively Infected Trend")))</f>
        <v>#N/A</v>
      </c>
      <c r="AP258" s="14" t="e" cm="1">
        <f t="array" aca="1" ref="AP258" ca="1">IF(INDIRECT(ADDRESS($B258+1,AP$230,1,1,"Actively Infected Trend"))=0,#N/A,INDIRECT(ADDRESS($B258+1,AP$230,1,1,"Actively Infected Trend")))</f>
        <v>#N/A</v>
      </c>
      <c r="AQ258" s="14" t="e" cm="1">
        <f t="array" aca="1" ref="AQ258" ca="1">IF(INDIRECT(ADDRESS($B258+1,AQ$230,1,1,"Actively Infected Trend"))=0,#N/A,INDIRECT(ADDRESS($B258+1,AQ$230,1,1,"Actively Infected Trend")))</f>
        <v>#N/A</v>
      </c>
      <c r="AR258" s="14" t="e" cm="1">
        <f t="array" aca="1" ref="AR258" ca="1">IF(INDIRECT(ADDRESS($B258+1,AR$230,1,1,"Actively Infected Trend"))=0,#N/A,INDIRECT(ADDRESS($B258+1,AR$230,1,1,"Actively Infected Trend")))</f>
        <v>#N/A</v>
      </c>
      <c r="AS258" s="14" t="e" cm="1">
        <f t="array" aca="1" ref="AS258" ca="1">IF(INDIRECT(ADDRESS($B258+1,AS$230,1,1,"Actively Infected Trend"))=0,#N/A,INDIRECT(ADDRESS($B258+1,AS$230,1,1,"Actively Infected Trend")))</f>
        <v>#N/A</v>
      </c>
      <c r="AT258" s="14" t="e" cm="1">
        <f t="array" aca="1" ref="AT258" ca="1">IF(INDIRECT(ADDRESS($B258+1,AT$230,1,1,"Actively Infected Trend"))=0,#N/A,INDIRECT(ADDRESS($B258+1,AT$230,1,1,"Actively Infected Trend")))</f>
        <v>#N/A</v>
      </c>
      <c r="AU258" s="14" t="e" cm="1">
        <f t="array" aca="1" ref="AU258" ca="1">IF(INDIRECT(ADDRESS($B258+1,AU$230,1,1,"Actively Infected Trend"))=0,#N/A,INDIRECT(ADDRESS($B258+1,AU$230,1,1,"Actively Infected Trend")))</f>
        <v>#N/A</v>
      </c>
      <c r="AV258" s="14" t="e" cm="1">
        <f t="array" aca="1" ref="AV258" ca="1">IF(INDIRECT(ADDRESS($B258+1,AV$230,1,1,"Actively Infected Trend"))=0,#N/A,INDIRECT(ADDRESS($B258+1,AV$230,1,1,"Actively Infected Trend")))</f>
        <v>#N/A</v>
      </c>
      <c r="AW258" s="14" t="e" cm="1">
        <f t="array" aca="1" ref="AW258" ca="1">IF(INDIRECT(ADDRESS($B258+1,AW$230,1,1,"Actively Infected Trend"))=0,#N/A,INDIRECT(ADDRESS($B258+1,AW$230,1,1,"Actively Infected Trend")))</f>
        <v>#N/A</v>
      </c>
      <c r="AX258" s="14" t="e" cm="1">
        <f t="array" aca="1" ref="AX258" ca="1">IF(INDIRECT(ADDRESS($B258+1,AX$230,1,1,"Actively Infected Trend"))=0,#N/A,INDIRECT(ADDRESS($B258+1,AX$230,1,1,"Actively Infected Trend")))</f>
        <v>#N/A</v>
      </c>
      <c r="AY258" s="14" t="e" cm="1">
        <f t="array" aca="1" ref="AY258" ca="1">IF(INDIRECT(ADDRESS($B258+1,AY$230,1,1,"Actively Infected Trend"))=0,#N/A,INDIRECT(ADDRESS($B258+1,AY$230,1,1,"Actively Infected Trend")))</f>
        <v>#N/A</v>
      </c>
      <c r="AZ258" s="14" t="e" cm="1">
        <f t="array" aca="1" ref="AZ258" ca="1">IF(INDIRECT(ADDRESS($B258+1,AZ$230,1,1,"Actively Infected Trend"))=0,#N/A,INDIRECT(ADDRESS($B258+1,AZ$230,1,1,"Actively Infected Trend")))</f>
        <v>#N/A</v>
      </c>
      <c r="BA258" s="14" t="e" cm="1">
        <f t="array" aca="1" ref="BA258" ca="1">IF(INDIRECT(ADDRESS($B258+1,BA$230,1,1,"Actively Infected Trend"))=0,#N/A,INDIRECT(ADDRESS($B258+1,BA$230,1,1,"Actively Infected Trend")))</f>
        <v>#N/A</v>
      </c>
      <c r="BB258" s="14" t="e" cm="1">
        <f t="array" aca="1" ref="BB258" ca="1">IF(INDIRECT(ADDRESS($B258+1,BB$230,1,1,"Actively Infected Trend"))=0,#N/A,INDIRECT(ADDRESS($B258+1,BB$230,1,1,"Actively Infected Trend")))</f>
        <v>#N/A</v>
      </c>
      <c r="BC258" s="14" t="e" cm="1">
        <f t="array" aca="1" ref="BC258" ca="1">IF(INDIRECT(ADDRESS($B258+1,BC$230,1,1,"Actively Infected Trend"))=0,#N/A,INDIRECT(ADDRESS($B258+1,BC$230,1,1,"Actively Infected Trend")))</f>
        <v>#N/A</v>
      </c>
      <c r="BD258" s="14" t="e" cm="1">
        <f t="array" aca="1" ref="BD258" ca="1">IF(INDIRECT(ADDRESS($B258+1,BD$230,1,1,"Actively Infected Trend"))=0,#N/A,INDIRECT(ADDRESS($B258+1,BD$230,1,1,"Actively Infected Trend")))</f>
        <v>#N/A</v>
      </c>
      <c r="BE258" s="14" t="e" cm="1">
        <f t="array" aca="1" ref="BE258" ca="1">IF(INDIRECT(ADDRESS($B258+1,BE$230,1,1,"Actively Infected Trend"))=0,#N/A,INDIRECT(ADDRESS($B258+1,BE$230,1,1,"Actively Infected Trend")))</f>
        <v>#N/A</v>
      </c>
      <c r="BF258" s="14" t="e" cm="1">
        <f t="array" aca="1" ref="BF258" ca="1">IF(INDIRECT(ADDRESS($B258+1,BF$230,1,1,"Actively Infected Trend"))=0,#N/A,INDIRECT(ADDRESS($B258+1,BF$230,1,1,"Actively Infected Trend")))</f>
        <v>#N/A</v>
      </c>
      <c r="BG258" s="14" t="e" cm="1">
        <f t="array" aca="1" ref="BG258" ca="1">IF(INDIRECT(ADDRESS($B258+1,BG$230,1,1,"Actively Infected Trend"))=0,#N/A,INDIRECT(ADDRESS($B258+1,BG$230,1,1,"Actively Infected Trend")))</f>
        <v>#N/A</v>
      </c>
      <c r="BH258" s="14" t="e" cm="1">
        <f t="array" aca="1" ref="BH258" ca="1">IF(INDIRECT(ADDRESS($B258+1,BH$230,1,1,"Actively Infected Trend"))=0,#N/A,INDIRECT(ADDRESS($B258+1,BH$230,1,1,"Actively Infected Trend")))</f>
        <v>#N/A</v>
      </c>
      <c r="BI258" s="14" t="e" cm="1">
        <f t="array" aca="1" ref="BI258" ca="1">IF(INDIRECT(ADDRESS($B258+1,BI$230,1,1,"Actively Infected Trend"))=0,#N/A,INDIRECT(ADDRESS($B258+1,BI$230,1,1,"Actively Infected Trend")))</f>
        <v>#N/A</v>
      </c>
      <c r="BJ258" s="14" t="e" cm="1">
        <f t="array" aca="1" ref="BJ258" ca="1">IF(INDIRECT(ADDRESS($B258+1,BJ$230,1,1,"Actively Infected Trend"))=0,#N/A,INDIRECT(ADDRESS($B258+1,BJ$230,1,1,"Actively Infected Trend")))</f>
        <v>#N/A</v>
      </c>
      <c r="BK258" s="14" t="e" cm="1">
        <f t="array" aca="1" ref="BK258" ca="1">IF(INDIRECT(ADDRESS($B258+1,BK$230,1,1,"Actively Infected Trend"))=0,#N/A,INDIRECT(ADDRESS($B258+1,BK$230,1,1,"Actively Infected Trend")))</f>
        <v>#N/A</v>
      </c>
      <c r="BL258" s="14" t="e" cm="1">
        <f t="array" aca="1" ref="BL258" ca="1">IF(INDIRECT(ADDRESS($B258+1,BL$230,1,1,"Actively Infected Trend"))=0,#N/A,INDIRECT(ADDRESS($B258+1,BL$230,1,1,"Actively Infected Trend")))</f>
        <v>#N/A</v>
      </c>
      <c r="BM258" s="14" t="e" cm="1">
        <f t="array" aca="1" ref="BM258" ca="1">IF(INDIRECT(ADDRESS($B258+1,BM$230,1,1,"Actively Infected Trend"))=0,#N/A,INDIRECT(ADDRESS($B258+1,BM$230,1,1,"Actively Infected Trend")))</f>
        <v>#N/A</v>
      </c>
      <c r="BN258" s="14" t="e" cm="1">
        <f t="array" aca="1" ref="BN258" ca="1">IF(INDIRECT(ADDRESS($B258+1,BN$230,1,1,"Actively Infected Trend"))=0,#N/A,INDIRECT(ADDRESS($B258+1,BN$230,1,1,"Actively Infected Trend")))</f>
        <v>#N/A</v>
      </c>
      <c r="BO258" s="14" t="e" cm="1">
        <f t="array" aca="1" ref="BO258" ca="1">IF(INDIRECT(ADDRESS($B258+1,BO$230,1,1,"Actively Infected Trend"))=0,#N/A,INDIRECT(ADDRESS($B258+1,BO$230,1,1,"Actively Infected Trend")))</f>
        <v>#N/A</v>
      </c>
      <c r="BP258" s="14" t="e" cm="1">
        <f t="array" aca="1" ref="BP258" ca="1">IF(INDIRECT(ADDRESS($B258+1,BP$230,1,1,"Actively Infected Trend"))=0,#N/A,INDIRECT(ADDRESS($B258+1,BP$230,1,1,"Actively Infected Trend")))</f>
        <v>#N/A</v>
      </c>
      <c r="BQ258" s="14" t="e" cm="1">
        <f t="array" aca="1" ref="BQ258" ca="1">IF(INDIRECT(ADDRESS($B258+1,BQ$230,1,1,"Actively Infected Trend"))=0,#N/A,INDIRECT(ADDRESS($B258+1,BQ$230,1,1,"Actively Infected Trend")))</f>
        <v>#N/A</v>
      </c>
      <c r="BR258" s="14" t="e" cm="1">
        <f t="array" aca="1" ref="BR258" ca="1">IF(INDIRECT(ADDRESS($B258+1,BR$230,1,1,"Actively Infected Trend"))=0,#N/A,INDIRECT(ADDRESS($B258+1,BR$230,1,1,"Actively Infected Trend")))</f>
        <v>#N/A</v>
      </c>
      <c r="BS258" s="14" t="e" cm="1">
        <f t="array" aca="1" ref="BS258" ca="1">IF(INDIRECT(ADDRESS($B258+1,BS$230,1,1,"Actively Infected Trend"))=0,#N/A,INDIRECT(ADDRESS($B258+1,BS$230,1,1,"Actively Infected Trend")))</f>
        <v>#N/A</v>
      </c>
      <c r="BT258" s="14" t="e" cm="1">
        <f t="array" aca="1" ref="BT258" ca="1">IF(INDIRECT(ADDRESS($B258+1,BT$230,1,1,"Actively Infected Trend"))=0,#N/A,INDIRECT(ADDRESS($B258+1,BT$230,1,1,"Actively Infected Trend")))</f>
        <v>#N/A</v>
      </c>
      <c r="BU258" s="14" t="e" cm="1">
        <f t="array" aca="1" ref="BU258" ca="1">IF(INDIRECT(ADDRESS($B258+1,BU$230,1,1,"Actively Infected Trend"))=0,#N/A,INDIRECT(ADDRESS($B258+1,BU$230,1,1,"Actively Infected Trend")))</f>
        <v>#N/A</v>
      </c>
      <c r="BV258" s="14" t="e" cm="1">
        <f t="array" aca="1" ref="BV258" ca="1">IF(INDIRECT(ADDRESS($B258+1,BV$230,1,1,"Actively Infected Trend"))=0,#N/A,INDIRECT(ADDRESS($B258+1,BV$230,1,1,"Actively Infected Trend")))</f>
        <v>#N/A</v>
      </c>
      <c r="BW258" s="14" t="e" cm="1">
        <f t="array" aca="1" ref="BW258" ca="1">IF(INDIRECT(ADDRESS($B258+1,BW$230,1,1,"Actively Infected Trend"))=0,#N/A,INDIRECT(ADDRESS($B258+1,BW$230,1,1,"Actively Infected Trend")))</f>
        <v>#N/A</v>
      </c>
      <c r="BX258" s="14" t="e" cm="1">
        <f t="array" aca="1" ref="BX258" ca="1">IF(INDIRECT(ADDRESS($B258+1,BX$230,1,1,"Actively Infected Trend"))=0,#N/A,INDIRECT(ADDRESS($B258+1,BX$230,1,1,"Actively Infected Trend")))</f>
        <v>#N/A</v>
      </c>
      <c r="BY258" s="14" t="e" cm="1">
        <f t="array" aca="1" ref="BY258" ca="1">IF(INDIRECT(ADDRESS($B258+1,BY$230,1,1,"Actively Infected Trend"))=0,#N/A,INDIRECT(ADDRESS($B258+1,BY$230,1,1,"Actively Infected Trend")))</f>
        <v>#N/A</v>
      </c>
      <c r="BZ258" s="14" t="e" cm="1">
        <f t="array" aca="1" ref="BZ258" ca="1">IF(INDIRECT(ADDRESS($B258+1,BZ$230,1,1,"Actively Infected Trend"))=0,#N/A,INDIRECT(ADDRESS($B258+1,BZ$230,1,1,"Actively Infected Trend")))</f>
        <v>#N/A</v>
      </c>
      <c r="CA258" s="14" t="e" cm="1">
        <f t="array" aca="1" ref="CA258" ca="1">IF(INDIRECT(ADDRESS($B258+1,CA$230,1,1,"Actively Infected Trend"))=0,#N/A,INDIRECT(ADDRESS($B258+1,CA$230,1,1,"Actively Infected Trend")))</f>
        <v>#N/A</v>
      </c>
      <c r="CB258" s="14" t="e" cm="1">
        <f t="array" aca="1" ref="CB258" ca="1">IF(INDIRECT(ADDRESS($B258+1,CB$230,1,1,"Actively Infected Trend"))=0,#N/A,INDIRECT(ADDRESS($B258+1,CB$230,1,1,"Actively Infected Trend")))</f>
        <v>#N/A</v>
      </c>
      <c r="CC258" s="14" t="e" cm="1">
        <f t="array" aca="1" ref="CC258" ca="1">IF(INDIRECT(ADDRESS($B258+1,CC$230,1,1,"Actively Infected Trend"))=0,#N/A,INDIRECT(ADDRESS($B258+1,CC$230,1,1,"Actively Infected Trend")))</f>
        <v>#N/A</v>
      </c>
      <c r="CD258" s="14" t="e" cm="1">
        <f t="array" aca="1" ref="CD258" ca="1">IF(INDIRECT(ADDRESS($B258+1,CD$230,1,1,"Actively Infected Trend"))=0,#N/A,INDIRECT(ADDRESS($B258+1,CD$230,1,1,"Actively Infected Trend")))</f>
        <v>#N/A</v>
      </c>
      <c r="CE258" s="14" t="e" cm="1">
        <f t="array" aca="1" ref="CE258" ca="1">IF(INDIRECT(ADDRESS($B258+1,CE$230,1,1,"Actively Infected Trend"))=0,#N/A,INDIRECT(ADDRESS($B258+1,CE$230,1,1,"Actively Infected Trend")))</f>
        <v>#N/A</v>
      </c>
      <c r="CF258" s="14" t="e" cm="1">
        <f t="array" aca="1" ref="CF258" ca="1">IF(INDIRECT(ADDRESS($B258+1,CF$230,1,1,"Actively Infected Trend"))=0,#N/A,INDIRECT(ADDRESS($B258+1,CF$230,1,1,"Actively Infected Trend")))</f>
        <v>#N/A</v>
      </c>
      <c r="CG258" s="14" t="e" cm="1">
        <f t="array" aca="1" ref="CG258" ca="1">IF(INDIRECT(ADDRESS($B258+1,CG$230,1,1,"Actively Infected Trend"))=0,#N/A,INDIRECT(ADDRESS($B258+1,CG$230,1,1,"Actively Infected Trend")))</f>
        <v>#N/A</v>
      </c>
      <c r="CH258" s="14" t="e" cm="1">
        <f t="array" aca="1" ref="CH258" ca="1">IF(INDIRECT(ADDRESS($B258+1,CH$230,1,1,"Actively Infected Trend"))=0,#N/A,INDIRECT(ADDRESS($B258+1,CH$230,1,1,"Actively Infected Trend")))</f>
        <v>#N/A</v>
      </c>
      <c r="CI258" s="14" t="e" cm="1">
        <f t="array" aca="1" ref="CI258" ca="1">IF(INDIRECT(ADDRESS($B258+1,CI$230,1,1,"Actively Infected Trend"))=0,#N/A,INDIRECT(ADDRESS($B258+1,CI$230,1,1,"Actively Infected Trend")))</f>
        <v>#N/A</v>
      </c>
      <c r="CJ258" s="14" t="e" cm="1">
        <f t="array" aca="1" ref="CJ258" ca="1">IF(INDIRECT(ADDRESS($B258+1,CJ$230,1,1,"Actively Infected Trend"))=0,#N/A,INDIRECT(ADDRESS($B258+1,CJ$230,1,1,"Actively Infected Trend")))</f>
        <v>#N/A</v>
      </c>
      <c r="CK258" s="14" t="e" cm="1">
        <f t="array" aca="1" ref="CK258" ca="1">IF(INDIRECT(ADDRESS($B258+1,CK$230,1,1,"Actively Infected Trend"))=0,#N/A,INDIRECT(ADDRESS($B258+1,CK$230,1,1,"Actively Infected Trend")))</f>
        <v>#N/A</v>
      </c>
      <c r="CL258" s="14" t="e" cm="1">
        <f t="array" aca="1" ref="CL258" ca="1">IF(INDIRECT(ADDRESS($B258+1,CL$230,1,1,"Actively Infected Trend"))=0,#N/A,INDIRECT(ADDRESS($B258+1,CL$230,1,1,"Actively Infected Trend")))</f>
        <v>#N/A</v>
      </c>
      <c r="CM258" s="14" t="e" cm="1">
        <f t="array" aca="1" ref="CM258" ca="1">IF(INDIRECT(ADDRESS($B258+1,CM$230,1,1,"Actively Infected Trend"))=0,#N/A,INDIRECT(ADDRESS($B258+1,CM$230,1,1,"Actively Infected Trend")))</f>
        <v>#N/A</v>
      </c>
      <c r="CN258" s="14" t="e" cm="1">
        <f t="array" aca="1" ref="CN258" ca="1">IF(INDIRECT(ADDRESS($B258+1,CN$230,1,1,"Actively Infected Trend"))=0,#N/A,INDIRECT(ADDRESS($B258+1,CN$230,1,1,"Actively Infected Trend")))</f>
        <v>#N/A</v>
      </c>
      <c r="CO258" s="14" t="e" cm="1">
        <f t="array" aca="1" ref="CO258" ca="1">IF(INDIRECT(ADDRESS($B258+1,CO$230,1,1,"Actively Infected Trend"))=0,#N/A,INDIRECT(ADDRESS($B258+1,CO$230,1,1,"Actively Infected Trend")))</f>
        <v>#N/A</v>
      </c>
      <c r="CP258" s="14" t="e" cm="1">
        <f t="array" aca="1" ref="CP258" ca="1">IF(INDIRECT(ADDRESS($B258+1,CP$230,1,1,"Actively Infected Trend"))=0,#N/A,INDIRECT(ADDRESS($B258+1,CP$230,1,1,"Actively Infected Trend")))</f>
        <v>#N/A</v>
      </c>
      <c r="CQ258" s="14" t="e" cm="1">
        <f t="array" aca="1" ref="CQ258" ca="1">IF(INDIRECT(ADDRESS($B258+1,CQ$230,1,1,"Actively Infected Trend"))=0,#N/A,INDIRECT(ADDRESS($B258+1,CQ$230,1,1,"Actively Infected Trend")))</f>
        <v>#N/A</v>
      </c>
      <c r="CR258" s="14" t="e" cm="1">
        <f t="array" aca="1" ref="CR258" ca="1">IF(INDIRECT(ADDRESS($B258+1,CR$230,1,1,"Actively Infected Trend"))=0,#N/A,INDIRECT(ADDRESS($B258+1,CR$230,1,1,"Actively Infected Trend")))</f>
        <v>#N/A</v>
      </c>
    </row>
    <row r="259" spans="2:96" x14ac:dyDescent="0.25">
      <c r="B259">
        <f t="shared" si="349"/>
        <v>28</v>
      </c>
      <c r="C259" cm="1">
        <f t="array" aca="1" ref="C259" ca="1">INDIRECT(ADDRESS($B259+1,1,1,1,"Actively Infected Trend"))</f>
        <v>0</v>
      </c>
      <c r="E259" s="14" t="e" cm="1">
        <f t="array" aca="1" ref="E259" ca="1">IF(INDIRECT(ADDRESS($B259+1,E$230,1,1,"Actively Infected Trend"))=0,#N/A,INDIRECT(ADDRESS($B259+1,E$230,1,1,"Actively Infected Trend")))</f>
        <v>#N/A</v>
      </c>
      <c r="F259" s="14" t="e" cm="1">
        <f t="array" aca="1" ref="F259" ca="1">IF(INDIRECT(ADDRESS($B259+1,F$230,1,1,"Actively Infected Trend"))=0,#N/A,INDIRECT(ADDRESS($B259+1,F$230,1,1,"Actively Infected Trend")))</f>
        <v>#N/A</v>
      </c>
      <c r="G259" s="14" t="e" cm="1">
        <f t="array" aca="1" ref="G259" ca="1">IF(INDIRECT(ADDRESS($B259+1,G$230,1,1,"Actively Infected Trend"))=0,#N/A,INDIRECT(ADDRESS($B259+1,G$230,1,1,"Actively Infected Trend")))</f>
        <v>#N/A</v>
      </c>
      <c r="H259" s="14" t="e" cm="1">
        <f t="array" aca="1" ref="H259" ca="1">IF(INDIRECT(ADDRESS($B259+1,H$230,1,1,"Actively Infected Trend"))=0,#N/A,INDIRECT(ADDRESS($B259+1,H$230,1,1,"Actively Infected Trend")))</f>
        <v>#N/A</v>
      </c>
      <c r="I259" s="14" t="e" cm="1">
        <f t="array" aca="1" ref="I259" ca="1">IF(INDIRECT(ADDRESS($B259+1,I$230,1,1,"Actively Infected Trend"))=0,#N/A,INDIRECT(ADDRESS($B259+1,I$230,1,1,"Actively Infected Trend")))</f>
        <v>#N/A</v>
      </c>
      <c r="J259" s="14" t="e" cm="1">
        <f t="array" aca="1" ref="J259" ca="1">IF(INDIRECT(ADDRESS($B259+1,J$230,1,1,"Actively Infected Trend"))=0,#N/A,INDIRECT(ADDRESS($B259+1,J$230,1,1,"Actively Infected Trend")))</f>
        <v>#N/A</v>
      </c>
      <c r="K259" s="14" t="e" cm="1">
        <f t="array" aca="1" ref="K259" ca="1">IF(INDIRECT(ADDRESS($B259+1,K$230,1,1,"Actively Infected Trend"))=0,#N/A,INDIRECT(ADDRESS($B259+1,K$230,1,1,"Actively Infected Trend")))</f>
        <v>#N/A</v>
      </c>
      <c r="L259" s="14" t="e" cm="1">
        <f t="array" aca="1" ref="L259" ca="1">IF(INDIRECT(ADDRESS($B259+1,L$230,1,1,"Actively Infected Trend"))=0,#N/A,INDIRECT(ADDRESS($B259+1,L$230,1,1,"Actively Infected Trend")))</f>
        <v>#N/A</v>
      </c>
      <c r="M259" s="14" t="e" cm="1">
        <f t="array" aca="1" ref="M259" ca="1">IF(INDIRECT(ADDRESS($B259+1,M$230,1,1,"Actively Infected Trend"))=0,#N/A,INDIRECT(ADDRESS($B259+1,M$230,1,1,"Actively Infected Trend")))</f>
        <v>#N/A</v>
      </c>
      <c r="N259" s="14" t="e" cm="1">
        <f t="array" aca="1" ref="N259" ca="1">IF(INDIRECT(ADDRESS($B259+1,N$230,1,1,"Actively Infected Trend"))=0,#N/A,INDIRECT(ADDRESS($B259+1,N$230,1,1,"Actively Infected Trend")))</f>
        <v>#N/A</v>
      </c>
      <c r="O259" s="14" t="e" cm="1">
        <f t="array" aca="1" ref="O259" ca="1">IF(INDIRECT(ADDRESS($B259+1,O$230,1,1,"Actively Infected Trend"))=0,#N/A,INDIRECT(ADDRESS($B259+1,O$230,1,1,"Actively Infected Trend")))</f>
        <v>#N/A</v>
      </c>
      <c r="P259" s="14" t="e" cm="1">
        <f t="array" aca="1" ref="P259" ca="1">IF(INDIRECT(ADDRESS($B259+1,P$230,1,1,"Actively Infected Trend"))=0,#N/A,INDIRECT(ADDRESS($B259+1,P$230,1,1,"Actively Infected Trend")))</f>
        <v>#N/A</v>
      </c>
      <c r="Q259" s="14" t="e" cm="1">
        <f t="array" aca="1" ref="Q259" ca="1">IF(INDIRECT(ADDRESS($B259+1,Q$230,1,1,"Actively Infected Trend"))=0,#N/A,INDIRECT(ADDRESS($B259+1,Q$230,1,1,"Actively Infected Trend")))</f>
        <v>#N/A</v>
      </c>
      <c r="R259" s="14" t="e" cm="1">
        <f t="array" aca="1" ref="R259" ca="1">IF(INDIRECT(ADDRESS($B259+1,R$230,1,1,"Actively Infected Trend"))=0,#N/A,INDIRECT(ADDRESS($B259+1,R$230,1,1,"Actively Infected Trend")))</f>
        <v>#N/A</v>
      </c>
      <c r="S259" s="14" t="e" cm="1">
        <f t="array" aca="1" ref="S259" ca="1">IF(INDIRECT(ADDRESS($B259+1,S$230,1,1,"Actively Infected Trend"))=0,#N/A,INDIRECT(ADDRESS($B259+1,S$230,1,1,"Actively Infected Trend")))</f>
        <v>#N/A</v>
      </c>
      <c r="T259" s="14" t="e" cm="1">
        <f t="array" aca="1" ref="T259" ca="1">IF(INDIRECT(ADDRESS($B259+1,T$230,1,1,"Actively Infected Trend"))=0,#N/A,INDIRECT(ADDRESS($B259+1,T$230,1,1,"Actively Infected Trend")))</f>
        <v>#N/A</v>
      </c>
      <c r="U259" s="14" t="e" cm="1">
        <f t="array" aca="1" ref="U259" ca="1">IF(INDIRECT(ADDRESS($B259+1,U$230,1,1,"Actively Infected Trend"))=0,#N/A,INDIRECT(ADDRESS($B259+1,U$230,1,1,"Actively Infected Trend")))</f>
        <v>#N/A</v>
      </c>
      <c r="V259" s="14" t="e" cm="1">
        <f t="array" aca="1" ref="V259" ca="1">IF(INDIRECT(ADDRESS($B259+1,V$230,1,1,"Actively Infected Trend"))=0,#N/A,INDIRECT(ADDRESS($B259+1,V$230,1,1,"Actively Infected Trend")))</f>
        <v>#N/A</v>
      </c>
      <c r="W259" s="14" t="e" cm="1">
        <f t="array" aca="1" ref="W259" ca="1">IF(INDIRECT(ADDRESS($B259+1,W$230,1,1,"Actively Infected Trend"))=0,#N/A,INDIRECT(ADDRESS($B259+1,W$230,1,1,"Actively Infected Trend")))</f>
        <v>#N/A</v>
      </c>
      <c r="X259" s="14" t="e" cm="1">
        <f t="array" aca="1" ref="X259" ca="1">IF(INDIRECT(ADDRESS($B259+1,X$230,1,1,"Actively Infected Trend"))=0,#N/A,INDIRECT(ADDRESS($B259+1,X$230,1,1,"Actively Infected Trend")))</f>
        <v>#N/A</v>
      </c>
      <c r="Y259" s="14" t="e" cm="1">
        <f t="array" aca="1" ref="Y259" ca="1">IF(INDIRECT(ADDRESS($B259+1,Y$230,1,1,"Actively Infected Trend"))=0,#N/A,INDIRECT(ADDRESS($B259+1,Y$230,1,1,"Actively Infected Trend")))</f>
        <v>#N/A</v>
      </c>
      <c r="Z259" s="14" t="e" cm="1">
        <f t="array" aca="1" ref="Z259" ca="1">IF(INDIRECT(ADDRESS($B259+1,Z$230,1,1,"Actively Infected Trend"))=0,#N/A,INDIRECT(ADDRESS($B259+1,Z$230,1,1,"Actively Infected Trend")))</f>
        <v>#N/A</v>
      </c>
      <c r="AA259" s="14" t="e" cm="1">
        <f t="array" aca="1" ref="AA259" ca="1">IF(INDIRECT(ADDRESS($B259+1,AA$230,1,1,"Actively Infected Trend"))=0,#N/A,INDIRECT(ADDRESS($B259+1,AA$230,1,1,"Actively Infected Trend")))</f>
        <v>#N/A</v>
      </c>
      <c r="AB259" s="14" t="e" cm="1">
        <f t="array" aca="1" ref="AB259" ca="1">IF(INDIRECT(ADDRESS($B259+1,AB$230,1,1,"Actively Infected Trend"))=0,#N/A,INDIRECT(ADDRESS($B259+1,AB$230,1,1,"Actively Infected Trend")))</f>
        <v>#N/A</v>
      </c>
      <c r="AC259" s="14" t="e" cm="1">
        <f t="array" aca="1" ref="AC259" ca="1">IF(INDIRECT(ADDRESS($B259+1,AC$230,1,1,"Actively Infected Trend"))=0,#N/A,INDIRECT(ADDRESS($B259+1,AC$230,1,1,"Actively Infected Trend")))</f>
        <v>#N/A</v>
      </c>
      <c r="AD259" s="14" t="e" cm="1">
        <f t="array" aca="1" ref="AD259" ca="1">IF(INDIRECT(ADDRESS($B259+1,AD$230,1,1,"Actively Infected Trend"))=0,#N/A,INDIRECT(ADDRESS($B259+1,AD$230,1,1,"Actively Infected Trend")))</f>
        <v>#N/A</v>
      </c>
      <c r="AE259" s="14" t="e" cm="1">
        <f t="array" aca="1" ref="AE259" ca="1">IF(INDIRECT(ADDRESS($B259+1,AE$230,1,1,"Actively Infected Trend"))=0,#N/A,INDIRECT(ADDRESS($B259+1,AE$230,1,1,"Actively Infected Trend")))</f>
        <v>#N/A</v>
      </c>
      <c r="AF259" s="14" t="e" cm="1">
        <f t="array" aca="1" ref="AF259" ca="1">IF(INDIRECT(ADDRESS($B259+1,AF$230,1,1,"Actively Infected Trend"))=0,#N/A,INDIRECT(ADDRESS($B259+1,AF$230,1,1,"Actively Infected Trend")))</f>
        <v>#N/A</v>
      </c>
      <c r="AG259" s="14" t="e" cm="1">
        <f t="array" aca="1" ref="AG259" ca="1">IF(INDIRECT(ADDRESS($B259+1,AG$230,1,1,"Actively Infected Trend"))=0,#N/A,INDIRECT(ADDRESS($B259+1,AG$230,1,1,"Actively Infected Trend")))</f>
        <v>#N/A</v>
      </c>
      <c r="AH259" s="14" t="e" cm="1">
        <f t="array" aca="1" ref="AH259" ca="1">IF(INDIRECT(ADDRESS($B259+1,AH$230,1,1,"Actively Infected Trend"))=0,#N/A,INDIRECT(ADDRESS($B259+1,AH$230,1,1,"Actively Infected Trend")))</f>
        <v>#N/A</v>
      </c>
      <c r="AI259" s="14" t="e" cm="1">
        <f t="array" aca="1" ref="AI259" ca="1">IF(INDIRECT(ADDRESS($B259+1,AI$230,1,1,"Actively Infected Trend"))=0,#N/A,INDIRECT(ADDRESS($B259+1,AI$230,1,1,"Actively Infected Trend")))</f>
        <v>#N/A</v>
      </c>
      <c r="AJ259" s="14" t="e" cm="1">
        <f t="array" aca="1" ref="AJ259" ca="1">IF(INDIRECT(ADDRESS($B259+1,AJ$230,1,1,"Actively Infected Trend"))=0,#N/A,INDIRECT(ADDRESS($B259+1,AJ$230,1,1,"Actively Infected Trend")))</f>
        <v>#N/A</v>
      </c>
      <c r="AK259" s="14" t="e" cm="1">
        <f t="array" aca="1" ref="AK259" ca="1">IF(INDIRECT(ADDRESS($B259+1,AK$230,1,1,"Actively Infected Trend"))=0,#N/A,INDIRECT(ADDRESS($B259+1,AK$230,1,1,"Actively Infected Trend")))</f>
        <v>#N/A</v>
      </c>
      <c r="AL259" s="14" t="e" cm="1">
        <f t="array" aca="1" ref="AL259" ca="1">IF(INDIRECT(ADDRESS($B259+1,AL$230,1,1,"Actively Infected Trend"))=0,#N/A,INDIRECT(ADDRESS($B259+1,AL$230,1,1,"Actively Infected Trend")))</f>
        <v>#N/A</v>
      </c>
      <c r="AM259" s="14" t="e" cm="1">
        <f t="array" aca="1" ref="AM259" ca="1">IF(INDIRECT(ADDRESS($B259+1,AM$230,1,1,"Actively Infected Trend"))=0,#N/A,INDIRECT(ADDRESS($B259+1,AM$230,1,1,"Actively Infected Trend")))</f>
        <v>#N/A</v>
      </c>
      <c r="AN259" s="14" t="e" cm="1">
        <f t="array" aca="1" ref="AN259" ca="1">IF(INDIRECT(ADDRESS($B259+1,AN$230,1,1,"Actively Infected Trend"))=0,#N/A,INDIRECT(ADDRESS($B259+1,AN$230,1,1,"Actively Infected Trend")))</f>
        <v>#N/A</v>
      </c>
      <c r="AO259" s="14" t="e" cm="1">
        <f t="array" aca="1" ref="AO259" ca="1">IF(INDIRECT(ADDRESS($B259+1,AO$230,1,1,"Actively Infected Trend"))=0,#N/A,INDIRECT(ADDRESS($B259+1,AO$230,1,1,"Actively Infected Trend")))</f>
        <v>#N/A</v>
      </c>
      <c r="AP259" s="14" t="e" cm="1">
        <f t="array" aca="1" ref="AP259" ca="1">IF(INDIRECT(ADDRESS($B259+1,AP$230,1,1,"Actively Infected Trend"))=0,#N/A,INDIRECT(ADDRESS($B259+1,AP$230,1,1,"Actively Infected Trend")))</f>
        <v>#N/A</v>
      </c>
      <c r="AQ259" s="14" t="e" cm="1">
        <f t="array" aca="1" ref="AQ259" ca="1">IF(INDIRECT(ADDRESS($B259+1,AQ$230,1,1,"Actively Infected Trend"))=0,#N/A,INDIRECT(ADDRESS($B259+1,AQ$230,1,1,"Actively Infected Trend")))</f>
        <v>#N/A</v>
      </c>
      <c r="AR259" s="14" t="e" cm="1">
        <f t="array" aca="1" ref="AR259" ca="1">IF(INDIRECT(ADDRESS($B259+1,AR$230,1,1,"Actively Infected Trend"))=0,#N/A,INDIRECT(ADDRESS($B259+1,AR$230,1,1,"Actively Infected Trend")))</f>
        <v>#N/A</v>
      </c>
      <c r="AS259" s="14" t="e" cm="1">
        <f t="array" aca="1" ref="AS259" ca="1">IF(INDIRECT(ADDRESS($B259+1,AS$230,1,1,"Actively Infected Trend"))=0,#N/A,INDIRECT(ADDRESS($B259+1,AS$230,1,1,"Actively Infected Trend")))</f>
        <v>#N/A</v>
      </c>
      <c r="AT259" s="14" t="e" cm="1">
        <f t="array" aca="1" ref="AT259" ca="1">IF(INDIRECT(ADDRESS($B259+1,AT$230,1,1,"Actively Infected Trend"))=0,#N/A,INDIRECT(ADDRESS($B259+1,AT$230,1,1,"Actively Infected Trend")))</f>
        <v>#N/A</v>
      </c>
      <c r="AU259" s="14" t="e" cm="1">
        <f t="array" aca="1" ref="AU259" ca="1">IF(INDIRECT(ADDRESS($B259+1,AU$230,1,1,"Actively Infected Trend"))=0,#N/A,INDIRECT(ADDRESS($B259+1,AU$230,1,1,"Actively Infected Trend")))</f>
        <v>#N/A</v>
      </c>
      <c r="AV259" s="14" t="e" cm="1">
        <f t="array" aca="1" ref="AV259" ca="1">IF(INDIRECT(ADDRESS($B259+1,AV$230,1,1,"Actively Infected Trend"))=0,#N/A,INDIRECT(ADDRESS($B259+1,AV$230,1,1,"Actively Infected Trend")))</f>
        <v>#N/A</v>
      </c>
      <c r="AW259" s="14" t="e" cm="1">
        <f t="array" aca="1" ref="AW259" ca="1">IF(INDIRECT(ADDRESS($B259+1,AW$230,1,1,"Actively Infected Trend"))=0,#N/A,INDIRECT(ADDRESS($B259+1,AW$230,1,1,"Actively Infected Trend")))</f>
        <v>#N/A</v>
      </c>
      <c r="AX259" s="14" t="e" cm="1">
        <f t="array" aca="1" ref="AX259" ca="1">IF(INDIRECT(ADDRESS($B259+1,AX$230,1,1,"Actively Infected Trend"))=0,#N/A,INDIRECT(ADDRESS($B259+1,AX$230,1,1,"Actively Infected Trend")))</f>
        <v>#N/A</v>
      </c>
      <c r="AY259" s="14" t="e" cm="1">
        <f t="array" aca="1" ref="AY259" ca="1">IF(INDIRECT(ADDRESS($B259+1,AY$230,1,1,"Actively Infected Trend"))=0,#N/A,INDIRECT(ADDRESS($B259+1,AY$230,1,1,"Actively Infected Trend")))</f>
        <v>#N/A</v>
      </c>
      <c r="AZ259" s="14" t="e" cm="1">
        <f t="array" aca="1" ref="AZ259" ca="1">IF(INDIRECT(ADDRESS($B259+1,AZ$230,1,1,"Actively Infected Trend"))=0,#N/A,INDIRECT(ADDRESS($B259+1,AZ$230,1,1,"Actively Infected Trend")))</f>
        <v>#N/A</v>
      </c>
      <c r="BA259" s="14" t="e" cm="1">
        <f t="array" aca="1" ref="BA259" ca="1">IF(INDIRECT(ADDRESS($B259+1,BA$230,1,1,"Actively Infected Trend"))=0,#N/A,INDIRECT(ADDRESS($B259+1,BA$230,1,1,"Actively Infected Trend")))</f>
        <v>#N/A</v>
      </c>
      <c r="BB259" s="14" t="e" cm="1">
        <f t="array" aca="1" ref="BB259" ca="1">IF(INDIRECT(ADDRESS($B259+1,BB$230,1,1,"Actively Infected Trend"))=0,#N/A,INDIRECT(ADDRESS($B259+1,BB$230,1,1,"Actively Infected Trend")))</f>
        <v>#N/A</v>
      </c>
      <c r="BC259" s="14" t="e" cm="1">
        <f t="array" aca="1" ref="BC259" ca="1">IF(INDIRECT(ADDRESS($B259+1,BC$230,1,1,"Actively Infected Trend"))=0,#N/A,INDIRECT(ADDRESS($B259+1,BC$230,1,1,"Actively Infected Trend")))</f>
        <v>#N/A</v>
      </c>
      <c r="BD259" s="14" t="e" cm="1">
        <f t="array" aca="1" ref="BD259" ca="1">IF(INDIRECT(ADDRESS($B259+1,BD$230,1,1,"Actively Infected Trend"))=0,#N/A,INDIRECT(ADDRESS($B259+1,BD$230,1,1,"Actively Infected Trend")))</f>
        <v>#N/A</v>
      </c>
      <c r="BE259" s="14" t="e" cm="1">
        <f t="array" aca="1" ref="BE259" ca="1">IF(INDIRECT(ADDRESS($B259+1,BE$230,1,1,"Actively Infected Trend"))=0,#N/A,INDIRECT(ADDRESS($B259+1,BE$230,1,1,"Actively Infected Trend")))</f>
        <v>#N/A</v>
      </c>
      <c r="BF259" s="14" t="e" cm="1">
        <f t="array" aca="1" ref="BF259" ca="1">IF(INDIRECT(ADDRESS($B259+1,BF$230,1,1,"Actively Infected Trend"))=0,#N/A,INDIRECT(ADDRESS($B259+1,BF$230,1,1,"Actively Infected Trend")))</f>
        <v>#N/A</v>
      </c>
      <c r="BG259" s="14" t="e" cm="1">
        <f t="array" aca="1" ref="BG259" ca="1">IF(INDIRECT(ADDRESS($B259+1,BG$230,1,1,"Actively Infected Trend"))=0,#N/A,INDIRECT(ADDRESS($B259+1,BG$230,1,1,"Actively Infected Trend")))</f>
        <v>#N/A</v>
      </c>
      <c r="BH259" s="14" t="e" cm="1">
        <f t="array" aca="1" ref="BH259" ca="1">IF(INDIRECT(ADDRESS($B259+1,BH$230,1,1,"Actively Infected Trend"))=0,#N/A,INDIRECT(ADDRESS($B259+1,BH$230,1,1,"Actively Infected Trend")))</f>
        <v>#N/A</v>
      </c>
      <c r="BI259" s="14" t="e" cm="1">
        <f t="array" aca="1" ref="BI259" ca="1">IF(INDIRECT(ADDRESS($B259+1,BI$230,1,1,"Actively Infected Trend"))=0,#N/A,INDIRECT(ADDRESS($B259+1,BI$230,1,1,"Actively Infected Trend")))</f>
        <v>#N/A</v>
      </c>
      <c r="BJ259" s="14" t="e" cm="1">
        <f t="array" aca="1" ref="BJ259" ca="1">IF(INDIRECT(ADDRESS($B259+1,BJ$230,1,1,"Actively Infected Trend"))=0,#N/A,INDIRECT(ADDRESS($B259+1,BJ$230,1,1,"Actively Infected Trend")))</f>
        <v>#N/A</v>
      </c>
      <c r="BK259" s="14" t="e" cm="1">
        <f t="array" aca="1" ref="BK259" ca="1">IF(INDIRECT(ADDRESS($B259+1,BK$230,1,1,"Actively Infected Trend"))=0,#N/A,INDIRECT(ADDRESS($B259+1,BK$230,1,1,"Actively Infected Trend")))</f>
        <v>#N/A</v>
      </c>
      <c r="BL259" s="14" t="e" cm="1">
        <f t="array" aca="1" ref="BL259" ca="1">IF(INDIRECT(ADDRESS($B259+1,BL$230,1,1,"Actively Infected Trend"))=0,#N/A,INDIRECT(ADDRESS($B259+1,BL$230,1,1,"Actively Infected Trend")))</f>
        <v>#N/A</v>
      </c>
      <c r="BM259" s="14" t="e" cm="1">
        <f t="array" aca="1" ref="BM259" ca="1">IF(INDIRECT(ADDRESS($B259+1,BM$230,1,1,"Actively Infected Trend"))=0,#N/A,INDIRECT(ADDRESS($B259+1,BM$230,1,1,"Actively Infected Trend")))</f>
        <v>#N/A</v>
      </c>
      <c r="BN259" s="14" t="e" cm="1">
        <f t="array" aca="1" ref="BN259" ca="1">IF(INDIRECT(ADDRESS($B259+1,BN$230,1,1,"Actively Infected Trend"))=0,#N/A,INDIRECT(ADDRESS($B259+1,BN$230,1,1,"Actively Infected Trend")))</f>
        <v>#N/A</v>
      </c>
      <c r="BO259" s="14" t="e" cm="1">
        <f t="array" aca="1" ref="BO259" ca="1">IF(INDIRECT(ADDRESS($B259+1,BO$230,1,1,"Actively Infected Trend"))=0,#N/A,INDIRECT(ADDRESS($B259+1,BO$230,1,1,"Actively Infected Trend")))</f>
        <v>#N/A</v>
      </c>
      <c r="BP259" s="14" t="e" cm="1">
        <f t="array" aca="1" ref="BP259" ca="1">IF(INDIRECT(ADDRESS($B259+1,BP$230,1,1,"Actively Infected Trend"))=0,#N/A,INDIRECT(ADDRESS($B259+1,BP$230,1,1,"Actively Infected Trend")))</f>
        <v>#N/A</v>
      </c>
      <c r="BQ259" s="14" t="e" cm="1">
        <f t="array" aca="1" ref="BQ259" ca="1">IF(INDIRECT(ADDRESS($B259+1,BQ$230,1,1,"Actively Infected Trend"))=0,#N/A,INDIRECT(ADDRESS($B259+1,BQ$230,1,1,"Actively Infected Trend")))</f>
        <v>#N/A</v>
      </c>
      <c r="BR259" s="14" t="e" cm="1">
        <f t="array" aca="1" ref="BR259" ca="1">IF(INDIRECT(ADDRESS($B259+1,BR$230,1,1,"Actively Infected Trend"))=0,#N/A,INDIRECT(ADDRESS($B259+1,BR$230,1,1,"Actively Infected Trend")))</f>
        <v>#N/A</v>
      </c>
      <c r="BS259" s="14" t="e" cm="1">
        <f t="array" aca="1" ref="BS259" ca="1">IF(INDIRECT(ADDRESS($B259+1,BS$230,1,1,"Actively Infected Trend"))=0,#N/A,INDIRECT(ADDRESS($B259+1,BS$230,1,1,"Actively Infected Trend")))</f>
        <v>#N/A</v>
      </c>
      <c r="BT259" s="14" t="e" cm="1">
        <f t="array" aca="1" ref="BT259" ca="1">IF(INDIRECT(ADDRESS($B259+1,BT$230,1,1,"Actively Infected Trend"))=0,#N/A,INDIRECT(ADDRESS($B259+1,BT$230,1,1,"Actively Infected Trend")))</f>
        <v>#N/A</v>
      </c>
      <c r="BU259" s="14" t="e" cm="1">
        <f t="array" aca="1" ref="BU259" ca="1">IF(INDIRECT(ADDRESS($B259+1,BU$230,1,1,"Actively Infected Trend"))=0,#N/A,INDIRECT(ADDRESS($B259+1,BU$230,1,1,"Actively Infected Trend")))</f>
        <v>#N/A</v>
      </c>
      <c r="BV259" s="14" t="e" cm="1">
        <f t="array" aca="1" ref="BV259" ca="1">IF(INDIRECT(ADDRESS($B259+1,BV$230,1,1,"Actively Infected Trend"))=0,#N/A,INDIRECT(ADDRESS($B259+1,BV$230,1,1,"Actively Infected Trend")))</f>
        <v>#N/A</v>
      </c>
      <c r="BW259" s="14" t="e" cm="1">
        <f t="array" aca="1" ref="BW259" ca="1">IF(INDIRECT(ADDRESS($B259+1,BW$230,1,1,"Actively Infected Trend"))=0,#N/A,INDIRECT(ADDRESS($B259+1,BW$230,1,1,"Actively Infected Trend")))</f>
        <v>#N/A</v>
      </c>
      <c r="BX259" s="14" t="e" cm="1">
        <f t="array" aca="1" ref="BX259" ca="1">IF(INDIRECT(ADDRESS($B259+1,BX$230,1,1,"Actively Infected Trend"))=0,#N/A,INDIRECT(ADDRESS($B259+1,BX$230,1,1,"Actively Infected Trend")))</f>
        <v>#N/A</v>
      </c>
      <c r="BY259" s="14" t="e" cm="1">
        <f t="array" aca="1" ref="BY259" ca="1">IF(INDIRECT(ADDRESS($B259+1,BY$230,1,1,"Actively Infected Trend"))=0,#N/A,INDIRECT(ADDRESS($B259+1,BY$230,1,1,"Actively Infected Trend")))</f>
        <v>#N/A</v>
      </c>
      <c r="BZ259" s="14" t="e" cm="1">
        <f t="array" aca="1" ref="BZ259" ca="1">IF(INDIRECT(ADDRESS($B259+1,BZ$230,1,1,"Actively Infected Trend"))=0,#N/A,INDIRECT(ADDRESS($B259+1,BZ$230,1,1,"Actively Infected Trend")))</f>
        <v>#N/A</v>
      </c>
      <c r="CA259" s="14" t="e" cm="1">
        <f t="array" aca="1" ref="CA259" ca="1">IF(INDIRECT(ADDRESS($B259+1,CA$230,1,1,"Actively Infected Trend"))=0,#N/A,INDIRECT(ADDRESS($B259+1,CA$230,1,1,"Actively Infected Trend")))</f>
        <v>#N/A</v>
      </c>
      <c r="CB259" s="14" t="e" cm="1">
        <f t="array" aca="1" ref="CB259" ca="1">IF(INDIRECT(ADDRESS($B259+1,CB$230,1,1,"Actively Infected Trend"))=0,#N/A,INDIRECT(ADDRESS($B259+1,CB$230,1,1,"Actively Infected Trend")))</f>
        <v>#N/A</v>
      </c>
      <c r="CC259" s="14" t="e" cm="1">
        <f t="array" aca="1" ref="CC259" ca="1">IF(INDIRECT(ADDRESS($B259+1,CC$230,1,1,"Actively Infected Trend"))=0,#N/A,INDIRECT(ADDRESS($B259+1,CC$230,1,1,"Actively Infected Trend")))</f>
        <v>#N/A</v>
      </c>
      <c r="CD259" s="14" t="e" cm="1">
        <f t="array" aca="1" ref="CD259" ca="1">IF(INDIRECT(ADDRESS($B259+1,CD$230,1,1,"Actively Infected Trend"))=0,#N/A,INDIRECT(ADDRESS($B259+1,CD$230,1,1,"Actively Infected Trend")))</f>
        <v>#N/A</v>
      </c>
      <c r="CE259" s="14" t="e" cm="1">
        <f t="array" aca="1" ref="CE259" ca="1">IF(INDIRECT(ADDRESS($B259+1,CE$230,1,1,"Actively Infected Trend"))=0,#N/A,INDIRECT(ADDRESS($B259+1,CE$230,1,1,"Actively Infected Trend")))</f>
        <v>#N/A</v>
      </c>
      <c r="CF259" s="14" t="e" cm="1">
        <f t="array" aca="1" ref="CF259" ca="1">IF(INDIRECT(ADDRESS($B259+1,CF$230,1,1,"Actively Infected Trend"))=0,#N/A,INDIRECT(ADDRESS($B259+1,CF$230,1,1,"Actively Infected Trend")))</f>
        <v>#N/A</v>
      </c>
      <c r="CG259" s="14" t="e" cm="1">
        <f t="array" aca="1" ref="CG259" ca="1">IF(INDIRECT(ADDRESS($B259+1,CG$230,1,1,"Actively Infected Trend"))=0,#N/A,INDIRECT(ADDRESS($B259+1,CG$230,1,1,"Actively Infected Trend")))</f>
        <v>#N/A</v>
      </c>
      <c r="CH259" s="14" t="e" cm="1">
        <f t="array" aca="1" ref="CH259" ca="1">IF(INDIRECT(ADDRESS($B259+1,CH$230,1,1,"Actively Infected Trend"))=0,#N/A,INDIRECT(ADDRESS($B259+1,CH$230,1,1,"Actively Infected Trend")))</f>
        <v>#N/A</v>
      </c>
      <c r="CI259" s="14" t="e" cm="1">
        <f t="array" aca="1" ref="CI259" ca="1">IF(INDIRECT(ADDRESS($B259+1,CI$230,1,1,"Actively Infected Trend"))=0,#N/A,INDIRECT(ADDRESS($B259+1,CI$230,1,1,"Actively Infected Trend")))</f>
        <v>#N/A</v>
      </c>
      <c r="CJ259" s="14" t="e" cm="1">
        <f t="array" aca="1" ref="CJ259" ca="1">IF(INDIRECT(ADDRESS($B259+1,CJ$230,1,1,"Actively Infected Trend"))=0,#N/A,INDIRECT(ADDRESS($B259+1,CJ$230,1,1,"Actively Infected Trend")))</f>
        <v>#N/A</v>
      </c>
      <c r="CK259" s="14" t="e" cm="1">
        <f t="array" aca="1" ref="CK259" ca="1">IF(INDIRECT(ADDRESS($B259+1,CK$230,1,1,"Actively Infected Trend"))=0,#N/A,INDIRECT(ADDRESS($B259+1,CK$230,1,1,"Actively Infected Trend")))</f>
        <v>#N/A</v>
      </c>
      <c r="CL259" s="14" t="e" cm="1">
        <f t="array" aca="1" ref="CL259" ca="1">IF(INDIRECT(ADDRESS($B259+1,CL$230,1,1,"Actively Infected Trend"))=0,#N/A,INDIRECT(ADDRESS($B259+1,CL$230,1,1,"Actively Infected Trend")))</f>
        <v>#N/A</v>
      </c>
      <c r="CM259" s="14" t="e" cm="1">
        <f t="array" aca="1" ref="CM259" ca="1">IF(INDIRECT(ADDRESS($B259+1,CM$230,1,1,"Actively Infected Trend"))=0,#N/A,INDIRECT(ADDRESS($B259+1,CM$230,1,1,"Actively Infected Trend")))</f>
        <v>#N/A</v>
      </c>
      <c r="CN259" s="14" t="e" cm="1">
        <f t="array" aca="1" ref="CN259" ca="1">IF(INDIRECT(ADDRESS($B259+1,CN$230,1,1,"Actively Infected Trend"))=0,#N/A,INDIRECT(ADDRESS($B259+1,CN$230,1,1,"Actively Infected Trend")))</f>
        <v>#N/A</v>
      </c>
      <c r="CO259" s="14" t="e" cm="1">
        <f t="array" aca="1" ref="CO259" ca="1">IF(INDIRECT(ADDRESS($B259+1,CO$230,1,1,"Actively Infected Trend"))=0,#N/A,INDIRECT(ADDRESS($B259+1,CO$230,1,1,"Actively Infected Trend")))</f>
        <v>#N/A</v>
      </c>
      <c r="CP259" s="14" t="e" cm="1">
        <f t="array" aca="1" ref="CP259" ca="1">IF(INDIRECT(ADDRESS($B259+1,CP$230,1,1,"Actively Infected Trend"))=0,#N/A,INDIRECT(ADDRESS($B259+1,CP$230,1,1,"Actively Infected Trend")))</f>
        <v>#N/A</v>
      </c>
      <c r="CQ259" s="14" t="e" cm="1">
        <f t="array" aca="1" ref="CQ259" ca="1">IF(INDIRECT(ADDRESS($B259+1,CQ$230,1,1,"Actively Infected Trend"))=0,#N/A,INDIRECT(ADDRESS($B259+1,CQ$230,1,1,"Actively Infected Trend")))</f>
        <v>#N/A</v>
      </c>
      <c r="CR259" s="14" t="e" cm="1">
        <f t="array" aca="1" ref="CR259" ca="1">IF(INDIRECT(ADDRESS($B259+1,CR$230,1,1,"Actively Infected Trend"))=0,#N/A,INDIRECT(ADDRESS($B259+1,CR$230,1,1,"Actively Infected Trend")))</f>
        <v>#N/A</v>
      </c>
    </row>
    <row r="260" spans="2:96" x14ac:dyDescent="0.25">
      <c r="B260">
        <f t="shared" si="349"/>
        <v>29</v>
      </c>
      <c r="C260" cm="1">
        <f t="array" aca="1" ref="C260" ca="1">INDIRECT(ADDRESS($B260+1,1,1,1,"Actively Infected Trend"))</f>
        <v>0</v>
      </c>
      <c r="E260" s="14" t="e" cm="1">
        <f t="array" aca="1" ref="E260" ca="1">IF(INDIRECT(ADDRESS($B260+1,E$230,1,1,"Actively Infected Trend"))=0,#N/A,INDIRECT(ADDRESS($B260+1,E$230,1,1,"Actively Infected Trend")))</f>
        <v>#N/A</v>
      </c>
      <c r="F260" s="14" t="e" cm="1">
        <f t="array" aca="1" ref="F260" ca="1">IF(INDIRECT(ADDRESS($B260+1,F$230,1,1,"Actively Infected Trend"))=0,#N/A,INDIRECT(ADDRESS($B260+1,F$230,1,1,"Actively Infected Trend")))</f>
        <v>#N/A</v>
      </c>
      <c r="G260" s="14" t="e" cm="1">
        <f t="array" aca="1" ref="G260" ca="1">IF(INDIRECT(ADDRESS($B260+1,G$230,1,1,"Actively Infected Trend"))=0,#N/A,INDIRECT(ADDRESS($B260+1,G$230,1,1,"Actively Infected Trend")))</f>
        <v>#N/A</v>
      </c>
      <c r="H260" s="14" t="e" cm="1">
        <f t="array" aca="1" ref="H260" ca="1">IF(INDIRECT(ADDRESS($B260+1,H$230,1,1,"Actively Infected Trend"))=0,#N/A,INDIRECT(ADDRESS($B260+1,H$230,1,1,"Actively Infected Trend")))</f>
        <v>#N/A</v>
      </c>
      <c r="I260" s="14" t="e" cm="1">
        <f t="array" aca="1" ref="I260" ca="1">IF(INDIRECT(ADDRESS($B260+1,I$230,1,1,"Actively Infected Trend"))=0,#N/A,INDIRECT(ADDRESS($B260+1,I$230,1,1,"Actively Infected Trend")))</f>
        <v>#N/A</v>
      </c>
      <c r="J260" s="14" t="e" cm="1">
        <f t="array" aca="1" ref="J260" ca="1">IF(INDIRECT(ADDRESS($B260+1,J$230,1,1,"Actively Infected Trend"))=0,#N/A,INDIRECT(ADDRESS($B260+1,J$230,1,1,"Actively Infected Trend")))</f>
        <v>#N/A</v>
      </c>
      <c r="K260" s="14" t="e" cm="1">
        <f t="array" aca="1" ref="K260" ca="1">IF(INDIRECT(ADDRESS($B260+1,K$230,1,1,"Actively Infected Trend"))=0,#N/A,INDIRECT(ADDRESS($B260+1,K$230,1,1,"Actively Infected Trend")))</f>
        <v>#N/A</v>
      </c>
      <c r="L260" s="14" t="e" cm="1">
        <f t="array" aca="1" ref="L260" ca="1">IF(INDIRECT(ADDRESS($B260+1,L$230,1,1,"Actively Infected Trend"))=0,#N/A,INDIRECT(ADDRESS($B260+1,L$230,1,1,"Actively Infected Trend")))</f>
        <v>#N/A</v>
      </c>
      <c r="M260" s="14" t="e" cm="1">
        <f t="array" aca="1" ref="M260" ca="1">IF(INDIRECT(ADDRESS($B260+1,M$230,1,1,"Actively Infected Trend"))=0,#N/A,INDIRECT(ADDRESS($B260+1,M$230,1,1,"Actively Infected Trend")))</f>
        <v>#N/A</v>
      </c>
      <c r="N260" s="14" t="e" cm="1">
        <f t="array" aca="1" ref="N260" ca="1">IF(INDIRECT(ADDRESS($B260+1,N$230,1,1,"Actively Infected Trend"))=0,#N/A,INDIRECT(ADDRESS($B260+1,N$230,1,1,"Actively Infected Trend")))</f>
        <v>#N/A</v>
      </c>
      <c r="O260" s="14" t="e" cm="1">
        <f t="array" aca="1" ref="O260" ca="1">IF(INDIRECT(ADDRESS($B260+1,O$230,1,1,"Actively Infected Trend"))=0,#N/A,INDIRECT(ADDRESS($B260+1,O$230,1,1,"Actively Infected Trend")))</f>
        <v>#N/A</v>
      </c>
      <c r="P260" s="14" t="e" cm="1">
        <f t="array" aca="1" ref="P260" ca="1">IF(INDIRECT(ADDRESS($B260+1,P$230,1,1,"Actively Infected Trend"))=0,#N/A,INDIRECT(ADDRESS($B260+1,P$230,1,1,"Actively Infected Trend")))</f>
        <v>#N/A</v>
      </c>
      <c r="Q260" s="14" t="e" cm="1">
        <f t="array" aca="1" ref="Q260" ca="1">IF(INDIRECT(ADDRESS($B260+1,Q$230,1,1,"Actively Infected Trend"))=0,#N/A,INDIRECT(ADDRESS($B260+1,Q$230,1,1,"Actively Infected Trend")))</f>
        <v>#N/A</v>
      </c>
      <c r="R260" s="14" t="e" cm="1">
        <f t="array" aca="1" ref="R260" ca="1">IF(INDIRECT(ADDRESS($B260+1,R$230,1,1,"Actively Infected Trend"))=0,#N/A,INDIRECT(ADDRESS($B260+1,R$230,1,1,"Actively Infected Trend")))</f>
        <v>#N/A</v>
      </c>
      <c r="S260" s="14" t="e" cm="1">
        <f t="array" aca="1" ref="S260" ca="1">IF(INDIRECT(ADDRESS($B260+1,S$230,1,1,"Actively Infected Trend"))=0,#N/A,INDIRECT(ADDRESS($B260+1,S$230,1,1,"Actively Infected Trend")))</f>
        <v>#N/A</v>
      </c>
      <c r="T260" s="14" t="e" cm="1">
        <f t="array" aca="1" ref="T260" ca="1">IF(INDIRECT(ADDRESS($B260+1,T$230,1,1,"Actively Infected Trend"))=0,#N/A,INDIRECT(ADDRESS($B260+1,T$230,1,1,"Actively Infected Trend")))</f>
        <v>#N/A</v>
      </c>
      <c r="U260" s="14" t="e" cm="1">
        <f t="array" aca="1" ref="U260" ca="1">IF(INDIRECT(ADDRESS($B260+1,U$230,1,1,"Actively Infected Trend"))=0,#N/A,INDIRECT(ADDRESS($B260+1,U$230,1,1,"Actively Infected Trend")))</f>
        <v>#N/A</v>
      </c>
      <c r="V260" s="14" t="e" cm="1">
        <f t="array" aca="1" ref="V260" ca="1">IF(INDIRECT(ADDRESS($B260+1,V$230,1,1,"Actively Infected Trend"))=0,#N/A,INDIRECT(ADDRESS($B260+1,V$230,1,1,"Actively Infected Trend")))</f>
        <v>#N/A</v>
      </c>
      <c r="W260" s="14" t="e" cm="1">
        <f t="array" aca="1" ref="W260" ca="1">IF(INDIRECT(ADDRESS($B260+1,W$230,1,1,"Actively Infected Trend"))=0,#N/A,INDIRECT(ADDRESS($B260+1,W$230,1,1,"Actively Infected Trend")))</f>
        <v>#N/A</v>
      </c>
      <c r="X260" s="14" t="e" cm="1">
        <f t="array" aca="1" ref="X260" ca="1">IF(INDIRECT(ADDRESS($B260+1,X$230,1,1,"Actively Infected Trend"))=0,#N/A,INDIRECT(ADDRESS($B260+1,X$230,1,1,"Actively Infected Trend")))</f>
        <v>#N/A</v>
      </c>
      <c r="Y260" s="14" t="e" cm="1">
        <f t="array" aca="1" ref="Y260" ca="1">IF(INDIRECT(ADDRESS($B260+1,Y$230,1,1,"Actively Infected Trend"))=0,#N/A,INDIRECT(ADDRESS($B260+1,Y$230,1,1,"Actively Infected Trend")))</f>
        <v>#N/A</v>
      </c>
      <c r="Z260" s="14" t="e" cm="1">
        <f t="array" aca="1" ref="Z260" ca="1">IF(INDIRECT(ADDRESS($B260+1,Z$230,1,1,"Actively Infected Trend"))=0,#N/A,INDIRECT(ADDRESS($B260+1,Z$230,1,1,"Actively Infected Trend")))</f>
        <v>#N/A</v>
      </c>
      <c r="AA260" s="14" t="e" cm="1">
        <f t="array" aca="1" ref="AA260" ca="1">IF(INDIRECT(ADDRESS($B260+1,AA$230,1,1,"Actively Infected Trend"))=0,#N/A,INDIRECT(ADDRESS($B260+1,AA$230,1,1,"Actively Infected Trend")))</f>
        <v>#N/A</v>
      </c>
      <c r="AB260" s="14" t="e" cm="1">
        <f t="array" aca="1" ref="AB260" ca="1">IF(INDIRECT(ADDRESS($B260+1,AB$230,1,1,"Actively Infected Trend"))=0,#N/A,INDIRECT(ADDRESS($B260+1,AB$230,1,1,"Actively Infected Trend")))</f>
        <v>#N/A</v>
      </c>
      <c r="AC260" s="14" t="e" cm="1">
        <f t="array" aca="1" ref="AC260" ca="1">IF(INDIRECT(ADDRESS($B260+1,AC$230,1,1,"Actively Infected Trend"))=0,#N/A,INDIRECT(ADDRESS($B260+1,AC$230,1,1,"Actively Infected Trend")))</f>
        <v>#N/A</v>
      </c>
      <c r="AD260" s="14" t="e" cm="1">
        <f t="array" aca="1" ref="AD260" ca="1">IF(INDIRECT(ADDRESS($B260+1,AD$230,1,1,"Actively Infected Trend"))=0,#N/A,INDIRECT(ADDRESS($B260+1,AD$230,1,1,"Actively Infected Trend")))</f>
        <v>#N/A</v>
      </c>
      <c r="AE260" s="14" t="e" cm="1">
        <f t="array" aca="1" ref="AE260" ca="1">IF(INDIRECT(ADDRESS($B260+1,AE$230,1,1,"Actively Infected Trend"))=0,#N/A,INDIRECT(ADDRESS($B260+1,AE$230,1,1,"Actively Infected Trend")))</f>
        <v>#N/A</v>
      </c>
      <c r="AF260" s="14" t="e" cm="1">
        <f t="array" aca="1" ref="AF260" ca="1">IF(INDIRECT(ADDRESS($B260+1,AF$230,1,1,"Actively Infected Trend"))=0,#N/A,INDIRECT(ADDRESS($B260+1,AF$230,1,1,"Actively Infected Trend")))</f>
        <v>#N/A</v>
      </c>
      <c r="AG260" s="14" t="e" cm="1">
        <f t="array" aca="1" ref="AG260" ca="1">IF(INDIRECT(ADDRESS($B260+1,AG$230,1,1,"Actively Infected Trend"))=0,#N/A,INDIRECT(ADDRESS($B260+1,AG$230,1,1,"Actively Infected Trend")))</f>
        <v>#N/A</v>
      </c>
      <c r="AH260" s="14" t="e" cm="1">
        <f t="array" aca="1" ref="AH260" ca="1">IF(INDIRECT(ADDRESS($B260+1,AH$230,1,1,"Actively Infected Trend"))=0,#N/A,INDIRECT(ADDRESS($B260+1,AH$230,1,1,"Actively Infected Trend")))</f>
        <v>#N/A</v>
      </c>
      <c r="AI260" s="14" t="e" cm="1">
        <f t="array" aca="1" ref="AI260" ca="1">IF(INDIRECT(ADDRESS($B260+1,AI$230,1,1,"Actively Infected Trend"))=0,#N/A,INDIRECT(ADDRESS($B260+1,AI$230,1,1,"Actively Infected Trend")))</f>
        <v>#N/A</v>
      </c>
      <c r="AJ260" s="14" t="e" cm="1">
        <f t="array" aca="1" ref="AJ260" ca="1">IF(INDIRECT(ADDRESS($B260+1,AJ$230,1,1,"Actively Infected Trend"))=0,#N/A,INDIRECT(ADDRESS($B260+1,AJ$230,1,1,"Actively Infected Trend")))</f>
        <v>#N/A</v>
      </c>
      <c r="AK260" s="14" t="e" cm="1">
        <f t="array" aca="1" ref="AK260" ca="1">IF(INDIRECT(ADDRESS($B260+1,AK$230,1,1,"Actively Infected Trend"))=0,#N/A,INDIRECT(ADDRESS($B260+1,AK$230,1,1,"Actively Infected Trend")))</f>
        <v>#N/A</v>
      </c>
      <c r="AL260" s="14" t="e" cm="1">
        <f t="array" aca="1" ref="AL260" ca="1">IF(INDIRECT(ADDRESS($B260+1,AL$230,1,1,"Actively Infected Trend"))=0,#N/A,INDIRECT(ADDRESS($B260+1,AL$230,1,1,"Actively Infected Trend")))</f>
        <v>#N/A</v>
      </c>
      <c r="AM260" s="14" t="e" cm="1">
        <f t="array" aca="1" ref="AM260" ca="1">IF(INDIRECT(ADDRESS($B260+1,AM$230,1,1,"Actively Infected Trend"))=0,#N/A,INDIRECT(ADDRESS($B260+1,AM$230,1,1,"Actively Infected Trend")))</f>
        <v>#N/A</v>
      </c>
      <c r="AN260" s="14" t="e" cm="1">
        <f t="array" aca="1" ref="AN260" ca="1">IF(INDIRECT(ADDRESS($B260+1,AN$230,1,1,"Actively Infected Trend"))=0,#N/A,INDIRECT(ADDRESS($B260+1,AN$230,1,1,"Actively Infected Trend")))</f>
        <v>#N/A</v>
      </c>
      <c r="AO260" s="14" t="e" cm="1">
        <f t="array" aca="1" ref="AO260" ca="1">IF(INDIRECT(ADDRESS($B260+1,AO$230,1,1,"Actively Infected Trend"))=0,#N/A,INDIRECT(ADDRESS($B260+1,AO$230,1,1,"Actively Infected Trend")))</f>
        <v>#N/A</v>
      </c>
      <c r="AP260" s="14" t="e" cm="1">
        <f t="array" aca="1" ref="AP260" ca="1">IF(INDIRECT(ADDRESS($B260+1,AP$230,1,1,"Actively Infected Trend"))=0,#N/A,INDIRECT(ADDRESS($B260+1,AP$230,1,1,"Actively Infected Trend")))</f>
        <v>#N/A</v>
      </c>
      <c r="AQ260" s="14" t="e" cm="1">
        <f t="array" aca="1" ref="AQ260" ca="1">IF(INDIRECT(ADDRESS($B260+1,AQ$230,1,1,"Actively Infected Trend"))=0,#N/A,INDIRECT(ADDRESS($B260+1,AQ$230,1,1,"Actively Infected Trend")))</f>
        <v>#N/A</v>
      </c>
      <c r="AR260" s="14" t="e" cm="1">
        <f t="array" aca="1" ref="AR260" ca="1">IF(INDIRECT(ADDRESS($B260+1,AR$230,1,1,"Actively Infected Trend"))=0,#N/A,INDIRECT(ADDRESS($B260+1,AR$230,1,1,"Actively Infected Trend")))</f>
        <v>#N/A</v>
      </c>
      <c r="AS260" s="14" t="e" cm="1">
        <f t="array" aca="1" ref="AS260" ca="1">IF(INDIRECT(ADDRESS($B260+1,AS$230,1,1,"Actively Infected Trend"))=0,#N/A,INDIRECT(ADDRESS($B260+1,AS$230,1,1,"Actively Infected Trend")))</f>
        <v>#N/A</v>
      </c>
      <c r="AT260" s="14" t="e" cm="1">
        <f t="array" aca="1" ref="AT260" ca="1">IF(INDIRECT(ADDRESS($B260+1,AT$230,1,1,"Actively Infected Trend"))=0,#N/A,INDIRECT(ADDRESS($B260+1,AT$230,1,1,"Actively Infected Trend")))</f>
        <v>#N/A</v>
      </c>
      <c r="AU260" s="14" t="e" cm="1">
        <f t="array" aca="1" ref="AU260" ca="1">IF(INDIRECT(ADDRESS($B260+1,AU$230,1,1,"Actively Infected Trend"))=0,#N/A,INDIRECT(ADDRESS($B260+1,AU$230,1,1,"Actively Infected Trend")))</f>
        <v>#N/A</v>
      </c>
      <c r="AV260" s="14" t="e" cm="1">
        <f t="array" aca="1" ref="AV260" ca="1">IF(INDIRECT(ADDRESS($B260+1,AV$230,1,1,"Actively Infected Trend"))=0,#N/A,INDIRECT(ADDRESS($B260+1,AV$230,1,1,"Actively Infected Trend")))</f>
        <v>#N/A</v>
      </c>
      <c r="AW260" s="14" t="e" cm="1">
        <f t="array" aca="1" ref="AW260" ca="1">IF(INDIRECT(ADDRESS($B260+1,AW$230,1,1,"Actively Infected Trend"))=0,#N/A,INDIRECT(ADDRESS($B260+1,AW$230,1,1,"Actively Infected Trend")))</f>
        <v>#N/A</v>
      </c>
      <c r="AX260" s="14" t="e" cm="1">
        <f t="array" aca="1" ref="AX260" ca="1">IF(INDIRECT(ADDRESS($B260+1,AX$230,1,1,"Actively Infected Trend"))=0,#N/A,INDIRECT(ADDRESS($B260+1,AX$230,1,1,"Actively Infected Trend")))</f>
        <v>#N/A</v>
      </c>
      <c r="AY260" s="14" t="e" cm="1">
        <f t="array" aca="1" ref="AY260" ca="1">IF(INDIRECT(ADDRESS($B260+1,AY$230,1,1,"Actively Infected Trend"))=0,#N/A,INDIRECT(ADDRESS($B260+1,AY$230,1,1,"Actively Infected Trend")))</f>
        <v>#N/A</v>
      </c>
      <c r="AZ260" s="14" t="e" cm="1">
        <f t="array" aca="1" ref="AZ260" ca="1">IF(INDIRECT(ADDRESS($B260+1,AZ$230,1,1,"Actively Infected Trend"))=0,#N/A,INDIRECT(ADDRESS($B260+1,AZ$230,1,1,"Actively Infected Trend")))</f>
        <v>#N/A</v>
      </c>
      <c r="BA260" s="14" t="e" cm="1">
        <f t="array" aca="1" ref="BA260" ca="1">IF(INDIRECT(ADDRESS($B260+1,BA$230,1,1,"Actively Infected Trend"))=0,#N/A,INDIRECT(ADDRESS($B260+1,BA$230,1,1,"Actively Infected Trend")))</f>
        <v>#N/A</v>
      </c>
      <c r="BB260" s="14" t="e" cm="1">
        <f t="array" aca="1" ref="BB260" ca="1">IF(INDIRECT(ADDRESS($B260+1,BB$230,1,1,"Actively Infected Trend"))=0,#N/A,INDIRECT(ADDRESS($B260+1,BB$230,1,1,"Actively Infected Trend")))</f>
        <v>#N/A</v>
      </c>
      <c r="BC260" s="14" t="e" cm="1">
        <f t="array" aca="1" ref="BC260" ca="1">IF(INDIRECT(ADDRESS($B260+1,BC$230,1,1,"Actively Infected Trend"))=0,#N/A,INDIRECT(ADDRESS($B260+1,BC$230,1,1,"Actively Infected Trend")))</f>
        <v>#N/A</v>
      </c>
      <c r="BD260" s="14" t="e" cm="1">
        <f t="array" aca="1" ref="BD260" ca="1">IF(INDIRECT(ADDRESS($B260+1,BD$230,1,1,"Actively Infected Trend"))=0,#N/A,INDIRECT(ADDRESS($B260+1,BD$230,1,1,"Actively Infected Trend")))</f>
        <v>#N/A</v>
      </c>
      <c r="BE260" s="14" t="e" cm="1">
        <f t="array" aca="1" ref="BE260" ca="1">IF(INDIRECT(ADDRESS($B260+1,BE$230,1,1,"Actively Infected Trend"))=0,#N/A,INDIRECT(ADDRESS($B260+1,BE$230,1,1,"Actively Infected Trend")))</f>
        <v>#N/A</v>
      </c>
      <c r="BF260" s="14" t="e" cm="1">
        <f t="array" aca="1" ref="BF260" ca="1">IF(INDIRECT(ADDRESS($B260+1,BF$230,1,1,"Actively Infected Trend"))=0,#N/A,INDIRECT(ADDRESS($B260+1,BF$230,1,1,"Actively Infected Trend")))</f>
        <v>#N/A</v>
      </c>
      <c r="BG260" s="14" t="e" cm="1">
        <f t="array" aca="1" ref="BG260" ca="1">IF(INDIRECT(ADDRESS($B260+1,BG$230,1,1,"Actively Infected Trend"))=0,#N/A,INDIRECT(ADDRESS($B260+1,BG$230,1,1,"Actively Infected Trend")))</f>
        <v>#N/A</v>
      </c>
      <c r="BH260" s="14" t="e" cm="1">
        <f t="array" aca="1" ref="BH260" ca="1">IF(INDIRECT(ADDRESS($B260+1,BH$230,1,1,"Actively Infected Trend"))=0,#N/A,INDIRECT(ADDRESS($B260+1,BH$230,1,1,"Actively Infected Trend")))</f>
        <v>#N/A</v>
      </c>
      <c r="BI260" s="14" t="e" cm="1">
        <f t="array" aca="1" ref="BI260" ca="1">IF(INDIRECT(ADDRESS($B260+1,BI$230,1,1,"Actively Infected Trend"))=0,#N/A,INDIRECT(ADDRESS($B260+1,BI$230,1,1,"Actively Infected Trend")))</f>
        <v>#N/A</v>
      </c>
      <c r="BJ260" s="14" t="e" cm="1">
        <f t="array" aca="1" ref="BJ260" ca="1">IF(INDIRECT(ADDRESS($B260+1,BJ$230,1,1,"Actively Infected Trend"))=0,#N/A,INDIRECT(ADDRESS($B260+1,BJ$230,1,1,"Actively Infected Trend")))</f>
        <v>#N/A</v>
      </c>
      <c r="BK260" s="14" t="e" cm="1">
        <f t="array" aca="1" ref="BK260" ca="1">IF(INDIRECT(ADDRESS($B260+1,BK$230,1,1,"Actively Infected Trend"))=0,#N/A,INDIRECT(ADDRESS($B260+1,BK$230,1,1,"Actively Infected Trend")))</f>
        <v>#N/A</v>
      </c>
      <c r="BL260" s="14" t="e" cm="1">
        <f t="array" aca="1" ref="BL260" ca="1">IF(INDIRECT(ADDRESS($B260+1,BL$230,1,1,"Actively Infected Trend"))=0,#N/A,INDIRECT(ADDRESS($B260+1,BL$230,1,1,"Actively Infected Trend")))</f>
        <v>#N/A</v>
      </c>
      <c r="BM260" s="14" t="e" cm="1">
        <f t="array" aca="1" ref="BM260" ca="1">IF(INDIRECT(ADDRESS($B260+1,BM$230,1,1,"Actively Infected Trend"))=0,#N/A,INDIRECT(ADDRESS($B260+1,BM$230,1,1,"Actively Infected Trend")))</f>
        <v>#N/A</v>
      </c>
      <c r="BN260" s="14" t="e" cm="1">
        <f t="array" aca="1" ref="BN260" ca="1">IF(INDIRECT(ADDRESS($B260+1,BN$230,1,1,"Actively Infected Trend"))=0,#N/A,INDIRECT(ADDRESS($B260+1,BN$230,1,1,"Actively Infected Trend")))</f>
        <v>#N/A</v>
      </c>
      <c r="BO260" s="14" t="e" cm="1">
        <f t="array" aca="1" ref="BO260" ca="1">IF(INDIRECT(ADDRESS($B260+1,BO$230,1,1,"Actively Infected Trend"))=0,#N/A,INDIRECT(ADDRESS($B260+1,BO$230,1,1,"Actively Infected Trend")))</f>
        <v>#N/A</v>
      </c>
      <c r="BP260" s="14" t="e" cm="1">
        <f t="array" aca="1" ref="BP260" ca="1">IF(INDIRECT(ADDRESS($B260+1,BP$230,1,1,"Actively Infected Trend"))=0,#N/A,INDIRECT(ADDRESS($B260+1,BP$230,1,1,"Actively Infected Trend")))</f>
        <v>#N/A</v>
      </c>
      <c r="BQ260" s="14" t="e" cm="1">
        <f t="array" aca="1" ref="BQ260" ca="1">IF(INDIRECT(ADDRESS($B260+1,BQ$230,1,1,"Actively Infected Trend"))=0,#N/A,INDIRECT(ADDRESS($B260+1,BQ$230,1,1,"Actively Infected Trend")))</f>
        <v>#N/A</v>
      </c>
      <c r="BR260" s="14" t="e" cm="1">
        <f t="array" aca="1" ref="BR260" ca="1">IF(INDIRECT(ADDRESS($B260+1,BR$230,1,1,"Actively Infected Trend"))=0,#N/A,INDIRECT(ADDRESS($B260+1,BR$230,1,1,"Actively Infected Trend")))</f>
        <v>#N/A</v>
      </c>
      <c r="BS260" s="14" t="e" cm="1">
        <f t="array" aca="1" ref="BS260" ca="1">IF(INDIRECT(ADDRESS($B260+1,BS$230,1,1,"Actively Infected Trend"))=0,#N/A,INDIRECT(ADDRESS($B260+1,BS$230,1,1,"Actively Infected Trend")))</f>
        <v>#N/A</v>
      </c>
      <c r="BT260" s="14" t="e" cm="1">
        <f t="array" aca="1" ref="BT260" ca="1">IF(INDIRECT(ADDRESS($B260+1,BT$230,1,1,"Actively Infected Trend"))=0,#N/A,INDIRECT(ADDRESS($B260+1,BT$230,1,1,"Actively Infected Trend")))</f>
        <v>#N/A</v>
      </c>
      <c r="BU260" s="14" t="e" cm="1">
        <f t="array" aca="1" ref="BU260" ca="1">IF(INDIRECT(ADDRESS($B260+1,BU$230,1,1,"Actively Infected Trend"))=0,#N/A,INDIRECT(ADDRESS($B260+1,BU$230,1,1,"Actively Infected Trend")))</f>
        <v>#N/A</v>
      </c>
      <c r="BV260" s="14" t="e" cm="1">
        <f t="array" aca="1" ref="BV260" ca="1">IF(INDIRECT(ADDRESS($B260+1,BV$230,1,1,"Actively Infected Trend"))=0,#N/A,INDIRECT(ADDRESS($B260+1,BV$230,1,1,"Actively Infected Trend")))</f>
        <v>#N/A</v>
      </c>
      <c r="BW260" s="14" t="e" cm="1">
        <f t="array" aca="1" ref="BW260" ca="1">IF(INDIRECT(ADDRESS($B260+1,BW$230,1,1,"Actively Infected Trend"))=0,#N/A,INDIRECT(ADDRESS($B260+1,BW$230,1,1,"Actively Infected Trend")))</f>
        <v>#N/A</v>
      </c>
      <c r="BX260" s="14" t="e" cm="1">
        <f t="array" aca="1" ref="BX260" ca="1">IF(INDIRECT(ADDRESS($B260+1,BX$230,1,1,"Actively Infected Trend"))=0,#N/A,INDIRECT(ADDRESS($B260+1,BX$230,1,1,"Actively Infected Trend")))</f>
        <v>#N/A</v>
      </c>
      <c r="BY260" s="14" t="e" cm="1">
        <f t="array" aca="1" ref="BY260" ca="1">IF(INDIRECT(ADDRESS($B260+1,BY$230,1,1,"Actively Infected Trend"))=0,#N/A,INDIRECT(ADDRESS($B260+1,BY$230,1,1,"Actively Infected Trend")))</f>
        <v>#N/A</v>
      </c>
      <c r="BZ260" s="14" t="e" cm="1">
        <f t="array" aca="1" ref="BZ260" ca="1">IF(INDIRECT(ADDRESS($B260+1,BZ$230,1,1,"Actively Infected Trend"))=0,#N/A,INDIRECT(ADDRESS($B260+1,BZ$230,1,1,"Actively Infected Trend")))</f>
        <v>#N/A</v>
      </c>
      <c r="CA260" s="14" t="e" cm="1">
        <f t="array" aca="1" ref="CA260" ca="1">IF(INDIRECT(ADDRESS($B260+1,CA$230,1,1,"Actively Infected Trend"))=0,#N/A,INDIRECT(ADDRESS($B260+1,CA$230,1,1,"Actively Infected Trend")))</f>
        <v>#N/A</v>
      </c>
      <c r="CB260" s="14" t="e" cm="1">
        <f t="array" aca="1" ref="CB260" ca="1">IF(INDIRECT(ADDRESS($B260+1,CB$230,1,1,"Actively Infected Trend"))=0,#N/A,INDIRECT(ADDRESS($B260+1,CB$230,1,1,"Actively Infected Trend")))</f>
        <v>#N/A</v>
      </c>
      <c r="CC260" s="14" t="e" cm="1">
        <f t="array" aca="1" ref="CC260" ca="1">IF(INDIRECT(ADDRESS($B260+1,CC$230,1,1,"Actively Infected Trend"))=0,#N/A,INDIRECT(ADDRESS($B260+1,CC$230,1,1,"Actively Infected Trend")))</f>
        <v>#N/A</v>
      </c>
      <c r="CD260" s="14" t="e" cm="1">
        <f t="array" aca="1" ref="CD260" ca="1">IF(INDIRECT(ADDRESS($B260+1,CD$230,1,1,"Actively Infected Trend"))=0,#N/A,INDIRECT(ADDRESS($B260+1,CD$230,1,1,"Actively Infected Trend")))</f>
        <v>#N/A</v>
      </c>
      <c r="CE260" s="14" t="e" cm="1">
        <f t="array" aca="1" ref="CE260" ca="1">IF(INDIRECT(ADDRESS($B260+1,CE$230,1,1,"Actively Infected Trend"))=0,#N/A,INDIRECT(ADDRESS($B260+1,CE$230,1,1,"Actively Infected Trend")))</f>
        <v>#N/A</v>
      </c>
      <c r="CF260" s="14" t="e" cm="1">
        <f t="array" aca="1" ref="CF260" ca="1">IF(INDIRECT(ADDRESS($B260+1,CF$230,1,1,"Actively Infected Trend"))=0,#N/A,INDIRECT(ADDRESS($B260+1,CF$230,1,1,"Actively Infected Trend")))</f>
        <v>#N/A</v>
      </c>
      <c r="CG260" s="14" t="e" cm="1">
        <f t="array" aca="1" ref="CG260" ca="1">IF(INDIRECT(ADDRESS($B260+1,CG$230,1,1,"Actively Infected Trend"))=0,#N/A,INDIRECT(ADDRESS($B260+1,CG$230,1,1,"Actively Infected Trend")))</f>
        <v>#N/A</v>
      </c>
      <c r="CH260" s="14" t="e" cm="1">
        <f t="array" aca="1" ref="CH260" ca="1">IF(INDIRECT(ADDRESS($B260+1,CH$230,1,1,"Actively Infected Trend"))=0,#N/A,INDIRECT(ADDRESS($B260+1,CH$230,1,1,"Actively Infected Trend")))</f>
        <v>#N/A</v>
      </c>
      <c r="CI260" s="14" t="e" cm="1">
        <f t="array" aca="1" ref="CI260" ca="1">IF(INDIRECT(ADDRESS($B260+1,CI$230,1,1,"Actively Infected Trend"))=0,#N/A,INDIRECT(ADDRESS($B260+1,CI$230,1,1,"Actively Infected Trend")))</f>
        <v>#N/A</v>
      </c>
      <c r="CJ260" s="14" t="e" cm="1">
        <f t="array" aca="1" ref="CJ260" ca="1">IF(INDIRECT(ADDRESS($B260+1,CJ$230,1,1,"Actively Infected Trend"))=0,#N/A,INDIRECT(ADDRESS($B260+1,CJ$230,1,1,"Actively Infected Trend")))</f>
        <v>#N/A</v>
      </c>
      <c r="CK260" s="14" t="e" cm="1">
        <f t="array" aca="1" ref="CK260" ca="1">IF(INDIRECT(ADDRESS($B260+1,CK$230,1,1,"Actively Infected Trend"))=0,#N/A,INDIRECT(ADDRESS($B260+1,CK$230,1,1,"Actively Infected Trend")))</f>
        <v>#N/A</v>
      </c>
      <c r="CL260" s="14" t="e" cm="1">
        <f t="array" aca="1" ref="CL260" ca="1">IF(INDIRECT(ADDRESS($B260+1,CL$230,1,1,"Actively Infected Trend"))=0,#N/A,INDIRECT(ADDRESS($B260+1,CL$230,1,1,"Actively Infected Trend")))</f>
        <v>#N/A</v>
      </c>
      <c r="CM260" s="14" t="e" cm="1">
        <f t="array" aca="1" ref="CM260" ca="1">IF(INDIRECT(ADDRESS($B260+1,CM$230,1,1,"Actively Infected Trend"))=0,#N/A,INDIRECT(ADDRESS($B260+1,CM$230,1,1,"Actively Infected Trend")))</f>
        <v>#N/A</v>
      </c>
      <c r="CN260" s="14" t="e" cm="1">
        <f t="array" aca="1" ref="CN260" ca="1">IF(INDIRECT(ADDRESS($B260+1,CN$230,1,1,"Actively Infected Trend"))=0,#N/A,INDIRECT(ADDRESS($B260+1,CN$230,1,1,"Actively Infected Trend")))</f>
        <v>#N/A</v>
      </c>
      <c r="CO260" s="14" t="e" cm="1">
        <f t="array" aca="1" ref="CO260" ca="1">IF(INDIRECT(ADDRESS($B260+1,CO$230,1,1,"Actively Infected Trend"))=0,#N/A,INDIRECT(ADDRESS($B260+1,CO$230,1,1,"Actively Infected Trend")))</f>
        <v>#N/A</v>
      </c>
      <c r="CP260" s="14" t="e" cm="1">
        <f t="array" aca="1" ref="CP260" ca="1">IF(INDIRECT(ADDRESS($B260+1,CP$230,1,1,"Actively Infected Trend"))=0,#N/A,INDIRECT(ADDRESS($B260+1,CP$230,1,1,"Actively Infected Trend")))</f>
        <v>#N/A</v>
      </c>
      <c r="CQ260" s="14" t="e" cm="1">
        <f t="array" aca="1" ref="CQ260" ca="1">IF(INDIRECT(ADDRESS($B260+1,CQ$230,1,1,"Actively Infected Trend"))=0,#N/A,INDIRECT(ADDRESS($B260+1,CQ$230,1,1,"Actively Infected Trend")))</f>
        <v>#N/A</v>
      </c>
      <c r="CR260" s="14" t="e" cm="1">
        <f t="array" aca="1" ref="CR260" ca="1">IF(INDIRECT(ADDRESS($B260+1,CR$230,1,1,"Actively Infected Trend"))=0,#N/A,INDIRECT(ADDRESS($B260+1,CR$230,1,1,"Actively Infected Trend")))</f>
        <v>#N/A</v>
      </c>
    </row>
    <row r="261" spans="2:96" x14ac:dyDescent="0.25">
      <c r="B261">
        <f t="shared" si="349"/>
        <v>30</v>
      </c>
      <c r="C261" cm="1">
        <f t="array" aca="1" ref="C261" ca="1">INDIRECT(ADDRESS($B261+1,1,1,1,"Actively Infected Trend"))</f>
        <v>0</v>
      </c>
      <c r="E261" s="14" t="e" cm="1">
        <f t="array" aca="1" ref="E261" ca="1">IF(INDIRECT(ADDRESS($B261+1,E$230,1,1,"Actively Infected Trend"))=0,#N/A,INDIRECT(ADDRESS($B261+1,E$230,1,1,"Actively Infected Trend")))</f>
        <v>#N/A</v>
      </c>
      <c r="F261" s="14" t="e" cm="1">
        <f t="array" aca="1" ref="F261" ca="1">IF(INDIRECT(ADDRESS($B261+1,F$230,1,1,"Actively Infected Trend"))=0,#N/A,INDIRECT(ADDRESS($B261+1,F$230,1,1,"Actively Infected Trend")))</f>
        <v>#N/A</v>
      </c>
      <c r="G261" s="14" t="e" cm="1">
        <f t="array" aca="1" ref="G261" ca="1">IF(INDIRECT(ADDRESS($B261+1,G$230,1,1,"Actively Infected Trend"))=0,#N/A,INDIRECT(ADDRESS($B261+1,G$230,1,1,"Actively Infected Trend")))</f>
        <v>#N/A</v>
      </c>
      <c r="H261" s="14" t="e" cm="1">
        <f t="array" aca="1" ref="H261" ca="1">IF(INDIRECT(ADDRESS($B261+1,H$230,1,1,"Actively Infected Trend"))=0,#N/A,INDIRECT(ADDRESS($B261+1,H$230,1,1,"Actively Infected Trend")))</f>
        <v>#N/A</v>
      </c>
      <c r="I261" s="14" t="e" cm="1">
        <f t="array" aca="1" ref="I261" ca="1">IF(INDIRECT(ADDRESS($B261+1,I$230,1,1,"Actively Infected Trend"))=0,#N/A,INDIRECT(ADDRESS($B261+1,I$230,1,1,"Actively Infected Trend")))</f>
        <v>#N/A</v>
      </c>
      <c r="J261" s="14" t="e" cm="1">
        <f t="array" aca="1" ref="J261" ca="1">IF(INDIRECT(ADDRESS($B261+1,J$230,1,1,"Actively Infected Trend"))=0,#N/A,INDIRECT(ADDRESS($B261+1,J$230,1,1,"Actively Infected Trend")))</f>
        <v>#N/A</v>
      </c>
      <c r="K261" s="14" t="e" cm="1">
        <f t="array" aca="1" ref="K261" ca="1">IF(INDIRECT(ADDRESS($B261+1,K$230,1,1,"Actively Infected Trend"))=0,#N/A,INDIRECT(ADDRESS($B261+1,K$230,1,1,"Actively Infected Trend")))</f>
        <v>#N/A</v>
      </c>
      <c r="L261" s="14" t="e" cm="1">
        <f t="array" aca="1" ref="L261" ca="1">IF(INDIRECT(ADDRESS($B261+1,L$230,1,1,"Actively Infected Trend"))=0,#N/A,INDIRECT(ADDRESS($B261+1,L$230,1,1,"Actively Infected Trend")))</f>
        <v>#N/A</v>
      </c>
      <c r="M261" s="14" t="e" cm="1">
        <f t="array" aca="1" ref="M261" ca="1">IF(INDIRECT(ADDRESS($B261+1,M$230,1,1,"Actively Infected Trend"))=0,#N/A,INDIRECT(ADDRESS($B261+1,M$230,1,1,"Actively Infected Trend")))</f>
        <v>#N/A</v>
      </c>
      <c r="N261" s="14" t="e" cm="1">
        <f t="array" aca="1" ref="N261" ca="1">IF(INDIRECT(ADDRESS($B261+1,N$230,1,1,"Actively Infected Trend"))=0,#N/A,INDIRECT(ADDRESS($B261+1,N$230,1,1,"Actively Infected Trend")))</f>
        <v>#N/A</v>
      </c>
      <c r="O261" s="14" t="e" cm="1">
        <f t="array" aca="1" ref="O261" ca="1">IF(INDIRECT(ADDRESS($B261+1,O$230,1,1,"Actively Infected Trend"))=0,#N/A,INDIRECT(ADDRESS($B261+1,O$230,1,1,"Actively Infected Trend")))</f>
        <v>#N/A</v>
      </c>
      <c r="P261" s="14" t="e" cm="1">
        <f t="array" aca="1" ref="P261" ca="1">IF(INDIRECT(ADDRESS($B261+1,P$230,1,1,"Actively Infected Trend"))=0,#N/A,INDIRECT(ADDRESS($B261+1,P$230,1,1,"Actively Infected Trend")))</f>
        <v>#N/A</v>
      </c>
      <c r="Q261" s="14" t="e" cm="1">
        <f t="array" aca="1" ref="Q261" ca="1">IF(INDIRECT(ADDRESS($B261+1,Q$230,1,1,"Actively Infected Trend"))=0,#N/A,INDIRECT(ADDRESS($B261+1,Q$230,1,1,"Actively Infected Trend")))</f>
        <v>#N/A</v>
      </c>
      <c r="R261" s="14" t="e" cm="1">
        <f t="array" aca="1" ref="R261" ca="1">IF(INDIRECT(ADDRESS($B261+1,R$230,1,1,"Actively Infected Trend"))=0,#N/A,INDIRECT(ADDRESS($B261+1,R$230,1,1,"Actively Infected Trend")))</f>
        <v>#N/A</v>
      </c>
      <c r="S261" s="14" t="e" cm="1">
        <f t="array" aca="1" ref="S261" ca="1">IF(INDIRECT(ADDRESS($B261+1,S$230,1,1,"Actively Infected Trend"))=0,#N/A,INDIRECT(ADDRESS($B261+1,S$230,1,1,"Actively Infected Trend")))</f>
        <v>#N/A</v>
      </c>
      <c r="T261" s="14" t="e" cm="1">
        <f t="array" aca="1" ref="T261" ca="1">IF(INDIRECT(ADDRESS($B261+1,T$230,1,1,"Actively Infected Trend"))=0,#N/A,INDIRECT(ADDRESS($B261+1,T$230,1,1,"Actively Infected Trend")))</f>
        <v>#N/A</v>
      </c>
      <c r="U261" s="14" t="e" cm="1">
        <f t="array" aca="1" ref="U261" ca="1">IF(INDIRECT(ADDRESS($B261+1,U$230,1,1,"Actively Infected Trend"))=0,#N/A,INDIRECT(ADDRESS($B261+1,U$230,1,1,"Actively Infected Trend")))</f>
        <v>#N/A</v>
      </c>
      <c r="V261" s="14" t="e" cm="1">
        <f t="array" aca="1" ref="V261" ca="1">IF(INDIRECT(ADDRESS($B261+1,V$230,1,1,"Actively Infected Trend"))=0,#N/A,INDIRECT(ADDRESS($B261+1,V$230,1,1,"Actively Infected Trend")))</f>
        <v>#N/A</v>
      </c>
      <c r="W261" s="14" t="e" cm="1">
        <f t="array" aca="1" ref="W261" ca="1">IF(INDIRECT(ADDRESS($B261+1,W$230,1,1,"Actively Infected Trend"))=0,#N/A,INDIRECT(ADDRESS($B261+1,W$230,1,1,"Actively Infected Trend")))</f>
        <v>#N/A</v>
      </c>
      <c r="X261" s="14" t="e" cm="1">
        <f t="array" aca="1" ref="X261" ca="1">IF(INDIRECT(ADDRESS($B261+1,X$230,1,1,"Actively Infected Trend"))=0,#N/A,INDIRECT(ADDRESS($B261+1,X$230,1,1,"Actively Infected Trend")))</f>
        <v>#N/A</v>
      </c>
      <c r="Y261" s="14" t="e" cm="1">
        <f t="array" aca="1" ref="Y261" ca="1">IF(INDIRECT(ADDRESS($B261+1,Y$230,1,1,"Actively Infected Trend"))=0,#N/A,INDIRECT(ADDRESS($B261+1,Y$230,1,1,"Actively Infected Trend")))</f>
        <v>#N/A</v>
      </c>
      <c r="Z261" s="14" t="e" cm="1">
        <f t="array" aca="1" ref="Z261" ca="1">IF(INDIRECT(ADDRESS($B261+1,Z$230,1,1,"Actively Infected Trend"))=0,#N/A,INDIRECT(ADDRESS($B261+1,Z$230,1,1,"Actively Infected Trend")))</f>
        <v>#N/A</v>
      </c>
      <c r="AA261" s="14" t="e" cm="1">
        <f t="array" aca="1" ref="AA261" ca="1">IF(INDIRECT(ADDRESS($B261+1,AA$230,1,1,"Actively Infected Trend"))=0,#N/A,INDIRECT(ADDRESS($B261+1,AA$230,1,1,"Actively Infected Trend")))</f>
        <v>#N/A</v>
      </c>
      <c r="AB261" s="14" t="e" cm="1">
        <f t="array" aca="1" ref="AB261" ca="1">IF(INDIRECT(ADDRESS($B261+1,AB$230,1,1,"Actively Infected Trend"))=0,#N/A,INDIRECT(ADDRESS($B261+1,AB$230,1,1,"Actively Infected Trend")))</f>
        <v>#N/A</v>
      </c>
      <c r="AC261" s="14" t="e" cm="1">
        <f t="array" aca="1" ref="AC261" ca="1">IF(INDIRECT(ADDRESS($B261+1,AC$230,1,1,"Actively Infected Trend"))=0,#N/A,INDIRECT(ADDRESS($B261+1,AC$230,1,1,"Actively Infected Trend")))</f>
        <v>#N/A</v>
      </c>
      <c r="AD261" s="14" t="e" cm="1">
        <f t="array" aca="1" ref="AD261" ca="1">IF(INDIRECT(ADDRESS($B261+1,AD$230,1,1,"Actively Infected Trend"))=0,#N/A,INDIRECT(ADDRESS($B261+1,AD$230,1,1,"Actively Infected Trend")))</f>
        <v>#N/A</v>
      </c>
      <c r="AE261" s="14" t="e" cm="1">
        <f t="array" aca="1" ref="AE261" ca="1">IF(INDIRECT(ADDRESS($B261+1,AE$230,1,1,"Actively Infected Trend"))=0,#N/A,INDIRECT(ADDRESS($B261+1,AE$230,1,1,"Actively Infected Trend")))</f>
        <v>#N/A</v>
      </c>
      <c r="AF261" s="14" t="e" cm="1">
        <f t="array" aca="1" ref="AF261" ca="1">IF(INDIRECT(ADDRESS($B261+1,AF$230,1,1,"Actively Infected Trend"))=0,#N/A,INDIRECT(ADDRESS($B261+1,AF$230,1,1,"Actively Infected Trend")))</f>
        <v>#N/A</v>
      </c>
      <c r="AG261" s="14" t="e" cm="1">
        <f t="array" aca="1" ref="AG261" ca="1">IF(INDIRECT(ADDRESS($B261+1,AG$230,1,1,"Actively Infected Trend"))=0,#N/A,INDIRECT(ADDRESS($B261+1,AG$230,1,1,"Actively Infected Trend")))</f>
        <v>#N/A</v>
      </c>
      <c r="AH261" s="14" t="e" cm="1">
        <f t="array" aca="1" ref="AH261" ca="1">IF(INDIRECT(ADDRESS($B261+1,AH$230,1,1,"Actively Infected Trend"))=0,#N/A,INDIRECT(ADDRESS($B261+1,AH$230,1,1,"Actively Infected Trend")))</f>
        <v>#N/A</v>
      </c>
      <c r="AI261" s="14" t="e" cm="1">
        <f t="array" aca="1" ref="AI261" ca="1">IF(INDIRECT(ADDRESS($B261+1,AI$230,1,1,"Actively Infected Trend"))=0,#N/A,INDIRECT(ADDRESS($B261+1,AI$230,1,1,"Actively Infected Trend")))</f>
        <v>#N/A</v>
      </c>
      <c r="AJ261" s="14" t="e" cm="1">
        <f t="array" aca="1" ref="AJ261" ca="1">IF(INDIRECT(ADDRESS($B261+1,AJ$230,1,1,"Actively Infected Trend"))=0,#N/A,INDIRECT(ADDRESS($B261+1,AJ$230,1,1,"Actively Infected Trend")))</f>
        <v>#N/A</v>
      </c>
      <c r="AK261" s="14" t="e" cm="1">
        <f t="array" aca="1" ref="AK261" ca="1">IF(INDIRECT(ADDRESS($B261+1,AK$230,1,1,"Actively Infected Trend"))=0,#N/A,INDIRECT(ADDRESS($B261+1,AK$230,1,1,"Actively Infected Trend")))</f>
        <v>#N/A</v>
      </c>
      <c r="AL261" s="14" t="e" cm="1">
        <f t="array" aca="1" ref="AL261" ca="1">IF(INDIRECT(ADDRESS($B261+1,AL$230,1,1,"Actively Infected Trend"))=0,#N/A,INDIRECT(ADDRESS($B261+1,AL$230,1,1,"Actively Infected Trend")))</f>
        <v>#N/A</v>
      </c>
      <c r="AM261" s="14" t="e" cm="1">
        <f t="array" aca="1" ref="AM261" ca="1">IF(INDIRECT(ADDRESS($B261+1,AM$230,1,1,"Actively Infected Trend"))=0,#N/A,INDIRECT(ADDRESS($B261+1,AM$230,1,1,"Actively Infected Trend")))</f>
        <v>#N/A</v>
      </c>
      <c r="AN261" s="14" t="e" cm="1">
        <f t="array" aca="1" ref="AN261" ca="1">IF(INDIRECT(ADDRESS($B261+1,AN$230,1,1,"Actively Infected Trend"))=0,#N/A,INDIRECT(ADDRESS($B261+1,AN$230,1,1,"Actively Infected Trend")))</f>
        <v>#N/A</v>
      </c>
      <c r="AO261" s="14" t="e" cm="1">
        <f t="array" aca="1" ref="AO261" ca="1">IF(INDIRECT(ADDRESS($B261+1,AO$230,1,1,"Actively Infected Trend"))=0,#N/A,INDIRECT(ADDRESS($B261+1,AO$230,1,1,"Actively Infected Trend")))</f>
        <v>#N/A</v>
      </c>
      <c r="AP261" s="14" t="e" cm="1">
        <f t="array" aca="1" ref="AP261" ca="1">IF(INDIRECT(ADDRESS($B261+1,AP$230,1,1,"Actively Infected Trend"))=0,#N/A,INDIRECT(ADDRESS($B261+1,AP$230,1,1,"Actively Infected Trend")))</f>
        <v>#N/A</v>
      </c>
      <c r="AQ261" s="14" t="e" cm="1">
        <f t="array" aca="1" ref="AQ261" ca="1">IF(INDIRECT(ADDRESS($B261+1,AQ$230,1,1,"Actively Infected Trend"))=0,#N/A,INDIRECT(ADDRESS($B261+1,AQ$230,1,1,"Actively Infected Trend")))</f>
        <v>#N/A</v>
      </c>
      <c r="AR261" s="14" t="e" cm="1">
        <f t="array" aca="1" ref="AR261" ca="1">IF(INDIRECT(ADDRESS($B261+1,AR$230,1,1,"Actively Infected Trend"))=0,#N/A,INDIRECT(ADDRESS($B261+1,AR$230,1,1,"Actively Infected Trend")))</f>
        <v>#N/A</v>
      </c>
      <c r="AS261" s="14" t="e" cm="1">
        <f t="array" aca="1" ref="AS261" ca="1">IF(INDIRECT(ADDRESS($B261+1,AS$230,1,1,"Actively Infected Trend"))=0,#N/A,INDIRECT(ADDRESS($B261+1,AS$230,1,1,"Actively Infected Trend")))</f>
        <v>#N/A</v>
      </c>
      <c r="AT261" s="14" t="e" cm="1">
        <f t="array" aca="1" ref="AT261" ca="1">IF(INDIRECT(ADDRESS($B261+1,AT$230,1,1,"Actively Infected Trend"))=0,#N/A,INDIRECT(ADDRESS($B261+1,AT$230,1,1,"Actively Infected Trend")))</f>
        <v>#N/A</v>
      </c>
      <c r="AU261" s="14" t="e" cm="1">
        <f t="array" aca="1" ref="AU261" ca="1">IF(INDIRECT(ADDRESS($B261+1,AU$230,1,1,"Actively Infected Trend"))=0,#N/A,INDIRECT(ADDRESS($B261+1,AU$230,1,1,"Actively Infected Trend")))</f>
        <v>#N/A</v>
      </c>
      <c r="AV261" s="14" t="e" cm="1">
        <f t="array" aca="1" ref="AV261" ca="1">IF(INDIRECT(ADDRESS($B261+1,AV$230,1,1,"Actively Infected Trend"))=0,#N/A,INDIRECT(ADDRESS($B261+1,AV$230,1,1,"Actively Infected Trend")))</f>
        <v>#N/A</v>
      </c>
      <c r="AW261" s="14" t="e" cm="1">
        <f t="array" aca="1" ref="AW261" ca="1">IF(INDIRECT(ADDRESS($B261+1,AW$230,1,1,"Actively Infected Trend"))=0,#N/A,INDIRECT(ADDRESS($B261+1,AW$230,1,1,"Actively Infected Trend")))</f>
        <v>#N/A</v>
      </c>
      <c r="AX261" s="14" t="e" cm="1">
        <f t="array" aca="1" ref="AX261" ca="1">IF(INDIRECT(ADDRESS($B261+1,AX$230,1,1,"Actively Infected Trend"))=0,#N/A,INDIRECT(ADDRESS($B261+1,AX$230,1,1,"Actively Infected Trend")))</f>
        <v>#N/A</v>
      </c>
      <c r="AY261" s="14" t="e" cm="1">
        <f t="array" aca="1" ref="AY261" ca="1">IF(INDIRECT(ADDRESS($B261+1,AY$230,1,1,"Actively Infected Trend"))=0,#N/A,INDIRECT(ADDRESS($B261+1,AY$230,1,1,"Actively Infected Trend")))</f>
        <v>#N/A</v>
      </c>
      <c r="AZ261" s="14" t="e" cm="1">
        <f t="array" aca="1" ref="AZ261" ca="1">IF(INDIRECT(ADDRESS($B261+1,AZ$230,1,1,"Actively Infected Trend"))=0,#N/A,INDIRECT(ADDRESS($B261+1,AZ$230,1,1,"Actively Infected Trend")))</f>
        <v>#N/A</v>
      </c>
      <c r="BA261" s="14" t="e" cm="1">
        <f t="array" aca="1" ref="BA261" ca="1">IF(INDIRECT(ADDRESS($B261+1,BA$230,1,1,"Actively Infected Trend"))=0,#N/A,INDIRECT(ADDRESS($B261+1,BA$230,1,1,"Actively Infected Trend")))</f>
        <v>#N/A</v>
      </c>
      <c r="BB261" s="14" t="e" cm="1">
        <f t="array" aca="1" ref="BB261" ca="1">IF(INDIRECT(ADDRESS($B261+1,BB$230,1,1,"Actively Infected Trend"))=0,#N/A,INDIRECT(ADDRESS($B261+1,BB$230,1,1,"Actively Infected Trend")))</f>
        <v>#N/A</v>
      </c>
      <c r="BC261" s="14" t="e" cm="1">
        <f t="array" aca="1" ref="BC261" ca="1">IF(INDIRECT(ADDRESS($B261+1,BC$230,1,1,"Actively Infected Trend"))=0,#N/A,INDIRECT(ADDRESS($B261+1,BC$230,1,1,"Actively Infected Trend")))</f>
        <v>#N/A</v>
      </c>
      <c r="BD261" s="14" t="e" cm="1">
        <f t="array" aca="1" ref="BD261" ca="1">IF(INDIRECT(ADDRESS($B261+1,BD$230,1,1,"Actively Infected Trend"))=0,#N/A,INDIRECT(ADDRESS($B261+1,BD$230,1,1,"Actively Infected Trend")))</f>
        <v>#N/A</v>
      </c>
      <c r="BE261" s="14" t="e" cm="1">
        <f t="array" aca="1" ref="BE261" ca="1">IF(INDIRECT(ADDRESS($B261+1,BE$230,1,1,"Actively Infected Trend"))=0,#N/A,INDIRECT(ADDRESS($B261+1,BE$230,1,1,"Actively Infected Trend")))</f>
        <v>#N/A</v>
      </c>
      <c r="BF261" s="14" t="e" cm="1">
        <f t="array" aca="1" ref="BF261" ca="1">IF(INDIRECT(ADDRESS($B261+1,BF$230,1,1,"Actively Infected Trend"))=0,#N/A,INDIRECT(ADDRESS($B261+1,BF$230,1,1,"Actively Infected Trend")))</f>
        <v>#N/A</v>
      </c>
      <c r="BG261" s="14" t="e" cm="1">
        <f t="array" aca="1" ref="BG261" ca="1">IF(INDIRECT(ADDRESS($B261+1,BG$230,1,1,"Actively Infected Trend"))=0,#N/A,INDIRECT(ADDRESS($B261+1,BG$230,1,1,"Actively Infected Trend")))</f>
        <v>#N/A</v>
      </c>
      <c r="BH261" s="14" t="e" cm="1">
        <f t="array" aca="1" ref="BH261" ca="1">IF(INDIRECT(ADDRESS($B261+1,BH$230,1,1,"Actively Infected Trend"))=0,#N/A,INDIRECT(ADDRESS($B261+1,BH$230,1,1,"Actively Infected Trend")))</f>
        <v>#N/A</v>
      </c>
      <c r="BI261" s="14" t="e" cm="1">
        <f t="array" aca="1" ref="BI261" ca="1">IF(INDIRECT(ADDRESS($B261+1,BI$230,1,1,"Actively Infected Trend"))=0,#N/A,INDIRECT(ADDRESS($B261+1,BI$230,1,1,"Actively Infected Trend")))</f>
        <v>#N/A</v>
      </c>
      <c r="BJ261" s="14" t="e" cm="1">
        <f t="array" aca="1" ref="BJ261" ca="1">IF(INDIRECT(ADDRESS($B261+1,BJ$230,1,1,"Actively Infected Trend"))=0,#N/A,INDIRECT(ADDRESS($B261+1,BJ$230,1,1,"Actively Infected Trend")))</f>
        <v>#N/A</v>
      </c>
      <c r="BK261" s="14" t="e" cm="1">
        <f t="array" aca="1" ref="BK261" ca="1">IF(INDIRECT(ADDRESS($B261+1,BK$230,1,1,"Actively Infected Trend"))=0,#N/A,INDIRECT(ADDRESS($B261+1,BK$230,1,1,"Actively Infected Trend")))</f>
        <v>#N/A</v>
      </c>
      <c r="BL261" s="14" t="e" cm="1">
        <f t="array" aca="1" ref="BL261" ca="1">IF(INDIRECT(ADDRESS($B261+1,BL$230,1,1,"Actively Infected Trend"))=0,#N/A,INDIRECT(ADDRESS($B261+1,BL$230,1,1,"Actively Infected Trend")))</f>
        <v>#N/A</v>
      </c>
      <c r="BM261" s="14" t="e" cm="1">
        <f t="array" aca="1" ref="BM261" ca="1">IF(INDIRECT(ADDRESS($B261+1,BM$230,1,1,"Actively Infected Trend"))=0,#N/A,INDIRECT(ADDRESS($B261+1,BM$230,1,1,"Actively Infected Trend")))</f>
        <v>#N/A</v>
      </c>
      <c r="BN261" s="14" t="e" cm="1">
        <f t="array" aca="1" ref="BN261" ca="1">IF(INDIRECT(ADDRESS($B261+1,BN$230,1,1,"Actively Infected Trend"))=0,#N/A,INDIRECT(ADDRESS($B261+1,BN$230,1,1,"Actively Infected Trend")))</f>
        <v>#N/A</v>
      </c>
      <c r="BO261" s="14" t="e" cm="1">
        <f t="array" aca="1" ref="BO261" ca="1">IF(INDIRECT(ADDRESS($B261+1,BO$230,1,1,"Actively Infected Trend"))=0,#N/A,INDIRECT(ADDRESS($B261+1,BO$230,1,1,"Actively Infected Trend")))</f>
        <v>#N/A</v>
      </c>
      <c r="BP261" s="14" t="e" cm="1">
        <f t="array" aca="1" ref="BP261" ca="1">IF(INDIRECT(ADDRESS($B261+1,BP$230,1,1,"Actively Infected Trend"))=0,#N/A,INDIRECT(ADDRESS($B261+1,BP$230,1,1,"Actively Infected Trend")))</f>
        <v>#N/A</v>
      </c>
      <c r="BQ261" s="14" t="e" cm="1">
        <f t="array" aca="1" ref="BQ261" ca="1">IF(INDIRECT(ADDRESS($B261+1,BQ$230,1,1,"Actively Infected Trend"))=0,#N/A,INDIRECT(ADDRESS($B261+1,BQ$230,1,1,"Actively Infected Trend")))</f>
        <v>#N/A</v>
      </c>
      <c r="BR261" s="14" t="e" cm="1">
        <f t="array" aca="1" ref="BR261" ca="1">IF(INDIRECT(ADDRESS($B261+1,BR$230,1,1,"Actively Infected Trend"))=0,#N/A,INDIRECT(ADDRESS($B261+1,BR$230,1,1,"Actively Infected Trend")))</f>
        <v>#N/A</v>
      </c>
      <c r="BS261" s="14" t="e" cm="1">
        <f t="array" aca="1" ref="BS261" ca="1">IF(INDIRECT(ADDRESS($B261+1,BS$230,1,1,"Actively Infected Trend"))=0,#N/A,INDIRECT(ADDRESS($B261+1,BS$230,1,1,"Actively Infected Trend")))</f>
        <v>#N/A</v>
      </c>
      <c r="BT261" s="14" t="e" cm="1">
        <f t="array" aca="1" ref="BT261" ca="1">IF(INDIRECT(ADDRESS($B261+1,BT$230,1,1,"Actively Infected Trend"))=0,#N/A,INDIRECT(ADDRESS($B261+1,BT$230,1,1,"Actively Infected Trend")))</f>
        <v>#N/A</v>
      </c>
      <c r="BU261" s="14" t="e" cm="1">
        <f t="array" aca="1" ref="BU261" ca="1">IF(INDIRECT(ADDRESS($B261+1,BU$230,1,1,"Actively Infected Trend"))=0,#N/A,INDIRECT(ADDRESS($B261+1,BU$230,1,1,"Actively Infected Trend")))</f>
        <v>#N/A</v>
      </c>
      <c r="BV261" s="14" t="e" cm="1">
        <f t="array" aca="1" ref="BV261" ca="1">IF(INDIRECT(ADDRESS($B261+1,BV$230,1,1,"Actively Infected Trend"))=0,#N/A,INDIRECT(ADDRESS($B261+1,BV$230,1,1,"Actively Infected Trend")))</f>
        <v>#N/A</v>
      </c>
      <c r="BW261" s="14" t="e" cm="1">
        <f t="array" aca="1" ref="BW261" ca="1">IF(INDIRECT(ADDRESS($B261+1,BW$230,1,1,"Actively Infected Trend"))=0,#N/A,INDIRECT(ADDRESS($B261+1,BW$230,1,1,"Actively Infected Trend")))</f>
        <v>#N/A</v>
      </c>
      <c r="BX261" s="14" t="e" cm="1">
        <f t="array" aca="1" ref="BX261" ca="1">IF(INDIRECT(ADDRESS($B261+1,BX$230,1,1,"Actively Infected Trend"))=0,#N/A,INDIRECT(ADDRESS($B261+1,BX$230,1,1,"Actively Infected Trend")))</f>
        <v>#N/A</v>
      </c>
      <c r="BY261" s="14" t="e" cm="1">
        <f t="array" aca="1" ref="BY261" ca="1">IF(INDIRECT(ADDRESS($B261+1,BY$230,1,1,"Actively Infected Trend"))=0,#N/A,INDIRECT(ADDRESS($B261+1,BY$230,1,1,"Actively Infected Trend")))</f>
        <v>#N/A</v>
      </c>
      <c r="BZ261" s="14" t="e" cm="1">
        <f t="array" aca="1" ref="BZ261" ca="1">IF(INDIRECT(ADDRESS($B261+1,BZ$230,1,1,"Actively Infected Trend"))=0,#N/A,INDIRECT(ADDRESS($B261+1,BZ$230,1,1,"Actively Infected Trend")))</f>
        <v>#N/A</v>
      </c>
      <c r="CA261" s="14" t="e" cm="1">
        <f t="array" aca="1" ref="CA261" ca="1">IF(INDIRECT(ADDRESS($B261+1,CA$230,1,1,"Actively Infected Trend"))=0,#N/A,INDIRECT(ADDRESS($B261+1,CA$230,1,1,"Actively Infected Trend")))</f>
        <v>#N/A</v>
      </c>
      <c r="CB261" s="14" t="e" cm="1">
        <f t="array" aca="1" ref="CB261" ca="1">IF(INDIRECT(ADDRESS($B261+1,CB$230,1,1,"Actively Infected Trend"))=0,#N/A,INDIRECT(ADDRESS($B261+1,CB$230,1,1,"Actively Infected Trend")))</f>
        <v>#N/A</v>
      </c>
      <c r="CC261" s="14" t="e" cm="1">
        <f t="array" aca="1" ref="CC261" ca="1">IF(INDIRECT(ADDRESS($B261+1,CC$230,1,1,"Actively Infected Trend"))=0,#N/A,INDIRECT(ADDRESS($B261+1,CC$230,1,1,"Actively Infected Trend")))</f>
        <v>#N/A</v>
      </c>
      <c r="CD261" s="14" t="e" cm="1">
        <f t="array" aca="1" ref="CD261" ca="1">IF(INDIRECT(ADDRESS($B261+1,CD$230,1,1,"Actively Infected Trend"))=0,#N/A,INDIRECT(ADDRESS($B261+1,CD$230,1,1,"Actively Infected Trend")))</f>
        <v>#N/A</v>
      </c>
      <c r="CE261" s="14" t="e" cm="1">
        <f t="array" aca="1" ref="CE261" ca="1">IF(INDIRECT(ADDRESS($B261+1,CE$230,1,1,"Actively Infected Trend"))=0,#N/A,INDIRECT(ADDRESS($B261+1,CE$230,1,1,"Actively Infected Trend")))</f>
        <v>#N/A</v>
      </c>
      <c r="CF261" s="14" t="e" cm="1">
        <f t="array" aca="1" ref="CF261" ca="1">IF(INDIRECT(ADDRESS($B261+1,CF$230,1,1,"Actively Infected Trend"))=0,#N/A,INDIRECT(ADDRESS($B261+1,CF$230,1,1,"Actively Infected Trend")))</f>
        <v>#N/A</v>
      </c>
      <c r="CG261" s="14" t="e" cm="1">
        <f t="array" aca="1" ref="CG261" ca="1">IF(INDIRECT(ADDRESS($B261+1,CG$230,1,1,"Actively Infected Trend"))=0,#N/A,INDIRECT(ADDRESS($B261+1,CG$230,1,1,"Actively Infected Trend")))</f>
        <v>#N/A</v>
      </c>
      <c r="CH261" s="14" t="e" cm="1">
        <f t="array" aca="1" ref="CH261" ca="1">IF(INDIRECT(ADDRESS($B261+1,CH$230,1,1,"Actively Infected Trend"))=0,#N/A,INDIRECT(ADDRESS($B261+1,CH$230,1,1,"Actively Infected Trend")))</f>
        <v>#N/A</v>
      </c>
      <c r="CI261" s="14" t="e" cm="1">
        <f t="array" aca="1" ref="CI261" ca="1">IF(INDIRECT(ADDRESS($B261+1,CI$230,1,1,"Actively Infected Trend"))=0,#N/A,INDIRECT(ADDRESS($B261+1,CI$230,1,1,"Actively Infected Trend")))</f>
        <v>#N/A</v>
      </c>
      <c r="CJ261" s="14" t="e" cm="1">
        <f t="array" aca="1" ref="CJ261" ca="1">IF(INDIRECT(ADDRESS($B261+1,CJ$230,1,1,"Actively Infected Trend"))=0,#N/A,INDIRECT(ADDRESS($B261+1,CJ$230,1,1,"Actively Infected Trend")))</f>
        <v>#N/A</v>
      </c>
      <c r="CK261" s="14" t="e" cm="1">
        <f t="array" aca="1" ref="CK261" ca="1">IF(INDIRECT(ADDRESS($B261+1,CK$230,1,1,"Actively Infected Trend"))=0,#N/A,INDIRECT(ADDRESS($B261+1,CK$230,1,1,"Actively Infected Trend")))</f>
        <v>#N/A</v>
      </c>
      <c r="CL261" s="14" t="e" cm="1">
        <f t="array" aca="1" ref="CL261" ca="1">IF(INDIRECT(ADDRESS($B261+1,CL$230,1,1,"Actively Infected Trend"))=0,#N/A,INDIRECT(ADDRESS($B261+1,CL$230,1,1,"Actively Infected Trend")))</f>
        <v>#N/A</v>
      </c>
      <c r="CM261" s="14" t="e" cm="1">
        <f t="array" aca="1" ref="CM261" ca="1">IF(INDIRECT(ADDRESS($B261+1,CM$230,1,1,"Actively Infected Trend"))=0,#N/A,INDIRECT(ADDRESS($B261+1,CM$230,1,1,"Actively Infected Trend")))</f>
        <v>#N/A</v>
      </c>
      <c r="CN261" s="14" t="e" cm="1">
        <f t="array" aca="1" ref="CN261" ca="1">IF(INDIRECT(ADDRESS($B261+1,CN$230,1,1,"Actively Infected Trend"))=0,#N/A,INDIRECT(ADDRESS($B261+1,CN$230,1,1,"Actively Infected Trend")))</f>
        <v>#N/A</v>
      </c>
      <c r="CO261" s="14" t="e" cm="1">
        <f t="array" aca="1" ref="CO261" ca="1">IF(INDIRECT(ADDRESS($B261+1,CO$230,1,1,"Actively Infected Trend"))=0,#N/A,INDIRECT(ADDRESS($B261+1,CO$230,1,1,"Actively Infected Trend")))</f>
        <v>#N/A</v>
      </c>
      <c r="CP261" s="14" t="e" cm="1">
        <f t="array" aca="1" ref="CP261" ca="1">IF(INDIRECT(ADDRESS($B261+1,CP$230,1,1,"Actively Infected Trend"))=0,#N/A,INDIRECT(ADDRESS($B261+1,CP$230,1,1,"Actively Infected Trend")))</f>
        <v>#N/A</v>
      </c>
      <c r="CQ261" s="14" t="e" cm="1">
        <f t="array" aca="1" ref="CQ261" ca="1">IF(INDIRECT(ADDRESS($B261+1,CQ$230,1,1,"Actively Infected Trend"))=0,#N/A,INDIRECT(ADDRESS($B261+1,CQ$230,1,1,"Actively Infected Trend")))</f>
        <v>#N/A</v>
      </c>
      <c r="CR261" s="14" t="e" cm="1">
        <f t="array" aca="1" ref="CR261" ca="1">IF(INDIRECT(ADDRESS($B261+1,CR$230,1,1,"Actively Infected Trend"))=0,#N/A,INDIRECT(ADDRESS($B261+1,CR$230,1,1,"Actively Infected Trend")))</f>
        <v>#N/A</v>
      </c>
    </row>
    <row r="262" spans="2:96" x14ac:dyDescent="0.25">
      <c r="B262">
        <f t="shared" si="349"/>
        <v>31</v>
      </c>
      <c r="C262" cm="1">
        <f t="array" aca="1" ref="C262" ca="1">INDIRECT(ADDRESS($B262+1,1,1,1,"Actively Infected Trend"))</f>
        <v>0</v>
      </c>
      <c r="E262" s="14" t="e" cm="1">
        <f t="array" aca="1" ref="E262" ca="1">IF(INDIRECT(ADDRESS($B262+1,E$230,1,1,"Actively Infected Trend"))=0,#N/A,INDIRECT(ADDRESS($B262+1,E$230,1,1,"Actively Infected Trend")))</f>
        <v>#N/A</v>
      </c>
      <c r="F262" s="14" t="e" cm="1">
        <f t="array" aca="1" ref="F262" ca="1">IF(INDIRECT(ADDRESS($B262+1,F$230,1,1,"Actively Infected Trend"))=0,#N/A,INDIRECT(ADDRESS($B262+1,F$230,1,1,"Actively Infected Trend")))</f>
        <v>#N/A</v>
      </c>
      <c r="G262" s="14" t="e" cm="1">
        <f t="array" aca="1" ref="G262" ca="1">IF(INDIRECT(ADDRESS($B262+1,G$230,1,1,"Actively Infected Trend"))=0,#N/A,INDIRECT(ADDRESS($B262+1,G$230,1,1,"Actively Infected Trend")))</f>
        <v>#N/A</v>
      </c>
      <c r="H262" s="14" t="e" cm="1">
        <f t="array" aca="1" ref="H262" ca="1">IF(INDIRECT(ADDRESS($B262+1,H$230,1,1,"Actively Infected Trend"))=0,#N/A,INDIRECT(ADDRESS($B262+1,H$230,1,1,"Actively Infected Trend")))</f>
        <v>#N/A</v>
      </c>
      <c r="I262" s="14" t="e" cm="1">
        <f t="array" aca="1" ref="I262" ca="1">IF(INDIRECT(ADDRESS($B262+1,I$230,1,1,"Actively Infected Trend"))=0,#N/A,INDIRECT(ADDRESS($B262+1,I$230,1,1,"Actively Infected Trend")))</f>
        <v>#N/A</v>
      </c>
      <c r="J262" s="14" t="e" cm="1">
        <f t="array" aca="1" ref="J262" ca="1">IF(INDIRECT(ADDRESS($B262+1,J$230,1,1,"Actively Infected Trend"))=0,#N/A,INDIRECT(ADDRESS($B262+1,J$230,1,1,"Actively Infected Trend")))</f>
        <v>#N/A</v>
      </c>
      <c r="K262" s="14" t="e" cm="1">
        <f t="array" aca="1" ref="K262" ca="1">IF(INDIRECT(ADDRESS($B262+1,K$230,1,1,"Actively Infected Trend"))=0,#N/A,INDIRECT(ADDRESS($B262+1,K$230,1,1,"Actively Infected Trend")))</f>
        <v>#N/A</v>
      </c>
      <c r="L262" s="14" t="e" cm="1">
        <f t="array" aca="1" ref="L262" ca="1">IF(INDIRECT(ADDRESS($B262+1,L$230,1,1,"Actively Infected Trend"))=0,#N/A,INDIRECT(ADDRESS($B262+1,L$230,1,1,"Actively Infected Trend")))</f>
        <v>#N/A</v>
      </c>
      <c r="M262" s="14" t="e" cm="1">
        <f t="array" aca="1" ref="M262" ca="1">IF(INDIRECT(ADDRESS($B262+1,M$230,1,1,"Actively Infected Trend"))=0,#N/A,INDIRECT(ADDRESS($B262+1,M$230,1,1,"Actively Infected Trend")))</f>
        <v>#N/A</v>
      </c>
      <c r="N262" s="14" t="e" cm="1">
        <f t="array" aca="1" ref="N262" ca="1">IF(INDIRECT(ADDRESS($B262+1,N$230,1,1,"Actively Infected Trend"))=0,#N/A,INDIRECT(ADDRESS($B262+1,N$230,1,1,"Actively Infected Trend")))</f>
        <v>#N/A</v>
      </c>
      <c r="O262" s="14" t="e" cm="1">
        <f t="array" aca="1" ref="O262" ca="1">IF(INDIRECT(ADDRESS($B262+1,O$230,1,1,"Actively Infected Trend"))=0,#N/A,INDIRECT(ADDRESS($B262+1,O$230,1,1,"Actively Infected Trend")))</f>
        <v>#N/A</v>
      </c>
      <c r="P262" s="14" t="e" cm="1">
        <f t="array" aca="1" ref="P262" ca="1">IF(INDIRECT(ADDRESS($B262+1,P$230,1,1,"Actively Infected Trend"))=0,#N/A,INDIRECT(ADDRESS($B262+1,P$230,1,1,"Actively Infected Trend")))</f>
        <v>#N/A</v>
      </c>
      <c r="Q262" s="14" t="e" cm="1">
        <f t="array" aca="1" ref="Q262" ca="1">IF(INDIRECT(ADDRESS($B262+1,Q$230,1,1,"Actively Infected Trend"))=0,#N/A,INDIRECT(ADDRESS($B262+1,Q$230,1,1,"Actively Infected Trend")))</f>
        <v>#N/A</v>
      </c>
      <c r="R262" s="14" t="e" cm="1">
        <f t="array" aca="1" ref="R262" ca="1">IF(INDIRECT(ADDRESS($B262+1,R$230,1,1,"Actively Infected Trend"))=0,#N/A,INDIRECT(ADDRESS($B262+1,R$230,1,1,"Actively Infected Trend")))</f>
        <v>#N/A</v>
      </c>
      <c r="S262" s="14" t="e" cm="1">
        <f t="array" aca="1" ref="S262" ca="1">IF(INDIRECT(ADDRESS($B262+1,S$230,1,1,"Actively Infected Trend"))=0,#N/A,INDIRECT(ADDRESS($B262+1,S$230,1,1,"Actively Infected Trend")))</f>
        <v>#N/A</v>
      </c>
      <c r="T262" s="14" t="e" cm="1">
        <f t="array" aca="1" ref="T262" ca="1">IF(INDIRECT(ADDRESS($B262+1,T$230,1,1,"Actively Infected Trend"))=0,#N/A,INDIRECT(ADDRESS($B262+1,T$230,1,1,"Actively Infected Trend")))</f>
        <v>#N/A</v>
      </c>
      <c r="U262" s="14" t="e" cm="1">
        <f t="array" aca="1" ref="U262" ca="1">IF(INDIRECT(ADDRESS($B262+1,U$230,1,1,"Actively Infected Trend"))=0,#N/A,INDIRECT(ADDRESS($B262+1,U$230,1,1,"Actively Infected Trend")))</f>
        <v>#N/A</v>
      </c>
      <c r="V262" s="14" t="e" cm="1">
        <f t="array" aca="1" ref="V262" ca="1">IF(INDIRECT(ADDRESS($B262+1,V$230,1,1,"Actively Infected Trend"))=0,#N/A,INDIRECT(ADDRESS($B262+1,V$230,1,1,"Actively Infected Trend")))</f>
        <v>#N/A</v>
      </c>
      <c r="W262" s="14" t="e" cm="1">
        <f t="array" aca="1" ref="W262" ca="1">IF(INDIRECT(ADDRESS($B262+1,W$230,1,1,"Actively Infected Trend"))=0,#N/A,INDIRECT(ADDRESS($B262+1,W$230,1,1,"Actively Infected Trend")))</f>
        <v>#N/A</v>
      </c>
      <c r="X262" s="14" t="e" cm="1">
        <f t="array" aca="1" ref="X262" ca="1">IF(INDIRECT(ADDRESS($B262+1,X$230,1,1,"Actively Infected Trend"))=0,#N/A,INDIRECT(ADDRESS($B262+1,X$230,1,1,"Actively Infected Trend")))</f>
        <v>#N/A</v>
      </c>
      <c r="Y262" s="14" t="e" cm="1">
        <f t="array" aca="1" ref="Y262" ca="1">IF(INDIRECT(ADDRESS($B262+1,Y$230,1,1,"Actively Infected Trend"))=0,#N/A,INDIRECT(ADDRESS($B262+1,Y$230,1,1,"Actively Infected Trend")))</f>
        <v>#N/A</v>
      </c>
      <c r="Z262" s="14" t="e" cm="1">
        <f t="array" aca="1" ref="Z262" ca="1">IF(INDIRECT(ADDRESS($B262+1,Z$230,1,1,"Actively Infected Trend"))=0,#N/A,INDIRECT(ADDRESS($B262+1,Z$230,1,1,"Actively Infected Trend")))</f>
        <v>#N/A</v>
      </c>
      <c r="AA262" s="14" t="e" cm="1">
        <f t="array" aca="1" ref="AA262" ca="1">IF(INDIRECT(ADDRESS($B262+1,AA$230,1,1,"Actively Infected Trend"))=0,#N/A,INDIRECT(ADDRESS($B262+1,AA$230,1,1,"Actively Infected Trend")))</f>
        <v>#N/A</v>
      </c>
      <c r="AB262" s="14" t="e" cm="1">
        <f t="array" aca="1" ref="AB262" ca="1">IF(INDIRECT(ADDRESS($B262+1,AB$230,1,1,"Actively Infected Trend"))=0,#N/A,INDIRECT(ADDRESS($B262+1,AB$230,1,1,"Actively Infected Trend")))</f>
        <v>#N/A</v>
      </c>
      <c r="AC262" s="14" t="e" cm="1">
        <f t="array" aca="1" ref="AC262" ca="1">IF(INDIRECT(ADDRESS($B262+1,AC$230,1,1,"Actively Infected Trend"))=0,#N/A,INDIRECT(ADDRESS($B262+1,AC$230,1,1,"Actively Infected Trend")))</f>
        <v>#N/A</v>
      </c>
      <c r="AD262" s="14" t="e" cm="1">
        <f t="array" aca="1" ref="AD262" ca="1">IF(INDIRECT(ADDRESS($B262+1,AD$230,1,1,"Actively Infected Trend"))=0,#N/A,INDIRECT(ADDRESS($B262+1,AD$230,1,1,"Actively Infected Trend")))</f>
        <v>#N/A</v>
      </c>
      <c r="AE262" s="14" t="e" cm="1">
        <f t="array" aca="1" ref="AE262" ca="1">IF(INDIRECT(ADDRESS($B262+1,AE$230,1,1,"Actively Infected Trend"))=0,#N/A,INDIRECT(ADDRESS($B262+1,AE$230,1,1,"Actively Infected Trend")))</f>
        <v>#N/A</v>
      </c>
      <c r="AF262" s="14" t="e" cm="1">
        <f t="array" aca="1" ref="AF262" ca="1">IF(INDIRECT(ADDRESS($B262+1,AF$230,1,1,"Actively Infected Trend"))=0,#N/A,INDIRECT(ADDRESS($B262+1,AF$230,1,1,"Actively Infected Trend")))</f>
        <v>#N/A</v>
      </c>
      <c r="AG262" s="14" t="e" cm="1">
        <f t="array" aca="1" ref="AG262" ca="1">IF(INDIRECT(ADDRESS($B262+1,AG$230,1,1,"Actively Infected Trend"))=0,#N/A,INDIRECT(ADDRESS($B262+1,AG$230,1,1,"Actively Infected Trend")))</f>
        <v>#N/A</v>
      </c>
      <c r="AH262" s="14" t="e" cm="1">
        <f t="array" aca="1" ref="AH262" ca="1">IF(INDIRECT(ADDRESS($B262+1,AH$230,1,1,"Actively Infected Trend"))=0,#N/A,INDIRECT(ADDRESS($B262+1,AH$230,1,1,"Actively Infected Trend")))</f>
        <v>#N/A</v>
      </c>
      <c r="AI262" s="14" t="e" cm="1">
        <f t="array" aca="1" ref="AI262" ca="1">IF(INDIRECT(ADDRESS($B262+1,AI$230,1,1,"Actively Infected Trend"))=0,#N/A,INDIRECT(ADDRESS($B262+1,AI$230,1,1,"Actively Infected Trend")))</f>
        <v>#N/A</v>
      </c>
      <c r="AJ262" s="14" t="e" cm="1">
        <f t="array" aca="1" ref="AJ262" ca="1">IF(INDIRECT(ADDRESS($B262+1,AJ$230,1,1,"Actively Infected Trend"))=0,#N/A,INDIRECT(ADDRESS($B262+1,AJ$230,1,1,"Actively Infected Trend")))</f>
        <v>#N/A</v>
      </c>
      <c r="AK262" s="14" t="e" cm="1">
        <f t="array" aca="1" ref="AK262" ca="1">IF(INDIRECT(ADDRESS($B262+1,AK$230,1,1,"Actively Infected Trend"))=0,#N/A,INDIRECT(ADDRESS($B262+1,AK$230,1,1,"Actively Infected Trend")))</f>
        <v>#N/A</v>
      </c>
      <c r="AL262" s="14" t="e" cm="1">
        <f t="array" aca="1" ref="AL262" ca="1">IF(INDIRECT(ADDRESS($B262+1,AL$230,1,1,"Actively Infected Trend"))=0,#N/A,INDIRECT(ADDRESS($B262+1,AL$230,1,1,"Actively Infected Trend")))</f>
        <v>#N/A</v>
      </c>
      <c r="AM262" s="14" t="e" cm="1">
        <f t="array" aca="1" ref="AM262" ca="1">IF(INDIRECT(ADDRESS($B262+1,AM$230,1,1,"Actively Infected Trend"))=0,#N/A,INDIRECT(ADDRESS($B262+1,AM$230,1,1,"Actively Infected Trend")))</f>
        <v>#N/A</v>
      </c>
      <c r="AN262" s="14" t="e" cm="1">
        <f t="array" aca="1" ref="AN262" ca="1">IF(INDIRECT(ADDRESS($B262+1,AN$230,1,1,"Actively Infected Trend"))=0,#N/A,INDIRECT(ADDRESS($B262+1,AN$230,1,1,"Actively Infected Trend")))</f>
        <v>#N/A</v>
      </c>
      <c r="AO262" s="14" t="e" cm="1">
        <f t="array" aca="1" ref="AO262" ca="1">IF(INDIRECT(ADDRESS($B262+1,AO$230,1,1,"Actively Infected Trend"))=0,#N/A,INDIRECT(ADDRESS($B262+1,AO$230,1,1,"Actively Infected Trend")))</f>
        <v>#N/A</v>
      </c>
      <c r="AP262" s="14" t="e" cm="1">
        <f t="array" aca="1" ref="AP262" ca="1">IF(INDIRECT(ADDRESS($B262+1,AP$230,1,1,"Actively Infected Trend"))=0,#N/A,INDIRECT(ADDRESS($B262+1,AP$230,1,1,"Actively Infected Trend")))</f>
        <v>#N/A</v>
      </c>
      <c r="AQ262" s="14" t="e" cm="1">
        <f t="array" aca="1" ref="AQ262" ca="1">IF(INDIRECT(ADDRESS($B262+1,AQ$230,1,1,"Actively Infected Trend"))=0,#N/A,INDIRECT(ADDRESS($B262+1,AQ$230,1,1,"Actively Infected Trend")))</f>
        <v>#N/A</v>
      </c>
      <c r="AR262" s="14" t="e" cm="1">
        <f t="array" aca="1" ref="AR262" ca="1">IF(INDIRECT(ADDRESS($B262+1,AR$230,1,1,"Actively Infected Trend"))=0,#N/A,INDIRECT(ADDRESS($B262+1,AR$230,1,1,"Actively Infected Trend")))</f>
        <v>#N/A</v>
      </c>
      <c r="AS262" s="14" t="e" cm="1">
        <f t="array" aca="1" ref="AS262" ca="1">IF(INDIRECT(ADDRESS($B262+1,AS$230,1,1,"Actively Infected Trend"))=0,#N/A,INDIRECT(ADDRESS($B262+1,AS$230,1,1,"Actively Infected Trend")))</f>
        <v>#N/A</v>
      </c>
      <c r="AT262" s="14" t="e" cm="1">
        <f t="array" aca="1" ref="AT262" ca="1">IF(INDIRECT(ADDRESS($B262+1,AT$230,1,1,"Actively Infected Trend"))=0,#N/A,INDIRECT(ADDRESS($B262+1,AT$230,1,1,"Actively Infected Trend")))</f>
        <v>#N/A</v>
      </c>
      <c r="AU262" s="14" t="e" cm="1">
        <f t="array" aca="1" ref="AU262" ca="1">IF(INDIRECT(ADDRESS($B262+1,AU$230,1,1,"Actively Infected Trend"))=0,#N/A,INDIRECT(ADDRESS($B262+1,AU$230,1,1,"Actively Infected Trend")))</f>
        <v>#N/A</v>
      </c>
      <c r="AV262" s="14" t="e" cm="1">
        <f t="array" aca="1" ref="AV262" ca="1">IF(INDIRECT(ADDRESS($B262+1,AV$230,1,1,"Actively Infected Trend"))=0,#N/A,INDIRECT(ADDRESS($B262+1,AV$230,1,1,"Actively Infected Trend")))</f>
        <v>#N/A</v>
      </c>
      <c r="AW262" s="14" t="e" cm="1">
        <f t="array" aca="1" ref="AW262" ca="1">IF(INDIRECT(ADDRESS($B262+1,AW$230,1,1,"Actively Infected Trend"))=0,#N/A,INDIRECT(ADDRESS($B262+1,AW$230,1,1,"Actively Infected Trend")))</f>
        <v>#N/A</v>
      </c>
      <c r="AX262" s="14" t="e" cm="1">
        <f t="array" aca="1" ref="AX262" ca="1">IF(INDIRECT(ADDRESS($B262+1,AX$230,1,1,"Actively Infected Trend"))=0,#N/A,INDIRECT(ADDRESS($B262+1,AX$230,1,1,"Actively Infected Trend")))</f>
        <v>#N/A</v>
      </c>
      <c r="AY262" s="14" t="e" cm="1">
        <f t="array" aca="1" ref="AY262" ca="1">IF(INDIRECT(ADDRESS($B262+1,AY$230,1,1,"Actively Infected Trend"))=0,#N/A,INDIRECT(ADDRESS($B262+1,AY$230,1,1,"Actively Infected Trend")))</f>
        <v>#N/A</v>
      </c>
      <c r="AZ262" s="14" t="e" cm="1">
        <f t="array" aca="1" ref="AZ262" ca="1">IF(INDIRECT(ADDRESS($B262+1,AZ$230,1,1,"Actively Infected Trend"))=0,#N/A,INDIRECT(ADDRESS($B262+1,AZ$230,1,1,"Actively Infected Trend")))</f>
        <v>#N/A</v>
      </c>
      <c r="BA262" s="14" t="e" cm="1">
        <f t="array" aca="1" ref="BA262" ca="1">IF(INDIRECT(ADDRESS($B262+1,BA$230,1,1,"Actively Infected Trend"))=0,#N/A,INDIRECT(ADDRESS($B262+1,BA$230,1,1,"Actively Infected Trend")))</f>
        <v>#N/A</v>
      </c>
      <c r="BB262" s="14" t="e" cm="1">
        <f t="array" aca="1" ref="BB262" ca="1">IF(INDIRECT(ADDRESS($B262+1,BB$230,1,1,"Actively Infected Trend"))=0,#N/A,INDIRECT(ADDRESS($B262+1,BB$230,1,1,"Actively Infected Trend")))</f>
        <v>#N/A</v>
      </c>
      <c r="BC262" s="14" t="e" cm="1">
        <f t="array" aca="1" ref="BC262" ca="1">IF(INDIRECT(ADDRESS($B262+1,BC$230,1,1,"Actively Infected Trend"))=0,#N/A,INDIRECT(ADDRESS($B262+1,BC$230,1,1,"Actively Infected Trend")))</f>
        <v>#N/A</v>
      </c>
      <c r="BD262" s="14" t="e" cm="1">
        <f t="array" aca="1" ref="BD262" ca="1">IF(INDIRECT(ADDRESS($B262+1,BD$230,1,1,"Actively Infected Trend"))=0,#N/A,INDIRECT(ADDRESS($B262+1,BD$230,1,1,"Actively Infected Trend")))</f>
        <v>#N/A</v>
      </c>
      <c r="BE262" s="14" t="e" cm="1">
        <f t="array" aca="1" ref="BE262" ca="1">IF(INDIRECT(ADDRESS($B262+1,BE$230,1,1,"Actively Infected Trend"))=0,#N/A,INDIRECT(ADDRESS($B262+1,BE$230,1,1,"Actively Infected Trend")))</f>
        <v>#N/A</v>
      </c>
      <c r="BF262" s="14" t="e" cm="1">
        <f t="array" aca="1" ref="BF262" ca="1">IF(INDIRECT(ADDRESS($B262+1,BF$230,1,1,"Actively Infected Trend"))=0,#N/A,INDIRECT(ADDRESS($B262+1,BF$230,1,1,"Actively Infected Trend")))</f>
        <v>#N/A</v>
      </c>
      <c r="BG262" s="14" t="e" cm="1">
        <f t="array" aca="1" ref="BG262" ca="1">IF(INDIRECT(ADDRESS($B262+1,BG$230,1,1,"Actively Infected Trend"))=0,#N/A,INDIRECT(ADDRESS($B262+1,BG$230,1,1,"Actively Infected Trend")))</f>
        <v>#N/A</v>
      </c>
      <c r="BH262" s="14" t="e" cm="1">
        <f t="array" aca="1" ref="BH262" ca="1">IF(INDIRECT(ADDRESS($B262+1,BH$230,1,1,"Actively Infected Trend"))=0,#N/A,INDIRECT(ADDRESS($B262+1,BH$230,1,1,"Actively Infected Trend")))</f>
        <v>#N/A</v>
      </c>
      <c r="BI262" s="14" t="e" cm="1">
        <f t="array" aca="1" ref="BI262" ca="1">IF(INDIRECT(ADDRESS($B262+1,BI$230,1,1,"Actively Infected Trend"))=0,#N/A,INDIRECT(ADDRESS($B262+1,BI$230,1,1,"Actively Infected Trend")))</f>
        <v>#N/A</v>
      </c>
      <c r="BJ262" s="14" t="e" cm="1">
        <f t="array" aca="1" ref="BJ262" ca="1">IF(INDIRECT(ADDRESS($B262+1,BJ$230,1,1,"Actively Infected Trend"))=0,#N/A,INDIRECT(ADDRESS($B262+1,BJ$230,1,1,"Actively Infected Trend")))</f>
        <v>#N/A</v>
      </c>
      <c r="BK262" s="14" t="e" cm="1">
        <f t="array" aca="1" ref="BK262" ca="1">IF(INDIRECT(ADDRESS($B262+1,BK$230,1,1,"Actively Infected Trend"))=0,#N/A,INDIRECT(ADDRESS($B262+1,BK$230,1,1,"Actively Infected Trend")))</f>
        <v>#N/A</v>
      </c>
      <c r="BL262" s="14" t="e" cm="1">
        <f t="array" aca="1" ref="BL262" ca="1">IF(INDIRECT(ADDRESS($B262+1,BL$230,1,1,"Actively Infected Trend"))=0,#N/A,INDIRECT(ADDRESS($B262+1,BL$230,1,1,"Actively Infected Trend")))</f>
        <v>#N/A</v>
      </c>
      <c r="BM262" s="14" t="e" cm="1">
        <f t="array" aca="1" ref="BM262" ca="1">IF(INDIRECT(ADDRESS($B262+1,BM$230,1,1,"Actively Infected Trend"))=0,#N/A,INDIRECT(ADDRESS($B262+1,BM$230,1,1,"Actively Infected Trend")))</f>
        <v>#N/A</v>
      </c>
      <c r="BN262" s="14" t="e" cm="1">
        <f t="array" aca="1" ref="BN262" ca="1">IF(INDIRECT(ADDRESS($B262+1,BN$230,1,1,"Actively Infected Trend"))=0,#N/A,INDIRECT(ADDRESS($B262+1,BN$230,1,1,"Actively Infected Trend")))</f>
        <v>#N/A</v>
      </c>
      <c r="BO262" s="14" t="e" cm="1">
        <f t="array" aca="1" ref="BO262" ca="1">IF(INDIRECT(ADDRESS($B262+1,BO$230,1,1,"Actively Infected Trend"))=0,#N/A,INDIRECT(ADDRESS($B262+1,BO$230,1,1,"Actively Infected Trend")))</f>
        <v>#N/A</v>
      </c>
      <c r="BP262" s="14" t="e" cm="1">
        <f t="array" aca="1" ref="BP262" ca="1">IF(INDIRECT(ADDRESS($B262+1,BP$230,1,1,"Actively Infected Trend"))=0,#N/A,INDIRECT(ADDRESS($B262+1,BP$230,1,1,"Actively Infected Trend")))</f>
        <v>#N/A</v>
      </c>
      <c r="BQ262" s="14" t="e" cm="1">
        <f t="array" aca="1" ref="BQ262" ca="1">IF(INDIRECT(ADDRESS($B262+1,BQ$230,1,1,"Actively Infected Trend"))=0,#N/A,INDIRECT(ADDRESS($B262+1,BQ$230,1,1,"Actively Infected Trend")))</f>
        <v>#N/A</v>
      </c>
      <c r="BR262" s="14" t="e" cm="1">
        <f t="array" aca="1" ref="BR262" ca="1">IF(INDIRECT(ADDRESS($B262+1,BR$230,1,1,"Actively Infected Trend"))=0,#N/A,INDIRECT(ADDRESS($B262+1,BR$230,1,1,"Actively Infected Trend")))</f>
        <v>#N/A</v>
      </c>
      <c r="BS262" s="14" t="e" cm="1">
        <f t="array" aca="1" ref="BS262" ca="1">IF(INDIRECT(ADDRESS($B262+1,BS$230,1,1,"Actively Infected Trend"))=0,#N/A,INDIRECT(ADDRESS($B262+1,BS$230,1,1,"Actively Infected Trend")))</f>
        <v>#N/A</v>
      </c>
      <c r="BT262" s="14" t="e" cm="1">
        <f t="array" aca="1" ref="BT262" ca="1">IF(INDIRECT(ADDRESS($B262+1,BT$230,1,1,"Actively Infected Trend"))=0,#N/A,INDIRECT(ADDRESS($B262+1,BT$230,1,1,"Actively Infected Trend")))</f>
        <v>#N/A</v>
      </c>
      <c r="BU262" s="14" t="e" cm="1">
        <f t="array" aca="1" ref="BU262" ca="1">IF(INDIRECT(ADDRESS($B262+1,BU$230,1,1,"Actively Infected Trend"))=0,#N/A,INDIRECT(ADDRESS($B262+1,BU$230,1,1,"Actively Infected Trend")))</f>
        <v>#N/A</v>
      </c>
      <c r="BV262" s="14" t="e" cm="1">
        <f t="array" aca="1" ref="BV262" ca="1">IF(INDIRECT(ADDRESS($B262+1,BV$230,1,1,"Actively Infected Trend"))=0,#N/A,INDIRECT(ADDRESS($B262+1,BV$230,1,1,"Actively Infected Trend")))</f>
        <v>#N/A</v>
      </c>
      <c r="BW262" s="14" t="e" cm="1">
        <f t="array" aca="1" ref="BW262" ca="1">IF(INDIRECT(ADDRESS($B262+1,BW$230,1,1,"Actively Infected Trend"))=0,#N/A,INDIRECT(ADDRESS($B262+1,BW$230,1,1,"Actively Infected Trend")))</f>
        <v>#N/A</v>
      </c>
      <c r="BX262" s="14" t="e" cm="1">
        <f t="array" aca="1" ref="BX262" ca="1">IF(INDIRECT(ADDRESS($B262+1,BX$230,1,1,"Actively Infected Trend"))=0,#N/A,INDIRECT(ADDRESS($B262+1,BX$230,1,1,"Actively Infected Trend")))</f>
        <v>#N/A</v>
      </c>
      <c r="BY262" s="14" t="e" cm="1">
        <f t="array" aca="1" ref="BY262" ca="1">IF(INDIRECT(ADDRESS($B262+1,BY$230,1,1,"Actively Infected Trend"))=0,#N/A,INDIRECT(ADDRESS($B262+1,BY$230,1,1,"Actively Infected Trend")))</f>
        <v>#N/A</v>
      </c>
      <c r="BZ262" s="14" t="e" cm="1">
        <f t="array" aca="1" ref="BZ262" ca="1">IF(INDIRECT(ADDRESS($B262+1,BZ$230,1,1,"Actively Infected Trend"))=0,#N/A,INDIRECT(ADDRESS($B262+1,BZ$230,1,1,"Actively Infected Trend")))</f>
        <v>#N/A</v>
      </c>
      <c r="CA262" s="14" t="e" cm="1">
        <f t="array" aca="1" ref="CA262" ca="1">IF(INDIRECT(ADDRESS($B262+1,CA$230,1,1,"Actively Infected Trend"))=0,#N/A,INDIRECT(ADDRESS($B262+1,CA$230,1,1,"Actively Infected Trend")))</f>
        <v>#N/A</v>
      </c>
      <c r="CB262" s="14" t="e" cm="1">
        <f t="array" aca="1" ref="CB262" ca="1">IF(INDIRECT(ADDRESS($B262+1,CB$230,1,1,"Actively Infected Trend"))=0,#N/A,INDIRECT(ADDRESS($B262+1,CB$230,1,1,"Actively Infected Trend")))</f>
        <v>#N/A</v>
      </c>
      <c r="CC262" s="14" t="e" cm="1">
        <f t="array" aca="1" ref="CC262" ca="1">IF(INDIRECT(ADDRESS($B262+1,CC$230,1,1,"Actively Infected Trend"))=0,#N/A,INDIRECT(ADDRESS($B262+1,CC$230,1,1,"Actively Infected Trend")))</f>
        <v>#N/A</v>
      </c>
      <c r="CD262" s="14" t="e" cm="1">
        <f t="array" aca="1" ref="CD262" ca="1">IF(INDIRECT(ADDRESS($B262+1,CD$230,1,1,"Actively Infected Trend"))=0,#N/A,INDIRECT(ADDRESS($B262+1,CD$230,1,1,"Actively Infected Trend")))</f>
        <v>#N/A</v>
      </c>
      <c r="CE262" s="14" t="e" cm="1">
        <f t="array" aca="1" ref="CE262" ca="1">IF(INDIRECT(ADDRESS($B262+1,CE$230,1,1,"Actively Infected Trend"))=0,#N/A,INDIRECT(ADDRESS($B262+1,CE$230,1,1,"Actively Infected Trend")))</f>
        <v>#N/A</v>
      </c>
      <c r="CF262" s="14" t="e" cm="1">
        <f t="array" aca="1" ref="CF262" ca="1">IF(INDIRECT(ADDRESS($B262+1,CF$230,1,1,"Actively Infected Trend"))=0,#N/A,INDIRECT(ADDRESS($B262+1,CF$230,1,1,"Actively Infected Trend")))</f>
        <v>#N/A</v>
      </c>
      <c r="CG262" s="14" t="e" cm="1">
        <f t="array" aca="1" ref="CG262" ca="1">IF(INDIRECT(ADDRESS($B262+1,CG$230,1,1,"Actively Infected Trend"))=0,#N/A,INDIRECT(ADDRESS($B262+1,CG$230,1,1,"Actively Infected Trend")))</f>
        <v>#N/A</v>
      </c>
      <c r="CH262" s="14" t="e" cm="1">
        <f t="array" aca="1" ref="CH262" ca="1">IF(INDIRECT(ADDRESS($B262+1,CH$230,1,1,"Actively Infected Trend"))=0,#N/A,INDIRECT(ADDRESS($B262+1,CH$230,1,1,"Actively Infected Trend")))</f>
        <v>#N/A</v>
      </c>
      <c r="CI262" s="14" t="e" cm="1">
        <f t="array" aca="1" ref="CI262" ca="1">IF(INDIRECT(ADDRESS($B262+1,CI$230,1,1,"Actively Infected Trend"))=0,#N/A,INDIRECT(ADDRESS($B262+1,CI$230,1,1,"Actively Infected Trend")))</f>
        <v>#N/A</v>
      </c>
      <c r="CJ262" s="14" t="e" cm="1">
        <f t="array" aca="1" ref="CJ262" ca="1">IF(INDIRECT(ADDRESS($B262+1,CJ$230,1,1,"Actively Infected Trend"))=0,#N/A,INDIRECT(ADDRESS($B262+1,CJ$230,1,1,"Actively Infected Trend")))</f>
        <v>#N/A</v>
      </c>
      <c r="CK262" s="14" t="e" cm="1">
        <f t="array" aca="1" ref="CK262" ca="1">IF(INDIRECT(ADDRESS($B262+1,CK$230,1,1,"Actively Infected Trend"))=0,#N/A,INDIRECT(ADDRESS($B262+1,CK$230,1,1,"Actively Infected Trend")))</f>
        <v>#N/A</v>
      </c>
      <c r="CL262" s="14" t="e" cm="1">
        <f t="array" aca="1" ref="CL262" ca="1">IF(INDIRECT(ADDRESS($B262+1,CL$230,1,1,"Actively Infected Trend"))=0,#N/A,INDIRECT(ADDRESS($B262+1,CL$230,1,1,"Actively Infected Trend")))</f>
        <v>#N/A</v>
      </c>
      <c r="CM262" s="14" t="e" cm="1">
        <f t="array" aca="1" ref="CM262" ca="1">IF(INDIRECT(ADDRESS($B262+1,CM$230,1,1,"Actively Infected Trend"))=0,#N/A,INDIRECT(ADDRESS($B262+1,CM$230,1,1,"Actively Infected Trend")))</f>
        <v>#N/A</v>
      </c>
      <c r="CN262" s="14" t="e" cm="1">
        <f t="array" aca="1" ref="CN262" ca="1">IF(INDIRECT(ADDRESS($B262+1,CN$230,1,1,"Actively Infected Trend"))=0,#N/A,INDIRECT(ADDRESS($B262+1,CN$230,1,1,"Actively Infected Trend")))</f>
        <v>#N/A</v>
      </c>
      <c r="CO262" s="14" t="e" cm="1">
        <f t="array" aca="1" ref="CO262" ca="1">IF(INDIRECT(ADDRESS($B262+1,CO$230,1,1,"Actively Infected Trend"))=0,#N/A,INDIRECT(ADDRESS($B262+1,CO$230,1,1,"Actively Infected Trend")))</f>
        <v>#N/A</v>
      </c>
      <c r="CP262" s="14" t="e" cm="1">
        <f t="array" aca="1" ref="CP262" ca="1">IF(INDIRECT(ADDRESS($B262+1,CP$230,1,1,"Actively Infected Trend"))=0,#N/A,INDIRECT(ADDRESS($B262+1,CP$230,1,1,"Actively Infected Trend")))</f>
        <v>#N/A</v>
      </c>
      <c r="CQ262" s="14" t="e" cm="1">
        <f t="array" aca="1" ref="CQ262" ca="1">IF(INDIRECT(ADDRESS($B262+1,CQ$230,1,1,"Actively Infected Trend"))=0,#N/A,INDIRECT(ADDRESS($B262+1,CQ$230,1,1,"Actively Infected Trend")))</f>
        <v>#N/A</v>
      </c>
      <c r="CR262" s="14" t="e" cm="1">
        <f t="array" aca="1" ref="CR262" ca="1">IF(INDIRECT(ADDRESS($B262+1,CR$230,1,1,"Actively Infected Trend"))=0,#N/A,INDIRECT(ADDRESS($B262+1,CR$230,1,1,"Actively Infected Trend")))</f>
        <v>#N/A</v>
      </c>
    </row>
    <row r="263" spans="2:96" x14ac:dyDescent="0.25">
      <c r="B263">
        <f t="shared" si="349"/>
        <v>32</v>
      </c>
      <c r="C263" cm="1">
        <f t="array" aca="1" ref="C263" ca="1">INDIRECT(ADDRESS($B263+1,1,1,1,"Actively Infected Trend"))</f>
        <v>0</v>
      </c>
      <c r="E263" s="14" t="e" cm="1">
        <f t="array" aca="1" ref="E263" ca="1">IF(INDIRECT(ADDRESS($B263+1,E$230,1,1,"Actively Infected Trend"))=0,#N/A,INDIRECT(ADDRESS($B263+1,E$230,1,1,"Actively Infected Trend")))</f>
        <v>#N/A</v>
      </c>
      <c r="F263" s="14" t="e" cm="1">
        <f t="array" aca="1" ref="F263" ca="1">IF(INDIRECT(ADDRESS($B263+1,F$230,1,1,"Actively Infected Trend"))=0,#N/A,INDIRECT(ADDRESS($B263+1,F$230,1,1,"Actively Infected Trend")))</f>
        <v>#N/A</v>
      </c>
      <c r="G263" s="14" t="e" cm="1">
        <f t="array" aca="1" ref="G263" ca="1">IF(INDIRECT(ADDRESS($B263+1,G$230,1,1,"Actively Infected Trend"))=0,#N/A,INDIRECT(ADDRESS($B263+1,G$230,1,1,"Actively Infected Trend")))</f>
        <v>#N/A</v>
      </c>
      <c r="H263" s="14" t="e" cm="1">
        <f t="array" aca="1" ref="H263" ca="1">IF(INDIRECT(ADDRESS($B263+1,H$230,1,1,"Actively Infected Trend"))=0,#N/A,INDIRECT(ADDRESS($B263+1,H$230,1,1,"Actively Infected Trend")))</f>
        <v>#N/A</v>
      </c>
      <c r="I263" s="14" t="e" cm="1">
        <f t="array" aca="1" ref="I263" ca="1">IF(INDIRECT(ADDRESS($B263+1,I$230,1,1,"Actively Infected Trend"))=0,#N/A,INDIRECT(ADDRESS($B263+1,I$230,1,1,"Actively Infected Trend")))</f>
        <v>#N/A</v>
      </c>
      <c r="J263" s="14" t="e" cm="1">
        <f t="array" aca="1" ref="J263" ca="1">IF(INDIRECT(ADDRESS($B263+1,J$230,1,1,"Actively Infected Trend"))=0,#N/A,INDIRECT(ADDRESS($B263+1,J$230,1,1,"Actively Infected Trend")))</f>
        <v>#N/A</v>
      </c>
      <c r="K263" s="14" t="e" cm="1">
        <f t="array" aca="1" ref="K263" ca="1">IF(INDIRECT(ADDRESS($B263+1,K$230,1,1,"Actively Infected Trend"))=0,#N/A,INDIRECT(ADDRESS($B263+1,K$230,1,1,"Actively Infected Trend")))</f>
        <v>#N/A</v>
      </c>
      <c r="L263" s="14" t="e" cm="1">
        <f t="array" aca="1" ref="L263" ca="1">IF(INDIRECT(ADDRESS($B263+1,L$230,1,1,"Actively Infected Trend"))=0,#N/A,INDIRECT(ADDRESS($B263+1,L$230,1,1,"Actively Infected Trend")))</f>
        <v>#N/A</v>
      </c>
      <c r="M263" s="14" t="e" cm="1">
        <f t="array" aca="1" ref="M263" ca="1">IF(INDIRECT(ADDRESS($B263+1,M$230,1,1,"Actively Infected Trend"))=0,#N/A,INDIRECT(ADDRESS($B263+1,M$230,1,1,"Actively Infected Trend")))</f>
        <v>#N/A</v>
      </c>
      <c r="N263" s="14" t="e" cm="1">
        <f t="array" aca="1" ref="N263" ca="1">IF(INDIRECT(ADDRESS($B263+1,N$230,1,1,"Actively Infected Trend"))=0,#N/A,INDIRECT(ADDRESS($B263+1,N$230,1,1,"Actively Infected Trend")))</f>
        <v>#N/A</v>
      </c>
      <c r="O263" s="14" t="e" cm="1">
        <f t="array" aca="1" ref="O263" ca="1">IF(INDIRECT(ADDRESS($B263+1,O$230,1,1,"Actively Infected Trend"))=0,#N/A,INDIRECT(ADDRESS($B263+1,O$230,1,1,"Actively Infected Trend")))</f>
        <v>#N/A</v>
      </c>
      <c r="P263" s="14" t="e" cm="1">
        <f t="array" aca="1" ref="P263" ca="1">IF(INDIRECT(ADDRESS($B263+1,P$230,1,1,"Actively Infected Trend"))=0,#N/A,INDIRECT(ADDRESS($B263+1,P$230,1,1,"Actively Infected Trend")))</f>
        <v>#N/A</v>
      </c>
      <c r="Q263" s="14" t="e" cm="1">
        <f t="array" aca="1" ref="Q263" ca="1">IF(INDIRECT(ADDRESS($B263+1,Q$230,1,1,"Actively Infected Trend"))=0,#N/A,INDIRECT(ADDRESS($B263+1,Q$230,1,1,"Actively Infected Trend")))</f>
        <v>#N/A</v>
      </c>
      <c r="R263" s="14" t="e" cm="1">
        <f t="array" aca="1" ref="R263" ca="1">IF(INDIRECT(ADDRESS($B263+1,R$230,1,1,"Actively Infected Trend"))=0,#N/A,INDIRECT(ADDRESS($B263+1,R$230,1,1,"Actively Infected Trend")))</f>
        <v>#N/A</v>
      </c>
      <c r="S263" s="14" t="e" cm="1">
        <f t="array" aca="1" ref="S263" ca="1">IF(INDIRECT(ADDRESS($B263+1,S$230,1,1,"Actively Infected Trend"))=0,#N/A,INDIRECT(ADDRESS($B263+1,S$230,1,1,"Actively Infected Trend")))</f>
        <v>#N/A</v>
      </c>
      <c r="T263" s="14" t="e" cm="1">
        <f t="array" aca="1" ref="T263" ca="1">IF(INDIRECT(ADDRESS($B263+1,T$230,1,1,"Actively Infected Trend"))=0,#N/A,INDIRECT(ADDRESS($B263+1,T$230,1,1,"Actively Infected Trend")))</f>
        <v>#N/A</v>
      </c>
      <c r="U263" s="14" t="e" cm="1">
        <f t="array" aca="1" ref="U263" ca="1">IF(INDIRECT(ADDRESS($B263+1,U$230,1,1,"Actively Infected Trend"))=0,#N/A,INDIRECT(ADDRESS($B263+1,U$230,1,1,"Actively Infected Trend")))</f>
        <v>#N/A</v>
      </c>
      <c r="V263" s="14" t="e" cm="1">
        <f t="array" aca="1" ref="V263" ca="1">IF(INDIRECT(ADDRESS($B263+1,V$230,1,1,"Actively Infected Trend"))=0,#N/A,INDIRECT(ADDRESS($B263+1,V$230,1,1,"Actively Infected Trend")))</f>
        <v>#N/A</v>
      </c>
      <c r="W263" s="14" t="e" cm="1">
        <f t="array" aca="1" ref="W263" ca="1">IF(INDIRECT(ADDRESS($B263+1,W$230,1,1,"Actively Infected Trend"))=0,#N/A,INDIRECT(ADDRESS($B263+1,W$230,1,1,"Actively Infected Trend")))</f>
        <v>#N/A</v>
      </c>
      <c r="X263" s="14" t="e" cm="1">
        <f t="array" aca="1" ref="X263" ca="1">IF(INDIRECT(ADDRESS($B263+1,X$230,1,1,"Actively Infected Trend"))=0,#N/A,INDIRECT(ADDRESS($B263+1,X$230,1,1,"Actively Infected Trend")))</f>
        <v>#N/A</v>
      </c>
      <c r="Y263" s="14" t="e" cm="1">
        <f t="array" aca="1" ref="Y263" ca="1">IF(INDIRECT(ADDRESS($B263+1,Y$230,1,1,"Actively Infected Trend"))=0,#N/A,INDIRECT(ADDRESS($B263+1,Y$230,1,1,"Actively Infected Trend")))</f>
        <v>#N/A</v>
      </c>
      <c r="Z263" s="14" t="e" cm="1">
        <f t="array" aca="1" ref="Z263" ca="1">IF(INDIRECT(ADDRESS($B263+1,Z$230,1,1,"Actively Infected Trend"))=0,#N/A,INDIRECT(ADDRESS($B263+1,Z$230,1,1,"Actively Infected Trend")))</f>
        <v>#N/A</v>
      </c>
      <c r="AA263" s="14" t="e" cm="1">
        <f t="array" aca="1" ref="AA263" ca="1">IF(INDIRECT(ADDRESS($B263+1,AA$230,1,1,"Actively Infected Trend"))=0,#N/A,INDIRECT(ADDRESS($B263+1,AA$230,1,1,"Actively Infected Trend")))</f>
        <v>#N/A</v>
      </c>
      <c r="AB263" s="14" t="e" cm="1">
        <f t="array" aca="1" ref="AB263" ca="1">IF(INDIRECT(ADDRESS($B263+1,AB$230,1,1,"Actively Infected Trend"))=0,#N/A,INDIRECT(ADDRESS($B263+1,AB$230,1,1,"Actively Infected Trend")))</f>
        <v>#N/A</v>
      </c>
      <c r="AC263" s="14" t="e" cm="1">
        <f t="array" aca="1" ref="AC263" ca="1">IF(INDIRECT(ADDRESS($B263+1,AC$230,1,1,"Actively Infected Trend"))=0,#N/A,INDIRECT(ADDRESS($B263+1,AC$230,1,1,"Actively Infected Trend")))</f>
        <v>#N/A</v>
      </c>
      <c r="AD263" s="14" t="e" cm="1">
        <f t="array" aca="1" ref="AD263" ca="1">IF(INDIRECT(ADDRESS($B263+1,AD$230,1,1,"Actively Infected Trend"))=0,#N/A,INDIRECT(ADDRESS($B263+1,AD$230,1,1,"Actively Infected Trend")))</f>
        <v>#N/A</v>
      </c>
      <c r="AE263" s="14" t="e" cm="1">
        <f t="array" aca="1" ref="AE263" ca="1">IF(INDIRECT(ADDRESS($B263+1,AE$230,1,1,"Actively Infected Trend"))=0,#N/A,INDIRECT(ADDRESS($B263+1,AE$230,1,1,"Actively Infected Trend")))</f>
        <v>#N/A</v>
      </c>
      <c r="AF263" s="14" t="e" cm="1">
        <f t="array" aca="1" ref="AF263" ca="1">IF(INDIRECT(ADDRESS($B263+1,AF$230,1,1,"Actively Infected Trend"))=0,#N/A,INDIRECT(ADDRESS($B263+1,AF$230,1,1,"Actively Infected Trend")))</f>
        <v>#N/A</v>
      </c>
      <c r="AG263" s="14" t="e" cm="1">
        <f t="array" aca="1" ref="AG263" ca="1">IF(INDIRECT(ADDRESS($B263+1,AG$230,1,1,"Actively Infected Trend"))=0,#N/A,INDIRECT(ADDRESS($B263+1,AG$230,1,1,"Actively Infected Trend")))</f>
        <v>#N/A</v>
      </c>
      <c r="AH263" s="14" t="e" cm="1">
        <f t="array" aca="1" ref="AH263" ca="1">IF(INDIRECT(ADDRESS($B263+1,AH$230,1,1,"Actively Infected Trend"))=0,#N/A,INDIRECT(ADDRESS($B263+1,AH$230,1,1,"Actively Infected Trend")))</f>
        <v>#N/A</v>
      </c>
      <c r="AI263" s="14" t="e" cm="1">
        <f t="array" aca="1" ref="AI263" ca="1">IF(INDIRECT(ADDRESS($B263+1,AI$230,1,1,"Actively Infected Trend"))=0,#N/A,INDIRECT(ADDRESS($B263+1,AI$230,1,1,"Actively Infected Trend")))</f>
        <v>#N/A</v>
      </c>
      <c r="AJ263" s="14" t="e" cm="1">
        <f t="array" aca="1" ref="AJ263" ca="1">IF(INDIRECT(ADDRESS($B263+1,AJ$230,1,1,"Actively Infected Trend"))=0,#N/A,INDIRECT(ADDRESS($B263+1,AJ$230,1,1,"Actively Infected Trend")))</f>
        <v>#N/A</v>
      </c>
      <c r="AK263" s="14" t="e" cm="1">
        <f t="array" aca="1" ref="AK263" ca="1">IF(INDIRECT(ADDRESS($B263+1,AK$230,1,1,"Actively Infected Trend"))=0,#N/A,INDIRECT(ADDRESS($B263+1,AK$230,1,1,"Actively Infected Trend")))</f>
        <v>#N/A</v>
      </c>
      <c r="AL263" s="14" t="e" cm="1">
        <f t="array" aca="1" ref="AL263" ca="1">IF(INDIRECT(ADDRESS($B263+1,AL$230,1,1,"Actively Infected Trend"))=0,#N/A,INDIRECT(ADDRESS($B263+1,AL$230,1,1,"Actively Infected Trend")))</f>
        <v>#N/A</v>
      </c>
      <c r="AM263" s="14" t="e" cm="1">
        <f t="array" aca="1" ref="AM263" ca="1">IF(INDIRECT(ADDRESS($B263+1,AM$230,1,1,"Actively Infected Trend"))=0,#N/A,INDIRECT(ADDRESS($B263+1,AM$230,1,1,"Actively Infected Trend")))</f>
        <v>#N/A</v>
      </c>
      <c r="AN263" s="14" t="e" cm="1">
        <f t="array" aca="1" ref="AN263" ca="1">IF(INDIRECT(ADDRESS($B263+1,AN$230,1,1,"Actively Infected Trend"))=0,#N/A,INDIRECT(ADDRESS($B263+1,AN$230,1,1,"Actively Infected Trend")))</f>
        <v>#N/A</v>
      </c>
      <c r="AO263" s="14" t="e" cm="1">
        <f t="array" aca="1" ref="AO263" ca="1">IF(INDIRECT(ADDRESS($B263+1,AO$230,1,1,"Actively Infected Trend"))=0,#N/A,INDIRECT(ADDRESS($B263+1,AO$230,1,1,"Actively Infected Trend")))</f>
        <v>#N/A</v>
      </c>
      <c r="AP263" s="14" t="e" cm="1">
        <f t="array" aca="1" ref="AP263" ca="1">IF(INDIRECT(ADDRESS($B263+1,AP$230,1,1,"Actively Infected Trend"))=0,#N/A,INDIRECT(ADDRESS($B263+1,AP$230,1,1,"Actively Infected Trend")))</f>
        <v>#N/A</v>
      </c>
      <c r="AQ263" s="14" t="e" cm="1">
        <f t="array" aca="1" ref="AQ263" ca="1">IF(INDIRECT(ADDRESS($B263+1,AQ$230,1,1,"Actively Infected Trend"))=0,#N/A,INDIRECT(ADDRESS($B263+1,AQ$230,1,1,"Actively Infected Trend")))</f>
        <v>#N/A</v>
      </c>
      <c r="AR263" s="14" t="e" cm="1">
        <f t="array" aca="1" ref="AR263" ca="1">IF(INDIRECT(ADDRESS($B263+1,AR$230,1,1,"Actively Infected Trend"))=0,#N/A,INDIRECT(ADDRESS($B263+1,AR$230,1,1,"Actively Infected Trend")))</f>
        <v>#N/A</v>
      </c>
      <c r="AS263" s="14" t="e" cm="1">
        <f t="array" aca="1" ref="AS263" ca="1">IF(INDIRECT(ADDRESS($B263+1,AS$230,1,1,"Actively Infected Trend"))=0,#N/A,INDIRECT(ADDRESS($B263+1,AS$230,1,1,"Actively Infected Trend")))</f>
        <v>#N/A</v>
      </c>
      <c r="AT263" s="14" t="e" cm="1">
        <f t="array" aca="1" ref="AT263" ca="1">IF(INDIRECT(ADDRESS($B263+1,AT$230,1,1,"Actively Infected Trend"))=0,#N/A,INDIRECT(ADDRESS($B263+1,AT$230,1,1,"Actively Infected Trend")))</f>
        <v>#N/A</v>
      </c>
      <c r="AU263" s="14" t="e" cm="1">
        <f t="array" aca="1" ref="AU263" ca="1">IF(INDIRECT(ADDRESS($B263+1,AU$230,1,1,"Actively Infected Trend"))=0,#N/A,INDIRECT(ADDRESS($B263+1,AU$230,1,1,"Actively Infected Trend")))</f>
        <v>#N/A</v>
      </c>
      <c r="AV263" s="14" t="e" cm="1">
        <f t="array" aca="1" ref="AV263" ca="1">IF(INDIRECT(ADDRESS($B263+1,AV$230,1,1,"Actively Infected Trend"))=0,#N/A,INDIRECT(ADDRESS($B263+1,AV$230,1,1,"Actively Infected Trend")))</f>
        <v>#N/A</v>
      </c>
      <c r="AW263" s="14" t="e" cm="1">
        <f t="array" aca="1" ref="AW263" ca="1">IF(INDIRECT(ADDRESS($B263+1,AW$230,1,1,"Actively Infected Trend"))=0,#N/A,INDIRECT(ADDRESS($B263+1,AW$230,1,1,"Actively Infected Trend")))</f>
        <v>#N/A</v>
      </c>
      <c r="AX263" s="14" t="e" cm="1">
        <f t="array" aca="1" ref="AX263" ca="1">IF(INDIRECT(ADDRESS($B263+1,AX$230,1,1,"Actively Infected Trend"))=0,#N/A,INDIRECT(ADDRESS($B263+1,AX$230,1,1,"Actively Infected Trend")))</f>
        <v>#N/A</v>
      </c>
      <c r="AY263" s="14" t="e" cm="1">
        <f t="array" aca="1" ref="AY263" ca="1">IF(INDIRECT(ADDRESS($B263+1,AY$230,1,1,"Actively Infected Trend"))=0,#N/A,INDIRECT(ADDRESS($B263+1,AY$230,1,1,"Actively Infected Trend")))</f>
        <v>#N/A</v>
      </c>
      <c r="AZ263" s="14" t="e" cm="1">
        <f t="array" aca="1" ref="AZ263" ca="1">IF(INDIRECT(ADDRESS($B263+1,AZ$230,1,1,"Actively Infected Trend"))=0,#N/A,INDIRECT(ADDRESS($B263+1,AZ$230,1,1,"Actively Infected Trend")))</f>
        <v>#N/A</v>
      </c>
      <c r="BA263" s="14" t="e" cm="1">
        <f t="array" aca="1" ref="BA263" ca="1">IF(INDIRECT(ADDRESS($B263+1,BA$230,1,1,"Actively Infected Trend"))=0,#N/A,INDIRECT(ADDRESS($B263+1,BA$230,1,1,"Actively Infected Trend")))</f>
        <v>#N/A</v>
      </c>
      <c r="BB263" s="14" t="e" cm="1">
        <f t="array" aca="1" ref="BB263" ca="1">IF(INDIRECT(ADDRESS($B263+1,BB$230,1,1,"Actively Infected Trend"))=0,#N/A,INDIRECT(ADDRESS($B263+1,BB$230,1,1,"Actively Infected Trend")))</f>
        <v>#N/A</v>
      </c>
      <c r="BC263" s="14" t="e" cm="1">
        <f t="array" aca="1" ref="BC263" ca="1">IF(INDIRECT(ADDRESS($B263+1,BC$230,1,1,"Actively Infected Trend"))=0,#N/A,INDIRECT(ADDRESS($B263+1,BC$230,1,1,"Actively Infected Trend")))</f>
        <v>#N/A</v>
      </c>
      <c r="BD263" s="14" t="e" cm="1">
        <f t="array" aca="1" ref="BD263" ca="1">IF(INDIRECT(ADDRESS($B263+1,BD$230,1,1,"Actively Infected Trend"))=0,#N/A,INDIRECT(ADDRESS($B263+1,BD$230,1,1,"Actively Infected Trend")))</f>
        <v>#N/A</v>
      </c>
      <c r="BE263" s="14" t="e" cm="1">
        <f t="array" aca="1" ref="BE263" ca="1">IF(INDIRECT(ADDRESS($B263+1,BE$230,1,1,"Actively Infected Trend"))=0,#N/A,INDIRECT(ADDRESS($B263+1,BE$230,1,1,"Actively Infected Trend")))</f>
        <v>#N/A</v>
      </c>
      <c r="BF263" s="14" t="e" cm="1">
        <f t="array" aca="1" ref="BF263" ca="1">IF(INDIRECT(ADDRESS($B263+1,BF$230,1,1,"Actively Infected Trend"))=0,#N/A,INDIRECT(ADDRESS($B263+1,BF$230,1,1,"Actively Infected Trend")))</f>
        <v>#N/A</v>
      </c>
      <c r="BG263" s="14" t="e" cm="1">
        <f t="array" aca="1" ref="BG263" ca="1">IF(INDIRECT(ADDRESS($B263+1,BG$230,1,1,"Actively Infected Trend"))=0,#N/A,INDIRECT(ADDRESS($B263+1,BG$230,1,1,"Actively Infected Trend")))</f>
        <v>#N/A</v>
      </c>
      <c r="BH263" s="14" t="e" cm="1">
        <f t="array" aca="1" ref="BH263" ca="1">IF(INDIRECT(ADDRESS($B263+1,BH$230,1,1,"Actively Infected Trend"))=0,#N/A,INDIRECT(ADDRESS($B263+1,BH$230,1,1,"Actively Infected Trend")))</f>
        <v>#N/A</v>
      </c>
      <c r="BI263" s="14" t="e" cm="1">
        <f t="array" aca="1" ref="BI263" ca="1">IF(INDIRECT(ADDRESS($B263+1,BI$230,1,1,"Actively Infected Trend"))=0,#N/A,INDIRECT(ADDRESS($B263+1,BI$230,1,1,"Actively Infected Trend")))</f>
        <v>#N/A</v>
      </c>
      <c r="BJ263" s="14" t="e" cm="1">
        <f t="array" aca="1" ref="BJ263" ca="1">IF(INDIRECT(ADDRESS($B263+1,BJ$230,1,1,"Actively Infected Trend"))=0,#N/A,INDIRECT(ADDRESS($B263+1,BJ$230,1,1,"Actively Infected Trend")))</f>
        <v>#N/A</v>
      </c>
      <c r="BK263" s="14" t="e" cm="1">
        <f t="array" aca="1" ref="BK263" ca="1">IF(INDIRECT(ADDRESS($B263+1,BK$230,1,1,"Actively Infected Trend"))=0,#N/A,INDIRECT(ADDRESS($B263+1,BK$230,1,1,"Actively Infected Trend")))</f>
        <v>#N/A</v>
      </c>
      <c r="BL263" s="14" t="e" cm="1">
        <f t="array" aca="1" ref="BL263" ca="1">IF(INDIRECT(ADDRESS($B263+1,BL$230,1,1,"Actively Infected Trend"))=0,#N/A,INDIRECT(ADDRESS($B263+1,BL$230,1,1,"Actively Infected Trend")))</f>
        <v>#N/A</v>
      </c>
      <c r="BM263" s="14" t="e" cm="1">
        <f t="array" aca="1" ref="BM263" ca="1">IF(INDIRECT(ADDRESS($B263+1,BM$230,1,1,"Actively Infected Trend"))=0,#N/A,INDIRECT(ADDRESS($B263+1,BM$230,1,1,"Actively Infected Trend")))</f>
        <v>#N/A</v>
      </c>
      <c r="BN263" s="14" t="e" cm="1">
        <f t="array" aca="1" ref="BN263" ca="1">IF(INDIRECT(ADDRESS($B263+1,BN$230,1,1,"Actively Infected Trend"))=0,#N/A,INDIRECT(ADDRESS($B263+1,BN$230,1,1,"Actively Infected Trend")))</f>
        <v>#N/A</v>
      </c>
      <c r="BO263" s="14" t="e" cm="1">
        <f t="array" aca="1" ref="BO263" ca="1">IF(INDIRECT(ADDRESS($B263+1,BO$230,1,1,"Actively Infected Trend"))=0,#N/A,INDIRECT(ADDRESS($B263+1,BO$230,1,1,"Actively Infected Trend")))</f>
        <v>#N/A</v>
      </c>
      <c r="BP263" s="14" t="e" cm="1">
        <f t="array" aca="1" ref="BP263" ca="1">IF(INDIRECT(ADDRESS($B263+1,BP$230,1,1,"Actively Infected Trend"))=0,#N/A,INDIRECT(ADDRESS($B263+1,BP$230,1,1,"Actively Infected Trend")))</f>
        <v>#N/A</v>
      </c>
      <c r="BQ263" s="14" t="e" cm="1">
        <f t="array" aca="1" ref="BQ263" ca="1">IF(INDIRECT(ADDRESS($B263+1,BQ$230,1,1,"Actively Infected Trend"))=0,#N/A,INDIRECT(ADDRESS($B263+1,BQ$230,1,1,"Actively Infected Trend")))</f>
        <v>#N/A</v>
      </c>
      <c r="BR263" s="14" t="e" cm="1">
        <f t="array" aca="1" ref="BR263" ca="1">IF(INDIRECT(ADDRESS($B263+1,BR$230,1,1,"Actively Infected Trend"))=0,#N/A,INDIRECT(ADDRESS($B263+1,BR$230,1,1,"Actively Infected Trend")))</f>
        <v>#N/A</v>
      </c>
      <c r="BS263" s="14" t="e" cm="1">
        <f t="array" aca="1" ref="BS263" ca="1">IF(INDIRECT(ADDRESS($B263+1,BS$230,1,1,"Actively Infected Trend"))=0,#N/A,INDIRECT(ADDRESS($B263+1,BS$230,1,1,"Actively Infected Trend")))</f>
        <v>#N/A</v>
      </c>
      <c r="BT263" s="14" t="e" cm="1">
        <f t="array" aca="1" ref="BT263" ca="1">IF(INDIRECT(ADDRESS($B263+1,BT$230,1,1,"Actively Infected Trend"))=0,#N/A,INDIRECT(ADDRESS($B263+1,BT$230,1,1,"Actively Infected Trend")))</f>
        <v>#N/A</v>
      </c>
      <c r="BU263" s="14" t="e" cm="1">
        <f t="array" aca="1" ref="BU263" ca="1">IF(INDIRECT(ADDRESS($B263+1,BU$230,1,1,"Actively Infected Trend"))=0,#N/A,INDIRECT(ADDRESS($B263+1,BU$230,1,1,"Actively Infected Trend")))</f>
        <v>#N/A</v>
      </c>
      <c r="BV263" s="14" t="e" cm="1">
        <f t="array" aca="1" ref="BV263" ca="1">IF(INDIRECT(ADDRESS($B263+1,BV$230,1,1,"Actively Infected Trend"))=0,#N/A,INDIRECT(ADDRESS($B263+1,BV$230,1,1,"Actively Infected Trend")))</f>
        <v>#N/A</v>
      </c>
      <c r="BW263" s="14" t="e" cm="1">
        <f t="array" aca="1" ref="BW263" ca="1">IF(INDIRECT(ADDRESS($B263+1,BW$230,1,1,"Actively Infected Trend"))=0,#N/A,INDIRECT(ADDRESS($B263+1,BW$230,1,1,"Actively Infected Trend")))</f>
        <v>#N/A</v>
      </c>
      <c r="BX263" s="14" t="e" cm="1">
        <f t="array" aca="1" ref="BX263" ca="1">IF(INDIRECT(ADDRESS($B263+1,BX$230,1,1,"Actively Infected Trend"))=0,#N/A,INDIRECT(ADDRESS($B263+1,BX$230,1,1,"Actively Infected Trend")))</f>
        <v>#N/A</v>
      </c>
      <c r="BY263" s="14" t="e" cm="1">
        <f t="array" aca="1" ref="BY263" ca="1">IF(INDIRECT(ADDRESS($B263+1,BY$230,1,1,"Actively Infected Trend"))=0,#N/A,INDIRECT(ADDRESS($B263+1,BY$230,1,1,"Actively Infected Trend")))</f>
        <v>#N/A</v>
      </c>
      <c r="BZ263" s="14" t="e" cm="1">
        <f t="array" aca="1" ref="BZ263" ca="1">IF(INDIRECT(ADDRESS($B263+1,BZ$230,1,1,"Actively Infected Trend"))=0,#N/A,INDIRECT(ADDRESS($B263+1,BZ$230,1,1,"Actively Infected Trend")))</f>
        <v>#N/A</v>
      </c>
      <c r="CA263" s="14" t="e" cm="1">
        <f t="array" aca="1" ref="CA263" ca="1">IF(INDIRECT(ADDRESS($B263+1,CA$230,1,1,"Actively Infected Trend"))=0,#N/A,INDIRECT(ADDRESS($B263+1,CA$230,1,1,"Actively Infected Trend")))</f>
        <v>#N/A</v>
      </c>
      <c r="CB263" s="14" t="e" cm="1">
        <f t="array" aca="1" ref="CB263" ca="1">IF(INDIRECT(ADDRESS($B263+1,CB$230,1,1,"Actively Infected Trend"))=0,#N/A,INDIRECT(ADDRESS($B263+1,CB$230,1,1,"Actively Infected Trend")))</f>
        <v>#N/A</v>
      </c>
      <c r="CC263" s="14" t="e" cm="1">
        <f t="array" aca="1" ref="CC263" ca="1">IF(INDIRECT(ADDRESS($B263+1,CC$230,1,1,"Actively Infected Trend"))=0,#N/A,INDIRECT(ADDRESS($B263+1,CC$230,1,1,"Actively Infected Trend")))</f>
        <v>#N/A</v>
      </c>
      <c r="CD263" s="14" t="e" cm="1">
        <f t="array" aca="1" ref="CD263" ca="1">IF(INDIRECT(ADDRESS($B263+1,CD$230,1,1,"Actively Infected Trend"))=0,#N/A,INDIRECT(ADDRESS($B263+1,CD$230,1,1,"Actively Infected Trend")))</f>
        <v>#N/A</v>
      </c>
      <c r="CE263" s="14" t="e" cm="1">
        <f t="array" aca="1" ref="CE263" ca="1">IF(INDIRECT(ADDRESS($B263+1,CE$230,1,1,"Actively Infected Trend"))=0,#N/A,INDIRECT(ADDRESS($B263+1,CE$230,1,1,"Actively Infected Trend")))</f>
        <v>#N/A</v>
      </c>
      <c r="CF263" s="14" t="e" cm="1">
        <f t="array" aca="1" ref="CF263" ca="1">IF(INDIRECT(ADDRESS($B263+1,CF$230,1,1,"Actively Infected Trend"))=0,#N/A,INDIRECT(ADDRESS($B263+1,CF$230,1,1,"Actively Infected Trend")))</f>
        <v>#N/A</v>
      </c>
      <c r="CG263" s="14" t="e" cm="1">
        <f t="array" aca="1" ref="CG263" ca="1">IF(INDIRECT(ADDRESS($B263+1,CG$230,1,1,"Actively Infected Trend"))=0,#N/A,INDIRECT(ADDRESS($B263+1,CG$230,1,1,"Actively Infected Trend")))</f>
        <v>#N/A</v>
      </c>
      <c r="CH263" s="14" t="e" cm="1">
        <f t="array" aca="1" ref="CH263" ca="1">IF(INDIRECT(ADDRESS($B263+1,CH$230,1,1,"Actively Infected Trend"))=0,#N/A,INDIRECT(ADDRESS($B263+1,CH$230,1,1,"Actively Infected Trend")))</f>
        <v>#N/A</v>
      </c>
      <c r="CI263" s="14" t="e" cm="1">
        <f t="array" aca="1" ref="CI263" ca="1">IF(INDIRECT(ADDRESS($B263+1,CI$230,1,1,"Actively Infected Trend"))=0,#N/A,INDIRECT(ADDRESS($B263+1,CI$230,1,1,"Actively Infected Trend")))</f>
        <v>#N/A</v>
      </c>
      <c r="CJ263" s="14" t="e" cm="1">
        <f t="array" aca="1" ref="CJ263" ca="1">IF(INDIRECT(ADDRESS($B263+1,CJ$230,1,1,"Actively Infected Trend"))=0,#N/A,INDIRECT(ADDRESS($B263+1,CJ$230,1,1,"Actively Infected Trend")))</f>
        <v>#N/A</v>
      </c>
      <c r="CK263" s="14" t="e" cm="1">
        <f t="array" aca="1" ref="CK263" ca="1">IF(INDIRECT(ADDRESS($B263+1,CK$230,1,1,"Actively Infected Trend"))=0,#N/A,INDIRECT(ADDRESS($B263+1,CK$230,1,1,"Actively Infected Trend")))</f>
        <v>#N/A</v>
      </c>
      <c r="CL263" s="14" t="e" cm="1">
        <f t="array" aca="1" ref="CL263" ca="1">IF(INDIRECT(ADDRESS($B263+1,CL$230,1,1,"Actively Infected Trend"))=0,#N/A,INDIRECT(ADDRESS($B263+1,CL$230,1,1,"Actively Infected Trend")))</f>
        <v>#N/A</v>
      </c>
      <c r="CM263" s="14" t="e" cm="1">
        <f t="array" aca="1" ref="CM263" ca="1">IF(INDIRECT(ADDRESS($B263+1,CM$230,1,1,"Actively Infected Trend"))=0,#N/A,INDIRECT(ADDRESS($B263+1,CM$230,1,1,"Actively Infected Trend")))</f>
        <v>#N/A</v>
      </c>
      <c r="CN263" s="14" t="e" cm="1">
        <f t="array" aca="1" ref="CN263" ca="1">IF(INDIRECT(ADDRESS($B263+1,CN$230,1,1,"Actively Infected Trend"))=0,#N/A,INDIRECT(ADDRESS($B263+1,CN$230,1,1,"Actively Infected Trend")))</f>
        <v>#N/A</v>
      </c>
      <c r="CO263" s="14" t="e" cm="1">
        <f t="array" aca="1" ref="CO263" ca="1">IF(INDIRECT(ADDRESS($B263+1,CO$230,1,1,"Actively Infected Trend"))=0,#N/A,INDIRECT(ADDRESS($B263+1,CO$230,1,1,"Actively Infected Trend")))</f>
        <v>#N/A</v>
      </c>
      <c r="CP263" s="14" t="e" cm="1">
        <f t="array" aca="1" ref="CP263" ca="1">IF(INDIRECT(ADDRESS($B263+1,CP$230,1,1,"Actively Infected Trend"))=0,#N/A,INDIRECT(ADDRESS($B263+1,CP$230,1,1,"Actively Infected Trend")))</f>
        <v>#N/A</v>
      </c>
      <c r="CQ263" s="14" t="e" cm="1">
        <f t="array" aca="1" ref="CQ263" ca="1">IF(INDIRECT(ADDRESS($B263+1,CQ$230,1,1,"Actively Infected Trend"))=0,#N/A,INDIRECT(ADDRESS($B263+1,CQ$230,1,1,"Actively Infected Trend")))</f>
        <v>#N/A</v>
      </c>
      <c r="CR263" s="14" t="e" cm="1">
        <f t="array" aca="1" ref="CR263" ca="1">IF(INDIRECT(ADDRESS($B263+1,CR$230,1,1,"Actively Infected Trend"))=0,#N/A,INDIRECT(ADDRESS($B263+1,CR$230,1,1,"Actively Infected Trend")))</f>
        <v>#N/A</v>
      </c>
    </row>
    <row r="264" spans="2:96" x14ac:dyDescent="0.25">
      <c r="B264">
        <f t="shared" si="349"/>
        <v>33</v>
      </c>
      <c r="C264" cm="1">
        <f t="array" aca="1" ref="C264" ca="1">INDIRECT(ADDRESS($B264+1,1,1,1,"Actively Infected Trend"))</f>
        <v>0</v>
      </c>
      <c r="E264" s="14" t="e" cm="1">
        <f t="array" aca="1" ref="E264" ca="1">IF(INDIRECT(ADDRESS($B264+1,E$230,1,1,"Actively Infected Trend"))=0,#N/A,INDIRECT(ADDRESS($B264+1,E$230,1,1,"Actively Infected Trend")))</f>
        <v>#N/A</v>
      </c>
      <c r="F264" s="14" t="e" cm="1">
        <f t="array" aca="1" ref="F264" ca="1">IF(INDIRECT(ADDRESS($B264+1,F$230,1,1,"Actively Infected Trend"))=0,#N/A,INDIRECT(ADDRESS($B264+1,F$230,1,1,"Actively Infected Trend")))</f>
        <v>#N/A</v>
      </c>
      <c r="G264" s="14" t="e" cm="1">
        <f t="array" aca="1" ref="G264" ca="1">IF(INDIRECT(ADDRESS($B264+1,G$230,1,1,"Actively Infected Trend"))=0,#N/A,INDIRECT(ADDRESS($B264+1,G$230,1,1,"Actively Infected Trend")))</f>
        <v>#N/A</v>
      </c>
      <c r="H264" s="14" t="e" cm="1">
        <f t="array" aca="1" ref="H264" ca="1">IF(INDIRECT(ADDRESS($B264+1,H$230,1,1,"Actively Infected Trend"))=0,#N/A,INDIRECT(ADDRESS($B264+1,H$230,1,1,"Actively Infected Trend")))</f>
        <v>#N/A</v>
      </c>
      <c r="I264" s="14" t="e" cm="1">
        <f t="array" aca="1" ref="I264" ca="1">IF(INDIRECT(ADDRESS($B264+1,I$230,1,1,"Actively Infected Trend"))=0,#N/A,INDIRECT(ADDRESS($B264+1,I$230,1,1,"Actively Infected Trend")))</f>
        <v>#N/A</v>
      </c>
      <c r="J264" s="14" t="e" cm="1">
        <f t="array" aca="1" ref="J264" ca="1">IF(INDIRECT(ADDRESS($B264+1,J$230,1,1,"Actively Infected Trend"))=0,#N/A,INDIRECT(ADDRESS($B264+1,J$230,1,1,"Actively Infected Trend")))</f>
        <v>#N/A</v>
      </c>
      <c r="K264" s="14" t="e" cm="1">
        <f t="array" aca="1" ref="K264" ca="1">IF(INDIRECT(ADDRESS($B264+1,K$230,1,1,"Actively Infected Trend"))=0,#N/A,INDIRECT(ADDRESS($B264+1,K$230,1,1,"Actively Infected Trend")))</f>
        <v>#N/A</v>
      </c>
      <c r="L264" s="14" t="e" cm="1">
        <f t="array" aca="1" ref="L264" ca="1">IF(INDIRECT(ADDRESS($B264+1,L$230,1,1,"Actively Infected Trend"))=0,#N/A,INDIRECT(ADDRESS($B264+1,L$230,1,1,"Actively Infected Trend")))</f>
        <v>#N/A</v>
      </c>
      <c r="M264" s="14" t="e" cm="1">
        <f t="array" aca="1" ref="M264" ca="1">IF(INDIRECT(ADDRESS($B264+1,M$230,1,1,"Actively Infected Trend"))=0,#N/A,INDIRECT(ADDRESS($B264+1,M$230,1,1,"Actively Infected Trend")))</f>
        <v>#N/A</v>
      </c>
      <c r="N264" s="14" t="e" cm="1">
        <f t="array" aca="1" ref="N264" ca="1">IF(INDIRECT(ADDRESS($B264+1,N$230,1,1,"Actively Infected Trend"))=0,#N/A,INDIRECT(ADDRESS($B264+1,N$230,1,1,"Actively Infected Trend")))</f>
        <v>#N/A</v>
      </c>
      <c r="O264" s="14" t="e" cm="1">
        <f t="array" aca="1" ref="O264" ca="1">IF(INDIRECT(ADDRESS($B264+1,O$230,1,1,"Actively Infected Trend"))=0,#N/A,INDIRECT(ADDRESS($B264+1,O$230,1,1,"Actively Infected Trend")))</f>
        <v>#N/A</v>
      </c>
      <c r="P264" s="14" t="e" cm="1">
        <f t="array" aca="1" ref="P264" ca="1">IF(INDIRECT(ADDRESS($B264+1,P$230,1,1,"Actively Infected Trend"))=0,#N/A,INDIRECT(ADDRESS($B264+1,P$230,1,1,"Actively Infected Trend")))</f>
        <v>#N/A</v>
      </c>
      <c r="Q264" s="14" t="e" cm="1">
        <f t="array" aca="1" ref="Q264" ca="1">IF(INDIRECT(ADDRESS($B264+1,Q$230,1,1,"Actively Infected Trend"))=0,#N/A,INDIRECT(ADDRESS($B264+1,Q$230,1,1,"Actively Infected Trend")))</f>
        <v>#N/A</v>
      </c>
      <c r="R264" s="14" t="e" cm="1">
        <f t="array" aca="1" ref="R264" ca="1">IF(INDIRECT(ADDRESS($B264+1,R$230,1,1,"Actively Infected Trend"))=0,#N/A,INDIRECT(ADDRESS($B264+1,R$230,1,1,"Actively Infected Trend")))</f>
        <v>#N/A</v>
      </c>
      <c r="S264" s="14" t="e" cm="1">
        <f t="array" aca="1" ref="S264" ca="1">IF(INDIRECT(ADDRESS($B264+1,S$230,1,1,"Actively Infected Trend"))=0,#N/A,INDIRECT(ADDRESS($B264+1,S$230,1,1,"Actively Infected Trend")))</f>
        <v>#N/A</v>
      </c>
      <c r="T264" s="14" t="e" cm="1">
        <f t="array" aca="1" ref="T264" ca="1">IF(INDIRECT(ADDRESS($B264+1,T$230,1,1,"Actively Infected Trend"))=0,#N/A,INDIRECT(ADDRESS($B264+1,T$230,1,1,"Actively Infected Trend")))</f>
        <v>#N/A</v>
      </c>
      <c r="U264" s="14" t="e" cm="1">
        <f t="array" aca="1" ref="U264" ca="1">IF(INDIRECT(ADDRESS($B264+1,U$230,1,1,"Actively Infected Trend"))=0,#N/A,INDIRECT(ADDRESS($B264+1,U$230,1,1,"Actively Infected Trend")))</f>
        <v>#N/A</v>
      </c>
      <c r="V264" s="14" t="e" cm="1">
        <f t="array" aca="1" ref="V264" ca="1">IF(INDIRECT(ADDRESS($B264+1,V$230,1,1,"Actively Infected Trend"))=0,#N/A,INDIRECT(ADDRESS($B264+1,V$230,1,1,"Actively Infected Trend")))</f>
        <v>#N/A</v>
      </c>
      <c r="W264" s="14" t="e" cm="1">
        <f t="array" aca="1" ref="W264" ca="1">IF(INDIRECT(ADDRESS($B264+1,W$230,1,1,"Actively Infected Trend"))=0,#N/A,INDIRECT(ADDRESS($B264+1,W$230,1,1,"Actively Infected Trend")))</f>
        <v>#N/A</v>
      </c>
      <c r="X264" s="14" t="e" cm="1">
        <f t="array" aca="1" ref="X264" ca="1">IF(INDIRECT(ADDRESS($B264+1,X$230,1,1,"Actively Infected Trend"))=0,#N/A,INDIRECT(ADDRESS($B264+1,X$230,1,1,"Actively Infected Trend")))</f>
        <v>#N/A</v>
      </c>
      <c r="Y264" s="14" t="e" cm="1">
        <f t="array" aca="1" ref="Y264" ca="1">IF(INDIRECT(ADDRESS($B264+1,Y$230,1,1,"Actively Infected Trend"))=0,#N/A,INDIRECT(ADDRESS($B264+1,Y$230,1,1,"Actively Infected Trend")))</f>
        <v>#N/A</v>
      </c>
      <c r="Z264" s="14" t="e" cm="1">
        <f t="array" aca="1" ref="Z264" ca="1">IF(INDIRECT(ADDRESS($B264+1,Z$230,1,1,"Actively Infected Trend"))=0,#N/A,INDIRECT(ADDRESS($B264+1,Z$230,1,1,"Actively Infected Trend")))</f>
        <v>#N/A</v>
      </c>
      <c r="AA264" s="14" t="e" cm="1">
        <f t="array" aca="1" ref="AA264" ca="1">IF(INDIRECT(ADDRESS($B264+1,AA$230,1,1,"Actively Infected Trend"))=0,#N/A,INDIRECT(ADDRESS($B264+1,AA$230,1,1,"Actively Infected Trend")))</f>
        <v>#N/A</v>
      </c>
      <c r="AB264" s="14" t="e" cm="1">
        <f t="array" aca="1" ref="AB264" ca="1">IF(INDIRECT(ADDRESS($B264+1,AB$230,1,1,"Actively Infected Trend"))=0,#N/A,INDIRECT(ADDRESS($B264+1,AB$230,1,1,"Actively Infected Trend")))</f>
        <v>#N/A</v>
      </c>
      <c r="AC264" s="14" t="e" cm="1">
        <f t="array" aca="1" ref="AC264" ca="1">IF(INDIRECT(ADDRESS($B264+1,AC$230,1,1,"Actively Infected Trend"))=0,#N/A,INDIRECT(ADDRESS($B264+1,AC$230,1,1,"Actively Infected Trend")))</f>
        <v>#N/A</v>
      </c>
      <c r="AD264" s="14" t="e" cm="1">
        <f t="array" aca="1" ref="AD264" ca="1">IF(INDIRECT(ADDRESS($B264+1,AD$230,1,1,"Actively Infected Trend"))=0,#N/A,INDIRECT(ADDRESS($B264+1,AD$230,1,1,"Actively Infected Trend")))</f>
        <v>#N/A</v>
      </c>
      <c r="AE264" s="14" t="e" cm="1">
        <f t="array" aca="1" ref="AE264" ca="1">IF(INDIRECT(ADDRESS($B264+1,AE$230,1,1,"Actively Infected Trend"))=0,#N/A,INDIRECT(ADDRESS($B264+1,AE$230,1,1,"Actively Infected Trend")))</f>
        <v>#N/A</v>
      </c>
      <c r="AF264" s="14" t="e" cm="1">
        <f t="array" aca="1" ref="AF264" ca="1">IF(INDIRECT(ADDRESS($B264+1,AF$230,1,1,"Actively Infected Trend"))=0,#N/A,INDIRECT(ADDRESS($B264+1,AF$230,1,1,"Actively Infected Trend")))</f>
        <v>#N/A</v>
      </c>
      <c r="AG264" s="14" t="e" cm="1">
        <f t="array" aca="1" ref="AG264" ca="1">IF(INDIRECT(ADDRESS($B264+1,AG$230,1,1,"Actively Infected Trend"))=0,#N/A,INDIRECT(ADDRESS($B264+1,AG$230,1,1,"Actively Infected Trend")))</f>
        <v>#N/A</v>
      </c>
      <c r="AH264" s="14" t="e" cm="1">
        <f t="array" aca="1" ref="AH264" ca="1">IF(INDIRECT(ADDRESS($B264+1,AH$230,1,1,"Actively Infected Trend"))=0,#N/A,INDIRECT(ADDRESS($B264+1,AH$230,1,1,"Actively Infected Trend")))</f>
        <v>#N/A</v>
      </c>
      <c r="AI264" s="14" t="e" cm="1">
        <f t="array" aca="1" ref="AI264" ca="1">IF(INDIRECT(ADDRESS($B264+1,AI$230,1,1,"Actively Infected Trend"))=0,#N/A,INDIRECT(ADDRESS($B264+1,AI$230,1,1,"Actively Infected Trend")))</f>
        <v>#N/A</v>
      </c>
      <c r="AJ264" s="14" t="e" cm="1">
        <f t="array" aca="1" ref="AJ264" ca="1">IF(INDIRECT(ADDRESS($B264+1,AJ$230,1,1,"Actively Infected Trend"))=0,#N/A,INDIRECT(ADDRESS($B264+1,AJ$230,1,1,"Actively Infected Trend")))</f>
        <v>#N/A</v>
      </c>
      <c r="AK264" s="14" t="e" cm="1">
        <f t="array" aca="1" ref="AK264" ca="1">IF(INDIRECT(ADDRESS($B264+1,AK$230,1,1,"Actively Infected Trend"))=0,#N/A,INDIRECT(ADDRESS($B264+1,AK$230,1,1,"Actively Infected Trend")))</f>
        <v>#N/A</v>
      </c>
      <c r="AL264" s="14" t="e" cm="1">
        <f t="array" aca="1" ref="AL264" ca="1">IF(INDIRECT(ADDRESS($B264+1,AL$230,1,1,"Actively Infected Trend"))=0,#N/A,INDIRECT(ADDRESS($B264+1,AL$230,1,1,"Actively Infected Trend")))</f>
        <v>#N/A</v>
      </c>
      <c r="AM264" s="14" t="e" cm="1">
        <f t="array" aca="1" ref="AM264" ca="1">IF(INDIRECT(ADDRESS($B264+1,AM$230,1,1,"Actively Infected Trend"))=0,#N/A,INDIRECT(ADDRESS($B264+1,AM$230,1,1,"Actively Infected Trend")))</f>
        <v>#N/A</v>
      </c>
      <c r="AN264" s="14" t="e" cm="1">
        <f t="array" aca="1" ref="AN264" ca="1">IF(INDIRECT(ADDRESS($B264+1,AN$230,1,1,"Actively Infected Trend"))=0,#N/A,INDIRECT(ADDRESS($B264+1,AN$230,1,1,"Actively Infected Trend")))</f>
        <v>#N/A</v>
      </c>
      <c r="AO264" s="14" t="e" cm="1">
        <f t="array" aca="1" ref="AO264" ca="1">IF(INDIRECT(ADDRESS($B264+1,AO$230,1,1,"Actively Infected Trend"))=0,#N/A,INDIRECT(ADDRESS($B264+1,AO$230,1,1,"Actively Infected Trend")))</f>
        <v>#N/A</v>
      </c>
      <c r="AP264" s="14" t="e" cm="1">
        <f t="array" aca="1" ref="AP264" ca="1">IF(INDIRECT(ADDRESS($B264+1,AP$230,1,1,"Actively Infected Trend"))=0,#N/A,INDIRECT(ADDRESS($B264+1,AP$230,1,1,"Actively Infected Trend")))</f>
        <v>#N/A</v>
      </c>
      <c r="AQ264" s="14" t="e" cm="1">
        <f t="array" aca="1" ref="AQ264" ca="1">IF(INDIRECT(ADDRESS($B264+1,AQ$230,1,1,"Actively Infected Trend"))=0,#N/A,INDIRECT(ADDRESS($B264+1,AQ$230,1,1,"Actively Infected Trend")))</f>
        <v>#N/A</v>
      </c>
      <c r="AR264" s="14" t="e" cm="1">
        <f t="array" aca="1" ref="AR264" ca="1">IF(INDIRECT(ADDRESS($B264+1,AR$230,1,1,"Actively Infected Trend"))=0,#N/A,INDIRECT(ADDRESS($B264+1,AR$230,1,1,"Actively Infected Trend")))</f>
        <v>#N/A</v>
      </c>
      <c r="AS264" s="14" t="e" cm="1">
        <f t="array" aca="1" ref="AS264" ca="1">IF(INDIRECT(ADDRESS($B264+1,AS$230,1,1,"Actively Infected Trend"))=0,#N/A,INDIRECT(ADDRESS($B264+1,AS$230,1,1,"Actively Infected Trend")))</f>
        <v>#N/A</v>
      </c>
      <c r="AT264" s="14" t="e" cm="1">
        <f t="array" aca="1" ref="AT264" ca="1">IF(INDIRECT(ADDRESS($B264+1,AT$230,1,1,"Actively Infected Trend"))=0,#N/A,INDIRECT(ADDRESS($B264+1,AT$230,1,1,"Actively Infected Trend")))</f>
        <v>#N/A</v>
      </c>
      <c r="AU264" s="14" t="e" cm="1">
        <f t="array" aca="1" ref="AU264" ca="1">IF(INDIRECT(ADDRESS($B264+1,AU$230,1,1,"Actively Infected Trend"))=0,#N/A,INDIRECT(ADDRESS($B264+1,AU$230,1,1,"Actively Infected Trend")))</f>
        <v>#N/A</v>
      </c>
      <c r="AV264" s="14" t="e" cm="1">
        <f t="array" aca="1" ref="AV264" ca="1">IF(INDIRECT(ADDRESS($B264+1,AV$230,1,1,"Actively Infected Trend"))=0,#N/A,INDIRECT(ADDRESS($B264+1,AV$230,1,1,"Actively Infected Trend")))</f>
        <v>#N/A</v>
      </c>
      <c r="AW264" s="14" t="e" cm="1">
        <f t="array" aca="1" ref="AW264" ca="1">IF(INDIRECT(ADDRESS($B264+1,AW$230,1,1,"Actively Infected Trend"))=0,#N/A,INDIRECT(ADDRESS($B264+1,AW$230,1,1,"Actively Infected Trend")))</f>
        <v>#N/A</v>
      </c>
      <c r="AX264" s="14" t="e" cm="1">
        <f t="array" aca="1" ref="AX264" ca="1">IF(INDIRECT(ADDRESS($B264+1,AX$230,1,1,"Actively Infected Trend"))=0,#N/A,INDIRECT(ADDRESS($B264+1,AX$230,1,1,"Actively Infected Trend")))</f>
        <v>#N/A</v>
      </c>
      <c r="AY264" s="14" t="e" cm="1">
        <f t="array" aca="1" ref="AY264" ca="1">IF(INDIRECT(ADDRESS($B264+1,AY$230,1,1,"Actively Infected Trend"))=0,#N/A,INDIRECT(ADDRESS($B264+1,AY$230,1,1,"Actively Infected Trend")))</f>
        <v>#N/A</v>
      </c>
      <c r="AZ264" s="14" t="e" cm="1">
        <f t="array" aca="1" ref="AZ264" ca="1">IF(INDIRECT(ADDRESS($B264+1,AZ$230,1,1,"Actively Infected Trend"))=0,#N/A,INDIRECT(ADDRESS($B264+1,AZ$230,1,1,"Actively Infected Trend")))</f>
        <v>#N/A</v>
      </c>
      <c r="BA264" s="14" t="e" cm="1">
        <f t="array" aca="1" ref="BA264" ca="1">IF(INDIRECT(ADDRESS($B264+1,BA$230,1,1,"Actively Infected Trend"))=0,#N/A,INDIRECT(ADDRESS($B264+1,BA$230,1,1,"Actively Infected Trend")))</f>
        <v>#N/A</v>
      </c>
      <c r="BB264" s="14" t="e" cm="1">
        <f t="array" aca="1" ref="BB264" ca="1">IF(INDIRECT(ADDRESS($B264+1,BB$230,1,1,"Actively Infected Trend"))=0,#N/A,INDIRECT(ADDRESS($B264+1,BB$230,1,1,"Actively Infected Trend")))</f>
        <v>#N/A</v>
      </c>
      <c r="BC264" s="14" t="e" cm="1">
        <f t="array" aca="1" ref="BC264" ca="1">IF(INDIRECT(ADDRESS($B264+1,BC$230,1,1,"Actively Infected Trend"))=0,#N/A,INDIRECT(ADDRESS($B264+1,BC$230,1,1,"Actively Infected Trend")))</f>
        <v>#N/A</v>
      </c>
      <c r="BD264" s="14" t="e" cm="1">
        <f t="array" aca="1" ref="BD264" ca="1">IF(INDIRECT(ADDRESS($B264+1,BD$230,1,1,"Actively Infected Trend"))=0,#N/A,INDIRECT(ADDRESS($B264+1,BD$230,1,1,"Actively Infected Trend")))</f>
        <v>#N/A</v>
      </c>
      <c r="BE264" s="14" t="e" cm="1">
        <f t="array" aca="1" ref="BE264" ca="1">IF(INDIRECT(ADDRESS($B264+1,BE$230,1,1,"Actively Infected Trend"))=0,#N/A,INDIRECT(ADDRESS($B264+1,BE$230,1,1,"Actively Infected Trend")))</f>
        <v>#N/A</v>
      </c>
      <c r="BF264" s="14" t="e" cm="1">
        <f t="array" aca="1" ref="BF264" ca="1">IF(INDIRECT(ADDRESS($B264+1,BF$230,1,1,"Actively Infected Trend"))=0,#N/A,INDIRECT(ADDRESS($B264+1,BF$230,1,1,"Actively Infected Trend")))</f>
        <v>#N/A</v>
      </c>
      <c r="BG264" s="14" t="e" cm="1">
        <f t="array" aca="1" ref="BG264" ca="1">IF(INDIRECT(ADDRESS($B264+1,BG$230,1,1,"Actively Infected Trend"))=0,#N/A,INDIRECT(ADDRESS($B264+1,BG$230,1,1,"Actively Infected Trend")))</f>
        <v>#N/A</v>
      </c>
      <c r="BH264" s="14" t="e" cm="1">
        <f t="array" aca="1" ref="BH264" ca="1">IF(INDIRECT(ADDRESS($B264+1,BH$230,1,1,"Actively Infected Trend"))=0,#N/A,INDIRECT(ADDRESS($B264+1,BH$230,1,1,"Actively Infected Trend")))</f>
        <v>#N/A</v>
      </c>
      <c r="BI264" s="14" t="e" cm="1">
        <f t="array" aca="1" ref="BI264" ca="1">IF(INDIRECT(ADDRESS($B264+1,BI$230,1,1,"Actively Infected Trend"))=0,#N/A,INDIRECT(ADDRESS($B264+1,BI$230,1,1,"Actively Infected Trend")))</f>
        <v>#N/A</v>
      </c>
      <c r="BJ264" s="14" t="e" cm="1">
        <f t="array" aca="1" ref="BJ264" ca="1">IF(INDIRECT(ADDRESS($B264+1,BJ$230,1,1,"Actively Infected Trend"))=0,#N/A,INDIRECT(ADDRESS($B264+1,BJ$230,1,1,"Actively Infected Trend")))</f>
        <v>#N/A</v>
      </c>
      <c r="BK264" s="14" t="e" cm="1">
        <f t="array" aca="1" ref="BK264" ca="1">IF(INDIRECT(ADDRESS($B264+1,BK$230,1,1,"Actively Infected Trend"))=0,#N/A,INDIRECT(ADDRESS($B264+1,BK$230,1,1,"Actively Infected Trend")))</f>
        <v>#N/A</v>
      </c>
      <c r="BL264" s="14" t="e" cm="1">
        <f t="array" aca="1" ref="BL264" ca="1">IF(INDIRECT(ADDRESS($B264+1,BL$230,1,1,"Actively Infected Trend"))=0,#N/A,INDIRECT(ADDRESS($B264+1,BL$230,1,1,"Actively Infected Trend")))</f>
        <v>#N/A</v>
      </c>
      <c r="BM264" s="14" t="e" cm="1">
        <f t="array" aca="1" ref="BM264" ca="1">IF(INDIRECT(ADDRESS($B264+1,BM$230,1,1,"Actively Infected Trend"))=0,#N/A,INDIRECT(ADDRESS($B264+1,BM$230,1,1,"Actively Infected Trend")))</f>
        <v>#N/A</v>
      </c>
      <c r="BN264" s="14" t="e" cm="1">
        <f t="array" aca="1" ref="BN264" ca="1">IF(INDIRECT(ADDRESS($B264+1,BN$230,1,1,"Actively Infected Trend"))=0,#N/A,INDIRECT(ADDRESS($B264+1,BN$230,1,1,"Actively Infected Trend")))</f>
        <v>#N/A</v>
      </c>
      <c r="BO264" s="14" t="e" cm="1">
        <f t="array" aca="1" ref="BO264" ca="1">IF(INDIRECT(ADDRESS($B264+1,BO$230,1,1,"Actively Infected Trend"))=0,#N/A,INDIRECT(ADDRESS($B264+1,BO$230,1,1,"Actively Infected Trend")))</f>
        <v>#N/A</v>
      </c>
      <c r="BP264" s="14" t="e" cm="1">
        <f t="array" aca="1" ref="BP264" ca="1">IF(INDIRECT(ADDRESS($B264+1,BP$230,1,1,"Actively Infected Trend"))=0,#N/A,INDIRECT(ADDRESS($B264+1,BP$230,1,1,"Actively Infected Trend")))</f>
        <v>#N/A</v>
      </c>
      <c r="BQ264" s="14" t="e" cm="1">
        <f t="array" aca="1" ref="BQ264" ca="1">IF(INDIRECT(ADDRESS($B264+1,BQ$230,1,1,"Actively Infected Trend"))=0,#N/A,INDIRECT(ADDRESS($B264+1,BQ$230,1,1,"Actively Infected Trend")))</f>
        <v>#N/A</v>
      </c>
      <c r="BR264" s="14" t="e" cm="1">
        <f t="array" aca="1" ref="BR264" ca="1">IF(INDIRECT(ADDRESS($B264+1,BR$230,1,1,"Actively Infected Trend"))=0,#N/A,INDIRECT(ADDRESS($B264+1,BR$230,1,1,"Actively Infected Trend")))</f>
        <v>#N/A</v>
      </c>
      <c r="BS264" s="14" t="e" cm="1">
        <f t="array" aca="1" ref="BS264" ca="1">IF(INDIRECT(ADDRESS($B264+1,BS$230,1,1,"Actively Infected Trend"))=0,#N/A,INDIRECT(ADDRESS($B264+1,BS$230,1,1,"Actively Infected Trend")))</f>
        <v>#N/A</v>
      </c>
      <c r="BT264" s="14" t="e" cm="1">
        <f t="array" aca="1" ref="BT264" ca="1">IF(INDIRECT(ADDRESS($B264+1,BT$230,1,1,"Actively Infected Trend"))=0,#N/A,INDIRECT(ADDRESS($B264+1,BT$230,1,1,"Actively Infected Trend")))</f>
        <v>#N/A</v>
      </c>
      <c r="BU264" s="14" t="e" cm="1">
        <f t="array" aca="1" ref="BU264" ca="1">IF(INDIRECT(ADDRESS($B264+1,BU$230,1,1,"Actively Infected Trend"))=0,#N/A,INDIRECT(ADDRESS($B264+1,BU$230,1,1,"Actively Infected Trend")))</f>
        <v>#N/A</v>
      </c>
      <c r="BV264" s="14" t="e" cm="1">
        <f t="array" aca="1" ref="BV264" ca="1">IF(INDIRECT(ADDRESS($B264+1,BV$230,1,1,"Actively Infected Trend"))=0,#N/A,INDIRECT(ADDRESS($B264+1,BV$230,1,1,"Actively Infected Trend")))</f>
        <v>#N/A</v>
      </c>
      <c r="BW264" s="14" t="e" cm="1">
        <f t="array" aca="1" ref="BW264" ca="1">IF(INDIRECT(ADDRESS($B264+1,BW$230,1,1,"Actively Infected Trend"))=0,#N/A,INDIRECT(ADDRESS($B264+1,BW$230,1,1,"Actively Infected Trend")))</f>
        <v>#N/A</v>
      </c>
      <c r="BX264" s="14" t="e" cm="1">
        <f t="array" aca="1" ref="BX264" ca="1">IF(INDIRECT(ADDRESS($B264+1,BX$230,1,1,"Actively Infected Trend"))=0,#N/A,INDIRECT(ADDRESS($B264+1,BX$230,1,1,"Actively Infected Trend")))</f>
        <v>#N/A</v>
      </c>
      <c r="BY264" s="14" t="e" cm="1">
        <f t="array" aca="1" ref="BY264" ca="1">IF(INDIRECT(ADDRESS($B264+1,BY$230,1,1,"Actively Infected Trend"))=0,#N/A,INDIRECT(ADDRESS($B264+1,BY$230,1,1,"Actively Infected Trend")))</f>
        <v>#N/A</v>
      </c>
      <c r="BZ264" s="14" t="e" cm="1">
        <f t="array" aca="1" ref="BZ264" ca="1">IF(INDIRECT(ADDRESS($B264+1,BZ$230,1,1,"Actively Infected Trend"))=0,#N/A,INDIRECT(ADDRESS($B264+1,BZ$230,1,1,"Actively Infected Trend")))</f>
        <v>#N/A</v>
      </c>
      <c r="CA264" s="14" t="e" cm="1">
        <f t="array" aca="1" ref="CA264" ca="1">IF(INDIRECT(ADDRESS($B264+1,CA$230,1,1,"Actively Infected Trend"))=0,#N/A,INDIRECT(ADDRESS($B264+1,CA$230,1,1,"Actively Infected Trend")))</f>
        <v>#N/A</v>
      </c>
      <c r="CB264" s="14" t="e" cm="1">
        <f t="array" aca="1" ref="CB264" ca="1">IF(INDIRECT(ADDRESS($B264+1,CB$230,1,1,"Actively Infected Trend"))=0,#N/A,INDIRECT(ADDRESS($B264+1,CB$230,1,1,"Actively Infected Trend")))</f>
        <v>#N/A</v>
      </c>
      <c r="CC264" s="14" t="e" cm="1">
        <f t="array" aca="1" ref="CC264" ca="1">IF(INDIRECT(ADDRESS($B264+1,CC$230,1,1,"Actively Infected Trend"))=0,#N/A,INDIRECT(ADDRESS($B264+1,CC$230,1,1,"Actively Infected Trend")))</f>
        <v>#N/A</v>
      </c>
      <c r="CD264" s="14" t="e" cm="1">
        <f t="array" aca="1" ref="CD264" ca="1">IF(INDIRECT(ADDRESS($B264+1,CD$230,1,1,"Actively Infected Trend"))=0,#N/A,INDIRECT(ADDRESS($B264+1,CD$230,1,1,"Actively Infected Trend")))</f>
        <v>#N/A</v>
      </c>
      <c r="CE264" s="14" t="e" cm="1">
        <f t="array" aca="1" ref="CE264" ca="1">IF(INDIRECT(ADDRESS($B264+1,CE$230,1,1,"Actively Infected Trend"))=0,#N/A,INDIRECT(ADDRESS($B264+1,CE$230,1,1,"Actively Infected Trend")))</f>
        <v>#N/A</v>
      </c>
      <c r="CF264" s="14" t="e" cm="1">
        <f t="array" aca="1" ref="CF264" ca="1">IF(INDIRECT(ADDRESS($B264+1,CF$230,1,1,"Actively Infected Trend"))=0,#N/A,INDIRECT(ADDRESS($B264+1,CF$230,1,1,"Actively Infected Trend")))</f>
        <v>#N/A</v>
      </c>
      <c r="CG264" s="14" t="e" cm="1">
        <f t="array" aca="1" ref="CG264" ca="1">IF(INDIRECT(ADDRESS($B264+1,CG$230,1,1,"Actively Infected Trend"))=0,#N/A,INDIRECT(ADDRESS($B264+1,CG$230,1,1,"Actively Infected Trend")))</f>
        <v>#N/A</v>
      </c>
      <c r="CH264" s="14" t="e" cm="1">
        <f t="array" aca="1" ref="CH264" ca="1">IF(INDIRECT(ADDRESS($B264+1,CH$230,1,1,"Actively Infected Trend"))=0,#N/A,INDIRECT(ADDRESS($B264+1,CH$230,1,1,"Actively Infected Trend")))</f>
        <v>#N/A</v>
      </c>
      <c r="CI264" s="14" t="e" cm="1">
        <f t="array" aca="1" ref="CI264" ca="1">IF(INDIRECT(ADDRESS($B264+1,CI$230,1,1,"Actively Infected Trend"))=0,#N/A,INDIRECT(ADDRESS($B264+1,CI$230,1,1,"Actively Infected Trend")))</f>
        <v>#N/A</v>
      </c>
      <c r="CJ264" s="14" t="e" cm="1">
        <f t="array" aca="1" ref="CJ264" ca="1">IF(INDIRECT(ADDRESS($B264+1,CJ$230,1,1,"Actively Infected Trend"))=0,#N/A,INDIRECT(ADDRESS($B264+1,CJ$230,1,1,"Actively Infected Trend")))</f>
        <v>#N/A</v>
      </c>
      <c r="CK264" s="14" t="e" cm="1">
        <f t="array" aca="1" ref="CK264" ca="1">IF(INDIRECT(ADDRESS($B264+1,CK$230,1,1,"Actively Infected Trend"))=0,#N/A,INDIRECT(ADDRESS($B264+1,CK$230,1,1,"Actively Infected Trend")))</f>
        <v>#N/A</v>
      </c>
      <c r="CL264" s="14" t="e" cm="1">
        <f t="array" aca="1" ref="CL264" ca="1">IF(INDIRECT(ADDRESS($B264+1,CL$230,1,1,"Actively Infected Trend"))=0,#N/A,INDIRECT(ADDRESS($B264+1,CL$230,1,1,"Actively Infected Trend")))</f>
        <v>#N/A</v>
      </c>
      <c r="CM264" s="14" t="e" cm="1">
        <f t="array" aca="1" ref="CM264" ca="1">IF(INDIRECT(ADDRESS($B264+1,CM$230,1,1,"Actively Infected Trend"))=0,#N/A,INDIRECT(ADDRESS($B264+1,CM$230,1,1,"Actively Infected Trend")))</f>
        <v>#N/A</v>
      </c>
      <c r="CN264" s="14" t="e" cm="1">
        <f t="array" aca="1" ref="CN264" ca="1">IF(INDIRECT(ADDRESS($B264+1,CN$230,1,1,"Actively Infected Trend"))=0,#N/A,INDIRECT(ADDRESS($B264+1,CN$230,1,1,"Actively Infected Trend")))</f>
        <v>#N/A</v>
      </c>
      <c r="CO264" s="14" t="e" cm="1">
        <f t="array" aca="1" ref="CO264" ca="1">IF(INDIRECT(ADDRESS($B264+1,CO$230,1,1,"Actively Infected Trend"))=0,#N/A,INDIRECT(ADDRESS($B264+1,CO$230,1,1,"Actively Infected Trend")))</f>
        <v>#N/A</v>
      </c>
      <c r="CP264" s="14" t="e" cm="1">
        <f t="array" aca="1" ref="CP264" ca="1">IF(INDIRECT(ADDRESS($B264+1,CP$230,1,1,"Actively Infected Trend"))=0,#N/A,INDIRECT(ADDRESS($B264+1,CP$230,1,1,"Actively Infected Trend")))</f>
        <v>#N/A</v>
      </c>
      <c r="CQ264" s="14" t="e" cm="1">
        <f t="array" aca="1" ref="CQ264" ca="1">IF(INDIRECT(ADDRESS($B264+1,CQ$230,1,1,"Actively Infected Trend"))=0,#N/A,INDIRECT(ADDRESS($B264+1,CQ$230,1,1,"Actively Infected Trend")))</f>
        <v>#N/A</v>
      </c>
      <c r="CR264" s="14" t="e" cm="1">
        <f t="array" aca="1" ref="CR264" ca="1">IF(INDIRECT(ADDRESS($B264+1,CR$230,1,1,"Actively Infected Trend"))=0,#N/A,INDIRECT(ADDRESS($B264+1,CR$230,1,1,"Actively Infected Trend")))</f>
        <v>#N/A</v>
      </c>
    </row>
    <row r="265" spans="2:96" x14ac:dyDescent="0.25">
      <c r="B265">
        <f t="shared" si="349"/>
        <v>34</v>
      </c>
      <c r="C265" cm="1">
        <f t="array" aca="1" ref="C265" ca="1">INDIRECT(ADDRESS($B265+1,1,1,1,"Actively Infected Trend"))</f>
        <v>0</v>
      </c>
      <c r="E265" s="14" t="e" cm="1">
        <f t="array" aca="1" ref="E265" ca="1">IF(INDIRECT(ADDRESS($B265+1,E$230,1,1,"Actively Infected Trend"))=0,#N/A,INDIRECT(ADDRESS($B265+1,E$230,1,1,"Actively Infected Trend")))</f>
        <v>#N/A</v>
      </c>
      <c r="F265" s="14" t="e" cm="1">
        <f t="array" aca="1" ref="F265" ca="1">IF(INDIRECT(ADDRESS($B265+1,F$230,1,1,"Actively Infected Trend"))=0,#N/A,INDIRECT(ADDRESS($B265+1,F$230,1,1,"Actively Infected Trend")))</f>
        <v>#N/A</v>
      </c>
      <c r="G265" s="14" t="e" cm="1">
        <f t="array" aca="1" ref="G265" ca="1">IF(INDIRECT(ADDRESS($B265+1,G$230,1,1,"Actively Infected Trend"))=0,#N/A,INDIRECT(ADDRESS($B265+1,G$230,1,1,"Actively Infected Trend")))</f>
        <v>#N/A</v>
      </c>
      <c r="H265" s="14" t="e" cm="1">
        <f t="array" aca="1" ref="H265" ca="1">IF(INDIRECT(ADDRESS($B265+1,H$230,1,1,"Actively Infected Trend"))=0,#N/A,INDIRECT(ADDRESS($B265+1,H$230,1,1,"Actively Infected Trend")))</f>
        <v>#N/A</v>
      </c>
      <c r="I265" s="14" t="e" cm="1">
        <f t="array" aca="1" ref="I265" ca="1">IF(INDIRECT(ADDRESS($B265+1,I$230,1,1,"Actively Infected Trend"))=0,#N/A,INDIRECT(ADDRESS($B265+1,I$230,1,1,"Actively Infected Trend")))</f>
        <v>#N/A</v>
      </c>
      <c r="J265" s="14" t="e" cm="1">
        <f t="array" aca="1" ref="J265" ca="1">IF(INDIRECT(ADDRESS($B265+1,J$230,1,1,"Actively Infected Trend"))=0,#N/A,INDIRECT(ADDRESS($B265+1,J$230,1,1,"Actively Infected Trend")))</f>
        <v>#N/A</v>
      </c>
      <c r="K265" s="14" t="e" cm="1">
        <f t="array" aca="1" ref="K265" ca="1">IF(INDIRECT(ADDRESS($B265+1,K$230,1,1,"Actively Infected Trend"))=0,#N/A,INDIRECT(ADDRESS($B265+1,K$230,1,1,"Actively Infected Trend")))</f>
        <v>#N/A</v>
      </c>
      <c r="L265" s="14" t="e" cm="1">
        <f t="array" aca="1" ref="L265" ca="1">IF(INDIRECT(ADDRESS($B265+1,L$230,1,1,"Actively Infected Trend"))=0,#N/A,INDIRECT(ADDRESS($B265+1,L$230,1,1,"Actively Infected Trend")))</f>
        <v>#N/A</v>
      </c>
      <c r="M265" s="14" t="e" cm="1">
        <f t="array" aca="1" ref="M265" ca="1">IF(INDIRECT(ADDRESS($B265+1,M$230,1,1,"Actively Infected Trend"))=0,#N/A,INDIRECT(ADDRESS($B265+1,M$230,1,1,"Actively Infected Trend")))</f>
        <v>#N/A</v>
      </c>
      <c r="N265" s="14" t="e" cm="1">
        <f t="array" aca="1" ref="N265" ca="1">IF(INDIRECT(ADDRESS($B265+1,N$230,1,1,"Actively Infected Trend"))=0,#N/A,INDIRECT(ADDRESS($B265+1,N$230,1,1,"Actively Infected Trend")))</f>
        <v>#N/A</v>
      </c>
      <c r="O265" s="14" t="e" cm="1">
        <f t="array" aca="1" ref="O265" ca="1">IF(INDIRECT(ADDRESS($B265+1,O$230,1,1,"Actively Infected Trend"))=0,#N/A,INDIRECT(ADDRESS($B265+1,O$230,1,1,"Actively Infected Trend")))</f>
        <v>#N/A</v>
      </c>
      <c r="P265" s="14" t="e" cm="1">
        <f t="array" aca="1" ref="P265" ca="1">IF(INDIRECT(ADDRESS($B265+1,P$230,1,1,"Actively Infected Trend"))=0,#N/A,INDIRECT(ADDRESS($B265+1,P$230,1,1,"Actively Infected Trend")))</f>
        <v>#N/A</v>
      </c>
      <c r="Q265" s="14" t="e" cm="1">
        <f t="array" aca="1" ref="Q265" ca="1">IF(INDIRECT(ADDRESS($B265+1,Q$230,1,1,"Actively Infected Trend"))=0,#N/A,INDIRECT(ADDRESS($B265+1,Q$230,1,1,"Actively Infected Trend")))</f>
        <v>#N/A</v>
      </c>
      <c r="R265" s="14" t="e" cm="1">
        <f t="array" aca="1" ref="R265" ca="1">IF(INDIRECT(ADDRESS($B265+1,R$230,1,1,"Actively Infected Trend"))=0,#N/A,INDIRECT(ADDRESS($B265+1,R$230,1,1,"Actively Infected Trend")))</f>
        <v>#N/A</v>
      </c>
      <c r="S265" s="14" t="e" cm="1">
        <f t="array" aca="1" ref="S265" ca="1">IF(INDIRECT(ADDRESS($B265+1,S$230,1,1,"Actively Infected Trend"))=0,#N/A,INDIRECT(ADDRESS($B265+1,S$230,1,1,"Actively Infected Trend")))</f>
        <v>#N/A</v>
      </c>
      <c r="T265" s="14" t="e" cm="1">
        <f t="array" aca="1" ref="T265" ca="1">IF(INDIRECT(ADDRESS($B265+1,T$230,1,1,"Actively Infected Trend"))=0,#N/A,INDIRECT(ADDRESS($B265+1,T$230,1,1,"Actively Infected Trend")))</f>
        <v>#N/A</v>
      </c>
      <c r="U265" s="14" t="e" cm="1">
        <f t="array" aca="1" ref="U265" ca="1">IF(INDIRECT(ADDRESS($B265+1,U$230,1,1,"Actively Infected Trend"))=0,#N/A,INDIRECT(ADDRESS($B265+1,U$230,1,1,"Actively Infected Trend")))</f>
        <v>#N/A</v>
      </c>
      <c r="V265" s="14" t="e" cm="1">
        <f t="array" aca="1" ref="V265" ca="1">IF(INDIRECT(ADDRESS($B265+1,V$230,1,1,"Actively Infected Trend"))=0,#N/A,INDIRECT(ADDRESS($B265+1,V$230,1,1,"Actively Infected Trend")))</f>
        <v>#N/A</v>
      </c>
      <c r="W265" s="14" t="e" cm="1">
        <f t="array" aca="1" ref="W265" ca="1">IF(INDIRECT(ADDRESS($B265+1,W$230,1,1,"Actively Infected Trend"))=0,#N/A,INDIRECT(ADDRESS($B265+1,W$230,1,1,"Actively Infected Trend")))</f>
        <v>#N/A</v>
      </c>
      <c r="X265" s="14" t="e" cm="1">
        <f t="array" aca="1" ref="X265" ca="1">IF(INDIRECT(ADDRESS($B265+1,X$230,1,1,"Actively Infected Trend"))=0,#N/A,INDIRECT(ADDRESS($B265+1,X$230,1,1,"Actively Infected Trend")))</f>
        <v>#N/A</v>
      </c>
      <c r="Y265" s="14" t="e" cm="1">
        <f t="array" aca="1" ref="Y265" ca="1">IF(INDIRECT(ADDRESS($B265+1,Y$230,1,1,"Actively Infected Trend"))=0,#N/A,INDIRECT(ADDRESS($B265+1,Y$230,1,1,"Actively Infected Trend")))</f>
        <v>#N/A</v>
      </c>
      <c r="Z265" s="14" t="e" cm="1">
        <f t="array" aca="1" ref="Z265" ca="1">IF(INDIRECT(ADDRESS($B265+1,Z$230,1,1,"Actively Infected Trend"))=0,#N/A,INDIRECT(ADDRESS($B265+1,Z$230,1,1,"Actively Infected Trend")))</f>
        <v>#N/A</v>
      </c>
      <c r="AA265" s="14" t="e" cm="1">
        <f t="array" aca="1" ref="AA265" ca="1">IF(INDIRECT(ADDRESS($B265+1,AA$230,1,1,"Actively Infected Trend"))=0,#N/A,INDIRECT(ADDRESS($B265+1,AA$230,1,1,"Actively Infected Trend")))</f>
        <v>#N/A</v>
      </c>
      <c r="AB265" s="14" t="e" cm="1">
        <f t="array" aca="1" ref="AB265" ca="1">IF(INDIRECT(ADDRESS($B265+1,AB$230,1,1,"Actively Infected Trend"))=0,#N/A,INDIRECT(ADDRESS($B265+1,AB$230,1,1,"Actively Infected Trend")))</f>
        <v>#N/A</v>
      </c>
      <c r="AC265" s="14" t="e" cm="1">
        <f t="array" aca="1" ref="AC265" ca="1">IF(INDIRECT(ADDRESS($B265+1,AC$230,1,1,"Actively Infected Trend"))=0,#N/A,INDIRECT(ADDRESS($B265+1,AC$230,1,1,"Actively Infected Trend")))</f>
        <v>#N/A</v>
      </c>
      <c r="AD265" s="14" t="e" cm="1">
        <f t="array" aca="1" ref="AD265" ca="1">IF(INDIRECT(ADDRESS($B265+1,AD$230,1,1,"Actively Infected Trend"))=0,#N/A,INDIRECT(ADDRESS($B265+1,AD$230,1,1,"Actively Infected Trend")))</f>
        <v>#N/A</v>
      </c>
      <c r="AE265" s="14" t="e" cm="1">
        <f t="array" aca="1" ref="AE265" ca="1">IF(INDIRECT(ADDRESS($B265+1,AE$230,1,1,"Actively Infected Trend"))=0,#N/A,INDIRECT(ADDRESS($B265+1,AE$230,1,1,"Actively Infected Trend")))</f>
        <v>#N/A</v>
      </c>
      <c r="AF265" s="14" t="e" cm="1">
        <f t="array" aca="1" ref="AF265" ca="1">IF(INDIRECT(ADDRESS($B265+1,AF$230,1,1,"Actively Infected Trend"))=0,#N/A,INDIRECT(ADDRESS($B265+1,AF$230,1,1,"Actively Infected Trend")))</f>
        <v>#N/A</v>
      </c>
      <c r="AG265" s="14" t="e" cm="1">
        <f t="array" aca="1" ref="AG265" ca="1">IF(INDIRECT(ADDRESS($B265+1,AG$230,1,1,"Actively Infected Trend"))=0,#N/A,INDIRECT(ADDRESS($B265+1,AG$230,1,1,"Actively Infected Trend")))</f>
        <v>#N/A</v>
      </c>
      <c r="AH265" s="14" t="e" cm="1">
        <f t="array" aca="1" ref="AH265" ca="1">IF(INDIRECT(ADDRESS($B265+1,AH$230,1,1,"Actively Infected Trend"))=0,#N/A,INDIRECT(ADDRESS($B265+1,AH$230,1,1,"Actively Infected Trend")))</f>
        <v>#N/A</v>
      </c>
      <c r="AI265" s="14" t="e" cm="1">
        <f t="array" aca="1" ref="AI265" ca="1">IF(INDIRECT(ADDRESS($B265+1,AI$230,1,1,"Actively Infected Trend"))=0,#N/A,INDIRECT(ADDRESS($B265+1,AI$230,1,1,"Actively Infected Trend")))</f>
        <v>#N/A</v>
      </c>
      <c r="AJ265" s="14" t="e" cm="1">
        <f t="array" aca="1" ref="AJ265" ca="1">IF(INDIRECT(ADDRESS($B265+1,AJ$230,1,1,"Actively Infected Trend"))=0,#N/A,INDIRECT(ADDRESS($B265+1,AJ$230,1,1,"Actively Infected Trend")))</f>
        <v>#N/A</v>
      </c>
      <c r="AK265" s="14" t="e" cm="1">
        <f t="array" aca="1" ref="AK265" ca="1">IF(INDIRECT(ADDRESS($B265+1,AK$230,1,1,"Actively Infected Trend"))=0,#N/A,INDIRECT(ADDRESS($B265+1,AK$230,1,1,"Actively Infected Trend")))</f>
        <v>#N/A</v>
      </c>
      <c r="AL265" s="14" t="e" cm="1">
        <f t="array" aca="1" ref="AL265" ca="1">IF(INDIRECT(ADDRESS($B265+1,AL$230,1,1,"Actively Infected Trend"))=0,#N/A,INDIRECT(ADDRESS($B265+1,AL$230,1,1,"Actively Infected Trend")))</f>
        <v>#N/A</v>
      </c>
      <c r="AM265" s="14" t="e" cm="1">
        <f t="array" aca="1" ref="AM265" ca="1">IF(INDIRECT(ADDRESS($B265+1,AM$230,1,1,"Actively Infected Trend"))=0,#N/A,INDIRECT(ADDRESS($B265+1,AM$230,1,1,"Actively Infected Trend")))</f>
        <v>#N/A</v>
      </c>
      <c r="AN265" s="14" t="e" cm="1">
        <f t="array" aca="1" ref="AN265" ca="1">IF(INDIRECT(ADDRESS($B265+1,AN$230,1,1,"Actively Infected Trend"))=0,#N/A,INDIRECT(ADDRESS($B265+1,AN$230,1,1,"Actively Infected Trend")))</f>
        <v>#N/A</v>
      </c>
      <c r="AO265" s="14" t="e" cm="1">
        <f t="array" aca="1" ref="AO265" ca="1">IF(INDIRECT(ADDRESS($B265+1,AO$230,1,1,"Actively Infected Trend"))=0,#N/A,INDIRECT(ADDRESS($B265+1,AO$230,1,1,"Actively Infected Trend")))</f>
        <v>#N/A</v>
      </c>
      <c r="AP265" s="14" t="e" cm="1">
        <f t="array" aca="1" ref="AP265" ca="1">IF(INDIRECT(ADDRESS($B265+1,AP$230,1,1,"Actively Infected Trend"))=0,#N/A,INDIRECT(ADDRESS($B265+1,AP$230,1,1,"Actively Infected Trend")))</f>
        <v>#N/A</v>
      </c>
      <c r="AQ265" s="14" t="e" cm="1">
        <f t="array" aca="1" ref="AQ265" ca="1">IF(INDIRECT(ADDRESS($B265+1,AQ$230,1,1,"Actively Infected Trend"))=0,#N/A,INDIRECT(ADDRESS($B265+1,AQ$230,1,1,"Actively Infected Trend")))</f>
        <v>#N/A</v>
      </c>
      <c r="AR265" s="14" t="e" cm="1">
        <f t="array" aca="1" ref="AR265" ca="1">IF(INDIRECT(ADDRESS($B265+1,AR$230,1,1,"Actively Infected Trend"))=0,#N/A,INDIRECT(ADDRESS($B265+1,AR$230,1,1,"Actively Infected Trend")))</f>
        <v>#N/A</v>
      </c>
      <c r="AS265" s="14" t="e" cm="1">
        <f t="array" aca="1" ref="AS265" ca="1">IF(INDIRECT(ADDRESS($B265+1,AS$230,1,1,"Actively Infected Trend"))=0,#N/A,INDIRECT(ADDRESS($B265+1,AS$230,1,1,"Actively Infected Trend")))</f>
        <v>#N/A</v>
      </c>
      <c r="AT265" s="14" t="e" cm="1">
        <f t="array" aca="1" ref="AT265" ca="1">IF(INDIRECT(ADDRESS($B265+1,AT$230,1,1,"Actively Infected Trend"))=0,#N/A,INDIRECT(ADDRESS($B265+1,AT$230,1,1,"Actively Infected Trend")))</f>
        <v>#N/A</v>
      </c>
      <c r="AU265" s="14" t="e" cm="1">
        <f t="array" aca="1" ref="AU265" ca="1">IF(INDIRECT(ADDRESS($B265+1,AU$230,1,1,"Actively Infected Trend"))=0,#N/A,INDIRECT(ADDRESS($B265+1,AU$230,1,1,"Actively Infected Trend")))</f>
        <v>#N/A</v>
      </c>
      <c r="AV265" s="14" t="e" cm="1">
        <f t="array" aca="1" ref="AV265" ca="1">IF(INDIRECT(ADDRESS($B265+1,AV$230,1,1,"Actively Infected Trend"))=0,#N/A,INDIRECT(ADDRESS($B265+1,AV$230,1,1,"Actively Infected Trend")))</f>
        <v>#N/A</v>
      </c>
      <c r="AW265" s="14" t="e" cm="1">
        <f t="array" aca="1" ref="AW265" ca="1">IF(INDIRECT(ADDRESS($B265+1,AW$230,1,1,"Actively Infected Trend"))=0,#N/A,INDIRECT(ADDRESS($B265+1,AW$230,1,1,"Actively Infected Trend")))</f>
        <v>#N/A</v>
      </c>
      <c r="AX265" s="14" t="e" cm="1">
        <f t="array" aca="1" ref="AX265" ca="1">IF(INDIRECT(ADDRESS($B265+1,AX$230,1,1,"Actively Infected Trend"))=0,#N/A,INDIRECT(ADDRESS($B265+1,AX$230,1,1,"Actively Infected Trend")))</f>
        <v>#N/A</v>
      </c>
      <c r="AY265" s="14" t="e" cm="1">
        <f t="array" aca="1" ref="AY265" ca="1">IF(INDIRECT(ADDRESS($B265+1,AY$230,1,1,"Actively Infected Trend"))=0,#N/A,INDIRECT(ADDRESS($B265+1,AY$230,1,1,"Actively Infected Trend")))</f>
        <v>#N/A</v>
      </c>
      <c r="AZ265" s="14" t="e" cm="1">
        <f t="array" aca="1" ref="AZ265" ca="1">IF(INDIRECT(ADDRESS($B265+1,AZ$230,1,1,"Actively Infected Trend"))=0,#N/A,INDIRECT(ADDRESS($B265+1,AZ$230,1,1,"Actively Infected Trend")))</f>
        <v>#N/A</v>
      </c>
      <c r="BA265" s="14" t="e" cm="1">
        <f t="array" aca="1" ref="BA265" ca="1">IF(INDIRECT(ADDRESS($B265+1,BA$230,1,1,"Actively Infected Trend"))=0,#N/A,INDIRECT(ADDRESS($B265+1,BA$230,1,1,"Actively Infected Trend")))</f>
        <v>#N/A</v>
      </c>
      <c r="BB265" s="14" t="e" cm="1">
        <f t="array" aca="1" ref="BB265" ca="1">IF(INDIRECT(ADDRESS($B265+1,BB$230,1,1,"Actively Infected Trend"))=0,#N/A,INDIRECT(ADDRESS($B265+1,BB$230,1,1,"Actively Infected Trend")))</f>
        <v>#N/A</v>
      </c>
      <c r="BC265" s="14" t="e" cm="1">
        <f t="array" aca="1" ref="BC265" ca="1">IF(INDIRECT(ADDRESS($B265+1,BC$230,1,1,"Actively Infected Trend"))=0,#N/A,INDIRECT(ADDRESS($B265+1,BC$230,1,1,"Actively Infected Trend")))</f>
        <v>#N/A</v>
      </c>
      <c r="BD265" s="14" t="e" cm="1">
        <f t="array" aca="1" ref="BD265" ca="1">IF(INDIRECT(ADDRESS($B265+1,BD$230,1,1,"Actively Infected Trend"))=0,#N/A,INDIRECT(ADDRESS($B265+1,BD$230,1,1,"Actively Infected Trend")))</f>
        <v>#N/A</v>
      </c>
      <c r="BE265" s="14" t="e" cm="1">
        <f t="array" aca="1" ref="BE265" ca="1">IF(INDIRECT(ADDRESS($B265+1,BE$230,1,1,"Actively Infected Trend"))=0,#N/A,INDIRECT(ADDRESS($B265+1,BE$230,1,1,"Actively Infected Trend")))</f>
        <v>#N/A</v>
      </c>
      <c r="BF265" s="14" t="e" cm="1">
        <f t="array" aca="1" ref="BF265" ca="1">IF(INDIRECT(ADDRESS($B265+1,BF$230,1,1,"Actively Infected Trend"))=0,#N/A,INDIRECT(ADDRESS($B265+1,BF$230,1,1,"Actively Infected Trend")))</f>
        <v>#N/A</v>
      </c>
      <c r="BG265" s="14" t="e" cm="1">
        <f t="array" aca="1" ref="BG265" ca="1">IF(INDIRECT(ADDRESS($B265+1,BG$230,1,1,"Actively Infected Trend"))=0,#N/A,INDIRECT(ADDRESS($B265+1,BG$230,1,1,"Actively Infected Trend")))</f>
        <v>#N/A</v>
      </c>
      <c r="BH265" s="14" t="e" cm="1">
        <f t="array" aca="1" ref="BH265" ca="1">IF(INDIRECT(ADDRESS($B265+1,BH$230,1,1,"Actively Infected Trend"))=0,#N/A,INDIRECT(ADDRESS($B265+1,BH$230,1,1,"Actively Infected Trend")))</f>
        <v>#N/A</v>
      </c>
      <c r="BI265" s="14" t="e" cm="1">
        <f t="array" aca="1" ref="BI265" ca="1">IF(INDIRECT(ADDRESS($B265+1,BI$230,1,1,"Actively Infected Trend"))=0,#N/A,INDIRECT(ADDRESS($B265+1,BI$230,1,1,"Actively Infected Trend")))</f>
        <v>#N/A</v>
      </c>
      <c r="BJ265" s="14" t="e" cm="1">
        <f t="array" aca="1" ref="BJ265" ca="1">IF(INDIRECT(ADDRESS($B265+1,BJ$230,1,1,"Actively Infected Trend"))=0,#N/A,INDIRECT(ADDRESS($B265+1,BJ$230,1,1,"Actively Infected Trend")))</f>
        <v>#N/A</v>
      </c>
      <c r="BK265" s="14" t="e" cm="1">
        <f t="array" aca="1" ref="BK265" ca="1">IF(INDIRECT(ADDRESS($B265+1,BK$230,1,1,"Actively Infected Trend"))=0,#N/A,INDIRECT(ADDRESS($B265+1,BK$230,1,1,"Actively Infected Trend")))</f>
        <v>#N/A</v>
      </c>
      <c r="BL265" s="14" t="e" cm="1">
        <f t="array" aca="1" ref="BL265" ca="1">IF(INDIRECT(ADDRESS($B265+1,BL$230,1,1,"Actively Infected Trend"))=0,#N/A,INDIRECT(ADDRESS($B265+1,BL$230,1,1,"Actively Infected Trend")))</f>
        <v>#N/A</v>
      </c>
      <c r="BM265" s="14" t="e" cm="1">
        <f t="array" aca="1" ref="BM265" ca="1">IF(INDIRECT(ADDRESS($B265+1,BM$230,1,1,"Actively Infected Trend"))=0,#N/A,INDIRECT(ADDRESS($B265+1,BM$230,1,1,"Actively Infected Trend")))</f>
        <v>#N/A</v>
      </c>
      <c r="BN265" s="14" t="e" cm="1">
        <f t="array" aca="1" ref="BN265" ca="1">IF(INDIRECT(ADDRESS($B265+1,BN$230,1,1,"Actively Infected Trend"))=0,#N/A,INDIRECT(ADDRESS($B265+1,BN$230,1,1,"Actively Infected Trend")))</f>
        <v>#N/A</v>
      </c>
      <c r="BO265" s="14" t="e" cm="1">
        <f t="array" aca="1" ref="BO265" ca="1">IF(INDIRECT(ADDRESS($B265+1,BO$230,1,1,"Actively Infected Trend"))=0,#N/A,INDIRECT(ADDRESS($B265+1,BO$230,1,1,"Actively Infected Trend")))</f>
        <v>#N/A</v>
      </c>
      <c r="BP265" s="14" t="e" cm="1">
        <f t="array" aca="1" ref="BP265" ca="1">IF(INDIRECT(ADDRESS($B265+1,BP$230,1,1,"Actively Infected Trend"))=0,#N/A,INDIRECT(ADDRESS($B265+1,BP$230,1,1,"Actively Infected Trend")))</f>
        <v>#N/A</v>
      </c>
      <c r="BQ265" s="14" t="e" cm="1">
        <f t="array" aca="1" ref="BQ265" ca="1">IF(INDIRECT(ADDRESS($B265+1,BQ$230,1,1,"Actively Infected Trend"))=0,#N/A,INDIRECT(ADDRESS($B265+1,BQ$230,1,1,"Actively Infected Trend")))</f>
        <v>#N/A</v>
      </c>
      <c r="BR265" s="14" t="e" cm="1">
        <f t="array" aca="1" ref="BR265" ca="1">IF(INDIRECT(ADDRESS($B265+1,BR$230,1,1,"Actively Infected Trend"))=0,#N/A,INDIRECT(ADDRESS($B265+1,BR$230,1,1,"Actively Infected Trend")))</f>
        <v>#N/A</v>
      </c>
      <c r="BS265" s="14" t="e" cm="1">
        <f t="array" aca="1" ref="BS265" ca="1">IF(INDIRECT(ADDRESS($B265+1,BS$230,1,1,"Actively Infected Trend"))=0,#N/A,INDIRECT(ADDRESS($B265+1,BS$230,1,1,"Actively Infected Trend")))</f>
        <v>#N/A</v>
      </c>
      <c r="BT265" s="14" t="e" cm="1">
        <f t="array" aca="1" ref="BT265" ca="1">IF(INDIRECT(ADDRESS($B265+1,BT$230,1,1,"Actively Infected Trend"))=0,#N/A,INDIRECT(ADDRESS($B265+1,BT$230,1,1,"Actively Infected Trend")))</f>
        <v>#N/A</v>
      </c>
      <c r="BU265" s="14" t="e" cm="1">
        <f t="array" aca="1" ref="BU265" ca="1">IF(INDIRECT(ADDRESS($B265+1,BU$230,1,1,"Actively Infected Trend"))=0,#N/A,INDIRECT(ADDRESS($B265+1,BU$230,1,1,"Actively Infected Trend")))</f>
        <v>#N/A</v>
      </c>
      <c r="BV265" s="14" t="e" cm="1">
        <f t="array" aca="1" ref="BV265" ca="1">IF(INDIRECT(ADDRESS($B265+1,BV$230,1,1,"Actively Infected Trend"))=0,#N/A,INDIRECT(ADDRESS($B265+1,BV$230,1,1,"Actively Infected Trend")))</f>
        <v>#N/A</v>
      </c>
      <c r="BW265" s="14" t="e" cm="1">
        <f t="array" aca="1" ref="BW265" ca="1">IF(INDIRECT(ADDRESS($B265+1,BW$230,1,1,"Actively Infected Trend"))=0,#N/A,INDIRECT(ADDRESS($B265+1,BW$230,1,1,"Actively Infected Trend")))</f>
        <v>#N/A</v>
      </c>
      <c r="BX265" s="14" t="e" cm="1">
        <f t="array" aca="1" ref="BX265" ca="1">IF(INDIRECT(ADDRESS($B265+1,BX$230,1,1,"Actively Infected Trend"))=0,#N/A,INDIRECT(ADDRESS($B265+1,BX$230,1,1,"Actively Infected Trend")))</f>
        <v>#N/A</v>
      </c>
      <c r="BY265" s="14" t="e" cm="1">
        <f t="array" aca="1" ref="BY265" ca="1">IF(INDIRECT(ADDRESS($B265+1,BY$230,1,1,"Actively Infected Trend"))=0,#N/A,INDIRECT(ADDRESS($B265+1,BY$230,1,1,"Actively Infected Trend")))</f>
        <v>#N/A</v>
      </c>
      <c r="BZ265" s="14" t="e" cm="1">
        <f t="array" aca="1" ref="BZ265" ca="1">IF(INDIRECT(ADDRESS($B265+1,BZ$230,1,1,"Actively Infected Trend"))=0,#N/A,INDIRECT(ADDRESS($B265+1,BZ$230,1,1,"Actively Infected Trend")))</f>
        <v>#N/A</v>
      </c>
      <c r="CA265" s="14" t="e" cm="1">
        <f t="array" aca="1" ref="CA265" ca="1">IF(INDIRECT(ADDRESS($B265+1,CA$230,1,1,"Actively Infected Trend"))=0,#N/A,INDIRECT(ADDRESS($B265+1,CA$230,1,1,"Actively Infected Trend")))</f>
        <v>#N/A</v>
      </c>
      <c r="CB265" s="14" t="e" cm="1">
        <f t="array" aca="1" ref="CB265" ca="1">IF(INDIRECT(ADDRESS($B265+1,CB$230,1,1,"Actively Infected Trend"))=0,#N/A,INDIRECT(ADDRESS($B265+1,CB$230,1,1,"Actively Infected Trend")))</f>
        <v>#N/A</v>
      </c>
      <c r="CC265" s="14" t="e" cm="1">
        <f t="array" aca="1" ref="CC265" ca="1">IF(INDIRECT(ADDRESS($B265+1,CC$230,1,1,"Actively Infected Trend"))=0,#N/A,INDIRECT(ADDRESS($B265+1,CC$230,1,1,"Actively Infected Trend")))</f>
        <v>#N/A</v>
      </c>
      <c r="CD265" s="14" t="e" cm="1">
        <f t="array" aca="1" ref="CD265" ca="1">IF(INDIRECT(ADDRESS($B265+1,CD$230,1,1,"Actively Infected Trend"))=0,#N/A,INDIRECT(ADDRESS($B265+1,CD$230,1,1,"Actively Infected Trend")))</f>
        <v>#N/A</v>
      </c>
      <c r="CE265" s="14" t="e" cm="1">
        <f t="array" aca="1" ref="CE265" ca="1">IF(INDIRECT(ADDRESS($B265+1,CE$230,1,1,"Actively Infected Trend"))=0,#N/A,INDIRECT(ADDRESS($B265+1,CE$230,1,1,"Actively Infected Trend")))</f>
        <v>#N/A</v>
      </c>
      <c r="CF265" s="14" t="e" cm="1">
        <f t="array" aca="1" ref="CF265" ca="1">IF(INDIRECT(ADDRESS($B265+1,CF$230,1,1,"Actively Infected Trend"))=0,#N/A,INDIRECT(ADDRESS($B265+1,CF$230,1,1,"Actively Infected Trend")))</f>
        <v>#N/A</v>
      </c>
      <c r="CG265" s="14" t="e" cm="1">
        <f t="array" aca="1" ref="CG265" ca="1">IF(INDIRECT(ADDRESS($B265+1,CG$230,1,1,"Actively Infected Trend"))=0,#N/A,INDIRECT(ADDRESS($B265+1,CG$230,1,1,"Actively Infected Trend")))</f>
        <v>#N/A</v>
      </c>
      <c r="CH265" s="14" t="e" cm="1">
        <f t="array" aca="1" ref="CH265" ca="1">IF(INDIRECT(ADDRESS($B265+1,CH$230,1,1,"Actively Infected Trend"))=0,#N/A,INDIRECT(ADDRESS($B265+1,CH$230,1,1,"Actively Infected Trend")))</f>
        <v>#N/A</v>
      </c>
      <c r="CI265" s="14" t="e" cm="1">
        <f t="array" aca="1" ref="CI265" ca="1">IF(INDIRECT(ADDRESS($B265+1,CI$230,1,1,"Actively Infected Trend"))=0,#N/A,INDIRECT(ADDRESS($B265+1,CI$230,1,1,"Actively Infected Trend")))</f>
        <v>#N/A</v>
      </c>
      <c r="CJ265" s="14" t="e" cm="1">
        <f t="array" aca="1" ref="CJ265" ca="1">IF(INDIRECT(ADDRESS($B265+1,CJ$230,1,1,"Actively Infected Trend"))=0,#N/A,INDIRECT(ADDRESS($B265+1,CJ$230,1,1,"Actively Infected Trend")))</f>
        <v>#N/A</v>
      </c>
      <c r="CK265" s="14" t="e" cm="1">
        <f t="array" aca="1" ref="CK265" ca="1">IF(INDIRECT(ADDRESS($B265+1,CK$230,1,1,"Actively Infected Trend"))=0,#N/A,INDIRECT(ADDRESS($B265+1,CK$230,1,1,"Actively Infected Trend")))</f>
        <v>#N/A</v>
      </c>
      <c r="CL265" s="14" t="e" cm="1">
        <f t="array" aca="1" ref="CL265" ca="1">IF(INDIRECT(ADDRESS($B265+1,CL$230,1,1,"Actively Infected Trend"))=0,#N/A,INDIRECT(ADDRESS($B265+1,CL$230,1,1,"Actively Infected Trend")))</f>
        <v>#N/A</v>
      </c>
      <c r="CM265" s="14" t="e" cm="1">
        <f t="array" aca="1" ref="CM265" ca="1">IF(INDIRECT(ADDRESS($B265+1,CM$230,1,1,"Actively Infected Trend"))=0,#N/A,INDIRECT(ADDRESS($B265+1,CM$230,1,1,"Actively Infected Trend")))</f>
        <v>#N/A</v>
      </c>
      <c r="CN265" s="14" t="e" cm="1">
        <f t="array" aca="1" ref="CN265" ca="1">IF(INDIRECT(ADDRESS($B265+1,CN$230,1,1,"Actively Infected Trend"))=0,#N/A,INDIRECT(ADDRESS($B265+1,CN$230,1,1,"Actively Infected Trend")))</f>
        <v>#N/A</v>
      </c>
      <c r="CO265" s="14" t="e" cm="1">
        <f t="array" aca="1" ref="CO265" ca="1">IF(INDIRECT(ADDRESS($B265+1,CO$230,1,1,"Actively Infected Trend"))=0,#N/A,INDIRECT(ADDRESS($B265+1,CO$230,1,1,"Actively Infected Trend")))</f>
        <v>#N/A</v>
      </c>
      <c r="CP265" s="14" t="e" cm="1">
        <f t="array" aca="1" ref="CP265" ca="1">IF(INDIRECT(ADDRESS($B265+1,CP$230,1,1,"Actively Infected Trend"))=0,#N/A,INDIRECT(ADDRESS($B265+1,CP$230,1,1,"Actively Infected Trend")))</f>
        <v>#N/A</v>
      </c>
      <c r="CQ265" s="14" t="e" cm="1">
        <f t="array" aca="1" ref="CQ265" ca="1">IF(INDIRECT(ADDRESS($B265+1,CQ$230,1,1,"Actively Infected Trend"))=0,#N/A,INDIRECT(ADDRESS($B265+1,CQ$230,1,1,"Actively Infected Trend")))</f>
        <v>#N/A</v>
      </c>
      <c r="CR265" s="14" t="e" cm="1">
        <f t="array" aca="1" ref="CR265" ca="1">IF(INDIRECT(ADDRESS($B265+1,CR$230,1,1,"Actively Infected Trend"))=0,#N/A,INDIRECT(ADDRESS($B265+1,CR$230,1,1,"Actively Infected Trend")))</f>
        <v>#N/A</v>
      </c>
    </row>
    <row r="266" spans="2:96" x14ac:dyDescent="0.25">
      <c r="B266">
        <f t="shared" si="349"/>
        <v>35</v>
      </c>
      <c r="C266" cm="1">
        <f t="array" aca="1" ref="C266" ca="1">INDIRECT(ADDRESS($B266+1,1,1,1,"Actively Infected Trend"))</f>
        <v>0</v>
      </c>
      <c r="E266" s="14" t="e" cm="1">
        <f t="array" aca="1" ref="E266" ca="1">IF(INDIRECT(ADDRESS($B266+1,E$230,1,1,"Actively Infected Trend"))=0,#N/A,INDIRECT(ADDRESS($B266+1,E$230,1,1,"Actively Infected Trend")))</f>
        <v>#N/A</v>
      </c>
      <c r="F266" s="14" t="e" cm="1">
        <f t="array" aca="1" ref="F266" ca="1">IF(INDIRECT(ADDRESS($B266+1,F$230,1,1,"Actively Infected Trend"))=0,#N/A,INDIRECT(ADDRESS($B266+1,F$230,1,1,"Actively Infected Trend")))</f>
        <v>#N/A</v>
      </c>
      <c r="G266" s="14" t="e" cm="1">
        <f t="array" aca="1" ref="G266" ca="1">IF(INDIRECT(ADDRESS($B266+1,G$230,1,1,"Actively Infected Trend"))=0,#N/A,INDIRECT(ADDRESS($B266+1,G$230,1,1,"Actively Infected Trend")))</f>
        <v>#N/A</v>
      </c>
      <c r="H266" s="14" t="e" cm="1">
        <f t="array" aca="1" ref="H266" ca="1">IF(INDIRECT(ADDRESS($B266+1,H$230,1,1,"Actively Infected Trend"))=0,#N/A,INDIRECT(ADDRESS($B266+1,H$230,1,1,"Actively Infected Trend")))</f>
        <v>#N/A</v>
      </c>
      <c r="I266" s="14" t="e" cm="1">
        <f t="array" aca="1" ref="I266" ca="1">IF(INDIRECT(ADDRESS($B266+1,I$230,1,1,"Actively Infected Trend"))=0,#N/A,INDIRECT(ADDRESS($B266+1,I$230,1,1,"Actively Infected Trend")))</f>
        <v>#N/A</v>
      </c>
      <c r="J266" s="14" t="e" cm="1">
        <f t="array" aca="1" ref="J266" ca="1">IF(INDIRECT(ADDRESS($B266+1,J$230,1,1,"Actively Infected Trend"))=0,#N/A,INDIRECT(ADDRESS($B266+1,J$230,1,1,"Actively Infected Trend")))</f>
        <v>#N/A</v>
      </c>
      <c r="K266" s="14" t="e" cm="1">
        <f t="array" aca="1" ref="K266" ca="1">IF(INDIRECT(ADDRESS($B266+1,K$230,1,1,"Actively Infected Trend"))=0,#N/A,INDIRECT(ADDRESS($B266+1,K$230,1,1,"Actively Infected Trend")))</f>
        <v>#N/A</v>
      </c>
      <c r="L266" s="14" t="e" cm="1">
        <f t="array" aca="1" ref="L266" ca="1">IF(INDIRECT(ADDRESS($B266+1,L$230,1,1,"Actively Infected Trend"))=0,#N/A,INDIRECT(ADDRESS($B266+1,L$230,1,1,"Actively Infected Trend")))</f>
        <v>#N/A</v>
      </c>
      <c r="M266" s="14" t="e" cm="1">
        <f t="array" aca="1" ref="M266" ca="1">IF(INDIRECT(ADDRESS($B266+1,M$230,1,1,"Actively Infected Trend"))=0,#N/A,INDIRECT(ADDRESS($B266+1,M$230,1,1,"Actively Infected Trend")))</f>
        <v>#N/A</v>
      </c>
      <c r="N266" s="14" t="e" cm="1">
        <f t="array" aca="1" ref="N266" ca="1">IF(INDIRECT(ADDRESS($B266+1,N$230,1,1,"Actively Infected Trend"))=0,#N/A,INDIRECT(ADDRESS($B266+1,N$230,1,1,"Actively Infected Trend")))</f>
        <v>#N/A</v>
      </c>
      <c r="O266" s="14" t="e" cm="1">
        <f t="array" aca="1" ref="O266" ca="1">IF(INDIRECT(ADDRESS($B266+1,O$230,1,1,"Actively Infected Trend"))=0,#N/A,INDIRECT(ADDRESS($B266+1,O$230,1,1,"Actively Infected Trend")))</f>
        <v>#N/A</v>
      </c>
      <c r="P266" s="14" t="e" cm="1">
        <f t="array" aca="1" ref="P266" ca="1">IF(INDIRECT(ADDRESS($B266+1,P$230,1,1,"Actively Infected Trend"))=0,#N/A,INDIRECT(ADDRESS($B266+1,P$230,1,1,"Actively Infected Trend")))</f>
        <v>#N/A</v>
      </c>
      <c r="Q266" s="14" t="e" cm="1">
        <f t="array" aca="1" ref="Q266" ca="1">IF(INDIRECT(ADDRESS($B266+1,Q$230,1,1,"Actively Infected Trend"))=0,#N/A,INDIRECT(ADDRESS($B266+1,Q$230,1,1,"Actively Infected Trend")))</f>
        <v>#N/A</v>
      </c>
      <c r="R266" s="14" t="e" cm="1">
        <f t="array" aca="1" ref="R266" ca="1">IF(INDIRECT(ADDRESS($B266+1,R$230,1,1,"Actively Infected Trend"))=0,#N/A,INDIRECT(ADDRESS($B266+1,R$230,1,1,"Actively Infected Trend")))</f>
        <v>#N/A</v>
      </c>
      <c r="S266" s="14" t="e" cm="1">
        <f t="array" aca="1" ref="S266" ca="1">IF(INDIRECT(ADDRESS($B266+1,S$230,1,1,"Actively Infected Trend"))=0,#N/A,INDIRECT(ADDRESS($B266+1,S$230,1,1,"Actively Infected Trend")))</f>
        <v>#N/A</v>
      </c>
      <c r="T266" s="14" t="e" cm="1">
        <f t="array" aca="1" ref="T266" ca="1">IF(INDIRECT(ADDRESS($B266+1,T$230,1,1,"Actively Infected Trend"))=0,#N/A,INDIRECT(ADDRESS($B266+1,T$230,1,1,"Actively Infected Trend")))</f>
        <v>#N/A</v>
      </c>
      <c r="U266" s="14" t="e" cm="1">
        <f t="array" aca="1" ref="U266" ca="1">IF(INDIRECT(ADDRESS($B266+1,U$230,1,1,"Actively Infected Trend"))=0,#N/A,INDIRECT(ADDRESS($B266+1,U$230,1,1,"Actively Infected Trend")))</f>
        <v>#N/A</v>
      </c>
      <c r="V266" s="14" t="e" cm="1">
        <f t="array" aca="1" ref="V266" ca="1">IF(INDIRECT(ADDRESS($B266+1,V$230,1,1,"Actively Infected Trend"))=0,#N/A,INDIRECT(ADDRESS($B266+1,V$230,1,1,"Actively Infected Trend")))</f>
        <v>#N/A</v>
      </c>
      <c r="W266" s="14" t="e" cm="1">
        <f t="array" aca="1" ref="W266" ca="1">IF(INDIRECT(ADDRESS($B266+1,W$230,1,1,"Actively Infected Trend"))=0,#N/A,INDIRECT(ADDRESS($B266+1,W$230,1,1,"Actively Infected Trend")))</f>
        <v>#N/A</v>
      </c>
      <c r="X266" s="14" t="e" cm="1">
        <f t="array" aca="1" ref="X266" ca="1">IF(INDIRECT(ADDRESS($B266+1,X$230,1,1,"Actively Infected Trend"))=0,#N/A,INDIRECT(ADDRESS($B266+1,X$230,1,1,"Actively Infected Trend")))</f>
        <v>#N/A</v>
      </c>
      <c r="Y266" s="14" t="e" cm="1">
        <f t="array" aca="1" ref="Y266" ca="1">IF(INDIRECT(ADDRESS($B266+1,Y$230,1,1,"Actively Infected Trend"))=0,#N/A,INDIRECT(ADDRESS($B266+1,Y$230,1,1,"Actively Infected Trend")))</f>
        <v>#N/A</v>
      </c>
      <c r="Z266" s="14" t="e" cm="1">
        <f t="array" aca="1" ref="Z266" ca="1">IF(INDIRECT(ADDRESS($B266+1,Z$230,1,1,"Actively Infected Trend"))=0,#N/A,INDIRECT(ADDRESS($B266+1,Z$230,1,1,"Actively Infected Trend")))</f>
        <v>#N/A</v>
      </c>
      <c r="AA266" s="14" t="e" cm="1">
        <f t="array" aca="1" ref="AA266" ca="1">IF(INDIRECT(ADDRESS($B266+1,AA$230,1,1,"Actively Infected Trend"))=0,#N/A,INDIRECT(ADDRESS($B266+1,AA$230,1,1,"Actively Infected Trend")))</f>
        <v>#N/A</v>
      </c>
      <c r="AB266" s="14" t="e" cm="1">
        <f t="array" aca="1" ref="AB266" ca="1">IF(INDIRECT(ADDRESS($B266+1,AB$230,1,1,"Actively Infected Trend"))=0,#N/A,INDIRECT(ADDRESS($B266+1,AB$230,1,1,"Actively Infected Trend")))</f>
        <v>#N/A</v>
      </c>
      <c r="AC266" s="14" t="e" cm="1">
        <f t="array" aca="1" ref="AC266" ca="1">IF(INDIRECT(ADDRESS($B266+1,AC$230,1,1,"Actively Infected Trend"))=0,#N/A,INDIRECT(ADDRESS($B266+1,AC$230,1,1,"Actively Infected Trend")))</f>
        <v>#N/A</v>
      </c>
      <c r="AD266" s="14" t="e" cm="1">
        <f t="array" aca="1" ref="AD266" ca="1">IF(INDIRECT(ADDRESS($B266+1,AD$230,1,1,"Actively Infected Trend"))=0,#N/A,INDIRECT(ADDRESS($B266+1,AD$230,1,1,"Actively Infected Trend")))</f>
        <v>#N/A</v>
      </c>
      <c r="AE266" s="14" t="e" cm="1">
        <f t="array" aca="1" ref="AE266" ca="1">IF(INDIRECT(ADDRESS($B266+1,AE$230,1,1,"Actively Infected Trend"))=0,#N/A,INDIRECT(ADDRESS($B266+1,AE$230,1,1,"Actively Infected Trend")))</f>
        <v>#N/A</v>
      </c>
      <c r="AF266" s="14" t="e" cm="1">
        <f t="array" aca="1" ref="AF266" ca="1">IF(INDIRECT(ADDRESS($B266+1,AF$230,1,1,"Actively Infected Trend"))=0,#N/A,INDIRECT(ADDRESS($B266+1,AF$230,1,1,"Actively Infected Trend")))</f>
        <v>#N/A</v>
      </c>
      <c r="AG266" s="14" t="e" cm="1">
        <f t="array" aca="1" ref="AG266" ca="1">IF(INDIRECT(ADDRESS($B266+1,AG$230,1,1,"Actively Infected Trend"))=0,#N/A,INDIRECT(ADDRESS($B266+1,AG$230,1,1,"Actively Infected Trend")))</f>
        <v>#N/A</v>
      </c>
      <c r="AH266" s="14" t="e" cm="1">
        <f t="array" aca="1" ref="AH266" ca="1">IF(INDIRECT(ADDRESS($B266+1,AH$230,1,1,"Actively Infected Trend"))=0,#N/A,INDIRECT(ADDRESS($B266+1,AH$230,1,1,"Actively Infected Trend")))</f>
        <v>#N/A</v>
      </c>
      <c r="AI266" s="14" t="e" cm="1">
        <f t="array" aca="1" ref="AI266" ca="1">IF(INDIRECT(ADDRESS($B266+1,AI$230,1,1,"Actively Infected Trend"))=0,#N/A,INDIRECT(ADDRESS($B266+1,AI$230,1,1,"Actively Infected Trend")))</f>
        <v>#N/A</v>
      </c>
      <c r="AJ266" s="14" t="e" cm="1">
        <f t="array" aca="1" ref="AJ266" ca="1">IF(INDIRECT(ADDRESS($B266+1,AJ$230,1,1,"Actively Infected Trend"))=0,#N/A,INDIRECT(ADDRESS($B266+1,AJ$230,1,1,"Actively Infected Trend")))</f>
        <v>#N/A</v>
      </c>
      <c r="AK266" s="14" t="e" cm="1">
        <f t="array" aca="1" ref="AK266" ca="1">IF(INDIRECT(ADDRESS($B266+1,AK$230,1,1,"Actively Infected Trend"))=0,#N/A,INDIRECT(ADDRESS($B266+1,AK$230,1,1,"Actively Infected Trend")))</f>
        <v>#N/A</v>
      </c>
      <c r="AL266" s="14" t="e" cm="1">
        <f t="array" aca="1" ref="AL266" ca="1">IF(INDIRECT(ADDRESS($B266+1,AL$230,1,1,"Actively Infected Trend"))=0,#N/A,INDIRECT(ADDRESS($B266+1,AL$230,1,1,"Actively Infected Trend")))</f>
        <v>#N/A</v>
      </c>
      <c r="AM266" s="14" t="e" cm="1">
        <f t="array" aca="1" ref="AM266" ca="1">IF(INDIRECT(ADDRESS($B266+1,AM$230,1,1,"Actively Infected Trend"))=0,#N/A,INDIRECT(ADDRESS($B266+1,AM$230,1,1,"Actively Infected Trend")))</f>
        <v>#N/A</v>
      </c>
      <c r="AN266" s="14" t="e" cm="1">
        <f t="array" aca="1" ref="AN266" ca="1">IF(INDIRECT(ADDRESS($B266+1,AN$230,1,1,"Actively Infected Trend"))=0,#N/A,INDIRECT(ADDRESS($B266+1,AN$230,1,1,"Actively Infected Trend")))</f>
        <v>#N/A</v>
      </c>
      <c r="AO266" s="14" t="e" cm="1">
        <f t="array" aca="1" ref="AO266" ca="1">IF(INDIRECT(ADDRESS($B266+1,AO$230,1,1,"Actively Infected Trend"))=0,#N/A,INDIRECT(ADDRESS($B266+1,AO$230,1,1,"Actively Infected Trend")))</f>
        <v>#N/A</v>
      </c>
      <c r="AP266" s="14" t="e" cm="1">
        <f t="array" aca="1" ref="AP266" ca="1">IF(INDIRECT(ADDRESS($B266+1,AP$230,1,1,"Actively Infected Trend"))=0,#N/A,INDIRECT(ADDRESS($B266+1,AP$230,1,1,"Actively Infected Trend")))</f>
        <v>#N/A</v>
      </c>
      <c r="AQ266" s="14" t="e" cm="1">
        <f t="array" aca="1" ref="AQ266" ca="1">IF(INDIRECT(ADDRESS($B266+1,AQ$230,1,1,"Actively Infected Trend"))=0,#N/A,INDIRECT(ADDRESS($B266+1,AQ$230,1,1,"Actively Infected Trend")))</f>
        <v>#N/A</v>
      </c>
      <c r="AR266" s="14" t="e" cm="1">
        <f t="array" aca="1" ref="AR266" ca="1">IF(INDIRECT(ADDRESS($B266+1,AR$230,1,1,"Actively Infected Trend"))=0,#N/A,INDIRECT(ADDRESS($B266+1,AR$230,1,1,"Actively Infected Trend")))</f>
        <v>#N/A</v>
      </c>
      <c r="AS266" s="14" t="e" cm="1">
        <f t="array" aca="1" ref="AS266" ca="1">IF(INDIRECT(ADDRESS($B266+1,AS$230,1,1,"Actively Infected Trend"))=0,#N/A,INDIRECT(ADDRESS($B266+1,AS$230,1,1,"Actively Infected Trend")))</f>
        <v>#N/A</v>
      </c>
      <c r="AT266" s="14" t="e" cm="1">
        <f t="array" aca="1" ref="AT266" ca="1">IF(INDIRECT(ADDRESS($B266+1,AT$230,1,1,"Actively Infected Trend"))=0,#N/A,INDIRECT(ADDRESS($B266+1,AT$230,1,1,"Actively Infected Trend")))</f>
        <v>#N/A</v>
      </c>
      <c r="AU266" s="14" t="e" cm="1">
        <f t="array" aca="1" ref="AU266" ca="1">IF(INDIRECT(ADDRESS($B266+1,AU$230,1,1,"Actively Infected Trend"))=0,#N/A,INDIRECT(ADDRESS($B266+1,AU$230,1,1,"Actively Infected Trend")))</f>
        <v>#N/A</v>
      </c>
      <c r="AV266" s="14" t="e" cm="1">
        <f t="array" aca="1" ref="AV266" ca="1">IF(INDIRECT(ADDRESS($B266+1,AV$230,1,1,"Actively Infected Trend"))=0,#N/A,INDIRECT(ADDRESS($B266+1,AV$230,1,1,"Actively Infected Trend")))</f>
        <v>#N/A</v>
      </c>
      <c r="AW266" s="14" t="e" cm="1">
        <f t="array" aca="1" ref="AW266" ca="1">IF(INDIRECT(ADDRESS($B266+1,AW$230,1,1,"Actively Infected Trend"))=0,#N/A,INDIRECT(ADDRESS($B266+1,AW$230,1,1,"Actively Infected Trend")))</f>
        <v>#N/A</v>
      </c>
      <c r="AX266" s="14" t="e" cm="1">
        <f t="array" aca="1" ref="AX266" ca="1">IF(INDIRECT(ADDRESS($B266+1,AX$230,1,1,"Actively Infected Trend"))=0,#N/A,INDIRECT(ADDRESS($B266+1,AX$230,1,1,"Actively Infected Trend")))</f>
        <v>#N/A</v>
      </c>
      <c r="AY266" s="14" t="e" cm="1">
        <f t="array" aca="1" ref="AY266" ca="1">IF(INDIRECT(ADDRESS($B266+1,AY$230,1,1,"Actively Infected Trend"))=0,#N/A,INDIRECT(ADDRESS($B266+1,AY$230,1,1,"Actively Infected Trend")))</f>
        <v>#N/A</v>
      </c>
      <c r="AZ266" s="14" t="e" cm="1">
        <f t="array" aca="1" ref="AZ266" ca="1">IF(INDIRECT(ADDRESS($B266+1,AZ$230,1,1,"Actively Infected Trend"))=0,#N/A,INDIRECT(ADDRESS($B266+1,AZ$230,1,1,"Actively Infected Trend")))</f>
        <v>#N/A</v>
      </c>
      <c r="BA266" s="14" t="e" cm="1">
        <f t="array" aca="1" ref="BA266" ca="1">IF(INDIRECT(ADDRESS($B266+1,BA$230,1,1,"Actively Infected Trend"))=0,#N/A,INDIRECT(ADDRESS($B266+1,BA$230,1,1,"Actively Infected Trend")))</f>
        <v>#N/A</v>
      </c>
      <c r="BB266" s="14" t="e" cm="1">
        <f t="array" aca="1" ref="BB266" ca="1">IF(INDIRECT(ADDRESS($B266+1,BB$230,1,1,"Actively Infected Trend"))=0,#N/A,INDIRECT(ADDRESS($B266+1,BB$230,1,1,"Actively Infected Trend")))</f>
        <v>#N/A</v>
      </c>
      <c r="BC266" s="14" t="e" cm="1">
        <f t="array" aca="1" ref="BC266" ca="1">IF(INDIRECT(ADDRESS($B266+1,BC$230,1,1,"Actively Infected Trend"))=0,#N/A,INDIRECT(ADDRESS($B266+1,BC$230,1,1,"Actively Infected Trend")))</f>
        <v>#N/A</v>
      </c>
      <c r="BD266" s="14" t="e" cm="1">
        <f t="array" aca="1" ref="BD266" ca="1">IF(INDIRECT(ADDRESS($B266+1,BD$230,1,1,"Actively Infected Trend"))=0,#N/A,INDIRECT(ADDRESS($B266+1,BD$230,1,1,"Actively Infected Trend")))</f>
        <v>#N/A</v>
      </c>
      <c r="BE266" s="14" t="e" cm="1">
        <f t="array" aca="1" ref="BE266" ca="1">IF(INDIRECT(ADDRESS($B266+1,BE$230,1,1,"Actively Infected Trend"))=0,#N/A,INDIRECT(ADDRESS($B266+1,BE$230,1,1,"Actively Infected Trend")))</f>
        <v>#N/A</v>
      </c>
      <c r="BF266" s="14" t="e" cm="1">
        <f t="array" aca="1" ref="BF266" ca="1">IF(INDIRECT(ADDRESS($B266+1,BF$230,1,1,"Actively Infected Trend"))=0,#N/A,INDIRECT(ADDRESS($B266+1,BF$230,1,1,"Actively Infected Trend")))</f>
        <v>#N/A</v>
      </c>
      <c r="BG266" s="14" t="e" cm="1">
        <f t="array" aca="1" ref="BG266" ca="1">IF(INDIRECT(ADDRESS($B266+1,BG$230,1,1,"Actively Infected Trend"))=0,#N/A,INDIRECT(ADDRESS($B266+1,BG$230,1,1,"Actively Infected Trend")))</f>
        <v>#N/A</v>
      </c>
      <c r="BH266" s="14" t="e" cm="1">
        <f t="array" aca="1" ref="BH266" ca="1">IF(INDIRECT(ADDRESS($B266+1,BH$230,1,1,"Actively Infected Trend"))=0,#N/A,INDIRECT(ADDRESS($B266+1,BH$230,1,1,"Actively Infected Trend")))</f>
        <v>#N/A</v>
      </c>
      <c r="BI266" s="14" t="e" cm="1">
        <f t="array" aca="1" ref="BI266" ca="1">IF(INDIRECT(ADDRESS($B266+1,BI$230,1,1,"Actively Infected Trend"))=0,#N/A,INDIRECT(ADDRESS($B266+1,BI$230,1,1,"Actively Infected Trend")))</f>
        <v>#N/A</v>
      </c>
      <c r="BJ266" s="14" t="e" cm="1">
        <f t="array" aca="1" ref="BJ266" ca="1">IF(INDIRECT(ADDRESS($B266+1,BJ$230,1,1,"Actively Infected Trend"))=0,#N/A,INDIRECT(ADDRESS($B266+1,BJ$230,1,1,"Actively Infected Trend")))</f>
        <v>#N/A</v>
      </c>
      <c r="BK266" s="14" t="e" cm="1">
        <f t="array" aca="1" ref="BK266" ca="1">IF(INDIRECT(ADDRESS($B266+1,BK$230,1,1,"Actively Infected Trend"))=0,#N/A,INDIRECT(ADDRESS($B266+1,BK$230,1,1,"Actively Infected Trend")))</f>
        <v>#N/A</v>
      </c>
      <c r="BL266" s="14" t="e" cm="1">
        <f t="array" aca="1" ref="BL266" ca="1">IF(INDIRECT(ADDRESS($B266+1,BL$230,1,1,"Actively Infected Trend"))=0,#N/A,INDIRECT(ADDRESS($B266+1,BL$230,1,1,"Actively Infected Trend")))</f>
        <v>#N/A</v>
      </c>
      <c r="BM266" s="14" t="e" cm="1">
        <f t="array" aca="1" ref="BM266" ca="1">IF(INDIRECT(ADDRESS($B266+1,BM$230,1,1,"Actively Infected Trend"))=0,#N/A,INDIRECT(ADDRESS($B266+1,BM$230,1,1,"Actively Infected Trend")))</f>
        <v>#N/A</v>
      </c>
      <c r="BN266" s="14" t="e" cm="1">
        <f t="array" aca="1" ref="BN266" ca="1">IF(INDIRECT(ADDRESS($B266+1,BN$230,1,1,"Actively Infected Trend"))=0,#N/A,INDIRECT(ADDRESS($B266+1,BN$230,1,1,"Actively Infected Trend")))</f>
        <v>#N/A</v>
      </c>
      <c r="BO266" s="14" t="e" cm="1">
        <f t="array" aca="1" ref="BO266" ca="1">IF(INDIRECT(ADDRESS($B266+1,BO$230,1,1,"Actively Infected Trend"))=0,#N/A,INDIRECT(ADDRESS($B266+1,BO$230,1,1,"Actively Infected Trend")))</f>
        <v>#N/A</v>
      </c>
      <c r="BP266" s="14" t="e" cm="1">
        <f t="array" aca="1" ref="BP266" ca="1">IF(INDIRECT(ADDRESS($B266+1,BP$230,1,1,"Actively Infected Trend"))=0,#N/A,INDIRECT(ADDRESS($B266+1,BP$230,1,1,"Actively Infected Trend")))</f>
        <v>#N/A</v>
      </c>
      <c r="BQ266" s="14" t="e" cm="1">
        <f t="array" aca="1" ref="BQ266" ca="1">IF(INDIRECT(ADDRESS($B266+1,BQ$230,1,1,"Actively Infected Trend"))=0,#N/A,INDIRECT(ADDRESS($B266+1,BQ$230,1,1,"Actively Infected Trend")))</f>
        <v>#N/A</v>
      </c>
      <c r="BR266" s="14" t="e" cm="1">
        <f t="array" aca="1" ref="BR266" ca="1">IF(INDIRECT(ADDRESS($B266+1,BR$230,1,1,"Actively Infected Trend"))=0,#N/A,INDIRECT(ADDRESS($B266+1,BR$230,1,1,"Actively Infected Trend")))</f>
        <v>#N/A</v>
      </c>
      <c r="BS266" s="14" t="e" cm="1">
        <f t="array" aca="1" ref="BS266" ca="1">IF(INDIRECT(ADDRESS($B266+1,BS$230,1,1,"Actively Infected Trend"))=0,#N/A,INDIRECT(ADDRESS($B266+1,BS$230,1,1,"Actively Infected Trend")))</f>
        <v>#N/A</v>
      </c>
      <c r="BT266" s="14" t="e" cm="1">
        <f t="array" aca="1" ref="BT266" ca="1">IF(INDIRECT(ADDRESS($B266+1,BT$230,1,1,"Actively Infected Trend"))=0,#N/A,INDIRECT(ADDRESS($B266+1,BT$230,1,1,"Actively Infected Trend")))</f>
        <v>#N/A</v>
      </c>
      <c r="BU266" s="14" t="e" cm="1">
        <f t="array" aca="1" ref="BU266" ca="1">IF(INDIRECT(ADDRESS($B266+1,BU$230,1,1,"Actively Infected Trend"))=0,#N/A,INDIRECT(ADDRESS($B266+1,BU$230,1,1,"Actively Infected Trend")))</f>
        <v>#N/A</v>
      </c>
      <c r="BV266" s="14" t="e" cm="1">
        <f t="array" aca="1" ref="BV266" ca="1">IF(INDIRECT(ADDRESS($B266+1,BV$230,1,1,"Actively Infected Trend"))=0,#N/A,INDIRECT(ADDRESS($B266+1,BV$230,1,1,"Actively Infected Trend")))</f>
        <v>#N/A</v>
      </c>
      <c r="BW266" s="14" t="e" cm="1">
        <f t="array" aca="1" ref="BW266" ca="1">IF(INDIRECT(ADDRESS($B266+1,BW$230,1,1,"Actively Infected Trend"))=0,#N/A,INDIRECT(ADDRESS($B266+1,BW$230,1,1,"Actively Infected Trend")))</f>
        <v>#N/A</v>
      </c>
      <c r="BX266" s="14" t="e" cm="1">
        <f t="array" aca="1" ref="BX266" ca="1">IF(INDIRECT(ADDRESS($B266+1,BX$230,1,1,"Actively Infected Trend"))=0,#N/A,INDIRECT(ADDRESS($B266+1,BX$230,1,1,"Actively Infected Trend")))</f>
        <v>#N/A</v>
      </c>
      <c r="BY266" s="14" t="e" cm="1">
        <f t="array" aca="1" ref="BY266" ca="1">IF(INDIRECT(ADDRESS($B266+1,BY$230,1,1,"Actively Infected Trend"))=0,#N/A,INDIRECT(ADDRESS($B266+1,BY$230,1,1,"Actively Infected Trend")))</f>
        <v>#N/A</v>
      </c>
      <c r="BZ266" s="14" t="e" cm="1">
        <f t="array" aca="1" ref="BZ266" ca="1">IF(INDIRECT(ADDRESS($B266+1,BZ$230,1,1,"Actively Infected Trend"))=0,#N/A,INDIRECT(ADDRESS($B266+1,BZ$230,1,1,"Actively Infected Trend")))</f>
        <v>#N/A</v>
      </c>
      <c r="CA266" s="14" t="e" cm="1">
        <f t="array" aca="1" ref="CA266" ca="1">IF(INDIRECT(ADDRESS($B266+1,CA$230,1,1,"Actively Infected Trend"))=0,#N/A,INDIRECT(ADDRESS($B266+1,CA$230,1,1,"Actively Infected Trend")))</f>
        <v>#N/A</v>
      </c>
      <c r="CB266" s="14" t="e" cm="1">
        <f t="array" aca="1" ref="CB266" ca="1">IF(INDIRECT(ADDRESS($B266+1,CB$230,1,1,"Actively Infected Trend"))=0,#N/A,INDIRECT(ADDRESS($B266+1,CB$230,1,1,"Actively Infected Trend")))</f>
        <v>#N/A</v>
      </c>
      <c r="CC266" s="14" t="e" cm="1">
        <f t="array" aca="1" ref="CC266" ca="1">IF(INDIRECT(ADDRESS($B266+1,CC$230,1,1,"Actively Infected Trend"))=0,#N/A,INDIRECT(ADDRESS($B266+1,CC$230,1,1,"Actively Infected Trend")))</f>
        <v>#N/A</v>
      </c>
      <c r="CD266" s="14" t="e" cm="1">
        <f t="array" aca="1" ref="CD266" ca="1">IF(INDIRECT(ADDRESS($B266+1,CD$230,1,1,"Actively Infected Trend"))=0,#N/A,INDIRECT(ADDRESS($B266+1,CD$230,1,1,"Actively Infected Trend")))</f>
        <v>#N/A</v>
      </c>
      <c r="CE266" s="14" t="e" cm="1">
        <f t="array" aca="1" ref="CE266" ca="1">IF(INDIRECT(ADDRESS($B266+1,CE$230,1,1,"Actively Infected Trend"))=0,#N/A,INDIRECT(ADDRESS($B266+1,CE$230,1,1,"Actively Infected Trend")))</f>
        <v>#N/A</v>
      </c>
      <c r="CF266" s="14" t="e" cm="1">
        <f t="array" aca="1" ref="CF266" ca="1">IF(INDIRECT(ADDRESS($B266+1,CF$230,1,1,"Actively Infected Trend"))=0,#N/A,INDIRECT(ADDRESS($B266+1,CF$230,1,1,"Actively Infected Trend")))</f>
        <v>#N/A</v>
      </c>
      <c r="CG266" s="14" t="e" cm="1">
        <f t="array" aca="1" ref="CG266" ca="1">IF(INDIRECT(ADDRESS($B266+1,CG$230,1,1,"Actively Infected Trend"))=0,#N/A,INDIRECT(ADDRESS($B266+1,CG$230,1,1,"Actively Infected Trend")))</f>
        <v>#N/A</v>
      </c>
      <c r="CH266" s="14" t="e" cm="1">
        <f t="array" aca="1" ref="CH266" ca="1">IF(INDIRECT(ADDRESS($B266+1,CH$230,1,1,"Actively Infected Trend"))=0,#N/A,INDIRECT(ADDRESS($B266+1,CH$230,1,1,"Actively Infected Trend")))</f>
        <v>#N/A</v>
      </c>
      <c r="CI266" s="14" t="e" cm="1">
        <f t="array" aca="1" ref="CI266" ca="1">IF(INDIRECT(ADDRESS($B266+1,CI$230,1,1,"Actively Infected Trend"))=0,#N/A,INDIRECT(ADDRESS($B266+1,CI$230,1,1,"Actively Infected Trend")))</f>
        <v>#N/A</v>
      </c>
      <c r="CJ266" s="14" t="e" cm="1">
        <f t="array" aca="1" ref="CJ266" ca="1">IF(INDIRECT(ADDRESS($B266+1,CJ$230,1,1,"Actively Infected Trend"))=0,#N/A,INDIRECT(ADDRESS($B266+1,CJ$230,1,1,"Actively Infected Trend")))</f>
        <v>#N/A</v>
      </c>
      <c r="CK266" s="14" t="e" cm="1">
        <f t="array" aca="1" ref="CK266" ca="1">IF(INDIRECT(ADDRESS($B266+1,CK$230,1,1,"Actively Infected Trend"))=0,#N/A,INDIRECT(ADDRESS($B266+1,CK$230,1,1,"Actively Infected Trend")))</f>
        <v>#N/A</v>
      </c>
      <c r="CL266" s="14" t="e" cm="1">
        <f t="array" aca="1" ref="CL266" ca="1">IF(INDIRECT(ADDRESS($B266+1,CL$230,1,1,"Actively Infected Trend"))=0,#N/A,INDIRECT(ADDRESS($B266+1,CL$230,1,1,"Actively Infected Trend")))</f>
        <v>#N/A</v>
      </c>
      <c r="CM266" s="14" t="e" cm="1">
        <f t="array" aca="1" ref="CM266" ca="1">IF(INDIRECT(ADDRESS($B266+1,CM$230,1,1,"Actively Infected Trend"))=0,#N/A,INDIRECT(ADDRESS($B266+1,CM$230,1,1,"Actively Infected Trend")))</f>
        <v>#N/A</v>
      </c>
      <c r="CN266" s="14" t="e" cm="1">
        <f t="array" aca="1" ref="CN266" ca="1">IF(INDIRECT(ADDRESS($B266+1,CN$230,1,1,"Actively Infected Trend"))=0,#N/A,INDIRECT(ADDRESS($B266+1,CN$230,1,1,"Actively Infected Trend")))</f>
        <v>#N/A</v>
      </c>
      <c r="CO266" s="14" t="e" cm="1">
        <f t="array" aca="1" ref="CO266" ca="1">IF(INDIRECT(ADDRESS($B266+1,CO$230,1,1,"Actively Infected Trend"))=0,#N/A,INDIRECT(ADDRESS($B266+1,CO$230,1,1,"Actively Infected Trend")))</f>
        <v>#N/A</v>
      </c>
      <c r="CP266" s="14" t="e" cm="1">
        <f t="array" aca="1" ref="CP266" ca="1">IF(INDIRECT(ADDRESS($B266+1,CP$230,1,1,"Actively Infected Trend"))=0,#N/A,INDIRECT(ADDRESS($B266+1,CP$230,1,1,"Actively Infected Trend")))</f>
        <v>#N/A</v>
      </c>
      <c r="CQ266" s="14" t="e" cm="1">
        <f t="array" aca="1" ref="CQ266" ca="1">IF(INDIRECT(ADDRESS($B266+1,CQ$230,1,1,"Actively Infected Trend"))=0,#N/A,INDIRECT(ADDRESS($B266+1,CQ$230,1,1,"Actively Infected Trend")))</f>
        <v>#N/A</v>
      </c>
      <c r="CR266" s="14" t="e" cm="1">
        <f t="array" aca="1" ref="CR266" ca="1">IF(INDIRECT(ADDRESS($B266+1,CR$230,1,1,"Actively Infected Trend"))=0,#N/A,INDIRECT(ADDRESS($B266+1,CR$230,1,1,"Actively Infected Trend")))</f>
        <v>#N/A</v>
      </c>
    </row>
    <row r="267" spans="2:96" x14ac:dyDescent="0.25">
      <c r="B267">
        <f t="shared" si="349"/>
        <v>36</v>
      </c>
      <c r="C267" cm="1">
        <f t="array" aca="1" ref="C267" ca="1">INDIRECT(ADDRESS($B267+1,1,1,1,"Actively Infected Trend"))</f>
        <v>0</v>
      </c>
      <c r="E267" s="14" t="e" cm="1">
        <f t="array" aca="1" ref="E267" ca="1">IF(INDIRECT(ADDRESS($B267+1,E$230,1,1,"Actively Infected Trend"))=0,#N/A,INDIRECT(ADDRESS($B267+1,E$230,1,1,"Actively Infected Trend")))</f>
        <v>#N/A</v>
      </c>
      <c r="F267" s="14" t="e" cm="1">
        <f t="array" aca="1" ref="F267" ca="1">IF(INDIRECT(ADDRESS($B267+1,F$230,1,1,"Actively Infected Trend"))=0,#N/A,INDIRECT(ADDRESS($B267+1,F$230,1,1,"Actively Infected Trend")))</f>
        <v>#N/A</v>
      </c>
      <c r="G267" s="14" t="e" cm="1">
        <f t="array" aca="1" ref="G267" ca="1">IF(INDIRECT(ADDRESS($B267+1,G$230,1,1,"Actively Infected Trend"))=0,#N/A,INDIRECT(ADDRESS($B267+1,G$230,1,1,"Actively Infected Trend")))</f>
        <v>#N/A</v>
      </c>
      <c r="H267" s="14" t="e" cm="1">
        <f t="array" aca="1" ref="H267" ca="1">IF(INDIRECT(ADDRESS($B267+1,H$230,1,1,"Actively Infected Trend"))=0,#N/A,INDIRECT(ADDRESS($B267+1,H$230,1,1,"Actively Infected Trend")))</f>
        <v>#N/A</v>
      </c>
      <c r="I267" s="14" t="e" cm="1">
        <f t="array" aca="1" ref="I267" ca="1">IF(INDIRECT(ADDRESS($B267+1,I$230,1,1,"Actively Infected Trend"))=0,#N/A,INDIRECT(ADDRESS($B267+1,I$230,1,1,"Actively Infected Trend")))</f>
        <v>#N/A</v>
      </c>
      <c r="J267" s="14" t="e" cm="1">
        <f t="array" aca="1" ref="J267" ca="1">IF(INDIRECT(ADDRESS($B267+1,J$230,1,1,"Actively Infected Trend"))=0,#N/A,INDIRECT(ADDRESS($B267+1,J$230,1,1,"Actively Infected Trend")))</f>
        <v>#N/A</v>
      </c>
      <c r="K267" s="14" t="e" cm="1">
        <f t="array" aca="1" ref="K267" ca="1">IF(INDIRECT(ADDRESS($B267+1,K$230,1,1,"Actively Infected Trend"))=0,#N/A,INDIRECT(ADDRESS($B267+1,K$230,1,1,"Actively Infected Trend")))</f>
        <v>#N/A</v>
      </c>
      <c r="L267" s="14" t="e" cm="1">
        <f t="array" aca="1" ref="L267" ca="1">IF(INDIRECT(ADDRESS($B267+1,L$230,1,1,"Actively Infected Trend"))=0,#N/A,INDIRECT(ADDRESS($B267+1,L$230,1,1,"Actively Infected Trend")))</f>
        <v>#N/A</v>
      </c>
      <c r="M267" s="14" t="e" cm="1">
        <f t="array" aca="1" ref="M267" ca="1">IF(INDIRECT(ADDRESS($B267+1,M$230,1,1,"Actively Infected Trend"))=0,#N/A,INDIRECT(ADDRESS($B267+1,M$230,1,1,"Actively Infected Trend")))</f>
        <v>#N/A</v>
      </c>
      <c r="N267" s="14" t="e" cm="1">
        <f t="array" aca="1" ref="N267" ca="1">IF(INDIRECT(ADDRESS($B267+1,N$230,1,1,"Actively Infected Trend"))=0,#N/A,INDIRECT(ADDRESS($B267+1,N$230,1,1,"Actively Infected Trend")))</f>
        <v>#N/A</v>
      </c>
      <c r="O267" s="14" t="e" cm="1">
        <f t="array" aca="1" ref="O267" ca="1">IF(INDIRECT(ADDRESS($B267+1,O$230,1,1,"Actively Infected Trend"))=0,#N/A,INDIRECT(ADDRESS($B267+1,O$230,1,1,"Actively Infected Trend")))</f>
        <v>#N/A</v>
      </c>
      <c r="P267" s="14" t="e" cm="1">
        <f t="array" aca="1" ref="P267" ca="1">IF(INDIRECT(ADDRESS($B267+1,P$230,1,1,"Actively Infected Trend"))=0,#N/A,INDIRECT(ADDRESS($B267+1,P$230,1,1,"Actively Infected Trend")))</f>
        <v>#N/A</v>
      </c>
      <c r="Q267" s="14" t="e" cm="1">
        <f t="array" aca="1" ref="Q267" ca="1">IF(INDIRECT(ADDRESS($B267+1,Q$230,1,1,"Actively Infected Trend"))=0,#N/A,INDIRECT(ADDRESS($B267+1,Q$230,1,1,"Actively Infected Trend")))</f>
        <v>#N/A</v>
      </c>
      <c r="R267" s="14" t="e" cm="1">
        <f t="array" aca="1" ref="R267" ca="1">IF(INDIRECT(ADDRESS($B267+1,R$230,1,1,"Actively Infected Trend"))=0,#N/A,INDIRECT(ADDRESS($B267+1,R$230,1,1,"Actively Infected Trend")))</f>
        <v>#N/A</v>
      </c>
      <c r="S267" s="14" t="e" cm="1">
        <f t="array" aca="1" ref="S267" ca="1">IF(INDIRECT(ADDRESS($B267+1,S$230,1,1,"Actively Infected Trend"))=0,#N/A,INDIRECT(ADDRESS($B267+1,S$230,1,1,"Actively Infected Trend")))</f>
        <v>#N/A</v>
      </c>
      <c r="T267" s="14" t="e" cm="1">
        <f t="array" aca="1" ref="T267" ca="1">IF(INDIRECT(ADDRESS($B267+1,T$230,1,1,"Actively Infected Trend"))=0,#N/A,INDIRECT(ADDRESS($B267+1,T$230,1,1,"Actively Infected Trend")))</f>
        <v>#N/A</v>
      </c>
      <c r="U267" s="14" t="e" cm="1">
        <f t="array" aca="1" ref="U267" ca="1">IF(INDIRECT(ADDRESS($B267+1,U$230,1,1,"Actively Infected Trend"))=0,#N/A,INDIRECT(ADDRESS($B267+1,U$230,1,1,"Actively Infected Trend")))</f>
        <v>#N/A</v>
      </c>
      <c r="V267" s="14" t="e" cm="1">
        <f t="array" aca="1" ref="V267" ca="1">IF(INDIRECT(ADDRESS($B267+1,V$230,1,1,"Actively Infected Trend"))=0,#N/A,INDIRECT(ADDRESS($B267+1,V$230,1,1,"Actively Infected Trend")))</f>
        <v>#N/A</v>
      </c>
      <c r="W267" s="14" t="e" cm="1">
        <f t="array" aca="1" ref="W267" ca="1">IF(INDIRECT(ADDRESS($B267+1,W$230,1,1,"Actively Infected Trend"))=0,#N/A,INDIRECT(ADDRESS($B267+1,W$230,1,1,"Actively Infected Trend")))</f>
        <v>#N/A</v>
      </c>
      <c r="X267" s="14" t="e" cm="1">
        <f t="array" aca="1" ref="X267" ca="1">IF(INDIRECT(ADDRESS($B267+1,X$230,1,1,"Actively Infected Trend"))=0,#N/A,INDIRECT(ADDRESS($B267+1,X$230,1,1,"Actively Infected Trend")))</f>
        <v>#N/A</v>
      </c>
      <c r="Y267" s="14" t="e" cm="1">
        <f t="array" aca="1" ref="Y267" ca="1">IF(INDIRECT(ADDRESS($B267+1,Y$230,1,1,"Actively Infected Trend"))=0,#N/A,INDIRECT(ADDRESS($B267+1,Y$230,1,1,"Actively Infected Trend")))</f>
        <v>#N/A</v>
      </c>
      <c r="Z267" s="14" t="e" cm="1">
        <f t="array" aca="1" ref="Z267" ca="1">IF(INDIRECT(ADDRESS($B267+1,Z$230,1,1,"Actively Infected Trend"))=0,#N/A,INDIRECT(ADDRESS($B267+1,Z$230,1,1,"Actively Infected Trend")))</f>
        <v>#N/A</v>
      </c>
      <c r="AA267" s="14" t="e" cm="1">
        <f t="array" aca="1" ref="AA267" ca="1">IF(INDIRECT(ADDRESS($B267+1,AA$230,1,1,"Actively Infected Trend"))=0,#N/A,INDIRECT(ADDRESS($B267+1,AA$230,1,1,"Actively Infected Trend")))</f>
        <v>#N/A</v>
      </c>
      <c r="AB267" s="14" t="e" cm="1">
        <f t="array" aca="1" ref="AB267" ca="1">IF(INDIRECT(ADDRESS($B267+1,AB$230,1,1,"Actively Infected Trend"))=0,#N/A,INDIRECT(ADDRESS($B267+1,AB$230,1,1,"Actively Infected Trend")))</f>
        <v>#N/A</v>
      </c>
      <c r="AC267" s="14" t="e" cm="1">
        <f t="array" aca="1" ref="AC267" ca="1">IF(INDIRECT(ADDRESS($B267+1,AC$230,1,1,"Actively Infected Trend"))=0,#N/A,INDIRECT(ADDRESS($B267+1,AC$230,1,1,"Actively Infected Trend")))</f>
        <v>#N/A</v>
      </c>
      <c r="AD267" s="14" t="e" cm="1">
        <f t="array" aca="1" ref="AD267" ca="1">IF(INDIRECT(ADDRESS($B267+1,AD$230,1,1,"Actively Infected Trend"))=0,#N/A,INDIRECT(ADDRESS($B267+1,AD$230,1,1,"Actively Infected Trend")))</f>
        <v>#N/A</v>
      </c>
      <c r="AE267" s="14" t="e" cm="1">
        <f t="array" aca="1" ref="AE267" ca="1">IF(INDIRECT(ADDRESS($B267+1,AE$230,1,1,"Actively Infected Trend"))=0,#N/A,INDIRECT(ADDRESS($B267+1,AE$230,1,1,"Actively Infected Trend")))</f>
        <v>#N/A</v>
      </c>
      <c r="AF267" s="14" t="e" cm="1">
        <f t="array" aca="1" ref="AF267" ca="1">IF(INDIRECT(ADDRESS($B267+1,AF$230,1,1,"Actively Infected Trend"))=0,#N/A,INDIRECT(ADDRESS($B267+1,AF$230,1,1,"Actively Infected Trend")))</f>
        <v>#N/A</v>
      </c>
      <c r="AG267" s="14" t="e" cm="1">
        <f t="array" aca="1" ref="AG267" ca="1">IF(INDIRECT(ADDRESS($B267+1,AG$230,1,1,"Actively Infected Trend"))=0,#N/A,INDIRECT(ADDRESS($B267+1,AG$230,1,1,"Actively Infected Trend")))</f>
        <v>#N/A</v>
      </c>
      <c r="AH267" s="14" t="e" cm="1">
        <f t="array" aca="1" ref="AH267" ca="1">IF(INDIRECT(ADDRESS($B267+1,AH$230,1,1,"Actively Infected Trend"))=0,#N/A,INDIRECT(ADDRESS($B267+1,AH$230,1,1,"Actively Infected Trend")))</f>
        <v>#N/A</v>
      </c>
      <c r="AI267" s="14" t="e" cm="1">
        <f t="array" aca="1" ref="AI267" ca="1">IF(INDIRECT(ADDRESS($B267+1,AI$230,1,1,"Actively Infected Trend"))=0,#N/A,INDIRECT(ADDRESS($B267+1,AI$230,1,1,"Actively Infected Trend")))</f>
        <v>#N/A</v>
      </c>
      <c r="AJ267" s="14" t="e" cm="1">
        <f t="array" aca="1" ref="AJ267" ca="1">IF(INDIRECT(ADDRESS($B267+1,AJ$230,1,1,"Actively Infected Trend"))=0,#N/A,INDIRECT(ADDRESS($B267+1,AJ$230,1,1,"Actively Infected Trend")))</f>
        <v>#N/A</v>
      </c>
      <c r="AK267" s="14" t="e" cm="1">
        <f t="array" aca="1" ref="AK267" ca="1">IF(INDIRECT(ADDRESS($B267+1,AK$230,1,1,"Actively Infected Trend"))=0,#N/A,INDIRECT(ADDRESS($B267+1,AK$230,1,1,"Actively Infected Trend")))</f>
        <v>#N/A</v>
      </c>
      <c r="AL267" s="14" t="e" cm="1">
        <f t="array" aca="1" ref="AL267" ca="1">IF(INDIRECT(ADDRESS($B267+1,AL$230,1,1,"Actively Infected Trend"))=0,#N/A,INDIRECT(ADDRESS($B267+1,AL$230,1,1,"Actively Infected Trend")))</f>
        <v>#N/A</v>
      </c>
      <c r="AM267" s="14" t="e" cm="1">
        <f t="array" aca="1" ref="AM267" ca="1">IF(INDIRECT(ADDRESS($B267+1,AM$230,1,1,"Actively Infected Trend"))=0,#N/A,INDIRECT(ADDRESS($B267+1,AM$230,1,1,"Actively Infected Trend")))</f>
        <v>#N/A</v>
      </c>
      <c r="AN267" s="14" t="e" cm="1">
        <f t="array" aca="1" ref="AN267" ca="1">IF(INDIRECT(ADDRESS($B267+1,AN$230,1,1,"Actively Infected Trend"))=0,#N/A,INDIRECT(ADDRESS($B267+1,AN$230,1,1,"Actively Infected Trend")))</f>
        <v>#N/A</v>
      </c>
      <c r="AO267" s="14" t="e" cm="1">
        <f t="array" aca="1" ref="AO267" ca="1">IF(INDIRECT(ADDRESS($B267+1,AO$230,1,1,"Actively Infected Trend"))=0,#N/A,INDIRECT(ADDRESS($B267+1,AO$230,1,1,"Actively Infected Trend")))</f>
        <v>#N/A</v>
      </c>
      <c r="AP267" s="14" t="e" cm="1">
        <f t="array" aca="1" ref="AP267" ca="1">IF(INDIRECT(ADDRESS($B267+1,AP$230,1,1,"Actively Infected Trend"))=0,#N/A,INDIRECT(ADDRESS($B267+1,AP$230,1,1,"Actively Infected Trend")))</f>
        <v>#N/A</v>
      </c>
      <c r="AQ267" s="14" t="e" cm="1">
        <f t="array" aca="1" ref="AQ267" ca="1">IF(INDIRECT(ADDRESS($B267+1,AQ$230,1,1,"Actively Infected Trend"))=0,#N/A,INDIRECT(ADDRESS($B267+1,AQ$230,1,1,"Actively Infected Trend")))</f>
        <v>#N/A</v>
      </c>
      <c r="AR267" s="14" t="e" cm="1">
        <f t="array" aca="1" ref="AR267" ca="1">IF(INDIRECT(ADDRESS($B267+1,AR$230,1,1,"Actively Infected Trend"))=0,#N/A,INDIRECT(ADDRESS($B267+1,AR$230,1,1,"Actively Infected Trend")))</f>
        <v>#N/A</v>
      </c>
      <c r="AS267" s="14" t="e" cm="1">
        <f t="array" aca="1" ref="AS267" ca="1">IF(INDIRECT(ADDRESS($B267+1,AS$230,1,1,"Actively Infected Trend"))=0,#N/A,INDIRECT(ADDRESS($B267+1,AS$230,1,1,"Actively Infected Trend")))</f>
        <v>#N/A</v>
      </c>
      <c r="AT267" s="14" t="e" cm="1">
        <f t="array" aca="1" ref="AT267" ca="1">IF(INDIRECT(ADDRESS($B267+1,AT$230,1,1,"Actively Infected Trend"))=0,#N/A,INDIRECT(ADDRESS($B267+1,AT$230,1,1,"Actively Infected Trend")))</f>
        <v>#N/A</v>
      </c>
      <c r="AU267" s="14" t="e" cm="1">
        <f t="array" aca="1" ref="AU267" ca="1">IF(INDIRECT(ADDRESS($B267+1,AU$230,1,1,"Actively Infected Trend"))=0,#N/A,INDIRECT(ADDRESS($B267+1,AU$230,1,1,"Actively Infected Trend")))</f>
        <v>#N/A</v>
      </c>
      <c r="AV267" s="14" t="e" cm="1">
        <f t="array" aca="1" ref="AV267" ca="1">IF(INDIRECT(ADDRESS($B267+1,AV$230,1,1,"Actively Infected Trend"))=0,#N/A,INDIRECT(ADDRESS($B267+1,AV$230,1,1,"Actively Infected Trend")))</f>
        <v>#N/A</v>
      </c>
      <c r="AW267" s="14" t="e" cm="1">
        <f t="array" aca="1" ref="AW267" ca="1">IF(INDIRECT(ADDRESS($B267+1,AW$230,1,1,"Actively Infected Trend"))=0,#N/A,INDIRECT(ADDRESS($B267+1,AW$230,1,1,"Actively Infected Trend")))</f>
        <v>#N/A</v>
      </c>
      <c r="AX267" s="14" t="e" cm="1">
        <f t="array" aca="1" ref="AX267" ca="1">IF(INDIRECT(ADDRESS($B267+1,AX$230,1,1,"Actively Infected Trend"))=0,#N/A,INDIRECT(ADDRESS($B267+1,AX$230,1,1,"Actively Infected Trend")))</f>
        <v>#N/A</v>
      </c>
      <c r="AY267" s="14" t="e" cm="1">
        <f t="array" aca="1" ref="AY267" ca="1">IF(INDIRECT(ADDRESS($B267+1,AY$230,1,1,"Actively Infected Trend"))=0,#N/A,INDIRECT(ADDRESS($B267+1,AY$230,1,1,"Actively Infected Trend")))</f>
        <v>#N/A</v>
      </c>
      <c r="AZ267" s="14" t="e" cm="1">
        <f t="array" aca="1" ref="AZ267" ca="1">IF(INDIRECT(ADDRESS($B267+1,AZ$230,1,1,"Actively Infected Trend"))=0,#N/A,INDIRECT(ADDRESS($B267+1,AZ$230,1,1,"Actively Infected Trend")))</f>
        <v>#N/A</v>
      </c>
      <c r="BA267" s="14" t="e" cm="1">
        <f t="array" aca="1" ref="BA267" ca="1">IF(INDIRECT(ADDRESS($B267+1,BA$230,1,1,"Actively Infected Trend"))=0,#N/A,INDIRECT(ADDRESS($B267+1,BA$230,1,1,"Actively Infected Trend")))</f>
        <v>#N/A</v>
      </c>
      <c r="BB267" s="14" t="e" cm="1">
        <f t="array" aca="1" ref="BB267" ca="1">IF(INDIRECT(ADDRESS($B267+1,BB$230,1,1,"Actively Infected Trend"))=0,#N/A,INDIRECT(ADDRESS($B267+1,BB$230,1,1,"Actively Infected Trend")))</f>
        <v>#N/A</v>
      </c>
      <c r="BC267" s="14" t="e" cm="1">
        <f t="array" aca="1" ref="BC267" ca="1">IF(INDIRECT(ADDRESS($B267+1,BC$230,1,1,"Actively Infected Trend"))=0,#N/A,INDIRECT(ADDRESS($B267+1,BC$230,1,1,"Actively Infected Trend")))</f>
        <v>#N/A</v>
      </c>
      <c r="BD267" s="14" t="e" cm="1">
        <f t="array" aca="1" ref="BD267" ca="1">IF(INDIRECT(ADDRESS($B267+1,BD$230,1,1,"Actively Infected Trend"))=0,#N/A,INDIRECT(ADDRESS($B267+1,BD$230,1,1,"Actively Infected Trend")))</f>
        <v>#N/A</v>
      </c>
      <c r="BE267" s="14" t="e" cm="1">
        <f t="array" aca="1" ref="BE267" ca="1">IF(INDIRECT(ADDRESS($B267+1,BE$230,1,1,"Actively Infected Trend"))=0,#N/A,INDIRECT(ADDRESS($B267+1,BE$230,1,1,"Actively Infected Trend")))</f>
        <v>#N/A</v>
      </c>
      <c r="BF267" s="14" t="e" cm="1">
        <f t="array" aca="1" ref="BF267" ca="1">IF(INDIRECT(ADDRESS($B267+1,BF$230,1,1,"Actively Infected Trend"))=0,#N/A,INDIRECT(ADDRESS($B267+1,BF$230,1,1,"Actively Infected Trend")))</f>
        <v>#N/A</v>
      </c>
      <c r="BG267" s="14" t="e" cm="1">
        <f t="array" aca="1" ref="BG267" ca="1">IF(INDIRECT(ADDRESS($B267+1,BG$230,1,1,"Actively Infected Trend"))=0,#N/A,INDIRECT(ADDRESS($B267+1,BG$230,1,1,"Actively Infected Trend")))</f>
        <v>#N/A</v>
      </c>
      <c r="BH267" s="14" t="e" cm="1">
        <f t="array" aca="1" ref="BH267" ca="1">IF(INDIRECT(ADDRESS($B267+1,BH$230,1,1,"Actively Infected Trend"))=0,#N/A,INDIRECT(ADDRESS($B267+1,BH$230,1,1,"Actively Infected Trend")))</f>
        <v>#N/A</v>
      </c>
      <c r="BI267" s="14" t="e" cm="1">
        <f t="array" aca="1" ref="BI267" ca="1">IF(INDIRECT(ADDRESS($B267+1,BI$230,1,1,"Actively Infected Trend"))=0,#N/A,INDIRECT(ADDRESS($B267+1,BI$230,1,1,"Actively Infected Trend")))</f>
        <v>#N/A</v>
      </c>
      <c r="BJ267" s="14" t="e" cm="1">
        <f t="array" aca="1" ref="BJ267" ca="1">IF(INDIRECT(ADDRESS($B267+1,BJ$230,1,1,"Actively Infected Trend"))=0,#N/A,INDIRECT(ADDRESS($B267+1,BJ$230,1,1,"Actively Infected Trend")))</f>
        <v>#N/A</v>
      </c>
      <c r="BK267" s="14" t="e" cm="1">
        <f t="array" aca="1" ref="BK267" ca="1">IF(INDIRECT(ADDRESS($B267+1,BK$230,1,1,"Actively Infected Trend"))=0,#N/A,INDIRECT(ADDRESS($B267+1,BK$230,1,1,"Actively Infected Trend")))</f>
        <v>#N/A</v>
      </c>
      <c r="BL267" s="14" t="e" cm="1">
        <f t="array" aca="1" ref="BL267" ca="1">IF(INDIRECT(ADDRESS($B267+1,BL$230,1,1,"Actively Infected Trend"))=0,#N/A,INDIRECT(ADDRESS($B267+1,BL$230,1,1,"Actively Infected Trend")))</f>
        <v>#N/A</v>
      </c>
      <c r="BM267" s="14" t="e" cm="1">
        <f t="array" aca="1" ref="BM267" ca="1">IF(INDIRECT(ADDRESS($B267+1,BM$230,1,1,"Actively Infected Trend"))=0,#N/A,INDIRECT(ADDRESS($B267+1,BM$230,1,1,"Actively Infected Trend")))</f>
        <v>#N/A</v>
      </c>
      <c r="BN267" s="14" t="e" cm="1">
        <f t="array" aca="1" ref="BN267" ca="1">IF(INDIRECT(ADDRESS($B267+1,BN$230,1,1,"Actively Infected Trend"))=0,#N/A,INDIRECT(ADDRESS($B267+1,BN$230,1,1,"Actively Infected Trend")))</f>
        <v>#N/A</v>
      </c>
      <c r="BO267" s="14" t="e" cm="1">
        <f t="array" aca="1" ref="BO267" ca="1">IF(INDIRECT(ADDRESS($B267+1,BO$230,1,1,"Actively Infected Trend"))=0,#N/A,INDIRECT(ADDRESS($B267+1,BO$230,1,1,"Actively Infected Trend")))</f>
        <v>#N/A</v>
      </c>
      <c r="BP267" s="14" t="e" cm="1">
        <f t="array" aca="1" ref="BP267" ca="1">IF(INDIRECT(ADDRESS($B267+1,BP$230,1,1,"Actively Infected Trend"))=0,#N/A,INDIRECT(ADDRESS($B267+1,BP$230,1,1,"Actively Infected Trend")))</f>
        <v>#N/A</v>
      </c>
      <c r="BQ267" s="14" t="e" cm="1">
        <f t="array" aca="1" ref="BQ267" ca="1">IF(INDIRECT(ADDRESS($B267+1,BQ$230,1,1,"Actively Infected Trend"))=0,#N/A,INDIRECT(ADDRESS($B267+1,BQ$230,1,1,"Actively Infected Trend")))</f>
        <v>#N/A</v>
      </c>
      <c r="BR267" s="14" t="e" cm="1">
        <f t="array" aca="1" ref="BR267" ca="1">IF(INDIRECT(ADDRESS($B267+1,BR$230,1,1,"Actively Infected Trend"))=0,#N/A,INDIRECT(ADDRESS($B267+1,BR$230,1,1,"Actively Infected Trend")))</f>
        <v>#N/A</v>
      </c>
      <c r="BS267" s="14" t="e" cm="1">
        <f t="array" aca="1" ref="BS267" ca="1">IF(INDIRECT(ADDRESS($B267+1,BS$230,1,1,"Actively Infected Trend"))=0,#N/A,INDIRECT(ADDRESS($B267+1,BS$230,1,1,"Actively Infected Trend")))</f>
        <v>#N/A</v>
      </c>
      <c r="BT267" s="14" t="e" cm="1">
        <f t="array" aca="1" ref="BT267" ca="1">IF(INDIRECT(ADDRESS($B267+1,BT$230,1,1,"Actively Infected Trend"))=0,#N/A,INDIRECT(ADDRESS($B267+1,BT$230,1,1,"Actively Infected Trend")))</f>
        <v>#N/A</v>
      </c>
      <c r="BU267" s="14" t="e" cm="1">
        <f t="array" aca="1" ref="BU267" ca="1">IF(INDIRECT(ADDRESS($B267+1,BU$230,1,1,"Actively Infected Trend"))=0,#N/A,INDIRECT(ADDRESS($B267+1,BU$230,1,1,"Actively Infected Trend")))</f>
        <v>#N/A</v>
      </c>
      <c r="BV267" s="14" t="e" cm="1">
        <f t="array" aca="1" ref="BV267" ca="1">IF(INDIRECT(ADDRESS($B267+1,BV$230,1,1,"Actively Infected Trend"))=0,#N/A,INDIRECT(ADDRESS($B267+1,BV$230,1,1,"Actively Infected Trend")))</f>
        <v>#N/A</v>
      </c>
      <c r="BW267" s="14" t="e" cm="1">
        <f t="array" aca="1" ref="BW267" ca="1">IF(INDIRECT(ADDRESS($B267+1,BW$230,1,1,"Actively Infected Trend"))=0,#N/A,INDIRECT(ADDRESS($B267+1,BW$230,1,1,"Actively Infected Trend")))</f>
        <v>#N/A</v>
      </c>
      <c r="BX267" s="14" t="e" cm="1">
        <f t="array" aca="1" ref="BX267" ca="1">IF(INDIRECT(ADDRESS($B267+1,BX$230,1,1,"Actively Infected Trend"))=0,#N/A,INDIRECT(ADDRESS($B267+1,BX$230,1,1,"Actively Infected Trend")))</f>
        <v>#N/A</v>
      </c>
      <c r="BY267" s="14" t="e" cm="1">
        <f t="array" aca="1" ref="BY267" ca="1">IF(INDIRECT(ADDRESS($B267+1,BY$230,1,1,"Actively Infected Trend"))=0,#N/A,INDIRECT(ADDRESS($B267+1,BY$230,1,1,"Actively Infected Trend")))</f>
        <v>#N/A</v>
      </c>
      <c r="BZ267" s="14" t="e" cm="1">
        <f t="array" aca="1" ref="BZ267" ca="1">IF(INDIRECT(ADDRESS($B267+1,BZ$230,1,1,"Actively Infected Trend"))=0,#N/A,INDIRECT(ADDRESS($B267+1,BZ$230,1,1,"Actively Infected Trend")))</f>
        <v>#N/A</v>
      </c>
      <c r="CA267" s="14" t="e" cm="1">
        <f t="array" aca="1" ref="CA267" ca="1">IF(INDIRECT(ADDRESS($B267+1,CA$230,1,1,"Actively Infected Trend"))=0,#N/A,INDIRECT(ADDRESS($B267+1,CA$230,1,1,"Actively Infected Trend")))</f>
        <v>#N/A</v>
      </c>
      <c r="CB267" s="14" t="e" cm="1">
        <f t="array" aca="1" ref="CB267" ca="1">IF(INDIRECT(ADDRESS($B267+1,CB$230,1,1,"Actively Infected Trend"))=0,#N/A,INDIRECT(ADDRESS($B267+1,CB$230,1,1,"Actively Infected Trend")))</f>
        <v>#N/A</v>
      </c>
      <c r="CC267" s="14" t="e" cm="1">
        <f t="array" aca="1" ref="CC267" ca="1">IF(INDIRECT(ADDRESS($B267+1,CC$230,1,1,"Actively Infected Trend"))=0,#N/A,INDIRECT(ADDRESS($B267+1,CC$230,1,1,"Actively Infected Trend")))</f>
        <v>#N/A</v>
      </c>
      <c r="CD267" s="14" t="e" cm="1">
        <f t="array" aca="1" ref="CD267" ca="1">IF(INDIRECT(ADDRESS($B267+1,CD$230,1,1,"Actively Infected Trend"))=0,#N/A,INDIRECT(ADDRESS($B267+1,CD$230,1,1,"Actively Infected Trend")))</f>
        <v>#N/A</v>
      </c>
      <c r="CE267" s="14" t="e" cm="1">
        <f t="array" aca="1" ref="CE267" ca="1">IF(INDIRECT(ADDRESS($B267+1,CE$230,1,1,"Actively Infected Trend"))=0,#N/A,INDIRECT(ADDRESS($B267+1,CE$230,1,1,"Actively Infected Trend")))</f>
        <v>#N/A</v>
      </c>
      <c r="CF267" s="14" t="e" cm="1">
        <f t="array" aca="1" ref="CF267" ca="1">IF(INDIRECT(ADDRESS($B267+1,CF$230,1,1,"Actively Infected Trend"))=0,#N/A,INDIRECT(ADDRESS($B267+1,CF$230,1,1,"Actively Infected Trend")))</f>
        <v>#N/A</v>
      </c>
      <c r="CG267" s="14" t="e" cm="1">
        <f t="array" aca="1" ref="CG267" ca="1">IF(INDIRECT(ADDRESS($B267+1,CG$230,1,1,"Actively Infected Trend"))=0,#N/A,INDIRECT(ADDRESS($B267+1,CG$230,1,1,"Actively Infected Trend")))</f>
        <v>#N/A</v>
      </c>
      <c r="CH267" s="14" t="e" cm="1">
        <f t="array" aca="1" ref="CH267" ca="1">IF(INDIRECT(ADDRESS($B267+1,CH$230,1,1,"Actively Infected Trend"))=0,#N/A,INDIRECT(ADDRESS($B267+1,CH$230,1,1,"Actively Infected Trend")))</f>
        <v>#N/A</v>
      </c>
      <c r="CI267" s="14" t="e" cm="1">
        <f t="array" aca="1" ref="CI267" ca="1">IF(INDIRECT(ADDRESS($B267+1,CI$230,1,1,"Actively Infected Trend"))=0,#N/A,INDIRECT(ADDRESS($B267+1,CI$230,1,1,"Actively Infected Trend")))</f>
        <v>#N/A</v>
      </c>
      <c r="CJ267" s="14" t="e" cm="1">
        <f t="array" aca="1" ref="CJ267" ca="1">IF(INDIRECT(ADDRESS($B267+1,CJ$230,1,1,"Actively Infected Trend"))=0,#N/A,INDIRECT(ADDRESS($B267+1,CJ$230,1,1,"Actively Infected Trend")))</f>
        <v>#N/A</v>
      </c>
      <c r="CK267" s="14" t="e" cm="1">
        <f t="array" aca="1" ref="CK267" ca="1">IF(INDIRECT(ADDRESS($B267+1,CK$230,1,1,"Actively Infected Trend"))=0,#N/A,INDIRECT(ADDRESS($B267+1,CK$230,1,1,"Actively Infected Trend")))</f>
        <v>#N/A</v>
      </c>
      <c r="CL267" s="14" t="e" cm="1">
        <f t="array" aca="1" ref="CL267" ca="1">IF(INDIRECT(ADDRESS($B267+1,CL$230,1,1,"Actively Infected Trend"))=0,#N/A,INDIRECT(ADDRESS($B267+1,CL$230,1,1,"Actively Infected Trend")))</f>
        <v>#N/A</v>
      </c>
      <c r="CM267" s="14" t="e" cm="1">
        <f t="array" aca="1" ref="CM267" ca="1">IF(INDIRECT(ADDRESS($B267+1,CM$230,1,1,"Actively Infected Trend"))=0,#N/A,INDIRECT(ADDRESS($B267+1,CM$230,1,1,"Actively Infected Trend")))</f>
        <v>#N/A</v>
      </c>
      <c r="CN267" s="14" t="e" cm="1">
        <f t="array" aca="1" ref="CN267" ca="1">IF(INDIRECT(ADDRESS($B267+1,CN$230,1,1,"Actively Infected Trend"))=0,#N/A,INDIRECT(ADDRESS($B267+1,CN$230,1,1,"Actively Infected Trend")))</f>
        <v>#N/A</v>
      </c>
      <c r="CO267" s="14" t="e" cm="1">
        <f t="array" aca="1" ref="CO267" ca="1">IF(INDIRECT(ADDRESS($B267+1,CO$230,1,1,"Actively Infected Trend"))=0,#N/A,INDIRECT(ADDRESS($B267+1,CO$230,1,1,"Actively Infected Trend")))</f>
        <v>#N/A</v>
      </c>
      <c r="CP267" s="14" t="e" cm="1">
        <f t="array" aca="1" ref="CP267" ca="1">IF(INDIRECT(ADDRESS($B267+1,CP$230,1,1,"Actively Infected Trend"))=0,#N/A,INDIRECT(ADDRESS($B267+1,CP$230,1,1,"Actively Infected Trend")))</f>
        <v>#N/A</v>
      </c>
      <c r="CQ267" s="14" t="e" cm="1">
        <f t="array" aca="1" ref="CQ267" ca="1">IF(INDIRECT(ADDRESS($B267+1,CQ$230,1,1,"Actively Infected Trend"))=0,#N/A,INDIRECT(ADDRESS($B267+1,CQ$230,1,1,"Actively Infected Trend")))</f>
        <v>#N/A</v>
      </c>
      <c r="CR267" s="14" t="e" cm="1">
        <f t="array" aca="1" ref="CR267" ca="1">IF(INDIRECT(ADDRESS($B267+1,CR$230,1,1,"Actively Infected Trend"))=0,#N/A,INDIRECT(ADDRESS($B267+1,CR$230,1,1,"Actively Infected Trend")))</f>
        <v>#N/A</v>
      </c>
    </row>
    <row r="268" spans="2:96" x14ac:dyDescent="0.25">
      <c r="B268">
        <f t="shared" si="349"/>
        <v>37</v>
      </c>
      <c r="C268" cm="1">
        <f t="array" aca="1" ref="C268" ca="1">INDIRECT(ADDRESS($B268+1,1,1,1,"Actively Infected Trend"))</f>
        <v>0</v>
      </c>
      <c r="E268" s="14" t="e" cm="1">
        <f t="array" aca="1" ref="E268" ca="1">IF(INDIRECT(ADDRESS($B268+1,E$230,1,1,"Actively Infected Trend"))=0,#N/A,INDIRECT(ADDRESS($B268+1,E$230,1,1,"Actively Infected Trend")))</f>
        <v>#N/A</v>
      </c>
      <c r="F268" s="14" t="e" cm="1">
        <f t="array" aca="1" ref="F268" ca="1">IF(INDIRECT(ADDRESS($B268+1,F$230,1,1,"Actively Infected Trend"))=0,#N/A,INDIRECT(ADDRESS($B268+1,F$230,1,1,"Actively Infected Trend")))</f>
        <v>#N/A</v>
      </c>
      <c r="G268" s="14" t="e" cm="1">
        <f t="array" aca="1" ref="G268" ca="1">IF(INDIRECT(ADDRESS($B268+1,G$230,1,1,"Actively Infected Trend"))=0,#N/A,INDIRECT(ADDRESS($B268+1,G$230,1,1,"Actively Infected Trend")))</f>
        <v>#N/A</v>
      </c>
      <c r="H268" s="14" t="e" cm="1">
        <f t="array" aca="1" ref="H268" ca="1">IF(INDIRECT(ADDRESS($B268+1,H$230,1,1,"Actively Infected Trend"))=0,#N/A,INDIRECT(ADDRESS($B268+1,H$230,1,1,"Actively Infected Trend")))</f>
        <v>#N/A</v>
      </c>
      <c r="I268" s="14" t="e" cm="1">
        <f t="array" aca="1" ref="I268" ca="1">IF(INDIRECT(ADDRESS($B268+1,I$230,1,1,"Actively Infected Trend"))=0,#N/A,INDIRECT(ADDRESS($B268+1,I$230,1,1,"Actively Infected Trend")))</f>
        <v>#N/A</v>
      </c>
      <c r="J268" s="14" t="e" cm="1">
        <f t="array" aca="1" ref="J268" ca="1">IF(INDIRECT(ADDRESS($B268+1,J$230,1,1,"Actively Infected Trend"))=0,#N/A,INDIRECT(ADDRESS($B268+1,J$230,1,1,"Actively Infected Trend")))</f>
        <v>#N/A</v>
      </c>
      <c r="K268" s="14" t="e" cm="1">
        <f t="array" aca="1" ref="K268" ca="1">IF(INDIRECT(ADDRESS($B268+1,K$230,1,1,"Actively Infected Trend"))=0,#N/A,INDIRECT(ADDRESS($B268+1,K$230,1,1,"Actively Infected Trend")))</f>
        <v>#N/A</v>
      </c>
      <c r="L268" s="14" t="e" cm="1">
        <f t="array" aca="1" ref="L268" ca="1">IF(INDIRECT(ADDRESS($B268+1,L$230,1,1,"Actively Infected Trend"))=0,#N/A,INDIRECT(ADDRESS($B268+1,L$230,1,1,"Actively Infected Trend")))</f>
        <v>#N/A</v>
      </c>
      <c r="M268" s="14" t="e" cm="1">
        <f t="array" aca="1" ref="M268" ca="1">IF(INDIRECT(ADDRESS($B268+1,M$230,1,1,"Actively Infected Trend"))=0,#N/A,INDIRECT(ADDRESS($B268+1,M$230,1,1,"Actively Infected Trend")))</f>
        <v>#N/A</v>
      </c>
      <c r="N268" s="14" t="e" cm="1">
        <f t="array" aca="1" ref="N268" ca="1">IF(INDIRECT(ADDRESS($B268+1,N$230,1,1,"Actively Infected Trend"))=0,#N/A,INDIRECT(ADDRESS($B268+1,N$230,1,1,"Actively Infected Trend")))</f>
        <v>#N/A</v>
      </c>
      <c r="O268" s="14" t="e" cm="1">
        <f t="array" aca="1" ref="O268" ca="1">IF(INDIRECT(ADDRESS($B268+1,O$230,1,1,"Actively Infected Trend"))=0,#N/A,INDIRECT(ADDRESS($B268+1,O$230,1,1,"Actively Infected Trend")))</f>
        <v>#N/A</v>
      </c>
      <c r="P268" s="14" t="e" cm="1">
        <f t="array" aca="1" ref="P268" ca="1">IF(INDIRECT(ADDRESS($B268+1,P$230,1,1,"Actively Infected Trend"))=0,#N/A,INDIRECT(ADDRESS($B268+1,P$230,1,1,"Actively Infected Trend")))</f>
        <v>#N/A</v>
      </c>
      <c r="Q268" s="14" t="e" cm="1">
        <f t="array" aca="1" ref="Q268" ca="1">IF(INDIRECT(ADDRESS($B268+1,Q$230,1,1,"Actively Infected Trend"))=0,#N/A,INDIRECT(ADDRESS($B268+1,Q$230,1,1,"Actively Infected Trend")))</f>
        <v>#N/A</v>
      </c>
      <c r="R268" s="14" t="e" cm="1">
        <f t="array" aca="1" ref="R268" ca="1">IF(INDIRECT(ADDRESS($B268+1,R$230,1,1,"Actively Infected Trend"))=0,#N/A,INDIRECT(ADDRESS($B268+1,R$230,1,1,"Actively Infected Trend")))</f>
        <v>#N/A</v>
      </c>
      <c r="S268" s="14" t="e" cm="1">
        <f t="array" aca="1" ref="S268" ca="1">IF(INDIRECT(ADDRESS($B268+1,S$230,1,1,"Actively Infected Trend"))=0,#N/A,INDIRECT(ADDRESS($B268+1,S$230,1,1,"Actively Infected Trend")))</f>
        <v>#N/A</v>
      </c>
      <c r="T268" s="14" t="e" cm="1">
        <f t="array" aca="1" ref="T268" ca="1">IF(INDIRECT(ADDRESS($B268+1,T$230,1,1,"Actively Infected Trend"))=0,#N/A,INDIRECT(ADDRESS($B268+1,T$230,1,1,"Actively Infected Trend")))</f>
        <v>#N/A</v>
      </c>
      <c r="U268" s="14" t="e" cm="1">
        <f t="array" aca="1" ref="U268" ca="1">IF(INDIRECT(ADDRESS($B268+1,U$230,1,1,"Actively Infected Trend"))=0,#N/A,INDIRECT(ADDRESS($B268+1,U$230,1,1,"Actively Infected Trend")))</f>
        <v>#N/A</v>
      </c>
      <c r="V268" s="14" t="e" cm="1">
        <f t="array" aca="1" ref="V268" ca="1">IF(INDIRECT(ADDRESS($B268+1,V$230,1,1,"Actively Infected Trend"))=0,#N/A,INDIRECT(ADDRESS($B268+1,V$230,1,1,"Actively Infected Trend")))</f>
        <v>#N/A</v>
      </c>
      <c r="W268" s="14" t="e" cm="1">
        <f t="array" aca="1" ref="W268" ca="1">IF(INDIRECT(ADDRESS($B268+1,W$230,1,1,"Actively Infected Trend"))=0,#N/A,INDIRECT(ADDRESS($B268+1,W$230,1,1,"Actively Infected Trend")))</f>
        <v>#N/A</v>
      </c>
      <c r="X268" s="14" t="e" cm="1">
        <f t="array" aca="1" ref="X268" ca="1">IF(INDIRECT(ADDRESS($B268+1,X$230,1,1,"Actively Infected Trend"))=0,#N/A,INDIRECT(ADDRESS($B268+1,X$230,1,1,"Actively Infected Trend")))</f>
        <v>#N/A</v>
      </c>
      <c r="Y268" s="14" t="e" cm="1">
        <f t="array" aca="1" ref="Y268" ca="1">IF(INDIRECT(ADDRESS($B268+1,Y$230,1,1,"Actively Infected Trend"))=0,#N/A,INDIRECT(ADDRESS($B268+1,Y$230,1,1,"Actively Infected Trend")))</f>
        <v>#N/A</v>
      </c>
      <c r="Z268" s="14" t="e" cm="1">
        <f t="array" aca="1" ref="Z268" ca="1">IF(INDIRECT(ADDRESS($B268+1,Z$230,1,1,"Actively Infected Trend"))=0,#N/A,INDIRECT(ADDRESS($B268+1,Z$230,1,1,"Actively Infected Trend")))</f>
        <v>#N/A</v>
      </c>
      <c r="AA268" s="14" t="e" cm="1">
        <f t="array" aca="1" ref="AA268" ca="1">IF(INDIRECT(ADDRESS($B268+1,AA$230,1,1,"Actively Infected Trend"))=0,#N/A,INDIRECT(ADDRESS($B268+1,AA$230,1,1,"Actively Infected Trend")))</f>
        <v>#N/A</v>
      </c>
      <c r="AB268" s="14" t="e" cm="1">
        <f t="array" aca="1" ref="AB268" ca="1">IF(INDIRECT(ADDRESS($B268+1,AB$230,1,1,"Actively Infected Trend"))=0,#N/A,INDIRECT(ADDRESS($B268+1,AB$230,1,1,"Actively Infected Trend")))</f>
        <v>#N/A</v>
      </c>
      <c r="AC268" s="14" t="e" cm="1">
        <f t="array" aca="1" ref="AC268" ca="1">IF(INDIRECT(ADDRESS($B268+1,AC$230,1,1,"Actively Infected Trend"))=0,#N/A,INDIRECT(ADDRESS($B268+1,AC$230,1,1,"Actively Infected Trend")))</f>
        <v>#N/A</v>
      </c>
      <c r="AD268" s="14" t="e" cm="1">
        <f t="array" aca="1" ref="AD268" ca="1">IF(INDIRECT(ADDRESS($B268+1,AD$230,1,1,"Actively Infected Trend"))=0,#N/A,INDIRECT(ADDRESS($B268+1,AD$230,1,1,"Actively Infected Trend")))</f>
        <v>#N/A</v>
      </c>
      <c r="AE268" s="14" t="e" cm="1">
        <f t="array" aca="1" ref="AE268" ca="1">IF(INDIRECT(ADDRESS($B268+1,AE$230,1,1,"Actively Infected Trend"))=0,#N/A,INDIRECT(ADDRESS($B268+1,AE$230,1,1,"Actively Infected Trend")))</f>
        <v>#N/A</v>
      </c>
      <c r="AF268" s="14" t="e" cm="1">
        <f t="array" aca="1" ref="AF268" ca="1">IF(INDIRECT(ADDRESS($B268+1,AF$230,1,1,"Actively Infected Trend"))=0,#N/A,INDIRECT(ADDRESS($B268+1,AF$230,1,1,"Actively Infected Trend")))</f>
        <v>#N/A</v>
      </c>
      <c r="AG268" s="14" t="e" cm="1">
        <f t="array" aca="1" ref="AG268" ca="1">IF(INDIRECT(ADDRESS($B268+1,AG$230,1,1,"Actively Infected Trend"))=0,#N/A,INDIRECT(ADDRESS($B268+1,AG$230,1,1,"Actively Infected Trend")))</f>
        <v>#N/A</v>
      </c>
      <c r="AH268" s="14" t="e" cm="1">
        <f t="array" aca="1" ref="AH268" ca="1">IF(INDIRECT(ADDRESS($B268+1,AH$230,1,1,"Actively Infected Trend"))=0,#N/A,INDIRECT(ADDRESS($B268+1,AH$230,1,1,"Actively Infected Trend")))</f>
        <v>#N/A</v>
      </c>
      <c r="AI268" s="14" t="e" cm="1">
        <f t="array" aca="1" ref="AI268" ca="1">IF(INDIRECT(ADDRESS($B268+1,AI$230,1,1,"Actively Infected Trend"))=0,#N/A,INDIRECT(ADDRESS($B268+1,AI$230,1,1,"Actively Infected Trend")))</f>
        <v>#N/A</v>
      </c>
      <c r="AJ268" s="14" t="e" cm="1">
        <f t="array" aca="1" ref="AJ268" ca="1">IF(INDIRECT(ADDRESS($B268+1,AJ$230,1,1,"Actively Infected Trend"))=0,#N/A,INDIRECT(ADDRESS($B268+1,AJ$230,1,1,"Actively Infected Trend")))</f>
        <v>#N/A</v>
      </c>
      <c r="AK268" s="14" t="e" cm="1">
        <f t="array" aca="1" ref="AK268" ca="1">IF(INDIRECT(ADDRESS($B268+1,AK$230,1,1,"Actively Infected Trend"))=0,#N/A,INDIRECT(ADDRESS($B268+1,AK$230,1,1,"Actively Infected Trend")))</f>
        <v>#N/A</v>
      </c>
      <c r="AL268" s="14" t="e" cm="1">
        <f t="array" aca="1" ref="AL268" ca="1">IF(INDIRECT(ADDRESS($B268+1,AL$230,1,1,"Actively Infected Trend"))=0,#N/A,INDIRECT(ADDRESS($B268+1,AL$230,1,1,"Actively Infected Trend")))</f>
        <v>#N/A</v>
      </c>
      <c r="AM268" s="14" t="e" cm="1">
        <f t="array" aca="1" ref="AM268" ca="1">IF(INDIRECT(ADDRESS($B268+1,AM$230,1,1,"Actively Infected Trend"))=0,#N/A,INDIRECT(ADDRESS($B268+1,AM$230,1,1,"Actively Infected Trend")))</f>
        <v>#N/A</v>
      </c>
      <c r="AN268" s="14" t="e" cm="1">
        <f t="array" aca="1" ref="AN268" ca="1">IF(INDIRECT(ADDRESS($B268+1,AN$230,1,1,"Actively Infected Trend"))=0,#N/A,INDIRECT(ADDRESS($B268+1,AN$230,1,1,"Actively Infected Trend")))</f>
        <v>#N/A</v>
      </c>
      <c r="AO268" s="14" t="e" cm="1">
        <f t="array" aca="1" ref="AO268" ca="1">IF(INDIRECT(ADDRESS($B268+1,AO$230,1,1,"Actively Infected Trend"))=0,#N/A,INDIRECT(ADDRESS($B268+1,AO$230,1,1,"Actively Infected Trend")))</f>
        <v>#N/A</v>
      </c>
      <c r="AP268" s="14" t="e" cm="1">
        <f t="array" aca="1" ref="AP268" ca="1">IF(INDIRECT(ADDRESS($B268+1,AP$230,1,1,"Actively Infected Trend"))=0,#N/A,INDIRECT(ADDRESS($B268+1,AP$230,1,1,"Actively Infected Trend")))</f>
        <v>#N/A</v>
      </c>
      <c r="AQ268" s="14" t="e" cm="1">
        <f t="array" aca="1" ref="AQ268" ca="1">IF(INDIRECT(ADDRESS($B268+1,AQ$230,1,1,"Actively Infected Trend"))=0,#N/A,INDIRECT(ADDRESS($B268+1,AQ$230,1,1,"Actively Infected Trend")))</f>
        <v>#N/A</v>
      </c>
      <c r="AR268" s="14" t="e" cm="1">
        <f t="array" aca="1" ref="AR268" ca="1">IF(INDIRECT(ADDRESS($B268+1,AR$230,1,1,"Actively Infected Trend"))=0,#N/A,INDIRECT(ADDRESS($B268+1,AR$230,1,1,"Actively Infected Trend")))</f>
        <v>#N/A</v>
      </c>
      <c r="AS268" s="14" t="e" cm="1">
        <f t="array" aca="1" ref="AS268" ca="1">IF(INDIRECT(ADDRESS($B268+1,AS$230,1,1,"Actively Infected Trend"))=0,#N/A,INDIRECT(ADDRESS($B268+1,AS$230,1,1,"Actively Infected Trend")))</f>
        <v>#N/A</v>
      </c>
      <c r="AT268" s="14" t="e" cm="1">
        <f t="array" aca="1" ref="AT268" ca="1">IF(INDIRECT(ADDRESS($B268+1,AT$230,1,1,"Actively Infected Trend"))=0,#N/A,INDIRECT(ADDRESS($B268+1,AT$230,1,1,"Actively Infected Trend")))</f>
        <v>#N/A</v>
      </c>
      <c r="AU268" s="14" t="e" cm="1">
        <f t="array" aca="1" ref="AU268" ca="1">IF(INDIRECT(ADDRESS($B268+1,AU$230,1,1,"Actively Infected Trend"))=0,#N/A,INDIRECT(ADDRESS($B268+1,AU$230,1,1,"Actively Infected Trend")))</f>
        <v>#N/A</v>
      </c>
      <c r="AV268" s="14" t="e" cm="1">
        <f t="array" aca="1" ref="AV268" ca="1">IF(INDIRECT(ADDRESS($B268+1,AV$230,1,1,"Actively Infected Trend"))=0,#N/A,INDIRECT(ADDRESS($B268+1,AV$230,1,1,"Actively Infected Trend")))</f>
        <v>#N/A</v>
      </c>
      <c r="AW268" s="14" t="e" cm="1">
        <f t="array" aca="1" ref="AW268" ca="1">IF(INDIRECT(ADDRESS($B268+1,AW$230,1,1,"Actively Infected Trend"))=0,#N/A,INDIRECT(ADDRESS($B268+1,AW$230,1,1,"Actively Infected Trend")))</f>
        <v>#N/A</v>
      </c>
      <c r="AX268" s="14" t="e" cm="1">
        <f t="array" aca="1" ref="AX268" ca="1">IF(INDIRECT(ADDRESS($B268+1,AX$230,1,1,"Actively Infected Trend"))=0,#N/A,INDIRECT(ADDRESS($B268+1,AX$230,1,1,"Actively Infected Trend")))</f>
        <v>#N/A</v>
      </c>
      <c r="AY268" s="14" t="e" cm="1">
        <f t="array" aca="1" ref="AY268" ca="1">IF(INDIRECT(ADDRESS($B268+1,AY$230,1,1,"Actively Infected Trend"))=0,#N/A,INDIRECT(ADDRESS($B268+1,AY$230,1,1,"Actively Infected Trend")))</f>
        <v>#N/A</v>
      </c>
      <c r="AZ268" s="14" t="e" cm="1">
        <f t="array" aca="1" ref="AZ268" ca="1">IF(INDIRECT(ADDRESS($B268+1,AZ$230,1,1,"Actively Infected Trend"))=0,#N/A,INDIRECT(ADDRESS($B268+1,AZ$230,1,1,"Actively Infected Trend")))</f>
        <v>#N/A</v>
      </c>
      <c r="BA268" s="14" t="e" cm="1">
        <f t="array" aca="1" ref="BA268" ca="1">IF(INDIRECT(ADDRESS($B268+1,BA$230,1,1,"Actively Infected Trend"))=0,#N/A,INDIRECT(ADDRESS($B268+1,BA$230,1,1,"Actively Infected Trend")))</f>
        <v>#N/A</v>
      </c>
      <c r="BB268" s="14" t="e" cm="1">
        <f t="array" aca="1" ref="BB268" ca="1">IF(INDIRECT(ADDRESS($B268+1,BB$230,1,1,"Actively Infected Trend"))=0,#N/A,INDIRECT(ADDRESS($B268+1,BB$230,1,1,"Actively Infected Trend")))</f>
        <v>#N/A</v>
      </c>
      <c r="BC268" s="14" t="e" cm="1">
        <f t="array" aca="1" ref="BC268" ca="1">IF(INDIRECT(ADDRESS($B268+1,BC$230,1,1,"Actively Infected Trend"))=0,#N/A,INDIRECT(ADDRESS($B268+1,BC$230,1,1,"Actively Infected Trend")))</f>
        <v>#N/A</v>
      </c>
      <c r="BD268" s="14" t="e" cm="1">
        <f t="array" aca="1" ref="BD268" ca="1">IF(INDIRECT(ADDRESS($B268+1,BD$230,1,1,"Actively Infected Trend"))=0,#N/A,INDIRECT(ADDRESS($B268+1,BD$230,1,1,"Actively Infected Trend")))</f>
        <v>#N/A</v>
      </c>
      <c r="BE268" s="14" t="e" cm="1">
        <f t="array" aca="1" ref="BE268" ca="1">IF(INDIRECT(ADDRESS($B268+1,BE$230,1,1,"Actively Infected Trend"))=0,#N/A,INDIRECT(ADDRESS($B268+1,BE$230,1,1,"Actively Infected Trend")))</f>
        <v>#N/A</v>
      </c>
      <c r="BF268" s="14" t="e" cm="1">
        <f t="array" aca="1" ref="BF268" ca="1">IF(INDIRECT(ADDRESS($B268+1,BF$230,1,1,"Actively Infected Trend"))=0,#N/A,INDIRECT(ADDRESS($B268+1,BF$230,1,1,"Actively Infected Trend")))</f>
        <v>#N/A</v>
      </c>
      <c r="BG268" s="14" t="e" cm="1">
        <f t="array" aca="1" ref="BG268" ca="1">IF(INDIRECT(ADDRESS($B268+1,BG$230,1,1,"Actively Infected Trend"))=0,#N/A,INDIRECT(ADDRESS($B268+1,BG$230,1,1,"Actively Infected Trend")))</f>
        <v>#N/A</v>
      </c>
      <c r="BH268" s="14" t="e" cm="1">
        <f t="array" aca="1" ref="BH268" ca="1">IF(INDIRECT(ADDRESS($B268+1,BH$230,1,1,"Actively Infected Trend"))=0,#N/A,INDIRECT(ADDRESS($B268+1,BH$230,1,1,"Actively Infected Trend")))</f>
        <v>#N/A</v>
      </c>
      <c r="BI268" s="14" t="e" cm="1">
        <f t="array" aca="1" ref="BI268" ca="1">IF(INDIRECT(ADDRESS($B268+1,BI$230,1,1,"Actively Infected Trend"))=0,#N/A,INDIRECT(ADDRESS($B268+1,BI$230,1,1,"Actively Infected Trend")))</f>
        <v>#N/A</v>
      </c>
      <c r="BJ268" s="14" t="e" cm="1">
        <f t="array" aca="1" ref="BJ268" ca="1">IF(INDIRECT(ADDRESS($B268+1,BJ$230,1,1,"Actively Infected Trend"))=0,#N/A,INDIRECT(ADDRESS($B268+1,BJ$230,1,1,"Actively Infected Trend")))</f>
        <v>#N/A</v>
      </c>
      <c r="BK268" s="14" t="e" cm="1">
        <f t="array" aca="1" ref="BK268" ca="1">IF(INDIRECT(ADDRESS($B268+1,BK$230,1,1,"Actively Infected Trend"))=0,#N/A,INDIRECT(ADDRESS($B268+1,BK$230,1,1,"Actively Infected Trend")))</f>
        <v>#N/A</v>
      </c>
      <c r="BL268" s="14" t="e" cm="1">
        <f t="array" aca="1" ref="BL268" ca="1">IF(INDIRECT(ADDRESS($B268+1,BL$230,1,1,"Actively Infected Trend"))=0,#N/A,INDIRECT(ADDRESS($B268+1,BL$230,1,1,"Actively Infected Trend")))</f>
        <v>#N/A</v>
      </c>
      <c r="BM268" s="14" t="e" cm="1">
        <f t="array" aca="1" ref="BM268" ca="1">IF(INDIRECT(ADDRESS($B268+1,BM$230,1,1,"Actively Infected Trend"))=0,#N/A,INDIRECT(ADDRESS($B268+1,BM$230,1,1,"Actively Infected Trend")))</f>
        <v>#N/A</v>
      </c>
      <c r="BN268" s="14" t="e" cm="1">
        <f t="array" aca="1" ref="BN268" ca="1">IF(INDIRECT(ADDRESS($B268+1,BN$230,1,1,"Actively Infected Trend"))=0,#N/A,INDIRECT(ADDRESS($B268+1,BN$230,1,1,"Actively Infected Trend")))</f>
        <v>#N/A</v>
      </c>
      <c r="BO268" s="14" t="e" cm="1">
        <f t="array" aca="1" ref="BO268" ca="1">IF(INDIRECT(ADDRESS($B268+1,BO$230,1,1,"Actively Infected Trend"))=0,#N/A,INDIRECT(ADDRESS($B268+1,BO$230,1,1,"Actively Infected Trend")))</f>
        <v>#N/A</v>
      </c>
      <c r="BP268" s="14" t="e" cm="1">
        <f t="array" aca="1" ref="BP268" ca="1">IF(INDIRECT(ADDRESS($B268+1,BP$230,1,1,"Actively Infected Trend"))=0,#N/A,INDIRECT(ADDRESS($B268+1,BP$230,1,1,"Actively Infected Trend")))</f>
        <v>#N/A</v>
      </c>
      <c r="BQ268" s="14" t="e" cm="1">
        <f t="array" aca="1" ref="BQ268" ca="1">IF(INDIRECT(ADDRESS($B268+1,BQ$230,1,1,"Actively Infected Trend"))=0,#N/A,INDIRECT(ADDRESS($B268+1,BQ$230,1,1,"Actively Infected Trend")))</f>
        <v>#N/A</v>
      </c>
      <c r="BR268" s="14" t="e" cm="1">
        <f t="array" aca="1" ref="BR268" ca="1">IF(INDIRECT(ADDRESS($B268+1,BR$230,1,1,"Actively Infected Trend"))=0,#N/A,INDIRECT(ADDRESS($B268+1,BR$230,1,1,"Actively Infected Trend")))</f>
        <v>#N/A</v>
      </c>
      <c r="BS268" s="14" t="e" cm="1">
        <f t="array" aca="1" ref="BS268" ca="1">IF(INDIRECT(ADDRESS($B268+1,BS$230,1,1,"Actively Infected Trend"))=0,#N/A,INDIRECT(ADDRESS($B268+1,BS$230,1,1,"Actively Infected Trend")))</f>
        <v>#N/A</v>
      </c>
      <c r="BT268" s="14" t="e" cm="1">
        <f t="array" aca="1" ref="BT268" ca="1">IF(INDIRECT(ADDRESS($B268+1,BT$230,1,1,"Actively Infected Trend"))=0,#N/A,INDIRECT(ADDRESS($B268+1,BT$230,1,1,"Actively Infected Trend")))</f>
        <v>#N/A</v>
      </c>
      <c r="BU268" s="14" t="e" cm="1">
        <f t="array" aca="1" ref="BU268" ca="1">IF(INDIRECT(ADDRESS($B268+1,BU$230,1,1,"Actively Infected Trend"))=0,#N/A,INDIRECT(ADDRESS($B268+1,BU$230,1,1,"Actively Infected Trend")))</f>
        <v>#N/A</v>
      </c>
      <c r="BV268" s="14" t="e" cm="1">
        <f t="array" aca="1" ref="BV268" ca="1">IF(INDIRECT(ADDRESS($B268+1,BV$230,1,1,"Actively Infected Trend"))=0,#N/A,INDIRECT(ADDRESS($B268+1,BV$230,1,1,"Actively Infected Trend")))</f>
        <v>#N/A</v>
      </c>
      <c r="BW268" s="14" t="e" cm="1">
        <f t="array" aca="1" ref="BW268" ca="1">IF(INDIRECT(ADDRESS($B268+1,BW$230,1,1,"Actively Infected Trend"))=0,#N/A,INDIRECT(ADDRESS($B268+1,BW$230,1,1,"Actively Infected Trend")))</f>
        <v>#N/A</v>
      </c>
      <c r="BX268" s="14" t="e" cm="1">
        <f t="array" aca="1" ref="BX268" ca="1">IF(INDIRECT(ADDRESS($B268+1,BX$230,1,1,"Actively Infected Trend"))=0,#N/A,INDIRECT(ADDRESS($B268+1,BX$230,1,1,"Actively Infected Trend")))</f>
        <v>#N/A</v>
      </c>
      <c r="BY268" s="14" t="e" cm="1">
        <f t="array" aca="1" ref="BY268" ca="1">IF(INDIRECT(ADDRESS($B268+1,BY$230,1,1,"Actively Infected Trend"))=0,#N/A,INDIRECT(ADDRESS($B268+1,BY$230,1,1,"Actively Infected Trend")))</f>
        <v>#N/A</v>
      </c>
      <c r="BZ268" s="14" t="e" cm="1">
        <f t="array" aca="1" ref="BZ268" ca="1">IF(INDIRECT(ADDRESS($B268+1,BZ$230,1,1,"Actively Infected Trend"))=0,#N/A,INDIRECT(ADDRESS($B268+1,BZ$230,1,1,"Actively Infected Trend")))</f>
        <v>#N/A</v>
      </c>
      <c r="CA268" s="14" t="e" cm="1">
        <f t="array" aca="1" ref="CA268" ca="1">IF(INDIRECT(ADDRESS($B268+1,CA$230,1,1,"Actively Infected Trend"))=0,#N/A,INDIRECT(ADDRESS($B268+1,CA$230,1,1,"Actively Infected Trend")))</f>
        <v>#N/A</v>
      </c>
      <c r="CB268" s="14" t="e" cm="1">
        <f t="array" aca="1" ref="CB268" ca="1">IF(INDIRECT(ADDRESS($B268+1,CB$230,1,1,"Actively Infected Trend"))=0,#N/A,INDIRECT(ADDRESS($B268+1,CB$230,1,1,"Actively Infected Trend")))</f>
        <v>#N/A</v>
      </c>
      <c r="CC268" s="14" t="e" cm="1">
        <f t="array" aca="1" ref="CC268" ca="1">IF(INDIRECT(ADDRESS($B268+1,CC$230,1,1,"Actively Infected Trend"))=0,#N/A,INDIRECT(ADDRESS($B268+1,CC$230,1,1,"Actively Infected Trend")))</f>
        <v>#N/A</v>
      </c>
      <c r="CD268" s="14" t="e" cm="1">
        <f t="array" aca="1" ref="CD268" ca="1">IF(INDIRECT(ADDRESS($B268+1,CD$230,1,1,"Actively Infected Trend"))=0,#N/A,INDIRECT(ADDRESS($B268+1,CD$230,1,1,"Actively Infected Trend")))</f>
        <v>#N/A</v>
      </c>
      <c r="CE268" s="14" t="e" cm="1">
        <f t="array" aca="1" ref="CE268" ca="1">IF(INDIRECT(ADDRESS($B268+1,CE$230,1,1,"Actively Infected Trend"))=0,#N/A,INDIRECT(ADDRESS($B268+1,CE$230,1,1,"Actively Infected Trend")))</f>
        <v>#N/A</v>
      </c>
      <c r="CF268" s="14" t="e" cm="1">
        <f t="array" aca="1" ref="CF268" ca="1">IF(INDIRECT(ADDRESS($B268+1,CF$230,1,1,"Actively Infected Trend"))=0,#N/A,INDIRECT(ADDRESS($B268+1,CF$230,1,1,"Actively Infected Trend")))</f>
        <v>#N/A</v>
      </c>
      <c r="CG268" s="14" t="e" cm="1">
        <f t="array" aca="1" ref="CG268" ca="1">IF(INDIRECT(ADDRESS($B268+1,CG$230,1,1,"Actively Infected Trend"))=0,#N/A,INDIRECT(ADDRESS($B268+1,CG$230,1,1,"Actively Infected Trend")))</f>
        <v>#N/A</v>
      </c>
      <c r="CH268" s="14" t="e" cm="1">
        <f t="array" aca="1" ref="CH268" ca="1">IF(INDIRECT(ADDRESS($B268+1,CH$230,1,1,"Actively Infected Trend"))=0,#N/A,INDIRECT(ADDRESS($B268+1,CH$230,1,1,"Actively Infected Trend")))</f>
        <v>#N/A</v>
      </c>
      <c r="CI268" s="14" t="e" cm="1">
        <f t="array" aca="1" ref="CI268" ca="1">IF(INDIRECT(ADDRESS($B268+1,CI$230,1,1,"Actively Infected Trend"))=0,#N/A,INDIRECT(ADDRESS($B268+1,CI$230,1,1,"Actively Infected Trend")))</f>
        <v>#N/A</v>
      </c>
      <c r="CJ268" s="14" t="e" cm="1">
        <f t="array" aca="1" ref="CJ268" ca="1">IF(INDIRECT(ADDRESS($B268+1,CJ$230,1,1,"Actively Infected Trend"))=0,#N/A,INDIRECT(ADDRESS($B268+1,CJ$230,1,1,"Actively Infected Trend")))</f>
        <v>#N/A</v>
      </c>
      <c r="CK268" s="14" t="e" cm="1">
        <f t="array" aca="1" ref="CK268" ca="1">IF(INDIRECT(ADDRESS($B268+1,CK$230,1,1,"Actively Infected Trend"))=0,#N/A,INDIRECT(ADDRESS($B268+1,CK$230,1,1,"Actively Infected Trend")))</f>
        <v>#N/A</v>
      </c>
      <c r="CL268" s="14" t="e" cm="1">
        <f t="array" aca="1" ref="CL268" ca="1">IF(INDIRECT(ADDRESS($B268+1,CL$230,1,1,"Actively Infected Trend"))=0,#N/A,INDIRECT(ADDRESS($B268+1,CL$230,1,1,"Actively Infected Trend")))</f>
        <v>#N/A</v>
      </c>
      <c r="CM268" s="14" t="e" cm="1">
        <f t="array" aca="1" ref="CM268" ca="1">IF(INDIRECT(ADDRESS($B268+1,CM$230,1,1,"Actively Infected Trend"))=0,#N/A,INDIRECT(ADDRESS($B268+1,CM$230,1,1,"Actively Infected Trend")))</f>
        <v>#N/A</v>
      </c>
      <c r="CN268" s="14" t="e" cm="1">
        <f t="array" aca="1" ref="CN268" ca="1">IF(INDIRECT(ADDRESS($B268+1,CN$230,1,1,"Actively Infected Trend"))=0,#N/A,INDIRECT(ADDRESS($B268+1,CN$230,1,1,"Actively Infected Trend")))</f>
        <v>#N/A</v>
      </c>
      <c r="CO268" s="14" t="e" cm="1">
        <f t="array" aca="1" ref="CO268" ca="1">IF(INDIRECT(ADDRESS($B268+1,CO$230,1,1,"Actively Infected Trend"))=0,#N/A,INDIRECT(ADDRESS($B268+1,CO$230,1,1,"Actively Infected Trend")))</f>
        <v>#N/A</v>
      </c>
      <c r="CP268" s="14" t="e" cm="1">
        <f t="array" aca="1" ref="CP268" ca="1">IF(INDIRECT(ADDRESS($B268+1,CP$230,1,1,"Actively Infected Trend"))=0,#N/A,INDIRECT(ADDRESS($B268+1,CP$230,1,1,"Actively Infected Trend")))</f>
        <v>#N/A</v>
      </c>
      <c r="CQ268" s="14" t="e" cm="1">
        <f t="array" aca="1" ref="CQ268" ca="1">IF(INDIRECT(ADDRESS($B268+1,CQ$230,1,1,"Actively Infected Trend"))=0,#N/A,INDIRECT(ADDRESS($B268+1,CQ$230,1,1,"Actively Infected Trend")))</f>
        <v>#N/A</v>
      </c>
      <c r="CR268" s="14" t="e" cm="1">
        <f t="array" aca="1" ref="CR268" ca="1">IF(INDIRECT(ADDRESS($B268+1,CR$230,1,1,"Actively Infected Trend"))=0,#N/A,INDIRECT(ADDRESS($B268+1,CR$230,1,1,"Actively Infected Trend")))</f>
        <v>#N/A</v>
      </c>
    </row>
    <row r="269" spans="2:96" x14ac:dyDescent="0.25">
      <c r="B269">
        <f t="shared" si="349"/>
        <v>38</v>
      </c>
      <c r="C269" cm="1">
        <f t="array" aca="1" ref="C269" ca="1">INDIRECT(ADDRESS($B269+1,1,1,1,"Actively Infected Trend"))</f>
        <v>0</v>
      </c>
      <c r="E269" s="14" t="e" cm="1">
        <f t="array" aca="1" ref="E269" ca="1">IF(INDIRECT(ADDRESS($B269+1,E$230,1,1,"Actively Infected Trend"))=0,#N/A,INDIRECT(ADDRESS($B269+1,E$230,1,1,"Actively Infected Trend")))</f>
        <v>#N/A</v>
      </c>
      <c r="F269" s="14" t="e" cm="1">
        <f t="array" aca="1" ref="F269" ca="1">IF(INDIRECT(ADDRESS($B269+1,F$230,1,1,"Actively Infected Trend"))=0,#N/A,INDIRECT(ADDRESS($B269+1,F$230,1,1,"Actively Infected Trend")))</f>
        <v>#N/A</v>
      </c>
      <c r="G269" s="14" t="e" cm="1">
        <f t="array" aca="1" ref="G269" ca="1">IF(INDIRECT(ADDRESS($B269+1,G$230,1,1,"Actively Infected Trend"))=0,#N/A,INDIRECT(ADDRESS($B269+1,G$230,1,1,"Actively Infected Trend")))</f>
        <v>#N/A</v>
      </c>
      <c r="H269" s="14" t="e" cm="1">
        <f t="array" aca="1" ref="H269" ca="1">IF(INDIRECT(ADDRESS($B269+1,H$230,1,1,"Actively Infected Trend"))=0,#N/A,INDIRECT(ADDRESS($B269+1,H$230,1,1,"Actively Infected Trend")))</f>
        <v>#N/A</v>
      </c>
      <c r="I269" s="14" t="e" cm="1">
        <f t="array" aca="1" ref="I269" ca="1">IF(INDIRECT(ADDRESS($B269+1,I$230,1,1,"Actively Infected Trend"))=0,#N/A,INDIRECT(ADDRESS($B269+1,I$230,1,1,"Actively Infected Trend")))</f>
        <v>#N/A</v>
      </c>
      <c r="J269" s="14" t="e" cm="1">
        <f t="array" aca="1" ref="J269" ca="1">IF(INDIRECT(ADDRESS($B269+1,J$230,1,1,"Actively Infected Trend"))=0,#N/A,INDIRECT(ADDRESS($B269+1,J$230,1,1,"Actively Infected Trend")))</f>
        <v>#N/A</v>
      </c>
      <c r="K269" s="14" t="e" cm="1">
        <f t="array" aca="1" ref="K269" ca="1">IF(INDIRECT(ADDRESS($B269+1,K$230,1,1,"Actively Infected Trend"))=0,#N/A,INDIRECT(ADDRESS($B269+1,K$230,1,1,"Actively Infected Trend")))</f>
        <v>#N/A</v>
      </c>
      <c r="L269" s="14" t="e" cm="1">
        <f t="array" aca="1" ref="L269" ca="1">IF(INDIRECT(ADDRESS($B269+1,L$230,1,1,"Actively Infected Trend"))=0,#N/A,INDIRECT(ADDRESS($B269+1,L$230,1,1,"Actively Infected Trend")))</f>
        <v>#N/A</v>
      </c>
      <c r="M269" s="14" t="e" cm="1">
        <f t="array" aca="1" ref="M269" ca="1">IF(INDIRECT(ADDRESS($B269+1,M$230,1,1,"Actively Infected Trend"))=0,#N/A,INDIRECT(ADDRESS($B269+1,M$230,1,1,"Actively Infected Trend")))</f>
        <v>#N/A</v>
      </c>
      <c r="N269" s="14" t="e" cm="1">
        <f t="array" aca="1" ref="N269" ca="1">IF(INDIRECT(ADDRESS($B269+1,N$230,1,1,"Actively Infected Trend"))=0,#N/A,INDIRECT(ADDRESS($B269+1,N$230,1,1,"Actively Infected Trend")))</f>
        <v>#N/A</v>
      </c>
      <c r="O269" s="14" t="e" cm="1">
        <f t="array" aca="1" ref="O269" ca="1">IF(INDIRECT(ADDRESS($B269+1,O$230,1,1,"Actively Infected Trend"))=0,#N/A,INDIRECT(ADDRESS($B269+1,O$230,1,1,"Actively Infected Trend")))</f>
        <v>#N/A</v>
      </c>
      <c r="P269" s="14" t="e" cm="1">
        <f t="array" aca="1" ref="P269" ca="1">IF(INDIRECT(ADDRESS($B269+1,P$230,1,1,"Actively Infected Trend"))=0,#N/A,INDIRECT(ADDRESS($B269+1,P$230,1,1,"Actively Infected Trend")))</f>
        <v>#N/A</v>
      </c>
      <c r="Q269" s="14" t="e" cm="1">
        <f t="array" aca="1" ref="Q269" ca="1">IF(INDIRECT(ADDRESS($B269+1,Q$230,1,1,"Actively Infected Trend"))=0,#N/A,INDIRECT(ADDRESS($B269+1,Q$230,1,1,"Actively Infected Trend")))</f>
        <v>#N/A</v>
      </c>
      <c r="R269" s="14" t="e" cm="1">
        <f t="array" aca="1" ref="R269" ca="1">IF(INDIRECT(ADDRESS($B269+1,R$230,1,1,"Actively Infected Trend"))=0,#N/A,INDIRECT(ADDRESS($B269+1,R$230,1,1,"Actively Infected Trend")))</f>
        <v>#N/A</v>
      </c>
      <c r="S269" s="14" t="e" cm="1">
        <f t="array" aca="1" ref="S269" ca="1">IF(INDIRECT(ADDRESS($B269+1,S$230,1,1,"Actively Infected Trend"))=0,#N/A,INDIRECT(ADDRESS($B269+1,S$230,1,1,"Actively Infected Trend")))</f>
        <v>#N/A</v>
      </c>
      <c r="T269" s="14" t="e" cm="1">
        <f t="array" aca="1" ref="T269" ca="1">IF(INDIRECT(ADDRESS($B269+1,T$230,1,1,"Actively Infected Trend"))=0,#N/A,INDIRECT(ADDRESS($B269+1,T$230,1,1,"Actively Infected Trend")))</f>
        <v>#N/A</v>
      </c>
      <c r="U269" s="14" t="e" cm="1">
        <f t="array" aca="1" ref="U269" ca="1">IF(INDIRECT(ADDRESS($B269+1,U$230,1,1,"Actively Infected Trend"))=0,#N/A,INDIRECT(ADDRESS($B269+1,U$230,1,1,"Actively Infected Trend")))</f>
        <v>#N/A</v>
      </c>
      <c r="V269" s="14" t="e" cm="1">
        <f t="array" aca="1" ref="V269" ca="1">IF(INDIRECT(ADDRESS($B269+1,V$230,1,1,"Actively Infected Trend"))=0,#N/A,INDIRECT(ADDRESS($B269+1,V$230,1,1,"Actively Infected Trend")))</f>
        <v>#N/A</v>
      </c>
      <c r="W269" s="14" t="e" cm="1">
        <f t="array" aca="1" ref="W269" ca="1">IF(INDIRECT(ADDRESS($B269+1,W$230,1,1,"Actively Infected Trend"))=0,#N/A,INDIRECT(ADDRESS($B269+1,W$230,1,1,"Actively Infected Trend")))</f>
        <v>#N/A</v>
      </c>
      <c r="X269" s="14" t="e" cm="1">
        <f t="array" aca="1" ref="X269" ca="1">IF(INDIRECT(ADDRESS($B269+1,X$230,1,1,"Actively Infected Trend"))=0,#N/A,INDIRECT(ADDRESS($B269+1,X$230,1,1,"Actively Infected Trend")))</f>
        <v>#N/A</v>
      </c>
      <c r="Y269" s="14" t="e" cm="1">
        <f t="array" aca="1" ref="Y269" ca="1">IF(INDIRECT(ADDRESS($B269+1,Y$230,1,1,"Actively Infected Trend"))=0,#N/A,INDIRECT(ADDRESS($B269+1,Y$230,1,1,"Actively Infected Trend")))</f>
        <v>#N/A</v>
      </c>
      <c r="Z269" s="14" t="e" cm="1">
        <f t="array" aca="1" ref="Z269" ca="1">IF(INDIRECT(ADDRESS($B269+1,Z$230,1,1,"Actively Infected Trend"))=0,#N/A,INDIRECT(ADDRESS($B269+1,Z$230,1,1,"Actively Infected Trend")))</f>
        <v>#N/A</v>
      </c>
      <c r="AA269" s="14" t="e" cm="1">
        <f t="array" aca="1" ref="AA269" ca="1">IF(INDIRECT(ADDRESS($B269+1,AA$230,1,1,"Actively Infected Trend"))=0,#N/A,INDIRECT(ADDRESS($B269+1,AA$230,1,1,"Actively Infected Trend")))</f>
        <v>#N/A</v>
      </c>
      <c r="AB269" s="14" t="e" cm="1">
        <f t="array" aca="1" ref="AB269" ca="1">IF(INDIRECT(ADDRESS($B269+1,AB$230,1,1,"Actively Infected Trend"))=0,#N/A,INDIRECT(ADDRESS($B269+1,AB$230,1,1,"Actively Infected Trend")))</f>
        <v>#N/A</v>
      </c>
      <c r="AC269" s="14" t="e" cm="1">
        <f t="array" aca="1" ref="AC269" ca="1">IF(INDIRECT(ADDRESS($B269+1,AC$230,1,1,"Actively Infected Trend"))=0,#N/A,INDIRECT(ADDRESS($B269+1,AC$230,1,1,"Actively Infected Trend")))</f>
        <v>#N/A</v>
      </c>
      <c r="AD269" s="14" t="e" cm="1">
        <f t="array" aca="1" ref="AD269" ca="1">IF(INDIRECT(ADDRESS($B269+1,AD$230,1,1,"Actively Infected Trend"))=0,#N/A,INDIRECT(ADDRESS($B269+1,AD$230,1,1,"Actively Infected Trend")))</f>
        <v>#N/A</v>
      </c>
      <c r="AE269" s="14" t="e" cm="1">
        <f t="array" aca="1" ref="AE269" ca="1">IF(INDIRECT(ADDRESS($B269+1,AE$230,1,1,"Actively Infected Trend"))=0,#N/A,INDIRECT(ADDRESS($B269+1,AE$230,1,1,"Actively Infected Trend")))</f>
        <v>#N/A</v>
      </c>
      <c r="AF269" s="14" t="e" cm="1">
        <f t="array" aca="1" ref="AF269" ca="1">IF(INDIRECT(ADDRESS($B269+1,AF$230,1,1,"Actively Infected Trend"))=0,#N/A,INDIRECT(ADDRESS($B269+1,AF$230,1,1,"Actively Infected Trend")))</f>
        <v>#N/A</v>
      </c>
      <c r="AG269" s="14" t="e" cm="1">
        <f t="array" aca="1" ref="AG269" ca="1">IF(INDIRECT(ADDRESS($B269+1,AG$230,1,1,"Actively Infected Trend"))=0,#N/A,INDIRECT(ADDRESS($B269+1,AG$230,1,1,"Actively Infected Trend")))</f>
        <v>#N/A</v>
      </c>
      <c r="AH269" s="14" t="e" cm="1">
        <f t="array" aca="1" ref="AH269" ca="1">IF(INDIRECT(ADDRESS($B269+1,AH$230,1,1,"Actively Infected Trend"))=0,#N/A,INDIRECT(ADDRESS($B269+1,AH$230,1,1,"Actively Infected Trend")))</f>
        <v>#N/A</v>
      </c>
      <c r="AI269" s="14" t="e" cm="1">
        <f t="array" aca="1" ref="AI269" ca="1">IF(INDIRECT(ADDRESS($B269+1,AI$230,1,1,"Actively Infected Trend"))=0,#N/A,INDIRECT(ADDRESS($B269+1,AI$230,1,1,"Actively Infected Trend")))</f>
        <v>#N/A</v>
      </c>
      <c r="AJ269" s="14" t="e" cm="1">
        <f t="array" aca="1" ref="AJ269" ca="1">IF(INDIRECT(ADDRESS($B269+1,AJ$230,1,1,"Actively Infected Trend"))=0,#N/A,INDIRECT(ADDRESS($B269+1,AJ$230,1,1,"Actively Infected Trend")))</f>
        <v>#N/A</v>
      </c>
      <c r="AK269" s="14" t="e" cm="1">
        <f t="array" aca="1" ref="AK269" ca="1">IF(INDIRECT(ADDRESS($B269+1,AK$230,1,1,"Actively Infected Trend"))=0,#N/A,INDIRECT(ADDRESS($B269+1,AK$230,1,1,"Actively Infected Trend")))</f>
        <v>#N/A</v>
      </c>
      <c r="AL269" s="14" t="e" cm="1">
        <f t="array" aca="1" ref="AL269" ca="1">IF(INDIRECT(ADDRESS($B269+1,AL$230,1,1,"Actively Infected Trend"))=0,#N/A,INDIRECT(ADDRESS($B269+1,AL$230,1,1,"Actively Infected Trend")))</f>
        <v>#N/A</v>
      </c>
      <c r="AM269" s="14" t="e" cm="1">
        <f t="array" aca="1" ref="AM269" ca="1">IF(INDIRECT(ADDRESS($B269+1,AM$230,1,1,"Actively Infected Trend"))=0,#N/A,INDIRECT(ADDRESS($B269+1,AM$230,1,1,"Actively Infected Trend")))</f>
        <v>#N/A</v>
      </c>
      <c r="AN269" s="14" t="e" cm="1">
        <f t="array" aca="1" ref="AN269" ca="1">IF(INDIRECT(ADDRESS($B269+1,AN$230,1,1,"Actively Infected Trend"))=0,#N/A,INDIRECT(ADDRESS($B269+1,AN$230,1,1,"Actively Infected Trend")))</f>
        <v>#N/A</v>
      </c>
      <c r="AO269" s="14" t="e" cm="1">
        <f t="array" aca="1" ref="AO269" ca="1">IF(INDIRECT(ADDRESS($B269+1,AO$230,1,1,"Actively Infected Trend"))=0,#N/A,INDIRECT(ADDRESS($B269+1,AO$230,1,1,"Actively Infected Trend")))</f>
        <v>#N/A</v>
      </c>
      <c r="AP269" s="14" t="e" cm="1">
        <f t="array" aca="1" ref="AP269" ca="1">IF(INDIRECT(ADDRESS($B269+1,AP$230,1,1,"Actively Infected Trend"))=0,#N/A,INDIRECT(ADDRESS($B269+1,AP$230,1,1,"Actively Infected Trend")))</f>
        <v>#N/A</v>
      </c>
      <c r="AQ269" s="14" t="e" cm="1">
        <f t="array" aca="1" ref="AQ269" ca="1">IF(INDIRECT(ADDRESS($B269+1,AQ$230,1,1,"Actively Infected Trend"))=0,#N/A,INDIRECT(ADDRESS($B269+1,AQ$230,1,1,"Actively Infected Trend")))</f>
        <v>#N/A</v>
      </c>
      <c r="AR269" s="14" t="e" cm="1">
        <f t="array" aca="1" ref="AR269" ca="1">IF(INDIRECT(ADDRESS($B269+1,AR$230,1,1,"Actively Infected Trend"))=0,#N/A,INDIRECT(ADDRESS($B269+1,AR$230,1,1,"Actively Infected Trend")))</f>
        <v>#N/A</v>
      </c>
      <c r="AS269" s="14" t="e" cm="1">
        <f t="array" aca="1" ref="AS269" ca="1">IF(INDIRECT(ADDRESS($B269+1,AS$230,1,1,"Actively Infected Trend"))=0,#N/A,INDIRECT(ADDRESS($B269+1,AS$230,1,1,"Actively Infected Trend")))</f>
        <v>#N/A</v>
      </c>
      <c r="AT269" s="14" t="e" cm="1">
        <f t="array" aca="1" ref="AT269" ca="1">IF(INDIRECT(ADDRESS($B269+1,AT$230,1,1,"Actively Infected Trend"))=0,#N/A,INDIRECT(ADDRESS($B269+1,AT$230,1,1,"Actively Infected Trend")))</f>
        <v>#N/A</v>
      </c>
      <c r="AU269" s="14" t="e" cm="1">
        <f t="array" aca="1" ref="AU269" ca="1">IF(INDIRECT(ADDRESS($B269+1,AU$230,1,1,"Actively Infected Trend"))=0,#N/A,INDIRECT(ADDRESS($B269+1,AU$230,1,1,"Actively Infected Trend")))</f>
        <v>#N/A</v>
      </c>
      <c r="AV269" s="14" t="e" cm="1">
        <f t="array" aca="1" ref="AV269" ca="1">IF(INDIRECT(ADDRESS($B269+1,AV$230,1,1,"Actively Infected Trend"))=0,#N/A,INDIRECT(ADDRESS($B269+1,AV$230,1,1,"Actively Infected Trend")))</f>
        <v>#N/A</v>
      </c>
      <c r="AW269" s="14" t="e" cm="1">
        <f t="array" aca="1" ref="AW269" ca="1">IF(INDIRECT(ADDRESS($B269+1,AW$230,1,1,"Actively Infected Trend"))=0,#N/A,INDIRECT(ADDRESS($B269+1,AW$230,1,1,"Actively Infected Trend")))</f>
        <v>#N/A</v>
      </c>
      <c r="AX269" s="14" t="e" cm="1">
        <f t="array" aca="1" ref="AX269" ca="1">IF(INDIRECT(ADDRESS($B269+1,AX$230,1,1,"Actively Infected Trend"))=0,#N/A,INDIRECT(ADDRESS($B269+1,AX$230,1,1,"Actively Infected Trend")))</f>
        <v>#N/A</v>
      </c>
      <c r="AY269" s="14" t="e" cm="1">
        <f t="array" aca="1" ref="AY269" ca="1">IF(INDIRECT(ADDRESS($B269+1,AY$230,1,1,"Actively Infected Trend"))=0,#N/A,INDIRECT(ADDRESS($B269+1,AY$230,1,1,"Actively Infected Trend")))</f>
        <v>#N/A</v>
      </c>
      <c r="AZ269" s="14" t="e" cm="1">
        <f t="array" aca="1" ref="AZ269" ca="1">IF(INDIRECT(ADDRESS($B269+1,AZ$230,1,1,"Actively Infected Trend"))=0,#N/A,INDIRECT(ADDRESS($B269+1,AZ$230,1,1,"Actively Infected Trend")))</f>
        <v>#N/A</v>
      </c>
      <c r="BA269" s="14" t="e" cm="1">
        <f t="array" aca="1" ref="BA269" ca="1">IF(INDIRECT(ADDRESS($B269+1,BA$230,1,1,"Actively Infected Trend"))=0,#N/A,INDIRECT(ADDRESS($B269+1,BA$230,1,1,"Actively Infected Trend")))</f>
        <v>#N/A</v>
      </c>
      <c r="BB269" s="14" t="e" cm="1">
        <f t="array" aca="1" ref="BB269" ca="1">IF(INDIRECT(ADDRESS($B269+1,BB$230,1,1,"Actively Infected Trend"))=0,#N/A,INDIRECT(ADDRESS($B269+1,BB$230,1,1,"Actively Infected Trend")))</f>
        <v>#N/A</v>
      </c>
      <c r="BC269" s="14" t="e" cm="1">
        <f t="array" aca="1" ref="BC269" ca="1">IF(INDIRECT(ADDRESS($B269+1,BC$230,1,1,"Actively Infected Trend"))=0,#N/A,INDIRECT(ADDRESS($B269+1,BC$230,1,1,"Actively Infected Trend")))</f>
        <v>#N/A</v>
      </c>
      <c r="BD269" s="14" t="e" cm="1">
        <f t="array" aca="1" ref="BD269" ca="1">IF(INDIRECT(ADDRESS($B269+1,BD$230,1,1,"Actively Infected Trend"))=0,#N/A,INDIRECT(ADDRESS($B269+1,BD$230,1,1,"Actively Infected Trend")))</f>
        <v>#N/A</v>
      </c>
      <c r="BE269" s="14" t="e" cm="1">
        <f t="array" aca="1" ref="BE269" ca="1">IF(INDIRECT(ADDRESS($B269+1,BE$230,1,1,"Actively Infected Trend"))=0,#N/A,INDIRECT(ADDRESS($B269+1,BE$230,1,1,"Actively Infected Trend")))</f>
        <v>#N/A</v>
      </c>
      <c r="BF269" s="14" t="e" cm="1">
        <f t="array" aca="1" ref="BF269" ca="1">IF(INDIRECT(ADDRESS($B269+1,BF$230,1,1,"Actively Infected Trend"))=0,#N/A,INDIRECT(ADDRESS($B269+1,BF$230,1,1,"Actively Infected Trend")))</f>
        <v>#N/A</v>
      </c>
      <c r="BG269" s="14" t="e" cm="1">
        <f t="array" aca="1" ref="BG269" ca="1">IF(INDIRECT(ADDRESS($B269+1,BG$230,1,1,"Actively Infected Trend"))=0,#N/A,INDIRECT(ADDRESS($B269+1,BG$230,1,1,"Actively Infected Trend")))</f>
        <v>#N/A</v>
      </c>
      <c r="BH269" s="14" t="e" cm="1">
        <f t="array" aca="1" ref="BH269" ca="1">IF(INDIRECT(ADDRESS($B269+1,BH$230,1,1,"Actively Infected Trend"))=0,#N/A,INDIRECT(ADDRESS($B269+1,BH$230,1,1,"Actively Infected Trend")))</f>
        <v>#N/A</v>
      </c>
      <c r="BI269" s="14" t="e" cm="1">
        <f t="array" aca="1" ref="BI269" ca="1">IF(INDIRECT(ADDRESS($B269+1,BI$230,1,1,"Actively Infected Trend"))=0,#N/A,INDIRECT(ADDRESS($B269+1,BI$230,1,1,"Actively Infected Trend")))</f>
        <v>#N/A</v>
      </c>
      <c r="BJ269" s="14" t="e" cm="1">
        <f t="array" aca="1" ref="BJ269" ca="1">IF(INDIRECT(ADDRESS($B269+1,BJ$230,1,1,"Actively Infected Trend"))=0,#N/A,INDIRECT(ADDRESS($B269+1,BJ$230,1,1,"Actively Infected Trend")))</f>
        <v>#N/A</v>
      </c>
      <c r="BK269" s="14" t="e" cm="1">
        <f t="array" aca="1" ref="BK269" ca="1">IF(INDIRECT(ADDRESS($B269+1,BK$230,1,1,"Actively Infected Trend"))=0,#N/A,INDIRECT(ADDRESS($B269+1,BK$230,1,1,"Actively Infected Trend")))</f>
        <v>#N/A</v>
      </c>
      <c r="BL269" s="14" t="e" cm="1">
        <f t="array" aca="1" ref="BL269" ca="1">IF(INDIRECT(ADDRESS($B269+1,BL$230,1,1,"Actively Infected Trend"))=0,#N/A,INDIRECT(ADDRESS($B269+1,BL$230,1,1,"Actively Infected Trend")))</f>
        <v>#N/A</v>
      </c>
      <c r="BM269" s="14" t="e" cm="1">
        <f t="array" aca="1" ref="BM269" ca="1">IF(INDIRECT(ADDRESS($B269+1,BM$230,1,1,"Actively Infected Trend"))=0,#N/A,INDIRECT(ADDRESS($B269+1,BM$230,1,1,"Actively Infected Trend")))</f>
        <v>#N/A</v>
      </c>
      <c r="BN269" s="14" t="e" cm="1">
        <f t="array" aca="1" ref="BN269" ca="1">IF(INDIRECT(ADDRESS($B269+1,BN$230,1,1,"Actively Infected Trend"))=0,#N/A,INDIRECT(ADDRESS($B269+1,BN$230,1,1,"Actively Infected Trend")))</f>
        <v>#N/A</v>
      </c>
      <c r="BO269" s="14" t="e" cm="1">
        <f t="array" aca="1" ref="BO269" ca="1">IF(INDIRECT(ADDRESS($B269+1,BO$230,1,1,"Actively Infected Trend"))=0,#N/A,INDIRECT(ADDRESS($B269+1,BO$230,1,1,"Actively Infected Trend")))</f>
        <v>#N/A</v>
      </c>
      <c r="BP269" s="14" t="e" cm="1">
        <f t="array" aca="1" ref="BP269" ca="1">IF(INDIRECT(ADDRESS($B269+1,BP$230,1,1,"Actively Infected Trend"))=0,#N/A,INDIRECT(ADDRESS($B269+1,BP$230,1,1,"Actively Infected Trend")))</f>
        <v>#N/A</v>
      </c>
      <c r="BQ269" s="14" t="e" cm="1">
        <f t="array" aca="1" ref="BQ269" ca="1">IF(INDIRECT(ADDRESS($B269+1,BQ$230,1,1,"Actively Infected Trend"))=0,#N/A,INDIRECT(ADDRESS($B269+1,BQ$230,1,1,"Actively Infected Trend")))</f>
        <v>#N/A</v>
      </c>
      <c r="BR269" s="14" t="e" cm="1">
        <f t="array" aca="1" ref="BR269" ca="1">IF(INDIRECT(ADDRESS($B269+1,BR$230,1,1,"Actively Infected Trend"))=0,#N/A,INDIRECT(ADDRESS($B269+1,BR$230,1,1,"Actively Infected Trend")))</f>
        <v>#N/A</v>
      </c>
      <c r="BS269" s="14" t="e" cm="1">
        <f t="array" aca="1" ref="BS269" ca="1">IF(INDIRECT(ADDRESS($B269+1,BS$230,1,1,"Actively Infected Trend"))=0,#N/A,INDIRECT(ADDRESS($B269+1,BS$230,1,1,"Actively Infected Trend")))</f>
        <v>#N/A</v>
      </c>
      <c r="BT269" s="14" t="e" cm="1">
        <f t="array" aca="1" ref="BT269" ca="1">IF(INDIRECT(ADDRESS($B269+1,BT$230,1,1,"Actively Infected Trend"))=0,#N/A,INDIRECT(ADDRESS($B269+1,BT$230,1,1,"Actively Infected Trend")))</f>
        <v>#N/A</v>
      </c>
      <c r="BU269" s="14" t="e" cm="1">
        <f t="array" aca="1" ref="BU269" ca="1">IF(INDIRECT(ADDRESS($B269+1,BU$230,1,1,"Actively Infected Trend"))=0,#N/A,INDIRECT(ADDRESS($B269+1,BU$230,1,1,"Actively Infected Trend")))</f>
        <v>#N/A</v>
      </c>
      <c r="BV269" s="14" t="e" cm="1">
        <f t="array" aca="1" ref="BV269" ca="1">IF(INDIRECT(ADDRESS($B269+1,BV$230,1,1,"Actively Infected Trend"))=0,#N/A,INDIRECT(ADDRESS($B269+1,BV$230,1,1,"Actively Infected Trend")))</f>
        <v>#N/A</v>
      </c>
      <c r="BW269" s="14" t="e" cm="1">
        <f t="array" aca="1" ref="BW269" ca="1">IF(INDIRECT(ADDRESS($B269+1,BW$230,1,1,"Actively Infected Trend"))=0,#N/A,INDIRECT(ADDRESS($B269+1,BW$230,1,1,"Actively Infected Trend")))</f>
        <v>#N/A</v>
      </c>
      <c r="BX269" s="14" t="e" cm="1">
        <f t="array" aca="1" ref="BX269" ca="1">IF(INDIRECT(ADDRESS($B269+1,BX$230,1,1,"Actively Infected Trend"))=0,#N/A,INDIRECT(ADDRESS($B269+1,BX$230,1,1,"Actively Infected Trend")))</f>
        <v>#N/A</v>
      </c>
      <c r="BY269" s="14" t="e" cm="1">
        <f t="array" aca="1" ref="BY269" ca="1">IF(INDIRECT(ADDRESS($B269+1,BY$230,1,1,"Actively Infected Trend"))=0,#N/A,INDIRECT(ADDRESS($B269+1,BY$230,1,1,"Actively Infected Trend")))</f>
        <v>#N/A</v>
      </c>
      <c r="BZ269" s="14" t="e" cm="1">
        <f t="array" aca="1" ref="BZ269" ca="1">IF(INDIRECT(ADDRESS($B269+1,BZ$230,1,1,"Actively Infected Trend"))=0,#N/A,INDIRECT(ADDRESS($B269+1,BZ$230,1,1,"Actively Infected Trend")))</f>
        <v>#N/A</v>
      </c>
      <c r="CA269" s="14" t="e" cm="1">
        <f t="array" aca="1" ref="CA269" ca="1">IF(INDIRECT(ADDRESS($B269+1,CA$230,1,1,"Actively Infected Trend"))=0,#N/A,INDIRECT(ADDRESS($B269+1,CA$230,1,1,"Actively Infected Trend")))</f>
        <v>#N/A</v>
      </c>
      <c r="CB269" s="14" t="e" cm="1">
        <f t="array" aca="1" ref="CB269" ca="1">IF(INDIRECT(ADDRESS($B269+1,CB$230,1,1,"Actively Infected Trend"))=0,#N/A,INDIRECT(ADDRESS($B269+1,CB$230,1,1,"Actively Infected Trend")))</f>
        <v>#N/A</v>
      </c>
      <c r="CC269" s="14" t="e" cm="1">
        <f t="array" aca="1" ref="CC269" ca="1">IF(INDIRECT(ADDRESS($B269+1,CC$230,1,1,"Actively Infected Trend"))=0,#N/A,INDIRECT(ADDRESS($B269+1,CC$230,1,1,"Actively Infected Trend")))</f>
        <v>#N/A</v>
      </c>
      <c r="CD269" s="14" t="e" cm="1">
        <f t="array" aca="1" ref="CD269" ca="1">IF(INDIRECT(ADDRESS($B269+1,CD$230,1,1,"Actively Infected Trend"))=0,#N/A,INDIRECT(ADDRESS($B269+1,CD$230,1,1,"Actively Infected Trend")))</f>
        <v>#N/A</v>
      </c>
      <c r="CE269" s="14" t="e" cm="1">
        <f t="array" aca="1" ref="CE269" ca="1">IF(INDIRECT(ADDRESS($B269+1,CE$230,1,1,"Actively Infected Trend"))=0,#N/A,INDIRECT(ADDRESS($B269+1,CE$230,1,1,"Actively Infected Trend")))</f>
        <v>#N/A</v>
      </c>
      <c r="CF269" s="14" t="e" cm="1">
        <f t="array" aca="1" ref="CF269" ca="1">IF(INDIRECT(ADDRESS($B269+1,CF$230,1,1,"Actively Infected Trend"))=0,#N/A,INDIRECT(ADDRESS($B269+1,CF$230,1,1,"Actively Infected Trend")))</f>
        <v>#N/A</v>
      </c>
      <c r="CG269" s="14" t="e" cm="1">
        <f t="array" aca="1" ref="CG269" ca="1">IF(INDIRECT(ADDRESS($B269+1,CG$230,1,1,"Actively Infected Trend"))=0,#N/A,INDIRECT(ADDRESS($B269+1,CG$230,1,1,"Actively Infected Trend")))</f>
        <v>#N/A</v>
      </c>
      <c r="CH269" s="14" t="e" cm="1">
        <f t="array" aca="1" ref="CH269" ca="1">IF(INDIRECT(ADDRESS($B269+1,CH$230,1,1,"Actively Infected Trend"))=0,#N/A,INDIRECT(ADDRESS($B269+1,CH$230,1,1,"Actively Infected Trend")))</f>
        <v>#N/A</v>
      </c>
      <c r="CI269" s="14" t="e" cm="1">
        <f t="array" aca="1" ref="CI269" ca="1">IF(INDIRECT(ADDRESS($B269+1,CI$230,1,1,"Actively Infected Trend"))=0,#N/A,INDIRECT(ADDRESS($B269+1,CI$230,1,1,"Actively Infected Trend")))</f>
        <v>#N/A</v>
      </c>
      <c r="CJ269" s="14" t="e" cm="1">
        <f t="array" aca="1" ref="CJ269" ca="1">IF(INDIRECT(ADDRESS($B269+1,CJ$230,1,1,"Actively Infected Trend"))=0,#N/A,INDIRECT(ADDRESS($B269+1,CJ$230,1,1,"Actively Infected Trend")))</f>
        <v>#N/A</v>
      </c>
      <c r="CK269" s="14" t="e" cm="1">
        <f t="array" aca="1" ref="CK269" ca="1">IF(INDIRECT(ADDRESS($B269+1,CK$230,1,1,"Actively Infected Trend"))=0,#N/A,INDIRECT(ADDRESS($B269+1,CK$230,1,1,"Actively Infected Trend")))</f>
        <v>#N/A</v>
      </c>
      <c r="CL269" s="14" t="e" cm="1">
        <f t="array" aca="1" ref="CL269" ca="1">IF(INDIRECT(ADDRESS($B269+1,CL$230,1,1,"Actively Infected Trend"))=0,#N/A,INDIRECT(ADDRESS($B269+1,CL$230,1,1,"Actively Infected Trend")))</f>
        <v>#N/A</v>
      </c>
      <c r="CM269" s="14" t="e" cm="1">
        <f t="array" aca="1" ref="CM269" ca="1">IF(INDIRECT(ADDRESS($B269+1,CM$230,1,1,"Actively Infected Trend"))=0,#N/A,INDIRECT(ADDRESS($B269+1,CM$230,1,1,"Actively Infected Trend")))</f>
        <v>#N/A</v>
      </c>
      <c r="CN269" s="14" t="e" cm="1">
        <f t="array" aca="1" ref="CN269" ca="1">IF(INDIRECT(ADDRESS($B269+1,CN$230,1,1,"Actively Infected Trend"))=0,#N/A,INDIRECT(ADDRESS($B269+1,CN$230,1,1,"Actively Infected Trend")))</f>
        <v>#N/A</v>
      </c>
      <c r="CO269" s="14" t="e" cm="1">
        <f t="array" aca="1" ref="CO269" ca="1">IF(INDIRECT(ADDRESS($B269+1,CO$230,1,1,"Actively Infected Trend"))=0,#N/A,INDIRECT(ADDRESS($B269+1,CO$230,1,1,"Actively Infected Trend")))</f>
        <v>#N/A</v>
      </c>
      <c r="CP269" s="14" t="e" cm="1">
        <f t="array" aca="1" ref="CP269" ca="1">IF(INDIRECT(ADDRESS($B269+1,CP$230,1,1,"Actively Infected Trend"))=0,#N/A,INDIRECT(ADDRESS($B269+1,CP$230,1,1,"Actively Infected Trend")))</f>
        <v>#N/A</v>
      </c>
      <c r="CQ269" s="14" t="e" cm="1">
        <f t="array" aca="1" ref="CQ269" ca="1">IF(INDIRECT(ADDRESS($B269+1,CQ$230,1,1,"Actively Infected Trend"))=0,#N/A,INDIRECT(ADDRESS($B269+1,CQ$230,1,1,"Actively Infected Trend")))</f>
        <v>#N/A</v>
      </c>
      <c r="CR269" s="14" t="e" cm="1">
        <f t="array" aca="1" ref="CR269" ca="1">IF(INDIRECT(ADDRESS($B269+1,CR$230,1,1,"Actively Infected Trend"))=0,#N/A,INDIRECT(ADDRESS($B269+1,CR$230,1,1,"Actively Infected Trend")))</f>
        <v>#N/A</v>
      </c>
    </row>
    <row r="270" spans="2:96" x14ac:dyDescent="0.25">
      <c r="B270">
        <f t="shared" si="349"/>
        <v>39</v>
      </c>
      <c r="C270" cm="1">
        <f t="array" aca="1" ref="C270" ca="1">INDIRECT(ADDRESS($B270+1,1,1,1,"Actively Infected Trend"))</f>
        <v>0</v>
      </c>
      <c r="E270" s="14" t="e" cm="1">
        <f t="array" aca="1" ref="E270" ca="1">IF(INDIRECT(ADDRESS($B270+1,E$230,1,1,"Actively Infected Trend"))=0,#N/A,INDIRECT(ADDRESS($B270+1,E$230,1,1,"Actively Infected Trend")))</f>
        <v>#N/A</v>
      </c>
      <c r="F270" s="14" t="e" cm="1">
        <f t="array" aca="1" ref="F270" ca="1">IF(INDIRECT(ADDRESS($B270+1,F$230,1,1,"Actively Infected Trend"))=0,#N/A,INDIRECT(ADDRESS($B270+1,F$230,1,1,"Actively Infected Trend")))</f>
        <v>#N/A</v>
      </c>
      <c r="G270" s="14" t="e" cm="1">
        <f t="array" aca="1" ref="G270" ca="1">IF(INDIRECT(ADDRESS($B270+1,G$230,1,1,"Actively Infected Trend"))=0,#N/A,INDIRECT(ADDRESS($B270+1,G$230,1,1,"Actively Infected Trend")))</f>
        <v>#N/A</v>
      </c>
      <c r="H270" s="14" t="e" cm="1">
        <f t="array" aca="1" ref="H270" ca="1">IF(INDIRECT(ADDRESS($B270+1,H$230,1,1,"Actively Infected Trend"))=0,#N/A,INDIRECT(ADDRESS($B270+1,H$230,1,1,"Actively Infected Trend")))</f>
        <v>#N/A</v>
      </c>
      <c r="I270" s="14" t="e" cm="1">
        <f t="array" aca="1" ref="I270" ca="1">IF(INDIRECT(ADDRESS($B270+1,I$230,1,1,"Actively Infected Trend"))=0,#N/A,INDIRECT(ADDRESS($B270+1,I$230,1,1,"Actively Infected Trend")))</f>
        <v>#N/A</v>
      </c>
      <c r="J270" s="14" t="e" cm="1">
        <f t="array" aca="1" ref="J270" ca="1">IF(INDIRECT(ADDRESS($B270+1,J$230,1,1,"Actively Infected Trend"))=0,#N/A,INDIRECT(ADDRESS($B270+1,J$230,1,1,"Actively Infected Trend")))</f>
        <v>#N/A</v>
      </c>
      <c r="K270" s="14" t="e" cm="1">
        <f t="array" aca="1" ref="K270" ca="1">IF(INDIRECT(ADDRESS($B270+1,K$230,1,1,"Actively Infected Trend"))=0,#N/A,INDIRECT(ADDRESS($B270+1,K$230,1,1,"Actively Infected Trend")))</f>
        <v>#N/A</v>
      </c>
      <c r="L270" s="14" t="e" cm="1">
        <f t="array" aca="1" ref="L270" ca="1">IF(INDIRECT(ADDRESS($B270+1,L$230,1,1,"Actively Infected Trend"))=0,#N/A,INDIRECT(ADDRESS($B270+1,L$230,1,1,"Actively Infected Trend")))</f>
        <v>#N/A</v>
      </c>
      <c r="M270" s="14" t="e" cm="1">
        <f t="array" aca="1" ref="M270" ca="1">IF(INDIRECT(ADDRESS($B270+1,M$230,1,1,"Actively Infected Trend"))=0,#N/A,INDIRECT(ADDRESS($B270+1,M$230,1,1,"Actively Infected Trend")))</f>
        <v>#N/A</v>
      </c>
      <c r="N270" s="14" t="e" cm="1">
        <f t="array" aca="1" ref="N270" ca="1">IF(INDIRECT(ADDRESS($B270+1,N$230,1,1,"Actively Infected Trend"))=0,#N/A,INDIRECT(ADDRESS($B270+1,N$230,1,1,"Actively Infected Trend")))</f>
        <v>#N/A</v>
      </c>
      <c r="O270" s="14" t="e" cm="1">
        <f t="array" aca="1" ref="O270" ca="1">IF(INDIRECT(ADDRESS($B270+1,O$230,1,1,"Actively Infected Trend"))=0,#N/A,INDIRECT(ADDRESS($B270+1,O$230,1,1,"Actively Infected Trend")))</f>
        <v>#N/A</v>
      </c>
      <c r="P270" s="14" t="e" cm="1">
        <f t="array" aca="1" ref="P270" ca="1">IF(INDIRECT(ADDRESS($B270+1,P$230,1,1,"Actively Infected Trend"))=0,#N/A,INDIRECT(ADDRESS($B270+1,P$230,1,1,"Actively Infected Trend")))</f>
        <v>#N/A</v>
      </c>
      <c r="Q270" s="14" t="e" cm="1">
        <f t="array" aca="1" ref="Q270" ca="1">IF(INDIRECT(ADDRESS($B270+1,Q$230,1,1,"Actively Infected Trend"))=0,#N/A,INDIRECT(ADDRESS($B270+1,Q$230,1,1,"Actively Infected Trend")))</f>
        <v>#N/A</v>
      </c>
      <c r="R270" s="14" t="e" cm="1">
        <f t="array" aca="1" ref="R270" ca="1">IF(INDIRECT(ADDRESS($B270+1,R$230,1,1,"Actively Infected Trend"))=0,#N/A,INDIRECT(ADDRESS($B270+1,R$230,1,1,"Actively Infected Trend")))</f>
        <v>#N/A</v>
      </c>
      <c r="S270" s="14" t="e" cm="1">
        <f t="array" aca="1" ref="S270" ca="1">IF(INDIRECT(ADDRESS($B270+1,S$230,1,1,"Actively Infected Trend"))=0,#N/A,INDIRECT(ADDRESS($B270+1,S$230,1,1,"Actively Infected Trend")))</f>
        <v>#N/A</v>
      </c>
      <c r="T270" s="14" t="e" cm="1">
        <f t="array" aca="1" ref="T270" ca="1">IF(INDIRECT(ADDRESS($B270+1,T$230,1,1,"Actively Infected Trend"))=0,#N/A,INDIRECT(ADDRESS($B270+1,T$230,1,1,"Actively Infected Trend")))</f>
        <v>#N/A</v>
      </c>
      <c r="U270" s="14" t="e" cm="1">
        <f t="array" aca="1" ref="U270" ca="1">IF(INDIRECT(ADDRESS($B270+1,U$230,1,1,"Actively Infected Trend"))=0,#N/A,INDIRECT(ADDRESS($B270+1,U$230,1,1,"Actively Infected Trend")))</f>
        <v>#N/A</v>
      </c>
      <c r="V270" s="14" t="e" cm="1">
        <f t="array" aca="1" ref="V270" ca="1">IF(INDIRECT(ADDRESS($B270+1,V$230,1,1,"Actively Infected Trend"))=0,#N/A,INDIRECT(ADDRESS($B270+1,V$230,1,1,"Actively Infected Trend")))</f>
        <v>#N/A</v>
      </c>
      <c r="W270" s="14" t="e" cm="1">
        <f t="array" aca="1" ref="W270" ca="1">IF(INDIRECT(ADDRESS($B270+1,W$230,1,1,"Actively Infected Trend"))=0,#N/A,INDIRECT(ADDRESS($B270+1,W$230,1,1,"Actively Infected Trend")))</f>
        <v>#N/A</v>
      </c>
      <c r="X270" s="14" t="e" cm="1">
        <f t="array" aca="1" ref="X270" ca="1">IF(INDIRECT(ADDRESS($B270+1,X$230,1,1,"Actively Infected Trend"))=0,#N/A,INDIRECT(ADDRESS($B270+1,X$230,1,1,"Actively Infected Trend")))</f>
        <v>#N/A</v>
      </c>
      <c r="Y270" s="14" t="e" cm="1">
        <f t="array" aca="1" ref="Y270" ca="1">IF(INDIRECT(ADDRESS($B270+1,Y$230,1,1,"Actively Infected Trend"))=0,#N/A,INDIRECT(ADDRESS($B270+1,Y$230,1,1,"Actively Infected Trend")))</f>
        <v>#N/A</v>
      </c>
      <c r="Z270" s="14" t="e" cm="1">
        <f t="array" aca="1" ref="Z270" ca="1">IF(INDIRECT(ADDRESS($B270+1,Z$230,1,1,"Actively Infected Trend"))=0,#N/A,INDIRECT(ADDRESS($B270+1,Z$230,1,1,"Actively Infected Trend")))</f>
        <v>#N/A</v>
      </c>
      <c r="AA270" s="14" t="e" cm="1">
        <f t="array" aca="1" ref="AA270" ca="1">IF(INDIRECT(ADDRESS($B270+1,AA$230,1,1,"Actively Infected Trend"))=0,#N/A,INDIRECT(ADDRESS($B270+1,AA$230,1,1,"Actively Infected Trend")))</f>
        <v>#N/A</v>
      </c>
      <c r="AB270" s="14" t="e" cm="1">
        <f t="array" aca="1" ref="AB270" ca="1">IF(INDIRECT(ADDRESS($B270+1,AB$230,1,1,"Actively Infected Trend"))=0,#N/A,INDIRECT(ADDRESS($B270+1,AB$230,1,1,"Actively Infected Trend")))</f>
        <v>#N/A</v>
      </c>
      <c r="AC270" s="14" t="e" cm="1">
        <f t="array" aca="1" ref="AC270" ca="1">IF(INDIRECT(ADDRESS($B270+1,AC$230,1,1,"Actively Infected Trend"))=0,#N/A,INDIRECT(ADDRESS($B270+1,AC$230,1,1,"Actively Infected Trend")))</f>
        <v>#N/A</v>
      </c>
      <c r="AD270" s="14" t="e" cm="1">
        <f t="array" aca="1" ref="AD270" ca="1">IF(INDIRECT(ADDRESS($B270+1,AD$230,1,1,"Actively Infected Trend"))=0,#N/A,INDIRECT(ADDRESS($B270+1,AD$230,1,1,"Actively Infected Trend")))</f>
        <v>#N/A</v>
      </c>
      <c r="AE270" s="14" t="e" cm="1">
        <f t="array" aca="1" ref="AE270" ca="1">IF(INDIRECT(ADDRESS($B270+1,AE$230,1,1,"Actively Infected Trend"))=0,#N/A,INDIRECT(ADDRESS($B270+1,AE$230,1,1,"Actively Infected Trend")))</f>
        <v>#N/A</v>
      </c>
      <c r="AF270" s="14" t="e" cm="1">
        <f t="array" aca="1" ref="AF270" ca="1">IF(INDIRECT(ADDRESS($B270+1,AF$230,1,1,"Actively Infected Trend"))=0,#N/A,INDIRECT(ADDRESS($B270+1,AF$230,1,1,"Actively Infected Trend")))</f>
        <v>#N/A</v>
      </c>
      <c r="AG270" s="14" t="e" cm="1">
        <f t="array" aca="1" ref="AG270" ca="1">IF(INDIRECT(ADDRESS($B270+1,AG$230,1,1,"Actively Infected Trend"))=0,#N/A,INDIRECT(ADDRESS($B270+1,AG$230,1,1,"Actively Infected Trend")))</f>
        <v>#N/A</v>
      </c>
      <c r="AH270" s="14" t="e" cm="1">
        <f t="array" aca="1" ref="AH270" ca="1">IF(INDIRECT(ADDRESS($B270+1,AH$230,1,1,"Actively Infected Trend"))=0,#N/A,INDIRECT(ADDRESS($B270+1,AH$230,1,1,"Actively Infected Trend")))</f>
        <v>#N/A</v>
      </c>
      <c r="AI270" s="14" t="e" cm="1">
        <f t="array" aca="1" ref="AI270" ca="1">IF(INDIRECT(ADDRESS($B270+1,AI$230,1,1,"Actively Infected Trend"))=0,#N/A,INDIRECT(ADDRESS($B270+1,AI$230,1,1,"Actively Infected Trend")))</f>
        <v>#N/A</v>
      </c>
      <c r="AJ270" s="14" t="e" cm="1">
        <f t="array" aca="1" ref="AJ270" ca="1">IF(INDIRECT(ADDRESS($B270+1,AJ$230,1,1,"Actively Infected Trend"))=0,#N/A,INDIRECT(ADDRESS($B270+1,AJ$230,1,1,"Actively Infected Trend")))</f>
        <v>#N/A</v>
      </c>
      <c r="AK270" s="14" t="e" cm="1">
        <f t="array" aca="1" ref="AK270" ca="1">IF(INDIRECT(ADDRESS($B270+1,AK$230,1,1,"Actively Infected Trend"))=0,#N/A,INDIRECT(ADDRESS($B270+1,AK$230,1,1,"Actively Infected Trend")))</f>
        <v>#N/A</v>
      </c>
      <c r="AL270" s="14" t="e" cm="1">
        <f t="array" aca="1" ref="AL270" ca="1">IF(INDIRECT(ADDRESS($B270+1,AL$230,1,1,"Actively Infected Trend"))=0,#N/A,INDIRECT(ADDRESS($B270+1,AL$230,1,1,"Actively Infected Trend")))</f>
        <v>#N/A</v>
      </c>
      <c r="AM270" s="14" t="e" cm="1">
        <f t="array" aca="1" ref="AM270" ca="1">IF(INDIRECT(ADDRESS($B270+1,AM$230,1,1,"Actively Infected Trend"))=0,#N/A,INDIRECT(ADDRESS($B270+1,AM$230,1,1,"Actively Infected Trend")))</f>
        <v>#N/A</v>
      </c>
      <c r="AN270" s="14" t="e" cm="1">
        <f t="array" aca="1" ref="AN270" ca="1">IF(INDIRECT(ADDRESS($B270+1,AN$230,1,1,"Actively Infected Trend"))=0,#N/A,INDIRECT(ADDRESS($B270+1,AN$230,1,1,"Actively Infected Trend")))</f>
        <v>#N/A</v>
      </c>
      <c r="AO270" s="14" t="e" cm="1">
        <f t="array" aca="1" ref="AO270" ca="1">IF(INDIRECT(ADDRESS($B270+1,AO$230,1,1,"Actively Infected Trend"))=0,#N/A,INDIRECT(ADDRESS($B270+1,AO$230,1,1,"Actively Infected Trend")))</f>
        <v>#N/A</v>
      </c>
      <c r="AP270" s="14" t="e" cm="1">
        <f t="array" aca="1" ref="AP270" ca="1">IF(INDIRECT(ADDRESS($B270+1,AP$230,1,1,"Actively Infected Trend"))=0,#N/A,INDIRECT(ADDRESS($B270+1,AP$230,1,1,"Actively Infected Trend")))</f>
        <v>#N/A</v>
      </c>
      <c r="AQ270" s="14" t="e" cm="1">
        <f t="array" aca="1" ref="AQ270" ca="1">IF(INDIRECT(ADDRESS($B270+1,AQ$230,1,1,"Actively Infected Trend"))=0,#N/A,INDIRECT(ADDRESS($B270+1,AQ$230,1,1,"Actively Infected Trend")))</f>
        <v>#N/A</v>
      </c>
      <c r="AR270" s="14" t="e" cm="1">
        <f t="array" aca="1" ref="AR270" ca="1">IF(INDIRECT(ADDRESS($B270+1,AR$230,1,1,"Actively Infected Trend"))=0,#N/A,INDIRECT(ADDRESS($B270+1,AR$230,1,1,"Actively Infected Trend")))</f>
        <v>#N/A</v>
      </c>
      <c r="AS270" s="14" t="e" cm="1">
        <f t="array" aca="1" ref="AS270" ca="1">IF(INDIRECT(ADDRESS($B270+1,AS$230,1,1,"Actively Infected Trend"))=0,#N/A,INDIRECT(ADDRESS($B270+1,AS$230,1,1,"Actively Infected Trend")))</f>
        <v>#N/A</v>
      </c>
      <c r="AT270" s="14" t="e" cm="1">
        <f t="array" aca="1" ref="AT270" ca="1">IF(INDIRECT(ADDRESS($B270+1,AT$230,1,1,"Actively Infected Trend"))=0,#N/A,INDIRECT(ADDRESS($B270+1,AT$230,1,1,"Actively Infected Trend")))</f>
        <v>#N/A</v>
      </c>
      <c r="AU270" s="14" t="e" cm="1">
        <f t="array" aca="1" ref="AU270" ca="1">IF(INDIRECT(ADDRESS($B270+1,AU$230,1,1,"Actively Infected Trend"))=0,#N/A,INDIRECT(ADDRESS($B270+1,AU$230,1,1,"Actively Infected Trend")))</f>
        <v>#N/A</v>
      </c>
      <c r="AV270" s="14" t="e" cm="1">
        <f t="array" aca="1" ref="AV270" ca="1">IF(INDIRECT(ADDRESS($B270+1,AV$230,1,1,"Actively Infected Trend"))=0,#N/A,INDIRECT(ADDRESS($B270+1,AV$230,1,1,"Actively Infected Trend")))</f>
        <v>#N/A</v>
      </c>
      <c r="AW270" s="14" t="e" cm="1">
        <f t="array" aca="1" ref="AW270" ca="1">IF(INDIRECT(ADDRESS($B270+1,AW$230,1,1,"Actively Infected Trend"))=0,#N/A,INDIRECT(ADDRESS($B270+1,AW$230,1,1,"Actively Infected Trend")))</f>
        <v>#N/A</v>
      </c>
      <c r="AX270" s="14" t="e" cm="1">
        <f t="array" aca="1" ref="AX270" ca="1">IF(INDIRECT(ADDRESS($B270+1,AX$230,1,1,"Actively Infected Trend"))=0,#N/A,INDIRECT(ADDRESS($B270+1,AX$230,1,1,"Actively Infected Trend")))</f>
        <v>#N/A</v>
      </c>
      <c r="AY270" s="14" t="e" cm="1">
        <f t="array" aca="1" ref="AY270" ca="1">IF(INDIRECT(ADDRESS($B270+1,AY$230,1,1,"Actively Infected Trend"))=0,#N/A,INDIRECT(ADDRESS($B270+1,AY$230,1,1,"Actively Infected Trend")))</f>
        <v>#N/A</v>
      </c>
      <c r="AZ270" s="14" t="e" cm="1">
        <f t="array" aca="1" ref="AZ270" ca="1">IF(INDIRECT(ADDRESS($B270+1,AZ$230,1,1,"Actively Infected Trend"))=0,#N/A,INDIRECT(ADDRESS($B270+1,AZ$230,1,1,"Actively Infected Trend")))</f>
        <v>#N/A</v>
      </c>
      <c r="BA270" s="14" t="e" cm="1">
        <f t="array" aca="1" ref="BA270" ca="1">IF(INDIRECT(ADDRESS($B270+1,BA$230,1,1,"Actively Infected Trend"))=0,#N/A,INDIRECT(ADDRESS($B270+1,BA$230,1,1,"Actively Infected Trend")))</f>
        <v>#N/A</v>
      </c>
      <c r="BB270" s="14" t="e" cm="1">
        <f t="array" aca="1" ref="BB270" ca="1">IF(INDIRECT(ADDRESS($B270+1,BB$230,1,1,"Actively Infected Trend"))=0,#N/A,INDIRECT(ADDRESS($B270+1,BB$230,1,1,"Actively Infected Trend")))</f>
        <v>#N/A</v>
      </c>
      <c r="BC270" s="14" t="e" cm="1">
        <f t="array" aca="1" ref="BC270" ca="1">IF(INDIRECT(ADDRESS($B270+1,BC$230,1,1,"Actively Infected Trend"))=0,#N/A,INDIRECT(ADDRESS($B270+1,BC$230,1,1,"Actively Infected Trend")))</f>
        <v>#N/A</v>
      </c>
      <c r="BD270" s="14" t="e" cm="1">
        <f t="array" aca="1" ref="BD270" ca="1">IF(INDIRECT(ADDRESS($B270+1,BD$230,1,1,"Actively Infected Trend"))=0,#N/A,INDIRECT(ADDRESS($B270+1,BD$230,1,1,"Actively Infected Trend")))</f>
        <v>#N/A</v>
      </c>
      <c r="BE270" s="14" t="e" cm="1">
        <f t="array" aca="1" ref="BE270" ca="1">IF(INDIRECT(ADDRESS($B270+1,BE$230,1,1,"Actively Infected Trend"))=0,#N/A,INDIRECT(ADDRESS($B270+1,BE$230,1,1,"Actively Infected Trend")))</f>
        <v>#N/A</v>
      </c>
      <c r="BF270" s="14" t="e" cm="1">
        <f t="array" aca="1" ref="BF270" ca="1">IF(INDIRECT(ADDRESS($B270+1,BF$230,1,1,"Actively Infected Trend"))=0,#N/A,INDIRECT(ADDRESS($B270+1,BF$230,1,1,"Actively Infected Trend")))</f>
        <v>#N/A</v>
      </c>
      <c r="BG270" s="14" t="e" cm="1">
        <f t="array" aca="1" ref="BG270" ca="1">IF(INDIRECT(ADDRESS($B270+1,BG$230,1,1,"Actively Infected Trend"))=0,#N/A,INDIRECT(ADDRESS($B270+1,BG$230,1,1,"Actively Infected Trend")))</f>
        <v>#N/A</v>
      </c>
      <c r="BH270" s="14" t="e" cm="1">
        <f t="array" aca="1" ref="BH270" ca="1">IF(INDIRECT(ADDRESS($B270+1,BH$230,1,1,"Actively Infected Trend"))=0,#N/A,INDIRECT(ADDRESS($B270+1,BH$230,1,1,"Actively Infected Trend")))</f>
        <v>#N/A</v>
      </c>
      <c r="BI270" s="14" t="e" cm="1">
        <f t="array" aca="1" ref="BI270" ca="1">IF(INDIRECT(ADDRESS($B270+1,BI$230,1,1,"Actively Infected Trend"))=0,#N/A,INDIRECT(ADDRESS($B270+1,BI$230,1,1,"Actively Infected Trend")))</f>
        <v>#N/A</v>
      </c>
      <c r="BJ270" s="14" t="e" cm="1">
        <f t="array" aca="1" ref="BJ270" ca="1">IF(INDIRECT(ADDRESS($B270+1,BJ$230,1,1,"Actively Infected Trend"))=0,#N/A,INDIRECT(ADDRESS($B270+1,BJ$230,1,1,"Actively Infected Trend")))</f>
        <v>#N/A</v>
      </c>
      <c r="BK270" s="14" t="e" cm="1">
        <f t="array" aca="1" ref="BK270" ca="1">IF(INDIRECT(ADDRESS($B270+1,BK$230,1,1,"Actively Infected Trend"))=0,#N/A,INDIRECT(ADDRESS($B270+1,BK$230,1,1,"Actively Infected Trend")))</f>
        <v>#N/A</v>
      </c>
      <c r="BL270" s="14" t="e" cm="1">
        <f t="array" aca="1" ref="BL270" ca="1">IF(INDIRECT(ADDRESS($B270+1,BL$230,1,1,"Actively Infected Trend"))=0,#N/A,INDIRECT(ADDRESS($B270+1,BL$230,1,1,"Actively Infected Trend")))</f>
        <v>#N/A</v>
      </c>
      <c r="BM270" s="14" t="e" cm="1">
        <f t="array" aca="1" ref="BM270" ca="1">IF(INDIRECT(ADDRESS($B270+1,BM$230,1,1,"Actively Infected Trend"))=0,#N/A,INDIRECT(ADDRESS($B270+1,BM$230,1,1,"Actively Infected Trend")))</f>
        <v>#N/A</v>
      </c>
      <c r="BN270" s="14" t="e" cm="1">
        <f t="array" aca="1" ref="BN270" ca="1">IF(INDIRECT(ADDRESS($B270+1,BN$230,1,1,"Actively Infected Trend"))=0,#N/A,INDIRECT(ADDRESS($B270+1,BN$230,1,1,"Actively Infected Trend")))</f>
        <v>#N/A</v>
      </c>
      <c r="BO270" s="14" t="e" cm="1">
        <f t="array" aca="1" ref="BO270" ca="1">IF(INDIRECT(ADDRESS($B270+1,BO$230,1,1,"Actively Infected Trend"))=0,#N/A,INDIRECT(ADDRESS($B270+1,BO$230,1,1,"Actively Infected Trend")))</f>
        <v>#N/A</v>
      </c>
      <c r="BP270" s="14" t="e" cm="1">
        <f t="array" aca="1" ref="BP270" ca="1">IF(INDIRECT(ADDRESS($B270+1,BP$230,1,1,"Actively Infected Trend"))=0,#N/A,INDIRECT(ADDRESS($B270+1,BP$230,1,1,"Actively Infected Trend")))</f>
        <v>#N/A</v>
      </c>
      <c r="BQ270" s="14" t="e" cm="1">
        <f t="array" aca="1" ref="BQ270" ca="1">IF(INDIRECT(ADDRESS($B270+1,BQ$230,1,1,"Actively Infected Trend"))=0,#N/A,INDIRECT(ADDRESS($B270+1,BQ$230,1,1,"Actively Infected Trend")))</f>
        <v>#N/A</v>
      </c>
      <c r="BR270" s="14" t="e" cm="1">
        <f t="array" aca="1" ref="BR270" ca="1">IF(INDIRECT(ADDRESS($B270+1,BR$230,1,1,"Actively Infected Trend"))=0,#N/A,INDIRECT(ADDRESS($B270+1,BR$230,1,1,"Actively Infected Trend")))</f>
        <v>#N/A</v>
      </c>
      <c r="BS270" s="14" t="e" cm="1">
        <f t="array" aca="1" ref="BS270" ca="1">IF(INDIRECT(ADDRESS($B270+1,BS$230,1,1,"Actively Infected Trend"))=0,#N/A,INDIRECT(ADDRESS($B270+1,BS$230,1,1,"Actively Infected Trend")))</f>
        <v>#N/A</v>
      </c>
      <c r="BT270" s="14" t="e" cm="1">
        <f t="array" aca="1" ref="BT270" ca="1">IF(INDIRECT(ADDRESS($B270+1,BT$230,1,1,"Actively Infected Trend"))=0,#N/A,INDIRECT(ADDRESS($B270+1,BT$230,1,1,"Actively Infected Trend")))</f>
        <v>#N/A</v>
      </c>
      <c r="BU270" s="14" t="e" cm="1">
        <f t="array" aca="1" ref="BU270" ca="1">IF(INDIRECT(ADDRESS($B270+1,BU$230,1,1,"Actively Infected Trend"))=0,#N/A,INDIRECT(ADDRESS($B270+1,BU$230,1,1,"Actively Infected Trend")))</f>
        <v>#N/A</v>
      </c>
      <c r="BV270" s="14" t="e" cm="1">
        <f t="array" aca="1" ref="BV270" ca="1">IF(INDIRECT(ADDRESS($B270+1,BV$230,1,1,"Actively Infected Trend"))=0,#N/A,INDIRECT(ADDRESS($B270+1,BV$230,1,1,"Actively Infected Trend")))</f>
        <v>#N/A</v>
      </c>
      <c r="BW270" s="14" t="e" cm="1">
        <f t="array" aca="1" ref="BW270" ca="1">IF(INDIRECT(ADDRESS($B270+1,BW$230,1,1,"Actively Infected Trend"))=0,#N/A,INDIRECT(ADDRESS($B270+1,BW$230,1,1,"Actively Infected Trend")))</f>
        <v>#N/A</v>
      </c>
      <c r="BX270" s="14" t="e" cm="1">
        <f t="array" aca="1" ref="BX270" ca="1">IF(INDIRECT(ADDRESS($B270+1,BX$230,1,1,"Actively Infected Trend"))=0,#N/A,INDIRECT(ADDRESS($B270+1,BX$230,1,1,"Actively Infected Trend")))</f>
        <v>#N/A</v>
      </c>
      <c r="BY270" s="14" t="e" cm="1">
        <f t="array" aca="1" ref="BY270" ca="1">IF(INDIRECT(ADDRESS($B270+1,BY$230,1,1,"Actively Infected Trend"))=0,#N/A,INDIRECT(ADDRESS($B270+1,BY$230,1,1,"Actively Infected Trend")))</f>
        <v>#N/A</v>
      </c>
      <c r="BZ270" s="14" t="e" cm="1">
        <f t="array" aca="1" ref="BZ270" ca="1">IF(INDIRECT(ADDRESS($B270+1,BZ$230,1,1,"Actively Infected Trend"))=0,#N/A,INDIRECT(ADDRESS($B270+1,BZ$230,1,1,"Actively Infected Trend")))</f>
        <v>#N/A</v>
      </c>
      <c r="CA270" s="14" t="e" cm="1">
        <f t="array" aca="1" ref="CA270" ca="1">IF(INDIRECT(ADDRESS($B270+1,CA$230,1,1,"Actively Infected Trend"))=0,#N/A,INDIRECT(ADDRESS($B270+1,CA$230,1,1,"Actively Infected Trend")))</f>
        <v>#N/A</v>
      </c>
      <c r="CB270" s="14" t="e" cm="1">
        <f t="array" aca="1" ref="CB270" ca="1">IF(INDIRECT(ADDRESS($B270+1,CB$230,1,1,"Actively Infected Trend"))=0,#N/A,INDIRECT(ADDRESS($B270+1,CB$230,1,1,"Actively Infected Trend")))</f>
        <v>#N/A</v>
      </c>
      <c r="CC270" s="14" t="e" cm="1">
        <f t="array" aca="1" ref="CC270" ca="1">IF(INDIRECT(ADDRESS($B270+1,CC$230,1,1,"Actively Infected Trend"))=0,#N/A,INDIRECT(ADDRESS($B270+1,CC$230,1,1,"Actively Infected Trend")))</f>
        <v>#N/A</v>
      </c>
      <c r="CD270" s="14" t="e" cm="1">
        <f t="array" aca="1" ref="CD270" ca="1">IF(INDIRECT(ADDRESS($B270+1,CD$230,1,1,"Actively Infected Trend"))=0,#N/A,INDIRECT(ADDRESS($B270+1,CD$230,1,1,"Actively Infected Trend")))</f>
        <v>#N/A</v>
      </c>
      <c r="CE270" s="14" t="e" cm="1">
        <f t="array" aca="1" ref="CE270" ca="1">IF(INDIRECT(ADDRESS($B270+1,CE$230,1,1,"Actively Infected Trend"))=0,#N/A,INDIRECT(ADDRESS($B270+1,CE$230,1,1,"Actively Infected Trend")))</f>
        <v>#N/A</v>
      </c>
      <c r="CF270" s="14" t="e" cm="1">
        <f t="array" aca="1" ref="CF270" ca="1">IF(INDIRECT(ADDRESS($B270+1,CF$230,1,1,"Actively Infected Trend"))=0,#N/A,INDIRECT(ADDRESS($B270+1,CF$230,1,1,"Actively Infected Trend")))</f>
        <v>#N/A</v>
      </c>
      <c r="CG270" s="14" t="e" cm="1">
        <f t="array" aca="1" ref="CG270" ca="1">IF(INDIRECT(ADDRESS($B270+1,CG$230,1,1,"Actively Infected Trend"))=0,#N/A,INDIRECT(ADDRESS($B270+1,CG$230,1,1,"Actively Infected Trend")))</f>
        <v>#N/A</v>
      </c>
      <c r="CH270" s="14" t="e" cm="1">
        <f t="array" aca="1" ref="CH270" ca="1">IF(INDIRECT(ADDRESS($B270+1,CH$230,1,1,"Actively Infected Trend"))=0,#N/A,INDIRECT(ADDRESS($B270+1,CH$230,1,1,"Actively Infected Trend")))</f>
        <v>#N/A</v>
      </c>
      <c r="CI270" s="14" t="e" cm="1">
        <f t="array" aca="1" ref="CI270" ca="1">IF(INDIRECT(ADDRESS($B270+1,CI$230,1,1,"Actively Infected Trend"))=0,#N/A,INDIRECT(ADDRESS($B270+1,CI$230,1,1,"Actively Infected Trend")))</f>
        <v>#N/A</v>
      </c>
      <c r="CJ270" s="14" t="e" cm="1">
        <f t="array" aca="1" ref="CJ270" ca="1">IF(INDIRECT(ADDRESS($B270+1,CJ$230,1,1,"Actively Infected Trend"))=0,#N/A,INDIRECT(ADDRESS($B270+1,CJ$230,1,1,"Actively Infected Trend")))</f>
        <v>#N/A</v>
      </c>
      <c r="CK270" s="14" t="e" cm="1">
        <f t="array" aca="1" ref="CK270" ca="1">IF(INDIRECT(ADDRESS($B270+1,CK$230,1,1,"Actively Infected Trend"))=0,#N/A,INDIRECT(ADDRESS($B270+1,CK$230,1,1,"Actively Infected Trend")))</f>
        <v>#N/A</v>
      </c>
      <c r="CL270" s="14" t="e" cm="1">
        <f t="array" aca="1" ref="CL270" ca="1">IF(INDIRECT(ADDRESS($B270+1,CL$230,1,1,"Actively Infected Trend"))=0,#N/A,INDIRECT(ADDRESS($B270+1,CL$230,1,1,"Actively Infected Trend")))</f>
        <v>#N/A</v>
      </c>
      <c r="CM270" s="14" t="e" cm="1">
        <f t="array" aca="1" ref="CM270" ca="1">IF(INDIRECT(ADDRESS($B270+1,CM$230,1,1,"Actively Infected Trend"))=0,#N/A,INDIRECT(ADDRESS($B270+1,CM$230,1,1,"Actively Infected Trend")))</f>
        <v>#N/A</v>
      </c>
      <c r="CN270" s="14" t="e" cm="1">
        <f t="array" aca="1" ref="CN270" ca="1">IF(INDIRECT(ADDRESS($B270+1,CN$230,1,1,"Actively Infected Trend"))=0,#N/A,INDIRECT(ADDRESS($B270+1,CN$230,1,1,"Actively Infected Trend")))</f>
        <v>#N/A</v>
      </c>
      <c r="CO270" s="14" t="e" cm="1">
        <f t="array" aca="1" ref="CO270" ca="1">IF(INDIRECT(ADDRESS($B270+1,CO$230,1,1,"Actively Infected Trend"))=0,#N/A,INDIRECT(ADDRESS($B270+1,CO$230,1,1,"Actively Infected Trend")))</f>
        <v>#N/A</v>
      </c>
      <c r="CP270" s="14" t="e" cm="1">
        <f t="array" aca="1" ref="CP270" ca="1">IF(INDIRECT(ADDRESS($B270+1,CP$230,1,1,"Actively Infected Trend"))=0,#N/A,INDIRECT(ADDRESS($B270+1,CP$230,1,1,"Actively Infected Trend")))</f>
        <v>#N/A</v>
      </c>
      <c r="CQ270" s="14" t="e" cm="1">
        <f t="array" aca="1" ref="CQ270" ca="1">IF(INDIRECT(ADDRESS($B270+1,CQ$230,1,1,"Actively Infected Trend"))=0,#N/A,INDIRECT(ADDRESS($B270+1,CQ$230,1,1,"Actively Infected Trend")))</f>
        <v>#N/A</v>
      </c>
      <c r="CR270" s="14" t="e" cm="1">
        <f t="array" aca="1" ref="CR270" ca="1">IF(INDIRECT(ADDRESS($B270+1,CR$230,1,1,"Actively Infected Trend"))=0,#N/A,INDIRECT(ADDRESS($B270+1,CR$230,1,1,"Actively Infected Trend")))</f>
        <v>#N/A</v>
      </c>
    </row>
    <row r="271" spans="2:96" x14ac:dyDescent="0.25">
      <c r="B271">
        <f t="shared" si="349"/>
        <v>40</v>
      </c>
      <c r="C271" cm="1">
        <f t="array" aca="1" ref="C271" ca="1">INDIRECT(ADDRESS($B271+1,1,1,1,"Actively Infected Trend"))</f>
        <v>0</v>
      </c>
      <c r="E271" s="14" t="e" cm="1">
        <f t="array" aca="1" ref="E271" ca="1">IF(INDIRECT(ADDRESS($B271+1,E$230,1,1,"Actively Infected Trend"))=0,#N/A,INDIRECT(ADDRESS($B271+1,E$230,1,1,"Actively Infected Trend")))</f>
        <v>#N/A</v>
      </c>
      <c r="F271" s="14" t="e" cm="1">
        <f t="array" aca="1" ref="F271" ca="1">IF(INDIRECT(ADDRESS($B271+1,F$230,1,1,"Actively Infected Trend"))=0,#N/A,INDIRECT(ADDRESS($B271+1,F$230,1,1,"Actively Infected Trend")))</f>
        <v>#N/A</v>
      </c>
      <c r="G271" s="14" t="e" cm="1">
        <f t="array" aca="1" ref="G271" ca="1">IF(INDIRECT(ADDRESS($B271+1,G$230,1,1,"Actively Infected Trend"))=0,#N/A,INDIRECT(ADDRESS($B271+1,G$230,1,1,"Actively Infected Trend")))</f>
        <v>#N/A</v>
      </c>
      <c r="H271" s="14" t="e" cm="1">
        <f t="array" aca="1" ref="H271" ca="1">IF(INDIRECT(ADDRESS($B271+1,H$230,1,1,"Actively Infected Trend"))=0,#N/A,INDIRECT(ADDRESS($B271+1,H$230,1,1,"Actively Infected Trend")))</f>
        <v>#N/A</v>
      </c>
      <c r="I271" s="14" t="e" cm="1">
        <f t="array" aca="1" ref="I271" ca="1">IF(INDIRECT(ADDRESS($B271+1,I$230,1,1,"Actively Infected Trend"))=0,#N/A,INDIRECT(ADDRESS($B271+1,I$230,1,1,"Actively Infected Trend")))</f>
        <v>#N/A</v>
      </c>
      <c r="J271" s="14" t="e" cm="1">
        <f t="array" aca="1" ref="J271" ca="1">IF(INDIRECT(ADDRESS($B271+1,J$230,1,1,"Actively Infected Trend"))=0,#N/A,INDIRECT(ADDRESS($B271+1,J$230,1,1,"Actively Infected Trend")))</f>
        <v>#N/A</v>
      </c>
      <c r="K271" s="14" t="e" cm="1">
        <f t="array" aca="1" ref="K271" ca="1">IF(INDIRECT(ADDRESS($B271+1,K$230,1,1,"Actively Infected Trend"))=0,#N/A,INDIRECT(ADDRESS($B271+1,K$230,1,1,"Actively Infected Trend")))</f>
        <v>#N/A</v>
      </c>
      <c r="L271" s="14" t="e" cm="1">
        <f t="array" aca="1" ref="L271" ca="1">IF(INDIRECT(ADDRESS($B271+1,L$230,1,1,"Actively Infected Trend"))=0,#N/A,INDIRECT(ADDRESS($B271+1,L$230,1,1,"Actively Infected Trend")))</f>
        <v>#N/A</v>
      </c>
      <c r="M271" s="14" t="e" cm="1">
        <f t="array" aca="1" ref="M271" ca="1">IF(INDIRECT(ADDRESS($B271+1,M$230,1,1,"Actively Infected Trend"))=0,#N/A,INDIRECT(ADDRESS($B271+1,M$230,1,1,"Actively Infected Trend")))</f>
        <v>#N/A</v>
      </c>
      <c r="N271" s="14" t="e" cm="1">
        <f t="array" aca="1" ref="N271" ca="1">IF(INDIRECT(ADDRESS($B271+1,N$230,1,1,"Actively Infected Trend"))=0,#N/A,INDIRECT(ADDRESS($B271+1,N$230,1,1,"Actively Infected Trend")))</f>
        <v>#N/A</v>
      </c>
      <c r="O271" s="14" t="e" cm="1">
        <f t="array" aca="1" ref="O271" ca="1">IF(INDIRECT(ADDRESS($B271+1,O$230,1,1,"Actively Infected Trend"))=0,#N/A,INDIRECT(ADDRESS($B271+1,O$230,1,1,"Actively Infected Trend")))</f>
        <v>#N/A</v>
      </c>
      <c r="P271" s="14" t="e" cm="1">
        <f t="array" aca="1" ref="P271" ca="1">IF(INDIRECT(ADDRESS($B271+1,P$230,1,1,"Actively Infected Trend"))=0,#N/A,INDIRECT(ADDRESS($B271+1,P$230,1,1,"Actively Infected Trend")))</f>
        <v>#N/A</v>
      </c>
      <c r="Q271" s="14" t="e" cm="1">
        <f t="array" aca="1" ref="Q271" ca="1">IF(INDIRECT(ADDRESS($B271+1,Q$230,1,1,"Actively Infected Trend"))=0,#N/A,INDIRECT(ADDRESS($B271+1,Q$230,1,1,"Actively Infected Trend")))</f>
        <v>#N/A</v>
      </c>
      <c r="R271" s="14" t="e" cm="1">
        <f t="array" aca="1" ref="R271" ca="1">IF(INDIRECT(ADDRESS($B271+1,R$230,1,1,"Actively Infected Trend"))=0,#N/A,INDIRECT(ADDRESS($B271+1,R$230,1,1,"Actively Infected Trend")))</f>
        <v>#N/A</v>
      </c>
      <c r="S271" s="14" t="e" cm="1">
        <f t="array" aca="1" ref="S271" ca="1">IF(INDIRECT(ADDRESS($B271+1,S$230,1,1,"Actively Infected Trend"))=0,#N/A,INDIRECT(ADDRESS($B271+1,S$230,1,1,"Actively Infected Trend")))</f>
        <v>#N/A</v>
      </c>
      <c r="T271" s="14" t="e" cm="1">
        <f t="array" aca="1" ref="T271" ca="1">IF(INDIRECT(ADDRESS($B271+1,T$230,1,1,"Actively Infected Trend"))=0,#N/A,INDIRECT(ADDRESS($B271+1,T$230,1,1,"Actively Infected Trend")))</f>
        <v>#N/A</v>
      </c>
      <c r="U271" s="14" t="e" cm="1">
        <f t="array" aca="1" ref="U271" ca="1">IF(INDIRECT(ADDRESS($B271+1,U$230,1,1,"Actively Infected Trend"))=0,#N/A,INDIRECT(ADDRESS($B271+1,U$230,1,1,"Actively Infected Trend")))</f>
        <v>#N/A</v>
      </c>
      <c r="V271" s="14" t="e" cm="1">
        <f t="array" aca="1" ref="V271" ca="1">IF(INDIRECT(ADDRESS($B271+1,V$230,1,1,"Actively Infected Trend"))=0,#N/A,INDIRECT(ADDRESS($B271+1,V$230,1,1,"Actively Infected Trend")))</f>
        <v>#N/A</v>
      </c>
      <c r="W271" s="14" t="e" cm="1">
        <f t="array" aca="1" ref="W271" ca="1">IF(INDIRECT(ADDRESS($B271+1,W$230,1,1,"Actively Infected Trend"))=0,#N/A,INDIRECT(ADDRESS($B271+1,W$230,1,1,"Actively Infected Trend")))</f>
        <v>#N/A</v>
      </c>
      <c r="X271" s="14" t="e" cm="1">
        <f t="array" aca="1" ref="X271" ca="1">IF(INDIRECT(ADDRESS($B271+1,X$230,1,1,"Actively Infected Trend"))=0,#N/A,INDIRECT(ADDRESS($B271+1,X$230,1,1,"Actively Infected Trend")))</f>
        <v>#N/A</v>
      </c>
      <c r="Y271" s="14" t="e" cm="1">
        <f t="array" aca="1" ref="Y271" ca="1">IF(INDIRECT(ADDRESS($B271+1,Y$230,1,1,"Actively Infected Trend"))=0,#N/A,INDIRECT(ADDRESS($B271+1,Y$230,1,1,"Actively Infected Trend")))</f>
        <v>#N/A</v>
      </c>
      <c r="Z271" s="14" t="e" cm="1">
        <f t="array" aca="1" ref="Z271" ca="1">IF(INDIRECT(ADDRESS($B271+1,Z$230,1,1,"Actively Infected Trend"))=0,#N/A,INDIRECT(ADDRESS($B271+1,Z$230,1,1,"Actively Infected Trend")))</f>
        <v>#N/A</v>
      </c>
      <c r="AA271" s="14" t="e" cm="1">
        <f t="array" aca="1" ref="AA271" ca="1">IF(INDIRECT(ADDRESS($B271+1,AA$230,1,1,"Actively Infected Trend"))=0,#N/A,INDIRECT(ADDRESS($B271+1,AA$230,1,1,"Actively Infected Trend")))</f>
        <v>#N/A</v>
      </c>
      <c r="AB271" s="14" t="e" cm="1">
        <f t="array" aca="1" ref="AB271" ca="1">IF(INDIRECT(ADDRESS($B271+1,AB$230,1,1,"Actively Infected Trend"))=0,#N/A,INDIRECT(ADDRESS($B271+1,AB$230,1,1,"Actively Infected Trend")))</f>
        <v>#N/A</v>
      </c>
      <c r="AC271" s="14" t="e" cm="1">
        <f t="array" aca="1" ref="AC271" ca="1">IF(INDIRECT(ADDRESS($B271+1,AC$230,1,1,"Actively Infected Trend"))=0,#N/A,INDIRECT(ADDRESS($B271+1,AC$230,1,1,"Actively Infected Trend")))</f>
        <v>#N/A</v>
      </c>
      <c r="AD271" s="14" t="e" cm="1">
        <f t="array" aca="1" ref="AD271" ca="1">IF(INDIRECT(ADDRESS($B271+1,AD$230,1,1,"Actively Infected Trend"))=0,#N/A,INDIRECT(ADDRESS($B271+1,AD$230,1,1,"Actively Infected Trend")))</f>
        <v>#N/A</v>
      </c>
      <c r="AE271" s="14" t="e" cm="1">
        <f t="array" aca="1" ref="AE271" ca="1">IF(INDIRECT(ADDRESS($B271+1,AE$230,1,1,"Actively Infected Trend"))=0,#N/A,INDIRECT(ADDRESS($B271+1,AE$230,1,1,"Actively Infected Trend")))</f>
        <v>#N/A</v>
      </c>
      <c r="AF271" s="14" t="e" cm="1">
        <f t="array" aca="1" ref="AF271" ca="1">IF(INDIRECT(ADDRESS($B271+1,AF$230,1,1,"Actively Infected Trend"))=0,#N/A,INDIRECT(ADDRESS($B271+1,AF$230,1,1,"Actively Infected Trend")))</f>
        <v>#N/A</v>
      </c>
      <c r="AG271" s="14" t="e" cm="1">
        <f t="array" aca="1" ref="AG271" ca="1">IF(INDIRECT(ADDRESS($B271+1,AG$230,1,1,"Actively Infected Trend"))=0,#N/A,INDIRECT(ADDRESS($B271+1,AG$230,1,1,"Actively Infected Trend")))</f>
        <v>#N/A</v>
      </c>
      <c r="AH271" s="14" t="e" cm="1">
        <f t="array" aca="1" ref="AH271" ca="1">IF(INDIRECT(ADDRESS($B271+1,AH$230,1,1,"Actively Infected Trend"))=0,#N/A,INDIRECT(ADDRESS($B271+1,AH$230,1,1,"Actively Infected Trend")))</f>
        <v>#N/A</v>
      </c>
      <c r="AI271" s="14" t="e" cm="1">
        <f t="array" aca="1" ref="AI271" ca="1">IF(INDIRECT(ADDRESS($B271+1,AI$230,1,1,"Actively Infected Trend"))=0,#N/A,INDIRECT(ADDRESS($B271+1,AI$230,1,1,"Actively Infected Trend")))</f>
        <v>#N/A</v>
      </c>
      <c r="AJ271" s="14" t="e" cm="1">
        <f t="array" aca="1" ref="AJ271" ca="1">IF(INDIRECT(ADDRESS($B271+1,AJ$230,1,1,"Actively Infected Trend"))=0,#N/A,INDIRECT(ADDRESS($B271+1,AJ$230,1,1,"Actively Infected Trend")))</f>
        <v>#N/A</v>
      </c>
      <c r="AK271" s="14" t="e" cm="1">
        <f t="array" aca="1" ref="AK271" ca="1">IF(INDIRECT(ADDRESS($B271+1,AK$230,1,1,"Actively Infected Trend"))=0,#N/A,INDIRECT(ADDRESS($B271+1,AK$230,1,1,"Actively Infected Trend")))</f>
        <v>#N/A</v>
      </c>
      <c r="AL271" s="14" t="e" cm="1">
        <f t="array" aca="1" ref="AL271" ca="1">IF(INDIRECT(ADDRESS($B271+1,AL$230,1,1,"Actively Infected Trend"))=0,#N/A,INDIRECT(ADDRESS($B271+1,AL$230,1,1,"Actively Infected Trend")))</f>
        <v>#N/A</v>
      </c>
      <c r="AM271" s="14" t="e" cm="1">
        <f t="array" aca="1" ref="AM271" ca="1">IF(INDIRECT(ADDRESS($B271+1,AM$230,1,1,"Actively Infected Trend"))=0,#N/A,INDIRECT(ADDRESS($B271+1,AM$230,1,1,"Actively Infected Trend")))</f>
        <v>#N/A</v>
      </c>
      <c r="AN271" s="14" t="e" cm="1">
        <f t="array" aca="1" ref="AN271" ca="1">IF(INDIRECT(ADDRESS($B271+1,AN$230,1,1,"Actively Infected Trend"))=0,#N/A,INDIRECT(ADDRESS($B271+1,AN$230,1,1,"Actively Infected Trend")))</f>
        <v>#N/A</v>
      </c>
      <c r="AO271" s="14" t="e" cm="1">
        <f t="array" aca="1" ref="AO271" ca="1">IF(INDIRECT(ADDRESS($B271+1,AO$230,1,1,"Actively Infected Trend"))=0,#N/A,INDIRECT(ADDRESS($B271+1,AO$230,1,1,"Actively Infected Trend")))</f>
        <v>#N/A</v>
      </c>
      <c r="AP271" s="14" t="e" cm="1">
        <f t="array" aca="1" ref="AP271" ca="1">IF(INDIRECT(ADDRESS($B271+1,AP$230,1,1,"Actively Infected Trend"))=0,#N/A,INDIRECT(ADDRESS($B271+1,AP$230,1,1,"Actively Infected Trend")))</f>
        <v>#N/A</v>
      </c>
      <c r="AQ271" s="14" t="e" cm="1">
        <f t="array" aca="1" ref="AQ271" ca="1">IF(INDIRECT(ADDRESS($B271+1,AQ$230,1,1,"Actively Infected Trend"))=0,#N/A,INDIRECT(ADDRESS($B271+1,AQ$230,1,1,"Actively Infected Trend")))</f>
        <v>#N/A</v>
      </c>
      <c r="AR271" s="14" t="e" cm="1">
        <f t="array" aca="1" ref="AR271" ca="1">IF(INDIRECT(ADDRESS($B271+1,AR$230,1,1,"Actively Infected Trend"))=0,#N/A,INDIRECT(ADDRESS($B271+1,AR$230,1,1,"Actively Infected Trend")))</f>
        <v>#N/A</v>
      </c>
      <c r="AS271" s="14" t="e" cm="1">
        <f t="array" aca="1" ref="AS271" ca="1">IF(INDIRECT(ADDRESS($B271+1,AS$230,1,1,"Actively Infected Trend"))=0,#N/A,INDIRECT(ADDRESS($B271+1,AS$230,1,1,"Actively Infected Trend")))</f>
        <v>#N/A</v>
      </c>
      <c r="AT271" s="14" t="e" cm="1">
        <f t="array" aca="1" ref="AT271" ca="1">IF(INDIRECT(ADDRESS($B271+1,AT$230,1,1,"Actively Infected Trend"))=0,#N/A,INDIRECT(ADDRESS($B271+1,AT$230,1,1,"Actively Infected Trend")))</f>
        <v>#N/A</v>
      </c>
      <c r="AU271" s="14" t="e" cm="1">
        <f t="array" aca="1" ref="AU271" ca="1">IF(INDIRECT(ADDRESS($B271+1,AU$230,1,1,"Actively Infected Trend"))=0,#N/A,INDIRECT(ADDRESS($B271+1,AU$230,1,1,"Actively Infected Trend")))</f>
        <v>#N/A</v>
      </c>
      <c r="AV271" s="14" t="e" cm="1">
        <f t="array" aca="1" ref="AV271" ca="1">IF(INDIRECT(ADDRESS($B271+1,AV$230,1,1,"Actively Infected Trend"))=0,#N/A,INDIRECT(ADDRESS($B271+1,AV$230,1,1,"Actively Infected Trend")))</f>
        <v>#N/A</v>
      </c>
      <c r="AW271" s="14" t="e" cm="1">
        <f t="array" aca="1" ref="AW271" ca="1">IF(INDIRECT(ADDRESS($B271+1,AW$230,1,1,"Actively Infected Trend"))=0,#N/A,INDIRECT(ADDRESS($B271+1,AW$230,1,1,"Actively Infected Trend")))</f>
        <v>#N/A</v>
      </c>
      <c r="AX271" s="14" t="e" cm="1">
        <f t="array" aca="1" ref="AX271" ca="1">IF(INDIRECT(ADDRESS($B271+1,AX$230,1,1,"Actively Infected Trend"))=0,#N/A,INDIRECT(ADDRESS($B271+1,AX$230,1,1,"Actively Infected Trend")))</f>
        <v>#N/A</v>
      </c>
      <c r="AY271" s="14" t="e" cm="1">
        <f t="array" aca="1" ref="AY271" ca="1">IF(INDIRECT(ADDRESS($B271+1,AY$230,1,1,"Actively Infected Trend"))=0,#N/A,INDIRECT(ADDRESS($B271+1,AY$230,1,1,"Actively Infected Trend")))</f>
        <v>#N/A</v>
      </c>
      <c r="AZ271" s="14" t="e" cm="1">
        <f t="array" aca="1" ref="AZ271" ca="1">IF(INDIRECT(ADDRESS($B271+1,AZ$230,1,1,"Actively Infected Trend"))=0,#N/A,INDIRECT(ADDRESS($B271+1,AZ$230,1,1,"Actively Infected Trend")))</f>
        <v>#N/A</v>
      </c>
      <c r="BA271" s="14" t="e" cm="1">
        <f t="array" aca="1" ref="BA271" ca="1">IF(INDIRECT(ADDRESS($B271+1,BA$230,1,1,"Actively Infected Trend"))=0,#N/A,INDIRECT(ADDRESS($B271+1,BA$230,1,1,"Actively Infected Trend")))</f>
        <v>#N/A</v>
      </c>
      <c r="BB271" s="14" t="e" cm="1">
        <f t="array" aca="1" ref="BB271" ca="1">IF(INDIRECT(ADDRESS($B271+1,BB$230,1,1,"Actively Infected Trend"))=0,#N/A,INDIRECT(ADDRESS($B271+1,BB$230,1,1,"Actively Infected Trend")))</f>
        <v>#N/A</v>
      </c>
      <c r="BC271" s="14" t="e" cm="1">
        <f t="array" aca="1" ref="BC271" ca="1">IF(INDIRECT(ADDRESS($B271+1,BC$230,1,1,"Actively Infected Trend"))=0,#N/A,INDIRECT(ADDRESS($B271+1,BC$230,1,1,"Actively Infected Trend")))</f>
        <v>#N/A</v>
      </c>
      <c r="BD271" s="14" t="e" cm="1">
        <f t="array" aca="1" ref="BD271" ca="1">IF(INDIRECT(ADDRESS($B271+1,BD$230,1,1,"Actively Infected Trend"))=0,#N/A,INDIRECT(ADDRESS($B271+1,BD$230,1,1,"Actively Infected Trend")))</f>
        <v>#N/A</v>
      </c>
      <c r="BE271" s="14" t="e" cm="1">
        <f t="array" aca="1" ref="BE271" ca="1">IF(INDIRECT(ADDRESS($B271+1,BE$230,1,1,"Actively Infected Trend"))=0,#N/A,INDIRECT(ADDRESS($B271+1,BE$230,1,1,"Actively Infected Trend")))</f>
        <v>#N/A</v>
      </c>
      <c r="BF271" s="14" t="e" cm="1">
        <f t="array" aca="1" ref="BF271" ca="1">IF(INDIRECT(ADDRESS($B271+1,BF$230,1,1,"Actively Infected Trend"))=0,#N/A,INDIRECT(ADDRESS($B271+1,BF$230,1,1,"Actively Infected Trend")))</f>
        <v>#N/A</v>
      </c>
      <c r="BG271" s="14" t="e" cm="1">
        <f t="array" aca="1" ref="BG271" ca="1">IF(INDIRECT(ADDRESS($B271+1,BG$230,1,1,"Actively Infected Trend"))=0,#N/A,INDIRECT(ADDRESS($B271+1,BG$230,1,1,"Actively Infected Trend")))</f>
        <v>#N/A</v>
      </c>
      <c r="BH271" s="14" t="e" cm="1">
        <f t="array" aca="1" ref="BH271" ca="1">IF(INDIRECT(ADDRESS($B271+1,BH$230,1,1,"Actively Infected Trend"))=0,#N/A,INDIRECT(ADDRESS($B271+1,BH$230,1,1,"Actively Infected Trend")))</f>
        <v>#N/A</v>
      </c>
      <c r="BI271" s="14" t="e" cm="1">
        <f t="array" aca="1" ref="BI271" ca="1">IF(INDIRECT(ADDRESS($B271+1,BI$230,1,1,"Actively Infected Trend"))=0,#N/A,INDIRECT(ADDRESS($B271+1,BI$230,1,1,"Actively Infected Trend")))</f>
        <v>#N/A</v>
      </c>
      <c r="BJ271" s="14" t="e" cm="1">
        <f t="array" aca="1" ref="BJ271" ca="1">IF(INDIRECT(ADDRESS($B271+1,BJ$230,1,1,"Actively Infected Trend"))=0,#N/A,INDIRECT(ADDRESS($B271+1,BJ$230,1,1,"Actively Infected Trend")))</f>
        <v>#N/A</v>
      </c>
      <c r="BK271" s="14" t="e" cm="1">
        <f t="array" aca="1" ref="BK271" ca="1">IF(INDIRECT(ADDRESS($B271+1,BK$230,1,1,"Actively Infected Trend"))=0,#N/A,INDIRECT(ADDRESS($B271+1,BK$230,1,1,"Actively Infected Trend")))</f>
        <v>#N/A</v>
      </c>
      <c r="BL271" s="14" t="e" cm="1">
        <f t="array" aca="1" ref="BL271" ca="1">IF(INDIRECT(ADDRESS($B271+1,BL$230,1,1,"Actively Infected Trend"))=0,#N/A,INDIRECT(ADDRESS($B271+1,BL$230,1,1,"Actively Infected Trend")))</f>
        <v>#N/A</v>
      </c>
      <c r="BM271" s="14" t="e" cm="1">
        <f t="array" aca="1" ref="BM271" ca="1">IF(INDIRECT(ADDRESS($B271+1,BM$230,1,1,"Actively Infected Trend"))=0,#N/A,INDIRECT(ADDRESS($B271+1,BM$230,1,1,"Actively Infected Trend")))</f>
        <v>#N/A</v>
      </c>
      <c r="BN271" s="14" t="e" cm="1">
        <f t="array" aca="1" ref="BN271" ca="1">IF(INDIRECT(ADDRESS($B271+1,BN$230,1,1,"Actively Infected Trend"))=0,#N/A,INDIRECT(ADDRESS($B271+1,BN$230,1,1,"Actively Infected Trend")))</f>
        <v>#N/A</v>
      </c>
      <c r="BO271" s="14" t="e" cm="1">
        <f t="array" aca="1" ref="BO271" ca="1">IF(INDIRECT(ADDRESS($B271+1,BO$230,1,1,"Actively Infected Trend"))=0,#N/A,INDIRECT(ADDRESS($B271+1,BO$230,1,1,"Actively Infected Trend")))</f>
        <v>#N/A</v>
      </c>
      <c r="BP271" s="14" t="e" cm="1">
        <f t="array" aca="1" ref="BP271" ca="1">IF(INDIRECT(ADDRESS($B271+1,BP$230,1,1,"Actively Infected Trend"))=0,#N/A,INDIRECT(ADDRESS($B271+1,BP$230,1,1,"Actively Infected Trend")))</f>
        <v>#N/A</v>
      </c>
      <c r="BQ271" s="14" t="e" cm="1">
        <f t="array" aca="1" ref="BQ271" ca="1">IF(INDIRECT(ADDRESS($B271+1,BQ$230,1,1,"Actively Infected Trend"))=0,#N/A,INDIRECT(ADDRESS($B271+1,BQ$230,1,1,"Actively Infected Trend")))</f>
        <v>#N/A</v>
      </c>
      <c r="BR271" s="14" t="e" cm="1">
        <f t="array" aca="1" ref="BR271" ca="1">IF(INDIRECT(ADDRESS($B271+1,BR$230,1,1,"Actively Infected Trend"))=0,#N/A,INDIRECT(ADDRESS($B271+1,BR$230,1,1,"Actively Infected Trend")))</f>
        <v>#N/A</v>
      </c>
      <c r="BS271" s="14" t="e" cm="1">
        <f t="array" aca="1" ref="BS271" ca="1">IF(INDIRECT(ADDRESS($B271+1,BS$230,1,1,"Actively Infected Trend"))=0,#N/A,INDIRECT(ADDRESS($B271+1,BS$230,1,1,"Actively Infected Trend")))</f>
        <v>#N/A</v>
      </c>
      <c r="BT271" s="14" t="e" cm="1">
        <f t="array" aca="1" ref="BT271" ca="1">IF(INDIRECT(ADDRESS($B271+1,BT$230,1,1,"Actively Infected Trend"))=0,#N/A,INDIRECT(ADDRESS($B271+1,BT$230,1,1,"Actively Infected Trend")))</f>
        <v>#N/A</v>
      </c>
      <c r="BU271" s="14" t="e" cm="1">
        <f t="array" aca="1" ref="BU271" ca="1">IF(INDIRECT(ADDRESS($B271+1,BU$230,1,1,"Actively Infected Trend"))=0,#N/A,INDIRECT(ADDRESS($B271+1,BU$230,1,1,"Actively Infected Trend")))</f>
        <v>#N/A</v>
      </c>
      <c r="BV271" s="14" t="e" cm="1">
        <f t="array" aca="1" ref="BV271" ca="1">IF(INDIRECT(ADDRESS($B271+1,BV$230,1,1,"Actively Infected Trend"))=0,#N/A,INDIRECT(ADDRESS($B271+1,BV$230,1,1,"Actively Infected Trend")))</f>
        <v>#N/A</v>
      </c>
      <c r="BW271" s="14" t="e" cm="1">
        <f t="array" aca="1" ref="BW271" ca="1">IF(INDIRECT(ADDRESS($B271+1,BW$230,1,1,"Actively Infected Trend"))=0,#N/A,INDIRECT(ADDRESS($B271+1,BW$230,1,1,"Actively Infected Trend")))</f>
        <v>#N/A</v>
      </c>
      <c r="BX271" s="14" t="e" cm="1">
        <f t="array" aca="1" ref="BX271" ca="1">IF(INDIRECT(ADDRESS($B271+1,BX$230,1,1,"Actively Infected Trend"))=0,#N/A,INDIRECT(ADDRESS($B271+1,BX$230,1,1,"Actively Infected Trend")))</f>
        <v>#N/A</v>
      </c>
      <c r="BY271" s="14" t="e" cm="1">
        <f t="array" aca="1" ref="BY271" ca="1">IF(INDIRECT(ADDRESS($B271+1,BY$230,1,1,"Actively Infected Trend"))=0,#N/A,INDIRECT(ADDRESS($B271+1,BY$230,1,1,"Actively Infected Trend")))</f>
        <v>#N/A</v>
      </c>
      <c r="BZ271" s="14" t="e" cm="1">
        <f t="array" aca="1" ref="BZ271" ca="1">IF(INDIRECT(ADDRESS($B271+1,BZ$230,1,1,"Actively Infected Trend"))=0,#N/A,INDIRECT(ADDRESS($B271+1,BZ$230,1,1,"Actively Infected Trend")))</f>
        <v>#N/A</v>
      </c>
      <c r="CA271" s="14" t="e" cm="1">
        <f t="array" aca="1" ref="CA271" ca="1">IF(INDIRECT(ADDRESS($B271+1,CA$230,1,1,"Actively Infected Trend"))=0,#N/A,INDIRECT(ADDRESS($B271+1,CA$230,1,1,"Actively Infected Trend")))</f>
        <v>#N/A</v>
      </c>
      <c r="CB271" s="14" t="e" cm="1">
        <f t="array" aca="1" ref="CB271" ca="1">IF(INDIRECT(ADDRESS($B271+1,CB$230,1,1,"Actively Infected Trend"))=0,#N/A,INDIRECT(ADDRESS($B271+1,CB$230,1,1,"Actively Infected Trend")))</f>
        <v>#N/A</v>
      </c>
      <c r="CC271" s="14" t="e" cm="1">
        <f t="array" aca="1" ref="CC271" ca="1">IF(INDIRECT(ADDRESS($B271+1,CC$230,1,1,"Actively Infected Trend"))=0,#N/A,INDIRECT(ADDRESS($B271+1,CC$230,1,1,"Actively Infected Trend")))</f>
        <v>#N/A</v>
      </c>
      <c r="CD271" s="14" t="e" cm="1">
        <f t="array" aca="1" ref="CD271" ca="1">IF(INDIRECT(ADDRESS($B271+1,CD$230,1,1,"Actively Infected Trend"))=0,#N/A,INDIRECT(ADDRESS($B271+1,CD$230,1,1,"Actively Infected Trend")))</f>
        <v>#N/A</v>
      </c>
      <c r="CE271" s="14" t="e" cm="1">
        <f t="array" aca="1" ref="CE271" ca="1">IF(INDIRECT(ADDRESS($B271+1,CE$230,1,1,"Actively Infected Trend"))=0,#N/A,INDIRECT(ADDRESS($B271+1,CE$230,1,1,"Actively Infected Trend")))</f>
        <v>#N/A</v>
      </c>
      <c r="CF271" s="14" t="e" cm="1">
        <f t="array" aca="1" ref="CF271" ca="1">IF(INDIRECT(ADDRESS($B271+1,CF$230,1,1,"Actively Infected Trend"))=0,#N/A,INDIRECT(ADDRESS($B271+1,CF$230,1,1,"Actively Infected Trend")))</f>
        <v>#N/A</v>
      </c>
      <c r="CG271" s="14" t="e" cm="1">
        <f t="array" aca="1" ref="CG271" ca="1">IF(INDIRECT(ADDRESS($B271+1,CG$230,1,1,"Actively Infected Trend"))=0,#N/A,INDIRECT(ADDRESS($B271+1,CG$230,1,1,"Actively Infected Trend")))</f>
        <v>#N/A</v>
      </c>
      <c r="CH271" s="14" t="e" cm="1">
        <f t="array" aca="1" ref="CH271" ca="1">IF(INDIRECT(ADDRESS($B271+1,CH$230,1,1,"Actively Infected Trend"))=0,#N/A,INDIRECT(ADDRESS($B271+1,CH$230,1,1,"Actively Infected Trend")))</f>
        <v>#N/A</v>
      </c>
      <c r="CI271" s="14" t="e" cm="1">
        <f t="array" aca="1" ref="CI271" ca="1">IF(INDIRECT(ADDRESS($B271+1,CI$230,1,1,"Actively Infected Trend"))=0,#N/A,INDIRECT(ADDRESS($B271+1,CI$230,1,1,"Actively Infected Trend")))</f>
        <v>#N/A</v>
      </c>
      <c r="CJ271" s="14" t="e" cm="1">
        <f t="array" aca="1" ref="CJ271" ca="1">IF(INDIRECT(ADDRESS($B271+1,CJ$230,1,1,"Actively Infected Trend"))=0,#N/A,INDIRECT(ADDRESS($B271+1,CJ$230,1,1,"Actively Infected Trend")))</f>
        <v>#N/A</v>
      </c>
      <c r="CK271" s="14" t="e" cm="1">
        <f t="array" aca="1" ref="CK271" ca="1">IF(INDIRECT(ADDRESS($B271+1,CK$230,1,1,"Actively Infected Trend"))=0,#N/A,INDIRECT(ADDRESS($B271+1,CK$230,1,1,"Actively Infected Trend")))</f>
        <v>#N/A</v>
      </c>
      <c r="CL271" s="14" t="e" cm="1">
        <f t="array" aca="1" ref="CL271" ca="1">IF(INDIRECT(ADDRESS($B271+1,CL$230,1,1,"Actively Infected Trend"))=0,#N/A,INDIRECT(ADDRESS($B271+1,CL$230,1,1,"Actively Infected Trend")))</f>
        <v>#N/A</v>
      </c>
      <c r="CM271" s="14" t="e" cm="1">
        <f t="array" aca="1" ref="CM271" ca="1">IF(INDIRECT(ADDRESS($B271+1,CM$230,1,1,"Actively Infected Trend"))=0,#N/A,INDIRECT(ADDRESS($B271+1,CM$230,1,1,"Actively Infected Trend")))</f>
        <v>#N/A</v>
      </c>
      <c r="CN271" s="14" t="e" cm="1">
        <f t="array" aca="1" ref="CN271" ca="1">IF(INDIRECT(ADDRESS($B271+1,CN$230,1,1,"Actively Infected Trend"))=0,#N/A,INDIRECT(ADDRESS($B271+1,CN$230,1,1,"Actively Infected Trend")))</f>
        <v>#N/A</v>
      </c>
      <c r="CO271" s="14" t="e" cm="1">
        <f t="array" aca="1" ref="CO271" ca="1">IF(INDIRECT(ADDRESS($B271+1,CO$230,1,1,"Actively Infected Trend"))=0,#N/A,INDIRECT(ADDRESS($B271+1,CO$230,1,1,"Actively Infected Trend")))</f>
        <v>#N/A</v>
      </c>
      <c r="CP271" s="14" t="e" cm="1">
        <f t="array" aca="1" ref="CP271" ca="1">IF(INDIRECT(ADDRESS($B271+1,CP$230,1,1,"Actively Infected Trend"))=0,#N/A,INDIRECT(ADDRESS($B271+1,CP$230,1,1,"Actively Infected Trend")))</f>
        <v>#N/A</v>
      </c>
      <c r="CQ271" s="14" t="e" cm="1">
        <f t="array" aca="1" ref="CQ271" ca="1">IF(INDIRECT(ADDRESS($B271+1,CQ$230,1,1,"Actively Infected Trend"))=0,#N/A,INDIRECT(ADDRESS($B271+1,CQ$230,1,1,"Actively Infected Trend")))</f>
        <v>#N/A</v>
      </c>
      <c r="CR271" s="14" t="e" cm="1">
        <f t="array" aca="1" ref="CR271" ca="1">IF(INDIRECT(ADDRESS($B271+1,CR$230,1,1,"Actively Infected Trend"))=0,#N/A,INDIRECT(ADDRESS($B271+1,CR$230,1,1,"Actively Infected Trend")))</f>
        <v>#N/A</v>
      </c>
    </row>
    <row r="272" spans="2:96" x14ac:dyDescent="0.25">
      <c r="B272">
        <f t="shared" si="349"/>
        <v>41</v>
      </c>
      <c r="C272" cm="1">
        <f t="array" aca="1" ref="C272" ca="1">INDIRECT(ADDRESS($B272+1,1,1,1,"Actively Infected Trend"))</f>
        <v>0</v>
      </c>
      <c r="E272" s="14" t="e" cm="1">
        <f t="array" aca="1" ref="E272" ca="1">IF(INDIRECT(ADDRESS($B272+1,E$230,1,1,"Actively Infected Trend"))=0,#N/A,INDIRECT(ADDRESS($B272+1,E$230,1,1,"Actively Infected Trend")))</f>
        <v>#N/A</v>
      </c>
      <c r="F272" s="14" t="e" cm="1">
        <f t="array" aca="1" ref="F272" ca="1">IF(INDIRECT(ADDRESS($B272+1,F$230,1,1,"Actively Infected Trend"))=0,#N/A,INDIRECT(ADDRESS($B272+1,F$230,1,1,"Actively Infected Trend")))</f>
        <v>#N/A</v>
      </c>
      <c r="G272" s="14" t="e" cm="1">
        <f t="array" aca="1" ref="G272" ca="1">IF(INDIRECT(ADDRESS($B272+1,G$230,1,1,"Actively Infected Trend"))=0,#N/A,INDIRECT(ADDRESS($B272+1,G$230,1,1,"Actively Infected Trend")))</f>
        <v>#N/A</v>
      </c>
      <c r="H272" s="14" t="e" cm="1">
        <f t="array" aca="1" ref="H272" ca="1">IF(INDIRECT(ADDRESS($B272+1,H$230,1,1,"Actively Infected Trend"))=0,#N/A,INDIRECT(ADDRESS($B272+1,H$230,1,1,"Actively Infected Trend")))</f>
        <v>#N/A</v>
      </c>
      <c r="I272" s="14" t="e" cm="1">
        <f t="array" aca="1" ref="I272" ca="1">IF(INDIRECT(ADDRESS($B272+1,I$230,1,1,"Actively Infected Trend"))=0,#N/A,INDIRECT(ADDRESS($B272+1,I$230,1,1,"Actively Infected Trend")))</f>
        <v>#N/A</v>
      </c>
      <c r="J272" s="14" t="e" cm="1">
        <f t="array" aca="1" ref="J272" ca="1">IF(INDIRECT(ADDRESS($B272+1,J$230,1,1,"Actively Infected Trend"))=0,#N/A,INDIRECT(ADDRESS($B272+1,J$230,1,1,"Actively Infected Trend")))</f>
        <v>#N/A</v>
      </c>
      <c r="K272" s="14" t="e" cm="1">
        <f t="array" aca="1" ref="K272" ca="1">IF(INDIRECT(ADDRESS($B272+1,K$230,1,1,"Actively Infected Trend"))=0,#N/A,INDIRECT(ADDRESS($B272+1,K$230,1,1,"Actively Infected Trend")))</f>
        <v>#N/A</v>
      </c>
      <c r="L272" s="14" t="e" cm="1">
        <f t="array" aca="1" ref="L272" ca="1">IF(INDIRECT(ADDRESS($B272+1,L$230,1,1,"Actively Infected Trend"))=0,#N/A,INDIRECT(ADDRESS($B272+1,L$230,1,1,"Actively Infected Trend")))</f>
        <v>#N/A</v>
      </c>
      <c r="M272" s="14" t="e" cm="1">
        <f t="array" aca="1" ref="M272" ca="1">IF(INDIRECT(ADDRESS($B272+1,M$230,1,1,"Actively Infected Trend"))=0,#N/A,INDIRECT(ADDRESS($B272+1,M$230,1,1,"Actively Infected Trend")))</f>
        <v>#N/A</v>
      </c>
      <c r="N272" s="14" t="e" cm="1">
        <f t="array" aca="1" ref="N272" ca="1">IF(INDIRECT(ADDRESS($B272+1,N$230,1,1,"Actively Infected Trend"))=0,#N/A,INDIRECT(ADDRESS($B272+1,N$230,1,1,"Actively Infected Trend")))</f>
        <v>#N/A</v>
      </c>
      <c r="O272" s="14" t="e" cm="1">
        <f t="array" aca="1" ref="O272" ca="1">IF(INDIRECT(ADDRESS($B272+1,O$230,1,1,"Actively Infected Trend"))=0,#N/A,INDIRECT(ADDRESS($B272+1,O$230,1,1,"Actively Infected Trend")))</f>
        <v>#N/A</v>
      </c>
      <c r="P272" s="14" t="e" cm="1">
        <f t="array" aca="1" ref="P272" ca="1">IF(INDIRECT(ADDRESS($B272+1,P$230,1,1,"Actively Infected Trend"))=0,#N/A,INDIRECT(ADDRESS($B272+1,P$230,1,1,"Actively Infected Trend")))</f>
        <v>#N/A</v>
      </c>
      <c r="Q272" s="14" t="e" cm="1">
        <f t="array" aca="1" ref="Q272" ca="1">IF(INDIRECT(ADDRESS($B272+1,Q$230,1,1,"Actively Infected Trend"))=0,#N/A,INDIRECT(ADDRESS($B272+1,Q$230,1,1,"Actively Infected Trend")))</f>
        <v>#N/A</v>
      </c>
      <c r="R272" s="14" t="e" cm="1">
        <f t="array" aca="1" ref="R272" ca="1">IF(INDIRECT(ADDRESS($B272+1,R$230,1,1,"Actively Infected Trend"))=0,#N/A,INDIRECT(ADDRESS($B272+1,R$230,1,1,"Actively Infected Trend")))</f>
        <v>#N/A</v>
      </c>
      <c r="S272" s="14" t="e" cm="1">
        <f t="array" aca="1" ref="S272" ca="1">IF(INDIRECT(ADDRESS($B272+1,S$230,1,1,"Actively Infected Trend"))=0,#N/A,INDIRECT(ADDRESS($B272+1,S$230,1,1,"Actively Infected Trend")))</f>
        <v>#N/A</v>
      </c>
      <c r="T272" s="14" t="e" cm="1">
        <f t="array" aca="1" ref="T272" ca="1">IF(INDIRECT(ADDRESS($B272+1,T$230,1,1,"Actively Infected Trend"))=0,#N/A,INDIRECT(ADDRESS($B272+1,T$230,1,1,"Actively Infected Trend")))</f>
        <v>#N/A</v>
      </c>
      <c r="U272" s="14" t="e" cm="1">
        <f t="array" aca="1" ref="U272" ca="1">IF(INDIRECT(ADDRESS($B272+1,U$230,1,1,"Actively Infected Trend"))=0,#N/A,INDIRECT(ADDRESS($B272+1,U$230,1,1,"Actively Infected Trend")))</f>
        <v>#N/A</v>
      </c>
      <c r="V272" s="14" t="e" cm="1">
        <f t="array" aca="1" ref="V272" ca="1">IF(INDIRECT(ADDRESS($B272+1,V$230,1,1,"Actively Infected Trend"))=0,#N/A,INDIRECT(ADDRESS($B272+1,V$230,1,1,"Actively Infected Trend")))</f>
        <v>#N/A</v>
      </c>
      <c r="W272" s="14" t="e" cm="1">
        <f t="array" aca="1" ref="W272" ca="1">IF(INDIRECT(ADDRESS($B272+1,W$230,1,1,"Actively Infected Trend"))=0,#N/A,INDIRECT(ADDRESS($B272+1,W$230,1,1,"Actively Infected Trend")))</f>
        <v>#N/A</v>
      </c>
      <c r="X272" s="14" t="e" cm="1">
        <f t="array" aca="1" ref="X272" ca="1">IF(INDIRECT(ADDRESS($B272+1,X$230,1,1,"Actively Infected Trend"))=0,#N/A,INDIRECT(ADDRESS($B272+1,X$230,1,1,"Actively Infected Trend")))</f>
        <v>#N/A</v>
      </c>
      <c r="Y272" s="14" t="e" cm="1">
        <f t="array" aca="1" ref="Y272" ca="1">IF(INDIRECT(ADDRESS($B272+1,Y$230,1,1,"Actively Infected Trend"))=0,#N/A,INDIRECT(ADDRESS($B272+1,Y$230,1,1,"Actively Infected Trend")))</f>
        <v>#N/A</v>
      </c>
      <c r="Z272" s="14" t="e" cm="1">
        <f t="array" aca="1" ref="Z272" ca="1">IF(INDIRECT(ADDRESS($B272+1,Z$230,1,1,"Actively Infected Trend"))=0,#N/A,INDIRECT(ADDRESS($B272+1,Z$230,1,1,"Actively Infected Trend")))</f>
        <v>#N/A</v>
      </c>
      <c r="AA272" s="14" t="e" cm="1">
        <f t="array" aca="1" ref="AA272" ca="1">IF(INDIRECT(ADDRESS($B272+1,AA$230,1,1,"Actively Infected Trend"))=0,#N/A,INDIRECT(ADDRESS($B272+1,AA$230,1,1,"Actively Infected Trend")))</f>
        <v>#N/A</v>
      </c>
      <c r="AB272" s="14" t="e" cm="1">
        <f t="array" aca="1" ref="AB272" ca="1">IF(INDIRECT(ADDRESS($B272+1,AB$230,1,1,"Actively Infected Trend"))=0,#N/A,INDIRECT(ADDRESS($B272+1,AB$230,1,1,"Actively Infected Trend")))</f>
        <v>#N/A</v>
      </c>
      <c r="AC272" s="14" t="e" cm="1">
        <f t="array" aca="1" ref="AC272" ca="1">IF(INDIRECT(ADDRESS($B272+1,AC$230,1,1,"Actively Infected Trend"))=0,#N/A,INDIRECT(ADDRESS($B272+1,AC$230,1,1,"Actively Infected Trend")))</f>
        <v>#N/A</v>
      </c>
      <c r="AD272" s="14" t="e" cm="1">
        <f t="array" aca="1" ref="AD272" ca="1">IF(INDIRECT(ADDRESS($B272+1,AD$230,1,1,"Actively Infected Trend"))=0,#N/A,INDIRECT(ADDRESS($B272+1,AD$230,1,1,"Actively Infected Trend")))</f>
        <v>#N/A</v>
      </c>
      <c r="AE272" s="14" t="e" cm="1">
        <f t="array" aca="1" ref="AE272" ca="1">IF(INDIRECT(ADDRESS($B272+1,AE$230,1,1,"Actively Infected Trend"))=0,#N/A,INDIRECT(ADDRESS($B272+1,AE$230,1,1,"Actively Infected Trend")))</f>
        <v>#N/A</v>
      </c>
      <c r="AF272" s="14" t="e" cm="1">
        <f t="array" aca="1" ref="AF272" ca="1">IF(INDIRECT(ADDRESS($B272+1,AF$230,1,1,"Actively Infected Trend"))=0,#N/A,INDIRECT(ADDRESS($B272+1,AF$230,1,1,"Actively Infected Trend")))</f>
        <v>#N/A</v>
      </c>
      <c r="AG272" s="14" t="e" cm="1">
        <f t="array" aca="1" ref="AG272" ca="1">IF(INDIRECT(ADDRESS($B272+1,AG$230,1,1,"Actively Infected Trend"))=0,#N/A,INDIRECT(ADDRESS($B272+1,AG$230,1,1,"Actively Infected Trend")))</f>
        <v>#N/A</v>
      </c>
      <c r="AH272" s="14" t="e" cm="1">
        <f t="array" aca="1" ref="AH272" ca="1">IF(INDIRECT(ADDRESS($B272+1,AH$230,1,1,"Actively Infected Trend"))=0,#N/A,INDIRECT(ADDRESS($B272+1,AH$230,1,1,"Actively Infected Trend")))</f>
        <v>#N/A</v>
      </c>
      <c r="AI272" s="14" t="e" cm="1">
        <f t="array" aca="1" ref="AI272" ca="1">IF(INDIRECT(ADDRESS($B272+1,AI$230,1,1,"Actively Infected Trend"))=0,#N/A,INDIRECT(ADDRESS($B272+1,AI$230,1,1,"Actively Infected Trend")))</f>
        <v>#N/A</v>
      </c>
      <c r="AJ272" s="14" t="e" cm="1">
        <f t="array" aca="1" ref="AJ272" ca="1">IF(INDIRECT(ADDRESS($B272+1,AJ$230,1,1,"Actively Infected Trend"))=0,#N/A,INDIRECT(ADDRESS($B272+1,AJ$230,1,1,"Actively Infected Trend")))</f>
        <v>#N/A</v>
      </c>
      <c r="AK272" s="14" t="e" cm="1">
        <f t="array" aca="1" ref="AK272" ca="1">IF(INDIRECT(ADDRESS($B272+1,AK$230,1,1,"Actively Infected Trend"))=0,#N/A,INDIRECT(ADDRESS($B272+1,AK$230,1,1,"Actively Infected Trend")))</f>
        <v>#N/A</v>
      </c>
      <c r="AL272" s="14" t="e" cm="1">
        <f t="array" aca="1" ref="AL272" ca="1">IF(INDIRECT(ADDRESS($B272+1,AL$230,1,1,"Actively Infected Trend"))=0,#N/A,INDIRECT(ADDRESS($B272+1,AL$230,1,1,"Actively Infected Trend")))</f>
        <v>#N/A</v>
      </c>
      <c r="AM272" s="14" t="e" cm="1">
        <f t="array" aca="1" ref="AM272" ca="1">IF(INDIRECT(ADDRESS($B272+1,AM$230,1,1,"Actively Infected Trend"))=0,#N/A,INDIRECT(ADDRESS($B272+1,AM$230,1,1,"Actively Infected Trend")))</f>
        <v>#N/A</v>
      </c>
      <c r="AN272" s="14" t="e" cm="1">
        <f t="array" aca="1" ref="AN272" ca="1">IF(INDIRECT(ADDRESS($B272+1,AN$230,1,1,"Actively Infected Trend"))=0,#N/A,INDIRECT(ADDRESS($B272+1,AN$230,1,1,"Actively Infected Trend")))</f>
        <v>#N/A</v>
      </c>
      <c r="AO272" s="14" t="e" cm="1">
        <f t="array" aca="1" ref="AO272" ca="1">IF(INDIRECT(ADDRESS($B272+1,AO$230,1,1,"Actively Infected Trend"))=0,#N/A,INDIRECT(ADDRESS($B272+1,AO$230,1,1,"Actively Infected Trend")))</f>
        <v>#N/A</v>
      </c>
      <c r="AP272" s="14" t="e" cm="1">
        <f t="array" aca="1" ref="AP272" ca="1">IF(INDIRECT(ADDRESS($B272+1,AP$230,1,1,"Actively Infected Trend"))=0,#N/A,INDIRECT(ADDRESS($B272+1,AP$230,1,1,"Actively Infected Trend")))</f>
        <v>#N/A</v>
      </c>
      <c r="AQ272" s="14" t="e" cm="1">
        <f t="array" aca="1" ref="AQ272" ca="1">IF(INDIRECT(ADDRESS($B272+1,AQ$230,1,1,"Actively Infected Trend"))=0,#N/A,INDIRECT(ADDRESS($B272+1,AQ$230,1,1,"Actively Infected Trend")))</f>
        <v>#N/A</v>
      </c>
      <c r="AR272" s="14" t="e" cm="1">
        <f t="array" aca="1" ref="AR272" ca="1">IF(INDIRECT(ADDRESS($B272+1,AR$230,1,1,"Actively Infected Trend"))=0,#N/A,INDIRECT(ADDRESS($B272+1,AR$230,1,1,"Actively Infected Trend")))</f>
        <v>#N/A</v>
      </c>
      <c r="AS272" s="14" t="e" cm="1">
        <f t="array" aca="1" ref="AS272" ca="1">IF(INDIRECT(ADDRESS($B272+1,AS$230,1,1,"Actively Infected Trend"))=0,#N/A,INDIRECT(ADDRESS($B272+1,AS$230,1,1,"Actively Infected Trend")))</f>
        <v>#N/A</v>
      </c>
      <c r="AT272" s="14" t="e" cm="1">
        <f t="array" aca="1" ref="AT272" ca="1">IF(INDIRECT(ADDRESS($B272+1,AT$230,1,1,"Actively Infected Trend"))=0,#N/A,INDIRECT(ADDRESS($B272+1,AT$230,1,1,"Actively Infected Trend")))</f>
        <v>#N/A</v>
      </c>
      <c r="AU272" s="14" t="e" cm="1">
        <f t="array" aca="1" ref="AU272" ca="1">IF(INDIRECT(ADDRESS($B272+1,AU$230,1,1,"Actively Infected Trend"))=0,#N/A,INDIRECT(ADDRESS($B272+1,AU$230,1,1,"Actively Infected Trend")))</f>
        <v>#N/A</v>
      </c>
      <c r="AV272" s="14" t="e" cm="1">
        <f t="array" aca="1" ref="AV272" ca="1">IF(INDIRECT(ADDRESS($B272+1,AV$230,1,1,"Actively Infected Trend"))=0,#N/A,INDIRECT(ADDRESS($B272+1,AV$230,1,1,"Actively Infected Trend")))</f>
        <v>#N/A</v>
      </c>
      <c r="AW272" s="14" t="e" cm="1">
        <f t="array" aca="1" ref="AW272" ca="1">IF(INDIRECT(ADDRESS($B272+1,AW$230,1,1,"Actively Infected Trend"))=0,#N/A,INDIRECT(ADDRESS($B272+1,AW$230,1,1,"Actively Infected Trend")))</f>
        <v>#N/A</v>
      </c>
      <c r="AX272" s="14" t="e" cm="1">
        <f t="array" aca="1" ref="AX272" ca="1">IF(INDIRECT(ADDRESS($B272+1,AX$230,1,1,"Actively Infected Trend"))=0,#N/A,INDIRECT(ADDRESS($B272+1,AX$230,1,1,"Actively Infected Trend")))</f>
        <v>#N/A</v>
      </c>
      <c r="AY272" s="14" t="e" cm="1">
        <f t="array" aca="1" ref="AY272" ca="1">IF(INDIRECT(ADDRESS($B272+1,AY$230,1,1,"Actively Infected Trend"))=0,#N/A,INDIRECT(ADDRESS($B272+1,AY$230,1,1,"Actively Infected Trend")))</f>
        <v>#N/A</v>
      </c>
      <c r="AZ272" s="14" t="e" cm="1">
        <f t="array" aca="1" ref="AZ272" ca="1">IF(INDIRECT(ADDRESS($B272+1,AZ$230,1,1,"Actively Infected Trend"))=0,#N/A,INDIRECT(ADDRESS($B272+1,AZ$230,1,1,"Actively Infected Trend")))</f>
        <v>#N/A</v>
      </c>
      <c r="BA272" s="14" t="e" cm="1">
        <f t="array" aca="1" ref="BA272" ca="1">IF(INDIRECT(ADDRESS($B272+1,BA$230,1,1,"Actively Infected Trend"))=0,#N/A,INDIRECT(ADDRESS($B272+1,BA$230,1,1,"Actively Infected Trend")))</f>
        <v>#N/A</v>
      </c>
      <c r="BB272" s="14" t="e" cm="1">
        <f t="array" aca="1" ref="BB272" ca="1">IF(INDIRECT(ADDRESS($B272+1,BB$230,1,1,"Actively Infected Trend"))=0,#N/A,INDIRECT(ADDRESS($B272+1,BB$230,1,1,"Actively Infected Trend")))</f>
        <v>#N/A</v>
      </c>
      <c r="BC272" s="14" t="e" cm="1">
        <f t="array" aca="1" ref="BC272" ca="1">IF(INDIRECT(ADDRESS($B272+1,BC$230,1,1,"Actively Infected Trend"))=0,#N/A,INDIRECT(ADDRESS($B272+1,BC$230,1,1,"Actively Infected Trend")))</f>
        <v>#N/A</v>
      </c>
      <c r="BD272" s="14" t="e" cm="1">
        <f t="array" aca="1" ref="BD272" ca="1">IF(INDIRECT(ADDRESS($B272+1,BD$230,1,1,"Actively Infected Trend"))=0,#N/A,INDIRECT(ADDRESS($B272+1,BD$230,1,1,"Actively Infected Trend")))</f>
        <v>#N/A</v>
      </c>
      <c r="BE272" s="14" t="e" cm="1">
        <f t="array" aca="1" ref="BE272" ca="1">IF(INDIRECT(ADDRESS($B272+1,BE$230,1,1,"Actively Infected Trend"))=0,#N/A,INDIRECT(ADDRESS($B272+1,BE$230,1,1,"Actively Infected Trend")))</f>
        <v>#N/A</v>
      </c>
      <c r="BF272" s="14" t="e" cm="1">
        <f t="array" aca="1" ref="BF272" ca="1">IF(INDIRECT(ADDRESS($B272+1,BF$230,1,1,"Actively Infected Trend"))=0,#N/A,INDIRECT(ADDRESS($B272+1,BF$230,1,1,"Actively Infected Trend")))</f>
        <v>#N/A</v>
      </c>
      <c r="BG272" s="14" t="e" cm="1">
        <f t="array" aca="1" ref="BG272" ca="1">IF(INDIRECT(ADDRESS($B272+1,BG$230,1,1,"Actively Infected Trend"))=0,#N/A,INDIRECT(ADDRESS($B272+1,BG$230,1,1,"Actively Infected Trend")))</f>
        <v>#N/A</v>
      </c>
      <c r="BH272" s="14" t="e" cm="1">
        <f t="array" aca="1" ref="BH272" ca="1">IF(INDIRECT(ADDRESS($B272+1,BH$230,1,1,"Actively Infected Trend"))=0,#N/A,INDIRECT(ADDRESS($B272+1,BH$230,1,1,"Actively Infected Trend")))</f>
        <v>#N/A</v>
      </c>
      <c r="BI272" s="14" t="e" cm="1">
        <f t="array" aca="1" ref="BI272" ca="1">IF(INDIRECT(ADDRESS($B272+1,BI$230,1,1,"Actively Infected Trend"))=0,#N/A,INDIRECT(ADDRESS($B272+1,BI$230,1,1,"Actively Infected Trend")))</f>
        <v>#N/A</v>
      </c>
      <c r="BJ272" s="14" t="e" cm="1">
        <f t="array" aca="1" ref="BJ272" ca="1">IF(INDIRECT(ADDRESS($B272+1,BJ$230,1,1,"Actively Infected Trend"))=0,#N/A,INDIRECT(ADDRESS($B272+1,BJ$230,1,1,"Actively Infected Trend")))</f>
        <v>#N/A</v>
      </c>
      <c r="BK272" s="14" t="e" cm="1">
        <f t="array" aca="1" ref="BK272" ca="1">IF(INDIRECT(ADDRESS($B272+1,BK$230,1,1,"Actively Infected Trend"))=0,#N/A,INDIRECT(ADDRESS($B272+1,BK$230,1,1,"Actively Infected Trend")))</f>
        <v>#N/A</v>
      </c>
      <c r="BL272" s="14" t="e" cm="1">
        <f t="array" aca="1" ref="BL272" ca="1">IF(INDIRECT(ADDRESS($B272+1,BL$230,1,1,"Actively Infected Trend"))=0,#N/A,INDIRECT(ADDRESS($B272+1,BL$230,1,1,"Actively Infected Trend")))</f>
        <v>#N/A</v>
      </c>
      <c r="BM272" s="14" t="e" cm="1">
        <f t="array" aca="1" ref="BM272" ca="1">IF(INDIRECT(ADDRESS($B272+1,BM$230,1,1,"Actively Infected Trend"))=0,#N/A,INDIRECT(ADDRESS($B272+1,BM$230,1,1,"Actively Infected Trend")))</f>
        <v>#N/A</v>
      </c>
      <c r="BN272" s="14" t="e" cm="1">
        <f t="array" aca="1" ref="BN272" ca="1">IF(INDIRECT(ADDRESS($B272+1,BN$230,1,1,"Actively Infected Trend"))=0,#N/A,INDIRECT(ADDRESS($B272+1,BN$230,1,1,"Actively Infected Trend")))</f>
        <v>#N/A</v>
      </c>
      <c r="BO272" s="14" t="e" cm="1">
        <f t="array" aca="1" ref="BO272" ca="1">IF(INDIRECT(ADDRESS($B272+1,BO$230,1,1,"Actively Infected Trend"))=0,#N/A,INDIRECT(ADDRESS($B272+1,BO$230,1,1,"Actively Infected Trend")))</f>
        <v>#N/A</v>
      </c>
      <c r="BP272" s="14" t="e" cm="1">
        <f t="array" aca="1" ref="BP272" ca="1">IF(INDIRECT(ADDRESS($B272+1,BP$230,1,1,"Actively Infected Trend"))=0,#N/A,INDIRECT(ADDRESS($B272+1,BP$230,1,1,"Actively Infected Trend")))</f>
        <v>#N/A</v>
      </c>
      <c r="BQ272" s="14" t="e" cm="1">
        <f t="array" aca="1" ref="BQ272" ca="1">IF(INDIRECT(ADDRESS($B272+1,BQ$230,1,1,"Actively Infected Trend"))=0,#N/A,INDIRECT(ADDRESS($B272+1,BQ$230,1,1,"Actively Infected Trend")))</f>
        <v>#N/A</v>
      </c>
      <c r="BR272" s="14" t="e" cm="1">
        <f t="array" aca="1" ref="BR272" ca="1">IF(INDIRECT(ADDRESS($B272+1,BR$230,1,1,"Actively Infected Trend"))=0,#N/A,INDIRECT(ADDRESS($B272+1,BR$230,1,1,"Actively Infected Trend")))</f>
        <v>#N/A</v>
      </c>
      <c r="BS272" s="14" t="e" cm="1">
        <f t="array" aca="1" ref="BS272" ca="1">IF(INDIRECT(ADDRESS($B272+1,BS$230,1,1,"Actively Infected Trend"))=0,#N/A,INDIRECT(ADDRESS($B272+1,BS$230,1,1,"Actively Infected Trend")))</f>
        <v>#N/A</v>
      </c>
      <c r="BT272" s="14" t="e" cm="1">
        <f t="array" aca="1" ref="BT272" ca="1">IF(INDIRECT(ADDRESS($B272+1,BT$230,1,1,"Actively Infected Trend"))=0,#N/A,INDIRECT(ADDRESS($B272+1,BT$230,1,1,"Actively Infected Trend")))</f>
        <v>#N/A</v>
      </c>
      <c r="BU272" s="14" t="e" cm="1">
        <f t="array" aca="1" ref="BU272" ca="1">IF(INDIRECT(ADDRESS($B272+1,BU$230,1,1,"Actively Infected Trend"))=0,#N/A,INDIRECT(ADDRESS($B272+1,BU$230,1,1,"Actively Infected Trend")))</f>
        <v>#N/A</v>
      </c>
      <c r="BV272" s="14" t="e" cm="1">
        <f t="array" aca="1" ref="BV272" ca="1">IF(INDIRECT(ADDRESS($B272+1,BV$230,1,1,"Actively Infected Trend"))=0,#N/A,INDIRECT(ADDRESS($B272+1,BV$230,1,1,"Actively Infected Trend")))</f>
        <v>#N/A</v>
      </c>
      <c r="BW272" s="14" t="e" cm="1">
        <f t="array" aca="1" ref="BW272" ca="1">IF(INDIRECT(ADDRESS($B272+1,BW$230,1,1,"Actively Infected Trend"))=0,#N/A,INDIRECT(ADDRESS($B272+1,BW$230,1,1,"Actively Infected Trend")))</f>
        <v>#N/A</v>
      </c>
      <c r="BX272" s="14" t="e" cm="1">
        <f t="array" aca="1" ref="BX272" ca="1">IF(INDIRECT(ADDRESS($B272+1,BX$230,1,1,"Actively Infected Trend"))=0,#N/A,INDIRECT(ADDRESS($B272+1,BX$230,1,1,"Actively Infected Trend")))</f>
        <v>#N/A</v>
      </c>
      <c r="BY272" s="14" t="e" cm="1">
        <f t="array" aca="1" ref="BY272" ca="1">IF(INDIRECT(ADDRESS($B272+1,BY$230,1,1,"Actively Infected Trend"))=0,#N/A,INDIRECT(ADDRESS($B272+1,BY$230,1,1,"Actively Infected Trend")))</f>
        <v>#N/A</v>
      </c>
      <c r="BZ272" s="14" t="e" cm="1">
        <f t="array" aca="1" ref="BZ272" ca="1">IF(INDIRECT(ADDRESS($B272+1,BZ$230,1,1,"Actively Infected Trend"))=0,#N/A,INDIRECT(ADDRESS($B272+1,BZ$230,1,1,"Actively Infected Trend")))</f>
        <v>#N/A</v>
      </c>
      <c r="CA272" s="14" t="e" cm="1">
        <f t="array" aca="1" ref="CA272" ca="1">IF(INDIRECT(ADDRESS($B272+1,CA$230,1,1,"Actively Infected Trend"))=0,#N/A,INDIRECT(ADDRESS($B272+1,CA$230,1,1,"Actively Infected Trend")))</f>
        <v>#N/A</v>
      </c>
      <c r="CB272" s="14" t="e" cm="1">
        <f t="array" aca="1" ref="CB272" ca="1">IF(INDIRECT(ADDRESS($B272+1,CB$230,1,1,"Actively Infected Trend"))=0,#N/A,INDIRECT(ADDRESS($B272+1,CB$230,1,1,"Actively Infected Trend")))</f>
        <v>#N/A</v>
      </c>
      <c r="CC272" s="14" t="e" cm="1">
        <f t="array" aca="1" ref="CC272" ca="1">IF(INDIRECT(ADDRESS($B272+1,CC$230,1,1,"Actively Infected Trend"))=0,#N/A,INDIRECT(ADDRESS($B272+1,CC$230,1,1,"Actively Infected Trend")))</f>
        <v>#N/A</v>
      </c>
      <c r="CD272" s="14" t="e" cm="1">
        <f t="array" aca="1" ref="CD272" ca="1">IF(INDIRECT(ADDRESS($B272+1,CD$230,1,1,"Actively Infected Trend"))=0,#N/A,INDIRECT(ADDRESS($B272+1,CD$230,1,1,"Actively Infected Trend")))</f>
        <v>#N/A</v>
      </c>
      <c r="CE272" s="14" t="e" cm="1">
        <f t="array" aca="1" ref="CE272" ca="1">IF(INDIRECT(ADDRESS($B272+1,CE$230,1,1,"Actively Infected Trend"))=0,#N/A,INDIRECT(ADDRESS($B272+1,CE$230,1,1,"Actively Infected Trend")))</f>
        <v>#N/A</v>
      </c>
      <c r="CF272" s="14" t="e" cm="1">
        <f t="array" aca="1" ref="CF272" ca="1">IF(INDIRECT(ADDRESS($B272+1,CF$230,1,1,"Actively Infected Trend"))=0,#N/A,INDIRECT(ADDRESS($B272+1,CF$230,1,1,"Actively Infected Trend")))</f>
        <v>#N/A</v>
      </c>
      <c r="CG272" s="14" t="e" cm="1">
        <f t="array" aca="1" ref="CG272" ca="1">IF(INDIRECT(ADDRESS($B272+1,CG$230,1,1,"Actively Infected Trend"))=0,#N/A,INDIRECT(ADDRESS($B272+1,CG$230,1,1,"Actively Infected Trend")))</f>
        <v>#N/A</v>
      </c>
      <c r="CH272" s="14" t="e" cm="1">
        <f t="array" aca="1" ref="CH272" ca="1">IF(INDIRECT(ADDRESS($B272+1,CH$230,1,1,"Actively Infected Trend"))=0,#N/A,INDIRECT(ADDRESS($B272+1,CH$230,1,1,"Actively Infected Trend")))</f>
        <v>#N/A</v>
      </c>
      <c r="CI272" s="14" t="e" cm="1">
        <f t="array" aca="1" ref="CI272" ca="1">IF(INDIRECT(ADDRESS($B272+1,CI$230,1,1,"Actively Infected Trend"))=0,#N/A,INDIRECT(ADDRESS($B272+1,CI$230,1,1,"Actively Infected Trend")))</f>
        <v>#N/A</v>
      </c>
      <c r="CJ272" s="14" t="e" cm="1">
        <f t="array" aca="1" ref="CJ272" ca="1">IF(INDIRECT(ADDRESS($B272+1,CJ$230,1,1,"Actively Infected Trend"))=0,#N/A,INDIRECT(ADDRESS($B272+1,CJ$230,1,1,"Actively Infected Trend")))</f>
        <v>#N/A</v>
      </c>
      <c r="CK272" s="14" t="e" cm="1">
        <f t="array" aca="1" ref="CK272" ca="1">IF(INDIRECT(ADDRESS($B272+1,CK$230,1,1,"Actively Infected Trend"))=0,#N/A,INDIRECT(ADDRESS($B272+1,CK$230,1,1,"Actively Infected Trend")))</f>
        <v>#N/A</v>
      </c>
      <c r="CL272" s="14" t="e" cm="1">
        <f t="array" aca="1" ref="CL272" ca="1">IF(INDIRECT(ADDRESS($B272+1,CL$230,1,1,"Actively Infected Trend"))=0,#N/A,INDIRECT(ADDRESS($B272+1,CL$230,1,1,"Actively Infected Trend")))</f>
        <v>#N/A</v>
      </c>
      <c r="CM272" s="14" t="e" cm="1">
        <f t="array" aca="1" ref="CM272" ca="1">IF(INDIRECT(ADDRESS($B272+1,CM$230,1,1,"Actively Infected Trend"))=0,#N/A,INDIRECT(ADDRESS($B272+1,CM$230,1,1,"Actively Infected Trend")))</f>
        <v>#N/A</v>
      </c>
      <c r="CN272" s="14" t="e" cm="1">
        <f t="array" aca="1" ref="CN272" ca="1">IF(INDIRECT(ADDRESS($B272+1,CN$230,1,1,"Actively Infected Trend"))=0,#N/A,INDIRECT(ADDRESS($B272+1,CN$230,1,1,"Actively Infected Trend")))</f>
        <v>#N/A</v>
      </c>
      <c r="CO272" s="14" t="e" cm="1">
        <f t="array" aca="1" ref="CO272" ca="1">IF(INDIRECT(ADDRESS($B272+1,CO$230,1,1,"Actively Infected Trend"))=0,#N/A,INDIRECT(ADDRESS($B272+1,CO$230,1,1,"Actively Infected Trend")))</f>
        <v>#N/A</v>
      </c>
      <c r="CP272" s="14" t="e" cm="1">
        <f t="array" aca="1" ref="CP272" ca="1">IF(INDIRECT(ADDRESS($B272+1,CP$230,1,1,"Actively Infected Trend"))=0,#N/A,INDIRECT(ADDRESS($B272+1,CP$230,1,1,"Actively Infected Trend")))</f>
        <v>#N/A</v>
      </c>
      <c r="CQ272" s="14" t="e" cm="1">
        <f t="array" aca="1" ref="CQ272" ca="1">IF(INDIRECT(ADDRESS($B272+1,CQ$230,1,1,"Actively Infected Trend"))=0,#N/A,INDIRECT(ADDRESS($B272+1,CQ$230,1,1,"Actively Infected Trend")))</f>
        <v>#N/A</v>
      </c>
      <c r="CR272" s="14" t="e" cm="1">
        <f t="array" aca="1" ref="CR272" ca="1">IF(INDIRECT(ADDRESS($B272+1,CR$230,1,1,"Actively Infected Trend"))=0,#N/A,INDIRECT(ADDRESS($B272+1,CR$230,1,1,"Actively Infected Trend")))</f>
        <v>#N/A</v>
      </c>
    </row>
    <row r="273" spans="2:96" x14ac:dyDescent="0.25">
      <c r="B273">
        <f t="shared" si="349"/>
        <v>42</v>
      </c>
      <c r="C273" cm="1">
        <f t="array" aca="1" ref="C273" ca="1">INDIRECT(ADDRESS($B273+1,1,1,1,"Actively Infected Trend"))</f>
        <v>0</v>
      </c>
      <c r="E273" s="14" t="e" cm="1">
        <f t="array" aca="1" ref="E273" ca="1">IF(INDIRECT(ADDRESS($B273+1,E$230,1,1,"Actively Infected Trend"))=0,#N/A,INDIRECT(ADDRESS($B273+1,E$230,1,1,"Actively Infected Trend")))</f>
        <v>#N/A</v>
      </c>
      <c r="F273" s="14" t="e" cm="1">
        <f t="array" aca="1" ref="F273" ca="1">IF(INDIRECT(ADDRESS($B273+1,F$230,1,1,"Actively Infected Trend"))=0,#N/A,INDIRECT(ADDRESS($B273+1,F$230,1,1,"Actively Infected Trend")))</f>
        <v>#N/A</v>
      </c>
      <c r="G273" s="14" t="e" cm="1">
        <f t="array" aca="1" ref="G273" ca="1">IF(INDIRECT(ADDRESS($B273+1,G$230,1,1,"Actively Infected Trend"))=0,#N/A,INDIRECT(ADDRESS($B273+1,G$230,1,1,"Actively Infected Trend")))</f>
        <v>#N/A</v>
      </c>
      <c r="H273" s="14" t="e" cm="1">
        <f t="array" aca="1" ref="H273" ca="1">IF(INDIRECT(ADDRESS($B273+1,H$230,1,1,"Actively Infected Trend"))=0,#N/A,INDIRECT(ADDRESS($B273+1,H$230,1,1,"Actively Infected Trend")))</f>
        <v>#N/A</v>
      </c>
      <c r="I273" s="14" t="e" cm="1">
        <f t="array" aca="1" ref="I273" ca="1">IF(INDIRECT(ADDRESS($B273+1,I$230,1,1,"Actively Infected Trend"))=0,#N/A,INDIRECT(ADDRESS($B273+1,I$230,1,1,"Actively Infected Trend")))</f>
        <v>#N/A</v>
      </c>
      <c r="J273" s="14" t="e" cm="1">
        <f t="array" aca="1" ref="J273" ca="1">IF(INDIRECT(ADDRESS($B273+1,J$230,1,1,"Actively Infected Trend"))=0,#N/A,INDIRECT(ADDRESS($B273+1,J$230,1,1,"Actively Infected Trend")))</f>
        <v>#N/A</v>
      </c>
      <c r="K273" s="14" t="e" cm="1">
        <f t="array" aca="1" ref="K273" ca="1">IF(INDIRECT(ADDRESS($B273+1,K$230,1,1,"Actively Infected Trend"))=0,#N/A,INDIRECT(ADDRESS($B273+1,K$230,1,1,"Actively Infected Trend")))</f>
        <v>#N/A</v>
      </c>
      <c r="L273" s="14" t="e" cm="1">
        <f t="array" aca="1" ref="L273" ca="1">IF(INDIRECT(ADDRESS($B273+1,L$230,1,1,"Actively Infected Trend"))=0,#N/A,INDIRECT(ADDRESS($B273+1,L$230,1,1,"Actively Infected Trend")))</f>
        <v>#N/A</v>
      </c>
      <c r="M273" s="14" t="e" cm="1">
        <f t="array" aca="1" ref="M273" ca="1">IF(INDIRECT(ADDRESS($B273+1,M$230,1,1,"Actively Infected Trend"))=0,#N/A,INDIRECT(ADDRESS($B273+1,M$230,1,1,"Actively Infected Trend")))</f>
        <v>#N/A</v>
      </c>
      <c r="N273" s="14" t="e" cm="1">
        <f t="array" aca="1" ref="N273" ca="1">IF(INDIRECT(ADDRESS($B273+1,N$230,1,1,"Actively Infected Trend"))=0,#N/A,INDIRECT(ADDRESS($B273+1,N$230,1,1,"Actively Infected Trend")))</f>
        <v>#N/A</v>
      </c>
      <c r="O273" s="14" t="e" cm="1">
        <f t="array" aca="1" ref="O273" ca="1">IF(INDIRECT(ADDRESS($B273+1,O$230,1,1,"Actively Infected Trend"))=0,#N/A,INDIRECT(ADDRESS($B273+1,O$230,1,1,"Actively Infected Trend")))</f>
        <v>#N/A</v>
      </c>
      <c r="P273" s="14" t="e" cm="1">
        <f t="array" aca="1" ref="P273" ca="1">IF(INDIRECT(ADDRESS($B273+1,P$230,1,1,"Actively Infected Trend"))=0,#N/A,INDIRECT(ADDRESS($B273+1,P$230,1,1,"Actively Infected Trend")))</f>
        <v>#N/A</v>
      </c>
      <c r="Q273" s="14" t="e" cm="1">
        <f t="array" aca="1" ref="Q273" ca="1">IF(INDIRECT(ADDRESS($B273+1,Q$230,1,1,"Actively Infected Trend"))=0,#N/A,INDIRECT(ADDRESS($B273+1,Q$230,1,1,"Actively Infected Trend")))</f>
        <v>#N/A</v>
      </c>
      <c r="R273" s="14" t="e" cm="1">
        <f t="array" aca="1" ref="R273" ca="1">IF(INDIRECT(ADDRESS($B273+1,R$230,1,1,"Actively Infected Trend"))=0,#N/A,INDIRECT(ADDRESS($B273+1,R$230,1,1,"Actively Infected Trend")))</f>
        <v>#N/A</v>
      </c>
      <c r="S273" s="14" t="e" cm="1">
        <f t="array" aca="1" ref="S273" ca="1">IF(INDIRECT(ADDRESS($B273+1,S$230,1,1,"Actively Infected Trend"))=0,#N/A,INDIRECT(ADDRESS($B273+1,S$230,1,1,"Actively Infected Trend")))</f>
        <v>#N/A</v>
      </c>
      <c r="T273" s="14" t="e" cm="1">
        <f t="array" aca="1" ref="T273" ca="1">IF(INDIRECT(ADDRESS($B273+1,T$230,1,1,"Actively Infected Trend"))=0,#N/A,INDIRECT(ADDRESS($B273+1,T$230,1,1,"Actively Infected Trend")))</f>
        <v>#N/A</v>
      </c>
      <c r="U273" s="14" t="e" cm="1">
        <f t="array" aca="1" ref="U273" ca="1">IF(INDIRECT(ADDRESS($B273+1,U$230,1,1,"Actively Infected Trend"))=0,#N/A,INDIRECT(ADDRESS($B273+1,U$230,1,1,"Actively Infected Trend")))</f>
        <v>#N/A</v>
      </c>
      <c r="V273" s="14" t="e" cm="1">
        <f t="array" aca="1" ref="V273" ca="1">IF(INDIRECT(ADDRESS($B273+1,V$230,1,1,"Actively Infected Trend"))=0,#N/A,INDIRECT(ADDRESS($B273+1,V$230,1,1,"Actively Infected Trend")))</f>
        <v>#N/A</v>
      </c>
      <c r="W273" s="14" t="e" cm="1">
        <f t="array" aca="1" ref="W273" ca="1">IF(INDIRECT(ADDRESS($B273+1,W$230,1,1,"Actively Infected Trend"))=0,#N/A,INDIRECT(ADDRESS($B273+1,W$230,1,1,"Actively Infected Trend")))</f>
        <v>#N/A</v>
      </c>
      <c r="X273" s="14" t="e" cm="1">
        <f t="array" aca="1" ref="X273" ca="1">IF(INDIRECT(ADDRESS($B273+1,X$230,1,1,"Actively Infected Trend"))=0,#N/A,INDIRECT(ADDRESS($B273+1,X$230,1,1,"Actively Infected Trend")))</f>
        <v>#N/A</v>
      </c>
      <c r="Y273" s="14" t="e" cm="1">
        <f t="array" aca="1" ref="Y273" ca="1">IF(INDIRECT(ADDRESS($B273+1,Y$230,1,1,"Actively Infected Trend"))=0,#N/A,INDIRECT(ADDRESS($B273+1,Y$230,1,1,"Actively Infected Trend")))</f>
        <v>#N/A</v>
      </c>
      <c r="Z273" s="14" t="e" cm="1">
        <f t="array" aca="1" ref="Z273" ca="1">IF(INDIRECT(ADDRESS($B273+1,Z$230,1,1,"Actively Infected Trend"))=0,#N/A,INDIRECT(ADDRESS($B273+1,Z$230,1,1,"Actively Infected Trend")))</f>
        <v>#N/A</v>
      </c>
      <c r="AA273" s="14" t="e" cm="1">
        <f t="array" aca="1" ref="AA273" ca="1">IF(INDIRECT(ADDRESS($B273+1,AA$230,1,1,"Actively Infected Trend"))=0,#N/A,INDIRECT(ADDRESS($B273+1,AA$230,1,1,"Actively Infected Trend")))</f>
        <v>#N/A</v>
      </c>
      <c r="AB273" s="14" t="e" cm="1">
        <f t="array" aca="1" ref="AB273" ca="1">IF(INDIRECT(ADDRESS($B273+1,AB$230,1,1,"Actively Infected Trend"))=0,#N/A,INDIRECT(ADDRESS($B273+1,AB$230,1,1,"Actively Infected Trend")))</f>
        <v>#N/A</v>
      </c>
      <c r="AC273" s="14" t="e" cm="1">
        <f t="array" aca="1" ref="AC273" ca="1">IF(INDIRECT(ADDRESS($B273+1,AC$230,1,1,"Actively Infected Trend"))=0,#N/A,INDIRECT(ADDRESS($B273+1,AC$230,1,1,"Actively Infected Trend")))</f>
        <v>#N/A</v>
      </c>
      <c r="AD273" s="14" t="e" cm="1">
        <f t="array" aca="1" ref="AD273" ca="1">IF(INDIRECT(ADDRESS($B273+1,AD$230,1,1,"Actively Infected Trend"))=0,#N/A,INDIRECT(ADDRESS($B273+1,AD$230,1,1,"Actively Infected Trend")))</f>
        <v>#N/A</v>
      </c>
      <c r="AE273" s="14" t="e" cm="1">
        <f t="array" aca="1" ref="AE273" ca="1">IF(INDIRECT(ADDRESS($B273+1,AE$230,1,1,"Actively Infected Trend"))=0,#N/A,INDIRECT(ADDRESS($B273+1,AE$230,1,1,"Actively Infected Trend")))</f>
        <v>#N/A</v>
      </c>
      <c r="AF273" s="14" t="e" cm="1">
        <f t="array" aca="1" ref="AF273" ca="1">IF(INDIRECT(ADDRESS($B273+1,AF$230,1,1,"Actively Infected Trend"))=0,#N/A,INDIRECT(ADDRESS($B273+1,AF$230,1,1,"Actively Infected Trend")))</f>
        <v>#N/A</v>
      </c>
      <c r="AG273" s="14" t="e" cm="1">
        <f t="array" aca="1" ref="AG273" ca="1">IF(INDIRECT(ADDRESS($B273+1,AG$230,1,1,"Actively Infected Trend"))=0,#N/A,INDIRECT(ADDRESS($B273+1,AG$230,1,1,"Actively Infected Trend")))</f>
        <v>#N/A</v>
      </c>
      <c r="AH273" s="14" t="e" cm="1">
        <f t="array" aca="1" ref="AH273" ca="1">IF(INDIRECT(ADDRESS($B273+1,AH$230,1,1,"Actively Infected Trend"))=0,#N/A,INDIRECT(ADDRESS($B273+1,AH$230,1,1,"Actively Infected Trend")))</f>
        <v>#N/A</v>
      </c>
      <c r="AI273" s="14" t="e" cm="1">
        <f t="array" aca="1" ref="AI273" ca="1">IF(INDIRECT(ADDRESS($B273+1,AI$230,1,1,"Actively Infected Trend"))=0,#N/A,INDIRECT(ADDRESS($B273+1,AI$230,1,1,"Actively Infected Trend")))</f>
        <v>#N/A</v>
      </c>
      <c r="AJ273" s="14" t="e" cm="1">
        <f t="array" aca="1" ref="AJ273" ca="1">IF(INDIRECT(ADDRESS($B273+1,AJ$230,1,1,"Actively Infected Trend"))=0,#N/A,INDIRECT(ADDRESS($B273+1,AJ$230,1,1,"Actively Infected Trend")))</f>
        <v>#N/A</v>
      </c>
      <c r="AK273" s="14" t="e" cm="1">
        <f t="array" aca="1" ref="AK273" ca="1">IF(INDIRECT(ADDRESS($B273+1,AK$230,1,1,"Actively Infected Trend"))=0,#N/A,INDIRECT(ADDRESS($B273+1,AK$230,1,1,"Actively Infected Trend")))</f>
        <v>#N/A</v>
      </c>
      <c r="AL273" s="14" t="e" cm="1">
        <f t="array" aca="1" ref="AL273" ca="1">IF(INDIRECT(ADDRESS($B273+1,AL$230,1,1,"Actively Infected Trend"))=0,#N/A,INDIRECT(ADDRESS($B273+1,AL$230,1,1,"Actively Infected Trend")))</f>
        <v>#N/A</v>
      </c>
      <c r="AM273" s="14" t="e" cm="1">
        <f t="array" aca="1" ref="AM273" ca="1">IF(INDIRECT(ADDRESS($B273+1,AM$230,1,1,"Actively Infected Trend"))=0,#N/A,INDIRECT(ADDRESS($B273+1,AM$230,1,1,"Actively Infected Trend")))</f>
        <v>#N/A</v>
      </c>
      <c r="AN273" s="14" t="e" cm="1">
        <f t="array" aca="1" ref="AN273" ca="1">IF(INDIRECT(ADDRESS($B273+1,AN$230,1,1,"Actively Infected Trend"))=0,#N/A,INDIRECT(ADDRESS($B273+1,AN$230,1,1,"Actively Infected Trend")))</f>
        <v>#N/A</v>
      </c>
      <c r="AO273" s="14" t="e" cm="1">
        <f t="array" aca="1" ref="AO273" ca="1">IF(INDIRECT(ADDRESS($B273+1,AO$230,1,1,"Actively Infected Trend"))=0,#N/A,INDIRECT(ADDRESS($B273+1,AO$230,1,1,"Actively Infected Trend")))</f>
        <v>#N/A</v>
      </c>
      <c r="AP273" s="14" t="e" cm="1">
        <f t="array" aca="1" ref="AP273" ca="1">IF(INDIRECT(ADDRESS($B273+1,AP$230,1,1,"Actively Infected Trend"))=0,#N/A,INDIRECT(ADDRESS($B273+1,AP$230,1,1,"Actively Infected Trend")))</f>
        <v>#N/A</v>
      </c>
      <c r="AQ273" s="14" t="e" cm="1">
        <f t="array" aca="1" ref="AQ273" ca="1">IF(INDIRECT(ADDRESS($B273+1,AQ$230,1,1,"Actively Infected Trend"))=0,#N/A,INDIRECT(ADDRESS($B273+1,AQ$230,1,1,"Actively Infected Trend")))</f>
        <v>#N/A</v>
      </c>
      <c r="AR273" s="14" t="e" cm="1">
        <f t="array" aca="1" ref="AR273" ca="1">IF(INDIRECT(ADDRESS($B273+1,AR$230,1,1,"Actively Infected Trend"))=0,#N/A,INDIRECT(ADDRESS($B273+1,AR$230,1,1,"Actively Infected Trend")))</f>
        <v>#N/A</v>
      </c>
      <c r="AS273" s="14" t="e" cm="1">
        <f t="array" aca="1" ref="AS273" ca="1">IF(INDIRECT(ADDRESS($B273+1,AS$230,1,1,"Actively Infected Trend"))=0,#N/A,INDIRECT(ADDRESS($B273+1,AS$230,1,1,"Actively Infected Trend")))</f>
        <v>#N/A</v>
      </c>
      <c r="AT273" s="14" t="e" cm="1">
        <f t="array" aca="1" ref="AT273" ca="1">IF(INDIRECT(ADDRESS($B273+1,AT$230,1,1,"Actively Infected Trend"))=0,#N/A,INDIRECT(ADDRESS($B273+1,AT$230,1,1,"Actively Infected Trend")))</f>
        <v>#N/A</v>
      </c>
      <c r="AU273" s="14" t="e" cm="1">
        <f t="array" aca="1" ref="AU273" ca="1">IF(INDIRECT(ADDRESS($B273+1,AU$230,1,1,"Actively Infected Trend"))=0,#N/A,INDIRECT(ADDRESS($B273+1,AU$230,1,1,"Actively Infected Trend")))</f>
        <v>#N/A</v>
      </c>
      <c r="AV273" s="14" t="e" cm="1">
        <f t="array" aca="1" ref="AV273" ca="1">IF(INDIRECT(ADDRESS($B273+1,AV$230,1,1,"Actively Infected Trend"))=0,#N/A,INDIRECT(ADDRESS($B273+1,AV$230,1,1,"Actively Infected Trend")))</f>
        <v>#N/A</v>
      </c>
      <c r="AW273" s="14" t="e" cm="1">
        <f t="array" aca="1" ref="AW273" ca="1">IF(INDIRECT(ADDRESS($B273+1,AW$230,1,1,"Actively Infected Trend"))=0,#N/A,INDIRECT(ADDRESS($B273+1,AW$230,1,1,"Actively Infected Trend")))</f>
        <v>#N/A</v>
      </c>
      <c r="AX273" s="14" t="e" cm="1">
        <f t="array" aca="1" ref="AX273" ca="1">IF(INDIRECT(ADDRESS($B273+1,AX$230,1,1,"Actively Infected Trend"))=0,#N/A,INDIRECT(ADDRESS($B273+1,AX$230,1,1,"Actively Infected Trend")))</f>
        <v>#N/A</v>
      </c>
      <c r="AY273" s="14" t="e" cm="1">
        <f t="array" aca="1" ref="AY273" ca="1">IF(INDIRECT(ADDRESS($B273+1,AY$230,1,1,"Actively Infected Trend"))=0,#N/A,INDIRECT(ADDRESS($B273+1,AY$230,1,1,"Actively Infected Trend")))</f>
        <v>#N/A</v>
      </c>
      <c r="AZ273" s="14" t="e" cm="1">
        <f t="array" aca="1" ref="AZ273" ca="1">IF(INDIRECT(ADDRESS($B273+1,AZ$230,1,1,"Actively Infected Trend"))=0,#N/A,INDIRECT(ADDRESS($B273+1,AZ$230,1,1,"Actively Infected Trend")))</f>
        <v>#N/A</v>
      </c>
      <c r="BA273" s="14" t="e" cm="1">
        <f t="array" aca="1" ref="BA273" ca="1">IF(INDIRECT(ADDRESS($B273+1,BA$230,1,1,"Actively Infected Trend"))=0,#N/A,INDIRECT(ADDRESS($B273+1,BA$230,1,1,"Actively Infected Trend")))</f>
        <v>#N/A</v>
      </c>
      <c r="BB273" s="14" t="e" cm="1">
        <f t="array" aca="1" ref="BB273" ca="1">IF(INDIRECT(ADDRESS($B273+1,BB$230,1,1,"Actively Infected Trend"))=0,#N/A,INDIRECT(ADDRESS($B273+1,BB$230,1,1,"Actively Infected Trend")))</f>
        <v>#N/A</v>
      </c>
      <c r="BC273" s="14" t="e" cm="1">
        <f t="array" aca="1" ref="BC273" ca="1">IF(INDIRECT(ADDRESS($B273+1,BC$230,1,1,"Actively Infected Trend"))=0,#N/A,INDIRECT(ADDRESS($B273+1,BC$230,1,1,"Actively Infected Trend")))</f>
        <v>#N/A</v>
      </c>
      <c r="BD273" s="14" t="e" cm="1">
        <f t="array" aca="1" ref="BD273" ca="1">IF(INDIRECT(ADDRESS($B273+1,BD$230,1,1,"Actively Infected Trend"))=0,#N/A,INDIRECT(ADDRESS($B273+1,BD$230,1,1,"Actively Infected Trend")))</f>
        <v>#N/A</v>
      </c>
      <c r="BE273" s="14" t="e" cm="1">
        <f t="array" aca="1" ref="BE273" ca="1">IF(INDIRECT(ADDRESS($B273+1,BE$230,1,1,"Actively Infected Trend"))=0,#N/A,INDIRECT(ADDRESS($B273+1,BE$230,1,1,"Actively Infected Trend")))</f>
        <v>#N/A</v>
      </c>
      <c r="BF273" s="14" t="e" cm="1">
        <f t="array" aca="1" ref="BF273" ca="1">IF(INDIRECT(ADDRESS($B273+1,BF$230,1,1,"Actively Infected Trend"))=0,#N/A,INDIRECT(ADDRESS($B273+1,BF$230,1,1,"Actively Infected Trend")))</f>
        <v>#N/A</v>
      </c>
      <c r="BG273" s="14" t="e" cm="1">
        <f t="array" aca="1" ref="BG273" ca="1">IF(INDIRECT(ADDRESS($B273+1,BG$230,1,1,"Actively Infected Trend"))=0,#N/A,INDIRECT(ADDRESS($B273+1,BG$230,1,1,"Actively Infected Trend")))</f>
        <v>#N/A</v>
      </c>
      <c r="BH273" s="14" t="e" cm="1">
        <f t="array" aca="1" ref="BH273" ca="1">IF(INDIRECT(ADDRESS($B273+1,BH$230,1,1,"Actively Infected Trend"))=0,#N/A,INDIRECT(ADDRESS($B273+1,BH$230,1,1,"Actively Infected Trend")))</f>
        <v>#N/A</v>
      </c>
      <c r="BI273" s="14" t="e" cm="1">
        <f t="array" aca="1" ref="BI273" ca="1">IF(INDIRECT(ADDRESS($B273+1,BI$230,1,1,"Actively Infected Trend"))=0,#N/A,INDIRECT(ADDRESS($B273+1,BI$230,1,1,"Actively Infected Trend")))</f>
        <v>#N/A</v>
      </c>
      <c r="BJ273" s="14" t="e" cm="1">
        <f t="array" aca="1" ref="BJ273" ca="1">IF(INDIRECT(ADDRESS($B273+1,BJ$230,1,1,"Actively Infected Trend"))=0,#N/A,INDIRECT(ADDRESS($B273+1,BJ$230,1,1,"Actively Infected Trend")))</f>
        <v>#N/A</v>
      </c>
      <c r="BK273" s="14" t="e" cm="1">
        <f t="array" aca="1" ref="BK273" ca="1">IF(INDIRECT(ADDRESS($B273+1,BK$230,1,1,"Actively Infected Trend"))=0,#N/A,INDIRECT(ADDRESS($B273+1,BK$230,1,1,"Actively Infected Trend")))</f>
        <v>#N/A</v>
      </c>
      <c r="BL273" s="14" t="e" cm="1">
        <f t="array" aca="1" ref="BL273" ca="1">IF(INDIRECT(ADDRESS($B273+1,BL$230,1,1,"Actively Infected Trend"))=0,#N/A,INDIRECT(ADDRESS($B273+1,BL$230,1,1,"Actively Infected Trend")))</f>
        <v>#N/A</v>
      </c>
      <c r="BM273" s="14" t="e" cm="1">
        <f t="array" aca="1" ref="BM273" ca="1">IF(INDIRECT(ADDRESS($B273+1,BM$230,1,1,"Actively Infected Trend"))=0,#N/A,INDIRECT(ADDRESS($B273+1,BM$230,1,1,"Actively Infected Trend")))</f>
        <v>#N/A</v>
      </c>
      <c r="BN273" s="14" t="e" cm="1">
        <f t="array" aca="1" ref="BN273" ca="1">IF(INDIRECT(ADDRESS($B273+1,BN$230,1,1,"Actively Infected Trend"))=0,#N/A,INDIRECT(ADDRESS($B273+1,BN$230,1,1,"Actively Infected Trend")))</f>
        <v>#N/A</v>
      </c>
      <c r="BO273" s="14" t="e" cm="1">
        <f t="array" aca="1" ref="BO273" ca="1">IF(INDIRECT(ADDRESS($B273+1,BO$230,1,1,"Actively Infected Trend"))=0,#N/A,INDIRECT(ADDRESS($B273+1,BO$230,1,1,"Actively Infected Trend")))</f>
        <v>#N/A</v>
      </c>
      <c r="BP273" s="14" t="e" cm="1">
        <f t="array" aca="1" ref="BP273" ca="1">IF(INDIRECT(ADDRESS($B273+1,BP$230,1,1,"Actively Infected Trend"))=0,#N/A,INDIRECT(ADDRESS($B273+1,BP$230,1,1,"Actively Infected Trend")))</f>
        <v>#N/A</v>
      </c>
      <c r="BQ273" s="14" t="e" cm="1">
        <f t="array" aca="1" ref="BQ273" ca="1">IF(INDIRECT(ADDRESS($B273+1,BQ$230,1,1,"Actively Infected Trend"))=0,#N/A,INDIRECT(ADDRESS($B273+1,BQ$230,1,1,"Actively Infected Trend")))</f>
        <v>#N/A</v>
      </c>
      <c r="BR273" s="14" t="e" cm="1">
        <f t="array" aca="1" ref="BR273" ca="1">IF(INDIRECT(ADDRESS($B273+1,BR$230,1,1,"Actively Infected Trend"))=0,#N/A,INDIRECT(ADDRESS($B273+1,BR$230,1,1,"Actively Infected Trend")))</f>
        <v>#N/A</v>
      </c>
      <c r="BS273" s="14" t="e" cm="1">
        <f t="array" aca="1" ref="BS273" ca="1">IF(INDIRECT(ADDRESS($B273+1,BS$230,1,1,"Actively Infected Trend"))=0,#N/A,INDIRECT(ADDRESS($B273+1,BS$230,1,1,"Actively Infected Trend")))</f>
        <v>#N/A</v>
      </c>
      <c r="BT273" s="14" t="e" cm="1">
        <f t="array" aca="1" ref="BT273" ca="1">IF(INDIRECT(ADDRESS($B273+1,BT$230,1,1,"Actively Infected Trend"))=0,#N/A,INDIRECT(ADDRESS($B273+1,BT$230,1,1,"Actively Infected Trend")))</f>
        <v>#N/A</v>
      </c>
      <c r="BU273" s="14" t="e" cm="1">
        <f t="array" aca="1" ref="BU273" ca="1">IF(INDIRECT(ADDRESS($B273+1,BU$230,1,1,"Actively Infected Trend"))=0,#N/A,INDIRECT(ADDRESS($B273+1,BU$230,1,1,"Actively Infected Trend")))</f>
        <v>#N/A</v>
      </c>
      <c r="BV273" s="14" t="e" cm="1">
        <f t="array" aca="1" ref="BV273" ca="1">IF(INDIRECT(ADDRESS($B273+1,BV$230,1,1,"Actively Infected Trend"))=0,#N/A,INDIRECT(ADDRESS($B273+1,BV$230,1,1,"Actively Infected Trend")))</f>
        <v>#N/A</v>
      </c>
      <c r="BW273" s="14" t="e" cm="1">
        <f t="array" aca="1" ref="BW273" ca="1">IF(INDIRECT(ADDRESS($B273+1,BW$230,1,1,"Actively Infected Trend"))=0,#N/A,INDIRECT(ADDRESS($B273+1,BW$230,1,1,"Actively Infected Trend")))</f>
        <v>#N/A</v>
      </c>
      <c r="BX273" s="14" t="e" cm="1">
        <f t="array" aca="1" ref="BX273" ca="1">IF(INDIRECT(ADDRESS($B273+1,BX$230,1,1,"Actively Infected Trend"))=0,#N/A,INDIRECT(ADDRESS($B273+1,BX$230,1,1,"Actively Infected Trend")))</f>
        <v>#N/A</v>
      </c>
      <c r="BY273" s="14" t="e" cm="1">
        <f t="array" aca="1" ref="BY273" ca="1">IF(INDIRECT(ADDRESS($B273+1,BY$230,1,1,"Actively Infected Trend"))=0,#N/A,INDIRECT(ADDRESS($B273+1,BY$230,1,1,"Actively Infected Trend")))</f>
        <v>#N/A</v>
      </c>
      <c r="BZ273" s="14" t="e" cm="1">
        <f t="array" aca="1" ref="BZ273" ca="1">IF(INDIRECT(ADDRESS($B273+1,BZ$230,1,1,"Actively Infected Trend"))=0,#N/A,INDIRECT(ADDRESS($B273+1,BZ$230,1,1,"Actively Infected Trend")))</f>
        <v>#N/A</v>
      </c>
      <c r="CA273" s="14" t="e" cm="1">
        <f t="array" aca="1" ref="CA273" ca="1">IF(INDIRECT(ADDRESS($B273+1,CA$230,1,1,"Actively Infected Trend"))=0,#N/A,INDIRECT(ADDRESS($B273+1,CA$230,1,1,"Actively Infected Trend")))</f>
        <v>#N/A</v>
      </c>
      <c r="CB273" s="14" t="e" cm="1">
        <f t="array" aca="1" ref="CB273" ca="1">IF(INDIRECT(ADDRESS($B273+1,CB$230,1,1,"Actively Infected Trend"))=0,#N/A,INDIRECT(ADDRESS($B273+1,CB$230,1,1,"Actively Infected Trend")))</f>
        <v>#N/A</v>
      </c>
      <c r="CC273" s="14" t="e" cm="1">
        <f t="array" aca="1" ref="CC273" ca="1">IF(INDIRECT(ADDRESS($B273+1,CC$230,1,1,"Actively Infected Trend"))=0,#N/A,INDIRECT(ADDRESS($B273+1,CC$230,1,1,"Actively Infected Trend")))</f>
        <v>#N/A</v>
      </c>
      <c r="CD273" s="14" t="e" cm="1">
        <f t="array" aca="1" ref="CD273" ca="1">IF(INDIRECT(ADDRESS($B273+1,CD$230,1,1,"Actively Infected Trend"))=0,#N/A,INDIRECT(ADDRESS($B273+1,CD$230,1,1,"Actively Infected Trend")))</f>
        <v>#N/A</v>
      </c>
      <c r="CE273" s="14" t="e" cm="1">
        <f t="array" aca="1" ref="CE273" ca="1">IF(INDIRECT(ADDRESS($B273+1,CE$230,1,1,"Actively Infected Trend"))=0,#N/A,INDIRECT(ADDRESS($B273+1,CE$230,1,1,"Actively Infected Trend")))</f>
        <v>#N/A</v>
      </c>
      <c r="CF273" s="14" t="e" cm="1">
        <f t="array" aca="1" ref="CF273" ca="1">IF(INDIRECT(ADDRESS($B273+1,CF$230,1,1,"Actively Infected Trend"))=0,#N/A,INDIRECT(ADDRESS($B273+1,CF$230,1,1,"Actively Infected Trend")))</f>
        <v>#N/A</v>
      </c>
      <c r="CG273" s="14" t="e" cm="1">
        <f t="array" aca="1" ref="CG273" ca="1">IF(INDIRECT(ADDRESS($B273+1,CG$230,1,1,"Actively Infected Trend"))=0,#N/A,INDIRECT(ADDRESS($B273+1,CG$230,1,1,"Actively Infected Trend")))</f>
        <v>#N/A</v>
      </c>
      <c r="CH273" s="14" t="e" cm="1">
        <f t="array" aca="1" ref="CH273" ca="1">IF(INDIRECT(ADDRESS($B273+1,CH$230,1,1,"Actively Infected Trend"))=0,#N/A,INDIRECT(ADDRESS($B273+1,CH$230,1,1,"Actively Infected Trend")))</f>
        <v>#N/A</v>
      </c>
      <c r="CI273" s="14" t="e" cm="1">
        <f t="array" aca="1" ref="CI273" ca="1">IF(INDIRECT(ADDRESS($B273+1,CI$230,1,1,"Actively Infected Trend"))=0,#N/A,INDIRECT(ADDRESS($B273+1,CI$230,1,1,"Actively Infected Trend")))</f>
        <v>#N/A</v>
      </c>
      <c r="CJ273" s="14" t="e" cm="1">
        <f t="array" aca="1" ref="CJ273" ca="1">IF(INDIRECT(ADDRESS($B273+1,CJ$230,1,1,"Actively Infected Trend"))=0,#N/A,INDIRECT(ADDRESS($B273+1,CJ$230,1,1,"Actively Infected Trend")))</f>
        <v>#N/A</v>
      </c>
      <c r="CK273" s="14" t="e" cm="1">
        <f t="array" aca="1" ref="CK273" ca="1">IF(INDIRECT(ADDRESS($B273+1,CK$230,1,1,"Actively Infected Trend"))=0,#N/A,INDIRECT(ADDRESS($B273+1,CK$230,1,1,"Actively Infected Trend")))</f>
        <v>#N/A</v>
      </c>
      <c r="CL273" s="14" t="e" cm="1">
        <f t="array" aca="1" ref="CL273" ca="1">IF(INDIRECT(ADDRESS($B273+1,CL$230,1,1,"Actively Infected Trend"))=0,#N/A,INDIRECT(ADDRESS($B273+1,CL$230,1,1,"Actively Infected Trend")))</f>
        <v>#N/A</v>
      </c>
      <c r="CM273" s="14" t="e" cm="1">
        <f t="array" aca="1" ref="CM273" ca="1">IF(INDIRECT(ADDRESS($B273+1,CM$230,1,1,"Actively Infected Trend"))=0,#N/A,INDIRECT(ADDRESS($B273+1,CM$230,1,1,"Actively Infected Trend")))</f>
        <v>#N/A</v>
      </c>
      <c r="CN273" s="14" t="e" cm="1">
        <f t="array" aca="1" ref="CN273" ca="1">IF(INDIRECT(ADDRESS($B273+1,CN$230,1,1,"Actively Infected Trend"))=0,#N/A,INDIRECT(ADDRESS($B273+1,CN$230,1,1,"Actively Infected Trend")))</f>
        <v>#N/A</v>
      </c>
      <c r="CO273" s="14" t="e" cm="1">
        <f t="array" aca="1" ref="CO273" ca="1">IF(INDIRECT(ADDRESS($B273+1,CO$230,1,1,"Actively Infected Trend"))=0,#N/A,INDIRECT(ADDRESS($B273+1,CO$230,1,1,"Actively Infected Trend")))</f>
        <v>#N/A</v>
      </c>
      <c r="CP273" s="14" t="e" cm="1">
        <f t="array" aca="1" ref="CP273" ca="1">IF(INDIRECT(ADDRESS($B273+1,CP$230,1,1,"Actively Infected Trend"))=0,#N/A,INDIRECT(ADDRESS($B273+1,CP$230,1,1,"Actively Infected Trend")))</f>
        <v>#N/A</v>
      </c>
      <c r="CQ273" s="14" t="e" cm="1">
        <f t="array" aca="1" ref="CQ273" ca="1">IF(INDIRECT(ADDRESS($B273+1,CQ$230,1,1,"Actively Infected Trend"))=0,#N/A,INDIRECT(ADDRESS($B273+1,CQ$230,1,1,"Actively Infected Trend")))</f>
        <v>#N/A</v>
      </c>
      <c r="CR273" s="14" t="e" cm="1">
        <f t="array" aca="1" ref="CR273" ca="1">IF(INDIRECT(ADDRESS($B273+1,CR$230,1,1,"Actively Infected Trend"))=0,#N/A,INDIRECT(ADDRESS($B273+1,CR$230,1,1,"Actively Infected Trend")))</f>
        <v>#N/A</v>
      </c>
    </row>
    <row r="274" spans="2:96" x14ac:dyDescent="0.25">
      <c r="B274">
        <f t="shared" si="349"/>
        <v>43</v>
      </c>
      <c r="C274" cm="1">
        <f t="array" aca="1" ref="C274" ca="1">INDIRECT(ADDRESS($B274+1,1,1,1,"Actively Infected Trend"))</f>
        <v>0</v>
      </c>
      <c r="E274" s="14" t="e" cm="1">
        <f t="array" aca="1" ref="E274" ca="1">IF(INDIRECT(ADDRESS($B274+1,E$230,1,1,"Actively Infected Trend"))=0,#N/A,INDIRECT(ADDRESS($B274+1,E$230,1,1,"Actively Infected Trend")))</f>
        <v>#N/A</v>
      </c>
      <c r="F274" s="14" t="e" cm="1">
        <f t="array" aca="1" ref="F274" ca="1">IF(INDIRECT(ADDRESS($B274+1,F$230,1,1,"Actively Infected Trend"))=0,#N/A,INDIRECT(ADDRESS($B274+1,F$230,1,1,"Actively Infected Trend")))</f>
        <v>#N/A</v>
      </c>
      <c r="G274" s="14" t="e" cm="1">
        <f t="array" aca="1" ref="G274" ca="1">IF(INDIRECT(ADDRESS($B274+1,G$230,1,1,"Actively Infected Trend"))=0,#N/A,INDIRECT(ADDRESS($B274+1,G$230,1,1,"Actively Infected Trend")))</f>
        <v>#N/A</v>
      </c>
      <c r="H274" s="14" t="e" cm="1">
        <f t="array" aca="1" ref="H274" ca="1">IF(INDIRECT(ADDRESS($B274+1,H$230,1,1,"Actively Infected Trend"))=0,#N/A,INDIRECT(ADDRESS($B274+1,H$230,1,1,"Actively Infected Trend")))</f>
        <v>#N/A</v>
      </c>
      <c r="I274" s="14" t="e" cm="1">
        <f t="array" aca="1" ref="I274" ca="1">IF(INDIRECT(ADDRESS($B274+1,I$230,1,1,"Actively Infected Trend"))=0,#N/A,INDIRECT(ADDRESS($B274+1,I$230,1,1,"Actively Infected Trend")))</f>
        <v>#N/A</v>
      </c>
      <c r="J274" s="14" t="e" cm="1">
        <f t="array" aca="1" ref="J274" ca="1">IF(INDIRECT(ADDRESS($B274+1,J$230,1,1,"Actively Infected Trend"))=0,#N/A,INDIRECT(ADDRESS($B274+1,J$230,1,1,"Actively Infected Trend")))</f>
        <v>#N/A</v>
      </c>
      <c r="K274" s="14" t="e" cm="1">
        <f t="array" aca="1" ref="K274" ca="1">IF(INDIRECT(ADDRESS($B274+1,K$230,1,1,"Actively Infected Trend"))=0,#N/A,INDIRECT(ADDRESS($B274+1,K$230,1,1,"Actively Infected Trend")))</f>
        <v>#N/A</v>
      </c>
      <c r="L274" s="14" t="e" cm="1">
        <f t="array" aca="1" ref="L274" ca="1">IF(INDIRECT(ADDRESS($B274+1,L$230,1,1,"Actively Infected Trend"))=0,#N/A,INDIRECT(ADDRESS($B274+1,L$230,1,1,"Actively Infected Trend")))</f>
        <v>#N/A</v>
      </c>
      <c r="M274" s="14" t="e" cm="1">
        <f t="array" aca="1" ref="M274" ca="1">IF(INDIRECT(ADDRESS($B274+1,M$230,1,1,"Actively Infected Trend"))=0,#N/A,INDIRECT(ADDRESS($B274+1,M$230,1,1,"Actively Infected Trend")))</f>
        <v>#N/A</v>
      </c>
      <c r="N274" s="14" t="e" cm="1">
        <f t="array" aca="1" ref="N274" ca="1">IF(INDIRECT(ADDRESS($B274+1,N$230,1,1,"Actively Infected Trend"))=0,#N/A,INDIRECT(ADDRESS($B274+1,N$230,1,1,"Actively Infected Trend")))</f>
        <v>#N/A</v>
      </c>
      <c r="O274" s="14" t="e" cm="1">
        <f t="array" aca="1" ref="O274" ca="1">IF(INDIRECT(ADDRESS($B274+1,O$230,1,1,"Actively Infected Trend"))=0,#N/A,INDIRECT(ADDRESS($B274+1,O$230,1,1,"Actively Infected Trend")))</f>
        <v>#N/A</v>
      </c>
      <c r="P274" s="14" t="e" cm="1">
        <f t="array" aca="1" ref="P274" ca="1">IF(INDIRECT(ADDRESS($B274+1,P$230,1,1,"Actively Infected Trend"))=0,#N/A,INDIRECT(ADDRESS($B274+1,P$230,1,1,"Actively Infected Trend")))</f>
        <v>#N/A</v>
      </c>
      <c r="Q274" s="14" t="e" cm="1">
        <f t="array" aca="1" ref="Q274" ca="1">IF(INDIRECT(ADDRESS($B274+1,Q$230,1,1,"Actively Infected Trend"))=0,#N/A,INDIRECT(ADDRESS($B274+1,Q$230,1,1,"Actively Infected Trend")))</f>
        <v>#N/A</v>
      </c>
      <c r="R274" s="14" t="e" cm="1">
        <f t="array" aca="1" ref="R274" ca="1">IF(INDIRECT(ADDRESS($B274+1,R$230,1,1,"Actively Infected Trend"))=0,#N/A,INDIRECT(ADDRESS($B274+1,R$230,1,1,"Actively Infected Trend")))</f>
        <v>#N/A</v>
      </c>
      <c r="S274" s="14" t="e" cm="1">
        <f t="array" aca="1" ref="S274" ca="1">IF(INDIRECT(ADDRESS($B274+1,S$230,1,1,"Actively Infected Trend"))=0,#N/A,INDIRECT(ADDRESS($B274+1,S$230,1,1,"Actively Infected Trend")))</f>
        <v>#N/A</v>
      </c>
      <c r="T274" s="14" t="e" cm="1">
        <f t="array" aca="1" ref="T274" ca="1">IF(INDIRECT(ADDRESS($B274+1,T$230,1,1,"Actively Infected Trend"))=0,#N/A,INDIRECT(ADDRESS($B274+1,T$230,1,1,"Actively Infected Trend")))</f>
        <v>#N/A</v>
      </c>
      <c r="U274" s="14" t="e" cm="1">
        <f t="array" aca="1" ref="U274" ca="1">IF(INDIRECT(ADDRESS($B274+1,U$230,1,1,"Actively Infected Trend"))=0,#N/A,INDIRECT(ADDRESS($B274+1,U$230,1,1,"Actively Infected Trend")))</f>
        <v>#N/A</v>
      </c>
      <c r="V274" s="14" t="e" cm="1">
        <f t="array" aca="1" ref="V274" ca="1">IF(INDIRECT(ADDRESS($B274+1,V$230,1,1,"Actively Infected Trend"))=0,#N/A,INDIRECT(ADDRESS($B274+1,V$230,1,1,"Actively Infected Trend")))</f>
        <v>#N/A</v>
      </c>
      <c r="W274" s="14" t="e" cm="1">
        <f t="array" aca="1" ref="W274" ca="1">IF(INDIRECT(ADDRESS($B274+1,W$230,1,1,"Actively Infected Trend"))=0,#N/A,INDIRECT(ADDRESS($B274+1,W$230,1,1,"Actively Infected Trend")))</f>
        <v>#N/A</v>
      </c>
      <c r="X274" s="14" t="e" cm="1">
        <f t="array" aca="1" ref="X274" ca="1">IF(INDIRECT(ADDRESS($B274+1,X$230,1,1,"Actively Infected Trend"))=0,#N/A,INDIRECT(ADDRESS($B274+1,X$230,1,1,"Actively Infected Trend")))</f>
        <v>#N/A</v>
      </c>
      <c r="Y274" s="14" t="e" cm="1">
        <f t="array" aca="1" ref="Y274" ca="1">IF(INDIRECT(ADDRESS($B274+1,Y$230,1,1,"Actively Infected Trend"))=0,#N/A,INDIRECT(ADDRESS($B274+1,Y$230,1,1,"Actively Infected Trend")))</f>
        <v>#N/A</v>
      </c>
      <c r="Z274" s="14" t="e" cm="1">
        <f t="array" aca="1" ref="Z274" ca="1">IF(INDIRECT(ADDRESS($B274+1,Z$230,1,1,"Actively Infected Trend"))=0,#N/A,INDIRECT(ADDRESS($B274+1,Z$230,1,1,"Actively Infected Trend")))</f>
        <v>#N/A</v>
      </c>
      <c r="AA274" s="14" t="e" cm="1">
        <f t="array" aca="1" ref="AA274" ca="1">IF(INDIRECT(ADDRESS($B274+1,AA$230,1,1,"Actively Infected Trend"))=0,#N/A,INDIRECT(ADDRESS($B274+1,AA$230,1,1,"Actively Infected Trend")))</f>
        <v>#N/A</v>
      </c>
      <c r="AB274" s="14" t="e" cm="1">
        <f t="array" aca="1" ref="AB274" ca="1">IF(INDIRECT(ADDRESS($B274+1,AB$230,1,1,"Actively Infected Trend"))=0,#N/A,INDIRECT(ADDRESS($B274+1,AB$230,1,1,"Actively Infected Trend")))</f>
        <v>#N/A</v>
      </c>
      <c r="AC274" s="14" t="e" cm="1">
        <f t="array" aca="1" ref="AC274" ca="1">IF(INDIRECT(ADDRESS($B274+1,AC$230,1,1,"Actively Infected Trend"))=0,#N/A,INDIRECT(ADDRESS($B274+1,AC$230,1,1,"Actively Infected Trend")))</f>
        <v>#N/A</v>
      </c>
      <c r="AD274" s="14" t="e" cm="1">
        <f t="array" aca="1" ref="AD274" ca="1">IF(INDIRECT(ADDRESS($B274+1,AD$230,1,1,"Actively Infected Trend"))=0,#N/A,INDIRECT(ADDRESS($B274+1,AD$230,1,1,"Actively Infected Trend")))</f>
        <v>#N/A</v>
      </c>
      <c r="AE274" s="14" t="e" cm="1">
        <f t="array" aca="1" ref="AE274" ca="1">IF(INDIRECT(ADDRESS($B274+1,AE$230,1,1,"Actively Infected Trend"))=0,#N/A,INDIRECT(ADDRESS($B274+1,AE$230,1,1,"Actively Infected Trend")))</f>
        <v>#N/A</v>
      </c>
      <c r="AF274" s="14" t="e" cm="1">
        <f t="array" aca="1" ref="AF274" ca="1">IF(INDIRECT(ADDRESS($B274+1,AF$230,1,1,"Actively Infected Trend"))=0,#N/A,INDIRECT(ADDRESS($B274+1,AF$230,1,1,"Actively Infected Trend")))</f>
        <v>#N/A</v>
      </c>
      <c r="AG274" s="14" t="e" cm="1">
        <f t="array" aca="1" ref="AG274" ca="1">IF(INDIRECT(ADDRESS($B274+1,AG$230,1,1,"Actively Infected Trend"))=0,#N/A,INDIRECT(ADDRESS($B274+1,AG$230,1,1,"Actively Infected Trend")))</f>
        <v>#N/A</v>
      </c>
      <c r="AH274" s="14" t="e" cm="1">
        <f t="array" aca="1" ref="AH274" ca="1">IF(INDIRECT(ADDRESS($B274+1,AH$230,1,1,"Actively Infected Trend"))=0,#N/A,INDIRECT(ADDRESS($B274+1,AH$230,1,1,"Actively Infected Trend")))</f>
        <v>#N/A</v>
      </c>
      <c r="AI274" s="14" t="e" cm="1">
        <f t="array" aca="1" ref="AI274" ca="1">IF(INDIRECT(ADDRESS($B274+1,AI$230,1,1,"Actively Infected Trend"))=0,#N/A,INDIRECT(ADDRESS($B274+1,AI$230,1,1,"Actively Infected Trend")))</f>
        <v>#N/A</v>
      </c>
      <c r="AJ274" s="14" t="e" cm="1">
        <f t="array" aca="1" ref="AJ274" ca="1">IF(INDIRECT(ADDRESS($B274+1,AJ$230,1,1,"Actively Infected Trend"))=0,#N/A,INDIRECT(ADDRESS($B274+1,AJ$230,1,1,"Actively Infected Trend")))</f>
        <v>#N/A</v>
      </c>
      <c r="AK274" s="14" t="e" cm="1">
        <f t="array" aca="1" ref="AK274" ca="1">IF(INDIRECT(ADDRESS($B274+1,AK$230,1,1,"Actively Infected Trend"))=0,#N/A,INDIRECT(ADDRESS($B274+1,AK$230,1,1,"Actively Infected Trend")))</f>
        <v>#N/A</v>
      </c>
      <c r="AL274" s="14" t="e" cm="1">
        <f t="array" aca="1" ref="AL274" ca="1">IF(INDIRECT(ADDRESS($B274+1,AL$230,1,1,"Actively Infected Trend"))=0,#N/A,INDIRECT(ADDRESS($B274+1,AL$230,1,1,"Actively Infected Trend")))</f>
        <v>#N/A</v>
      </c>
      <c r="AM274" s="14" t="e" cm="1">
        <f t="array" aca="1" ref="AM274" ca="1">IF(INDIRECT(ADDRESS($B274+1,AM$230,1,1,"Actively Infected Trend"))=0,#N/A,INDIRECT(ADDRESS($B274+1,AM$230,1,1,"Actively Infected Trend")))</f>
        <v>#N/A</v>
      </c>
      <c r="AN274" s="14" t="e" cm="1">
        <f t="array" aca="1" ref="AN274" ca="1">IF(INDIRECT(ADDRESS($B274+1,AN$230,1,1,"Actively Infected Trend"))=0,#N/A,INDIRECT(ADDRESS($B274+1,AN$230,1,1,"Actively Infected Trend")))</f>
        <v>#N/A</v>
      </c>
      <c r="AO274" s="14" t="e" cm="1">
        <f t="array" aca="1" ref="AO274" ca="1">IF(INDIRECT(ADDRESS($B274+1,AO$230,1,1,"Actively Infected Trend"))=0,#N/A,INDIRECT(ADDRESS($B274+1,AO$230,1,1,"Actively Infected Trend")))</f>
        <v>#N/A</v>
      </c>
      <c r="AP274" s="14" t="e" cm="1">
        <f t="array" aca="1" ref="AP274" ca="1">IF(INDIRECT(ADDRESS($B274+1,AP$230,1,1,"Actively Infected Trend"))=0,#N/A,INDIRECT(ADDRESS($B274+1,AP$230,1,1,"Actively Infected Trend")))</f>
        <v>#N/A</v>
      </c>
      <c r="AQ274" s="14" t="e" cm="1">
        <f t="array" aca="1" ref="AQ274" ca="1">IF(INDIRECT(ADDRESS($B274+1,AQ$230,1,1,"Actively Infected Trend"))=0,#N/A,INDIRECT(ADDRESS($B274+1,AQ$230,1,1,"Actively Infected Trend")))</f>
        <v>#N/A</v>
      </c>
      <c r="AR274" s="14" t="e" cm="1">
        <f t="array" aca="1" ref="AR274" ca="1">IF(INDIRECT(ADDRESS($B274+1,AR$230,1,1,"Actively Infected Trend"))=0,#N/A,INDIRECT(ADDRESS($B274+1,AR$230,1,1,"Actively Infected Trend")))</f>
        <v>#N/A</v>
      </c>
      <c r="AS274" s="14" t="e" cm="1">
        <f t="array" aca="1" ref="AS274" ca="1">IF(INDIRECT(ADDRESS($B274+1,AS$230,1,1,"Actively Infected Trend"))=0,#N/A,INDIRECT(ADDRESS($B274+1,AS$230,1,1,"Actively Infected Trend")))</f>
        <v>#N/A</v>
      </c>
      <c r="AT274" s="14" t="e" cm="1">
        <f t="array" aca="1" ref="AT274" ca="1">IF(INDIRECT(ADDRESS($B274+1,AT$230,1,1,"Actively Infected Trend"))=0,#N/A,INDIRECT(ADDRESS($B274+1,AT$230,1,1,"Actively Infected Trend")))</f>
        <v>#N/A</v>
      </c>
      <c r="AU274" s="14" t="e" cm="1">
        <f t="array" aca="1" ref="AU274" ca="1">IF(INDIRECT(ADDRESS($B274+1,AU$230,1,1,"Actively Infected Trend"))=0,#N/A,INDIRECT(ADDRESS($B274+1,AU$230,1,1,"Actively Infected Trend")))</f>
        <v>#N/A</v>
      </c>
      <c r="AV274" s="14" t="e" cm="1">
        <f t="array" aca="1" ref="AV274" ca="1">IF(INDIRECT(ADDRESS($B274+1,AV$230,1,1,"Actively Infected Trend"))=0,#N/A,INDIRECT(ADDRESS($B274+1,AV$230,1,1,"Actively Infected Trend")))</f>
        <v>#N/A</v>
      </c>
      <c r="AW274" s="14" t="e" cm="1">
        <f t="array" aca="1" ref="AW274" ca="1">IF(INDIRECT(ADDRESS($B274+1,AW$230,1,1,"Actively Infected Trend"))=0,#N/A,INDIRECT(ADDRESS($B274+1,AW$230,1,1,"Actively Infected Trend")))</f>
        <v>#N/A</v>
      </c>
      <c r="AX274" s="14" t="e" cm="1">
        <f t="array" aca="1" ref="AX274" ca="1">IF(INDIRECT(ADDRESS($B274+1,AX$230,1,1,"Actively Infected Trend"))=0,#N/A,INDIRECT(ADDRESS($B274+1,AX$230,1,1,"Actively Infected Trend")))</f>
        <v>#N/A</v>
      </c>
      <c r="AY274" s="14" t="e" cm="1">
        <f t="array" aca="1" ref="AY274" ca="1">IF(INDIRECT(ADDRESS($B274+1,AY$230,1,1,"Actively Infected Trend"))=0,#N/A,INDIRECT(ADDRESS($B274+1,AY$230,1,1,"Actively Infected Trend")))</f>
        <v>#N/A</v>
      </c>
      <c r="AZ274" s="14" t="e" cm="1">
        <f t="array" aca="1" ref="AZ274" ca="1">IF(INDIRECT(ADDRESS($B274+1,AZ$230,1,1,"Actively Infected Trend"))=0,#N/A,INDIRECT(ADDRESS($B274+1,AZ$230,1,1,"Actively Infected Trend")))</f>
        <v>#N/A</v>
      </c>
      <c r="BA274" s="14" t="e" cm="1">
        <f t="array" aca="1" ref="BA274" ca="1">IF(INDIRECT(ADDRESS($B274+1,BA$230,1,1,"Actively Infected Trend"))=0,#N/A,INDIRECT(ADDRESS($B274+1,BA$230,1,1,"Actively Infected Trend")))</f>
        <v>#N/A</v>
      </c>
      <c r="BB274" s="14" t="e" cm="1">
        <f t="array" aca="1" ref="BB274" ca="1">IF(INDIRECT(ADDRESS($B274+1,BB$230,1,1,"Actively Infected Trend"))=0,#N/A,INDIRECT(ADDRESS($B274+1,BB$230,1,1,"Actively Infected Trend")))</f>
        <v>#N/A</v>
      </c>
      <c r="BC274" s="14" t="e" cm="1">
        <f t="array" aca="1" ref="BC274" ca="1">IF(INDIRECT(ADDRESS($B274+1,BC$230,1,1,"Actively Infected Trend"))=0,#N/A,INDIRECT(ADDRESS($B274+1,BC$230,1,1,"Actively Infected Trend")))</f>
        <v>#N/A</v>
      </c>
      <c r="BD274" s="14" t="e" cm="1">
        <f t="array" aca="1" ref="BD274" ca="1">IF(INDIRECT(ADDRESS($B274+1,BD$230,1,1,"Actively Infected Trend"))=0,#N/A,INDIRECT(ADDRESS($B274+1,BD$230,1,1,"Actively Infected Trend")))</f>
        <v>#N/A</v>
      </c>
      <c r="BE274" s="14" t="e" cm="1">
        <f t="array" aca="1" ref="BE274" ca="1">IF(INDIRECT(ADDRESS($B274+1,BE$230,1,1,"Actively Infected Trend"))=0,#N/A,INDIRECT(ADDRESS($B274+1,BE$230,1,1,"Actively Infected Trend")))</f>
        <v>#N/A</v>
      </c>
      <c r="BF274" s="14" t="e" cm="1">
        <f t="array" aca="1" ref="BF274" ca="1">IF(INDIRECT(ADDRESS($B274+1,BF$230,1,1,"Actively Infected Trend"))=0,#N/A,INDIRECT(ADDRESS($B274+1,BF$230,1,1,"Actively Infected Trend")))</f>
        <v>#N/A</v>
      </c>
      <c r="BG274" s="14" t="e" cm="1">
        <f t="array" aca="1" ref="BG274" ca="1">IF(INDIRECT(ADDRESS($B274+1,BG$230,1,1,"Actively Infected Trend"))=0,#N/A,INDIRECT(ADDRESS($B274+1,BG$230,1,1,"Actively Infected Trend")))</f>
        <v>#N/A</v>
      </c>
      <c r="BH274" s="14" t="e" cm="1">
        <f t="array" aca="1" ref="BH274" ca="1">IF(INDIRECT(ADDRESS($B274+1,BH$230,1,1,"Actively Infected Trend"))=0,#N/A,INDIRECT(ADDRESS($B274+1,BH$230,1,1,"Actively Infected Trend")))</f>
        <v>#N/A</v>
      </c>
      <c r="BI274" s="14" t="e" cm="1">
        <f t="array" aca="1" ref="BI274" ca="1">IF(INDIRECT(ADDRESS($B274+1,BI$230,1,1,"Actively Infected Trend"))=0,#N/A,INDIRECT(ADDRESS($B274+1,BI$230,1,1,"Actively Infected Trend")))</f>
        <v>#N/A</v>
      </c>
      <c r="BJ274" s="14" t="e" cm="1">
        <f t="array" aca="1" ref="BJ274" ca="1">IF(INDIRECT(ADDRESS($B274+1,BJ$230,1,1,"Actively Infected Trend"))=0,#N/A,INDIRECT(ADDRESS($B274+1,BJ$230,1,1,"Actively Infected Trend")))</f>
        <v>#N/A</v>
      </c>
      <c r="BK274" s="14" t="e" cm="1">
        <f t="array" aca="1" ref="BK274" ca="1">IF(INDIRECT(ADDRESS($B274+1,BK$230,1,1,"Actively Infected Trend"))=0,#N/A,INDIRECT(ADDRESS($B274+1,BK$230,1,1,"Actively Infected Trend")))</f>
        <v>#N/A</v>
      </c>
      <c r="BL274" s="14" t="e" cm="1">
        <f t="array" aca="1" ref="BL274" ca="1">IF(INDIRECT(ADDRESS($B274+1,BL$230,1,1,"Actively Infected Trend"))=0,#N/A,INDIRECT(ADDRESS($B274+1,BL$230,1,1,"Actively Infected Trend")))</f>
        <v>#N/A</v>
      </c>
      <c r="BM274" s="14" t="e" cm="1">
        <f t="array" aca="1" ref="BM274" ca="1">IF(INDIRECT(ADDRESS($B274+1,BM$230,1,1,"Actively Infected Trend"))=0,#N/A,INDIRECT(ADDRESS($B274+1,BM$230,1,1,"Actively Infected Trend")))</f>
        <v>#N/A</v>
      </c>
      <c r="BN274" s="14" t="e" cm="1">
        <f t="array" aca="1" ref="BN274" ca="1">IF(INDIRECT(ADDRESS($B274+1,BN$230,1,1,"Actively Infected Trend"))=0,#N/A,INDIRECT(ADDRESS($B274+1,BN$230,1,1,"Actively Infected Trend")))</f>
        <v>#N/A</v>
      </c>
      <c r="BO274" s="14" t="e" cm="1">
        <f t="array" aca="1" ref="BO274" ca="1">IF(INDIRECT(ADDRESS($B274+1,BO$230,1,1,"Actively Infected Trend"))=0,#N/A,INDIRECT(ADDRESS($B274+1,BO$230,1,1,"Actively Infected Trend")))</f>
        <v>#N/A</v>
      </c>
      <c r="BP274" s="14" t="e" cm="1">
        <f t="array" aca="1" ref="BP274" ca="1">IF(INDIRECT(ADDRESS($B274+1,BP$230,1,1,"Actively Infected Trend"))=0,#N/A,INDIRECT(ADDRESS($B274+1,BP$230,1,1,"Actively Infected Trend")))</f>
        <v>#N/A</v>
      </c>
      <c r="BQ274" s="14" t="e" cm="1">
        <f t="array" aca="1" ref="BQ274" ca="1">IF(INDIRECT(ADDRESS($B274+1,BQ$230,1,1,"Actively Infected Trend"))=0,#N/A,INDIRECT(ADDRESS($B274+1,BQ$230,1,1,"Actively Infected Trend")))</f>
        <v>#N/A</v>
      </c>
      <c r="BR274" s="14" t="e" cm="1">
        <f t="array" aca="1" ref="BR274" ca="1">IF(INDIRECT(ADDRESS($B274+1,BR$230,1,1,"Actively Infected Trend"))=0,#N/A,INDIRECT(ADDRESS($B274+1,BR$230,1,1,"Actively Infected Trend")))</f>
        <v>#N/A</v>
      </c>
      <c r="BS274" s="14" t="e" cm="1">
        <f t="array" aca="1" ref="BS274" ca="1">IF(INDIRECT(ADDRESS($B274+1,BS$230,1,1,"Actively Infected Trend"))=0,#N/A,INDIRECT(ADDRESS($B274+1,BS$230,1,1,"Actively Infected Trend")))</f>
        <v>#N/A</v>
      </c>
      <c r="BT274" s="14" t="e" cm="1">
        <f t="array" aca="1" ref="BT274" ca="1">IF(INDIRECT(ADDRESS($B274+1,BT$230,1,1,"Actively Infected Trend"))=0,#N/A,INDIRECT(ADDRESS($B274+1,BT$230,1,1,"Actively Infected Trend")))</f>
        <v>#N/A</v>
      </c>
      <c r="BU274" s="14" t="e" cm="1">
        <f t="array" aca="1" ref="BU274" ca="1">IF(INDIRECT(ADDRESS($B274+1,BU$230,1,1,"Actively Infected Trend"))=0,#N/A,INDIRECT(ADDRESS($B274+1,BU$230,1,1,"Actively Infected Trend")))</f>
        <v>#N/A</v>
      </c>
      <c r="BV274" s="14" t="e" cm="1">
        <f t="array" aca="1" ref="BV274" ca="1">IF(INDIRECT(ADDRESS($B274+1,BV$230,1,1,"Actively Infected Trend"))=0,#N/A,INDIRECT(ADDRESS($B274+1,BV$230,1,1,"Actively Infected Trend")))</f>
        <v>#N/A</v>
      </c>
      <c r="BW274" s="14" t="e" cm="1">
        <f t="array" aca="1" ref="BW274" ca="1">IF(INDIRECT(ADDRESS($B274+1,BW$230,1,1,"Actively Infected Trend"))=0,#N/A,INDIRECT(ADDRESS($B274+1,BW$230,1,1,"Actively Infected Trend")))</f>
        <v>#N/A</v>
      </c>
      <c r="BX274" s="14" t="e" cm="1">
        <f t="array" aca="1" ref="BX274" ca="1">IF(INDIRECT(ADDRESS($B274+1,BX$230,1,1,"Actively Infected Trend"))=0,#N/A,INDIRECT(ADDRESS($B274+1,BX$230,1,1,"Actively Infected Trend")))</f>
        <v>#N/A</v>
      </c>
      <c r="BY274" s="14" t="e" cm="1">
        <f t="array" aca="1" ref="BY274" ca="1">IF(INDIRECT(ADDRESS($B274+1,BY$230,1,1,"Actively Infected Trend"))=0,#N/A,INDIRECT(ADDRESS($B274+1,BY$230,1,1,"Actively Infected Trend")))</f>
        <v>#N/A</v>
      </c>
      <c r="BZ274" s="14" t="e" cm="1">
        <f t="array" aca="1" ref="BZ274" ca="1">IF(INDIRECT(ADDRESS($B274+1,BZ$230,1,1,"Actively Infected Trend"))=0,#N/A,INDIRECT(ADDRESS($B274+1,BZ$230,1,1,"Actively Infected Trend")))</f>
        <v>#N/A</v>
      </c>
      <c r="CA274" s="14" t="e" cm="1">
        <f t="array" aca="1" ref="CA274" ca="1">IF(INDIRECT(ADDRESS($B274+1,CA$230,1,1,"Actively Infected Trend"))=0,#N/A,INDIRECT(ADDRESS($B274+1,CA$230,1,1,"Actively Infected Trend")))</f>
        <v>#N/A</v>
      </c>
      <c r="CB274" s="14" t="e" cm="1">
        <f t="array" aca="1" ref="CB274" ca="1">IF(INDIRECT(ADDRESS($B274+1,CB$230,1,1,"Actively Infected Trend"))=0,#N/A,INDIRECT(ADDRESS($B274+1,CB$230,1,1,"Actively Infected Trend")))</f>
        <v>#N/A</v>
      </c>
      <c r="CC274" s="14" t="e" cm="1">
        <f t="array" aca="1" ref="CC274" ca="1">IF(INDIRECT(ADDRESS($B274+1,CC$230,1,1,"Actively Infected Trend"))=0,#N/A,INDIRECT(ADDRESS($B274+1,CC$230,1,1,"Actively Infected Trend")))</f>
        <v>#N/A</v>
      </c>
      <c r="CD274" s="14" t="e" cm="1">
        <f t="array" aca="1" ref="CD274" ca="1">IF(INDIRECT(ADDRESS($B274+1,CD$230,1,1,"Actively Infected Trend"))=0,#N/A,INDIRECT(ADDRESS($B274+1,CD$230,1,1,"Actively Infected Trend")))</f>
        <v>#N/A</v>
      </c>
      <c r="CE274" s="14" t="e" cm="1">
        <f t="array" aca="1" ref="CE274" ca="1">IF(INDIRECT(ADDRESS($B274+1,CE$230,1,1,"Actively Infected Trend"))=0,#N/A,INDIRECT(ADDRESS($B274+1,CE$230,1,1,"Actively Infected Trend")))</f>
        <v>#N/A</v>
      </c>
      <c r="CF274" s="14" t="e" cm="1">
        <f t="array" aca="1" ref="CF274" ca="1">IF(INDIRECT(ADDRESS($B274+1,CF$230,1,1,"Actively Infected Trend"))=0,#N/A,INDIRECT(ADDRESS($B274+1,CF$230,1,1,"Actively Infected Trend")))</f>
        <v>#N/A</v>
      </c>
      <c r="CG274" s="14" t="e" cm="1">
        <f t="array" aca="1" ref="CG274" ca="1">IF(INDIRECT(ADDRESS($B274+1,CG$230,1,1,"Actively Infected Trend"))=0,#N/A,INDIRECT(ADDRESS($B274+1,CG$230,1,1,"Actively Infected Trend")))</f>
        <v>#N/A</v>
      </c>
      <c r="CH274" s="14" t="e" cm="1">
        <f t="array" aca="1" ref="CH274" ca="1">IF(INDIRECT(ADDRESS($B274+1,CH$230,1,1,"Actively Infected Trend"))=0,#N/A,INDIRECT(ADDRESS($B274+1,CH$230,1,1,"Actively Infected Trend")))</f>
        <v>#N/A</v>
      </c>
      <c r="CI274" s="14" t="e" cm="1">
        <f t="array" aca="1" ref="CI274" ca="1">IF(INDIRECT(ADDRESS($B274+1,CI$230,1,1,"Actively Infected Trend"))=0,#N/A,INDIRECT(ADDRESS($B274+1,CI$230,1,1,"Actively Infected Trend")))</f>
        <v>#N/A</v>
      </c>
      <c r="CJ274" s="14" t="e" cm="1">
        <f t="array" aca="1" ref="CJ274" ca="1">IF(INDIRECT(ADDRESS($B274+1,CJ$230,1,1,"Actively Infected Trend"))=0,#N/A,INDIRECT(ADDRESS($B274+1,CJ$230,1,1,"Actively Infected Trend")))</f>
        <v>#N/A</v>
      </c>
      <c r="CK274" s="14" t="e" cm="1">
        <f t="array" aca="1" ref="CK274" ca="1">IF(INDIRECT(ADDRESS($B274+1,CK$230,1,1,"Actively Infected Trend"))=0,#N/A,INDIRECT(ADDRESS($B274+1,CK$230,1,1,"Actively Infected Trend")))</f>
        <v>#N/A</v>
      </c>
      <c r="CL274" s="14" t="e" cm="1">
        <f t="array" aca="1" ref="CL274" ca="1">IF(INDIRECT(ADDRESS($B274+1,CL$230,1,1,"Actively Infected Trend"))=0,#N/A,INDIRECT(ADDRESS($B274+1,CL$230,1,1,"Actively Infected Trend")))</f>
        <v>#N/A</v>
      </c>
      <c r="CM274" s="14" t="e" cm="1">
        <f t="array" aca="1" ref="CM274" ca="1">IF(INDIRECT(ADDRESS($B274+1,CM$230,1,1,"Actively Infected Trend"))=0,#N/A,INDIRECT(ADDRESS($B274+1,CM$230,1,1,"Actively Infected Trend")))</f>
        <v>#N/A</v>
      </c>
      <c r="CN274" s="14" t="e" cm="1">
        <f t="array" aca="1" ref="CN274" ca="1">IF(INDIRECT(ADDRESS($B274+1,CN$230,1,1,"Actively Infected Trend"))=0,#N/A,INDIRECT(ADDRESS($B274+1,CN$230,1,1,"Actively Infected Trend")))</f>
        <v>#N/A</v>
      </c>
      <c r="CO274" s="14" t="e" cm="1">
        <f t="array" aca="1" ref="CO274" ca="1">IF(INDIRECT(ADDRESS($B274+1,CO$230,1,1,"Actively Infected Trend"))=0,#N/A,INDIRECT(ADDRESS($B274+1,CO$230,1,1,"Actively Infected Trend")))</f>
        <v>#N/A</v>
      </c>
      <c r="CP274" s="14" t="e" cm="1">
        <f t="array" aca="1" ref="CP274" ca="1">IF(INDIRECT(ADDRESS($B274+1,CP$230,1,1,"Actively Infected Trend"))=0,#N/A,INDIRECT(ADDRESS($B274+1,CP$230,1,1,"Actively Infected Trend")))</f>
        <v>#N/A</v>
      </c>
      <c r="CQ274" s="14" t="e" cm="1">
        <f t="array" aca="1" ref="CQ274" ca="1">IF(INDIRECT(ADDRESS($B274+1,CQ$230,1,1,"Actively Infected Trend"))=0,#N/A,INDIRECT(ADDRESS($B274+1,CQ$230,1,1,"Actively Infected Trend")))</f>
        <v>#N/A</v>
      </c>
      <c r="CR274" s="14" t="e" cm="1">
        <f t="array" aca="1" ref="CR274" ca="1">IF(INDIRECT(ADDRESS($B274+1,CR$230,1,1,"Actively Infected Trend"))=0,#N/A,INDIRECT(ADDRESS($B274+1,CR$230,1,1,"Actively Infected Trend")))</f>
        <v>#N/A</v>
      </c>
    </row>
    <row r="275" spans="2:96" x14ac:dyDescent="0.25">
      <c r="B275">
        <f t="shared" si="349"/>
        <v>44</v>
      </c>
      <c r="C275" cm="1">
        <f t="array" aca="1" ref="C275" ca="1">INDIRECT(ADDRESS($B275+1,1,1,1,"Actively Infected Trend"))</f>
        <v>0</v>
      </c>
      <c r="E275" s="14" t="e" cm="1">
        <f t="array" aca="1" ref="E275" ca="1">IF(INDIRECT(ADDRESS($B275+1,E$230,1,1,"Actively Infected Trend"))=0,#N/A,INDIRECT(ADDRESS($B275+1,E$230,1,1,"Actively Infected Trend")))</f>
        <v>#N/A</v>
      </c>
      <c r="F275" s="14" t="e" cm="1">
        <f t="array" aca="1" ref="F275" ca="1">IF(INDIRECT(ADDRESS($B275+1,F$230,1,1,"Actively Infected Trend"))=0,#N/A,INDIRECT(ADDRESS($B275+1,F$230,1,1,"Actively Infected Trend")))</f>
        <v>#N/A</v>
      </c>
      <c r="G275" s="14" t="e" cm="1">
        <f t="array" aca="1" ref="G275" ca="1">IF(INDIRECT(ADDRESS($B275+1,G$230,1,1,"Actively Infected Trend"))=0,#N/A,INDIRECT(ADDRESS($B275+1,G$230,1,1,"Actively Infected Trend")))</f>
        <v>#N/A</v>
      </c>
      <c r="H275" s="14" t="e" cm="1">
        <f t="array" aca="1" ref="H275" ca="1">IF(INDIRECT(ADDRESS($B275+1,H$230,1,1,"Actively Infected Trend"))=0,#N/A,INDIRECT(ADDRESS($B275+1,H$230,1,1,"Actively Infected Trend")))</f>
        <v>#N/A</v>
      </c>
      <c r="I275" s="14" t="e" cm="1">
        <f t="array" aca="1" ref="I275" ca="1">IF(INDIRECT(ADDRESS($B275+1,I$230,1,1,"Actively Infected Trend"))=0,#N/A,INDIRECT(ADDRESS($B275+1,I$230,1,1,"Actively Infected Trend")))</f>
        <v>#N/A</v>
      </c>
      <c r="J275" s="14" t="e" cm="1">
        <f t="array" aca="1" ref="J275" ca="1">IF(INDIRECT(ADDRESS($B275+1,J$230,1,1,"Actively Infected Trend"))=0,#N/A,INDIRECT(ADDRESS($B275+1,J$230,1,1,"Actively Infected Trend")))</f>
        <v>#N/A</v>
      </c>
      <c r="K275" s="14" t="e" cm="1">
        <f t="array" aca="1" ref="K275" ca="1">IF(INDIRECT(ADDRESS($B275+1,K$230,1,1,"Actively Infected Trend"))=0,#N/A,INDIRECT(ADDRESS($B275+1,K$230,1,1,"Actively Infected Trend")))</f>
        <v>#N/A</v>
      </c>
      <c r="L275" s="14" t="e" cm="1">
        <f t="array" aca="1" ref="L275" ca="1">IF(INDIRECT(ADDRESS($B275+1,L$230,1,1,"Actively Infected Trend"))=0,#N/A,INDIRECT(ADDRESS($B275+1,L$230,1,1,"Actively Infected Trend")))</f>
        <v>#N/A</v>
      </c>
      <c r="M275" s="14" t="e" cm="1">
        <f t="array" aca="1" ref="M275" ca="1">IF(INDIRECT(ADDRESS($B275+1,M$230,1,1,"Actively Infected Trend"))=0,#N/A,INDIRECT(ADDRESS($B275+1,M$230,1,1,"Actively Infected Trend")))</f>
        <v>#N/A</v>
      </c>
      <c r="N275" s="14" t="e" cm="1">
        <f t="array" aca="1" ref="N275" ca="1">IF(INDIRECT(ADDRESS($B275+1,N$230,1,1,"Actively Infected Trend"))=0,#N/A,INDIRECT(ADDRESS($B275+1,N$230,1,1,"Actively Infected Trend")))</f>
        <v>#N/A</v>
      </c>
      <c r="O275" s="14" t="e" cm="1">
        <f t="array" aca="1" ref="O275" ca="1">IF(INDIRECT(ADDRESS($B275+1,O$230,1,1,"Actively Infected Trend"))=0,#N/A,INDIRECT(ADDRESS($B275+1,O$230,1,1,"Actively Infected Trend")))</f>
        <v>#N/A</v>
      </c>
      <c r="P275" s="14" t="e" cm="1">
        <f t="array" aca="1" ref="P275" ca="1">IF(INDIRECT(ADDRESS($B275+1,P$230,1,1,"Actively Infected Trend"))=0,#N/A,INDIRECT(ADDRESS($B275+1,P$230,1,1,"Actively Infected Trend")))</f>
        <v>#N/A</v>
      </c>
      <c r="Q275" s="14" t="e" cm="1">
        <f t="array" aca="1" ref="Q275" ca="1">IF(INDIRECT(ADDRESS($B275+1,Q$230,1,1,"Actively Infected Trend"))=0,#N/A,INDIRECT(ADDRESS($B275+1,Q$230,1,1,"Actively Infected Trend")))</f>
        <v>#N/A</v>
      </c>
      <c r="R275" s="14" t="e" cm="1">
        <f t="array" aca="1" ref="R275" ca="1">IF(INDIRECT(ADDRESS($B275+1,R$230,1,1,"Actively Infected Trend"))=0,#N/A,INDIRECT(ADDRESS($B275+1,R$230,1,1,"Actively Infected Trend")))</f>
        <v>#N/A</v>
      </c>
      <c r="S275" s="14" t="e" cm="1">
        <f t="array" aca="1" ref="S275" ca="1">IF(INDIRECT(ADDRESS($B275+1,S$230,1,1,"Actively Infected Trend"))=0,#N/A,INDIRECT(ADDRESS($B275+1,S$230,1,1,"Actively Infected Trend")))</f>
        <v>#N/A</v>
      </c>
      <c r="T275" s="14" t="e" cm="1">
        <f t="array" aca="1" ref="T275" ca="1">IF(INDIRECT(ADDRESS($B275+1,T$230,1,1,"Actively Infected Trend"))=0,#N/A,INDIRECT(ADDRESS($B275+1,T$230,1,1,"Actively Infected Trend")))</f>
        <v>#N/A</v>
      </c>
      <c r="U275" s="14" t="e" cm="1">
        <f t="array" aca="1" ref="U275" ca="1">IF(INDIRECT(ADDRESS($B275+1,U$230,1,1,"Actively Infected Trend"))=0,#N/A,INDIRECT(ADDRESS($B275+1,U$230,1,1,"Actively Infected Trend")))</f>
        <v>#N/A</v>
      </c>
      <c r="V275" s="14" t="e" cm="1">
        <f t="array" aca="1" ref="V275" ca="1">IF(INDIRECT(ADDRESS($B275+1,V$230,1,1,"Actively Infected Trend"))=0,#N/A,INDIRECT(ADDRESS($B275+1,V$230,1,1,"Actively Infected Trend")))</f>
        <v>#N/A</v>
      </c>
      <c r="W275" s="14" t="e" cm="1">
        <f t="array" aca="1" ref="W275" ca="1">IF(INDIRECT(ADDRESS($B275+1,W$230,1,1,"Actively Infected Trend"))=0,#N/A,INDIRECT(ADDRESS($B275+1,W$230,1,1,"Actively Infected Trend")))</f>
        <v>#N/A</v>
      </c>
      <c r="X275" s="14" t="e" cm="1">
        <f t="array" aca="1" ref="X275" ca="1">IF(INDIRECT(ADDRESS($B275+1,X$230,1,1,"Actively Infected Trend"))=0,#N/A,INDIRECT(ADDRESS($B275+1,X$230,1,1,"Actively Infected Trend")))</f>
        <v>#N/A</v>
      </c>
      <c r="Y275" s="14" t="e" cm="1">
        <f t="array" aca="1" ref="Y275" ca="1">IF(INDIRECT(ADDRESS($B275+1,Y$230,1,1,"Actively Infected Trend"))=0,#N/A,INDIRECT(ADDRESS($B275+1,Y$230,1,1,"Actively Infected Trend")))</f>
        <v>#N/A</v>
      </c>
      <c r="Z275" s="14" t="e" cm="1">
        <f t="array" aca="1" ref="Z275" ca="1">IF(INDIRECT(ADDRESS($B275+1,Z$230,1,1,"Actively Infected Trend"))=0,#N/A,INDIRECT(ADDRESS($B275+1,Z$230,1,1,"Actively Infected Trend")))</f>
        <v>#N/A</v>
      </c>
      <c r="AA275" s="14" t="e" cm="1">
        <f t="array" aca="1" ref="AA275" ca="1">IF(INDIRECT(ADDRESS($B275+1,AA$230,1,1,"Actively Infected Trend"))=0,#N/A,INDIRECT(ADDRESS($B275+1,AA$230,1,1,"Actively Infected Trend")))</f>
        <v>#N/A</v>
      </c>
      <c r="AB275" s="14" t="e" cm="1">
        <f t="array" aca="1" ref="AB275" ca="1">IF(INDIRECT(ADDRESS($B275+1,AB$230,1,1,"Actively Infected Trend"))=0,#N/A,INDIRECT(ADDRESS($B275+1,AB$230,1,1,"Actively Infected Trend")))</f>
        <v>#N/A</v>
      </c>
      <c r="AC275" s="14" t="e" cm="1">
        <f t="array" aca="1" ref="AC275" ca="1">IF(INDIRECT(ADDRESS($B275+1,AC$230,1,1,"Actively Infected Trend"))=0,#N/A,INDIRECT(ADDRESS($B275+1,AC$230,1,1,"Actively Infected Trend")))</f>
        <v>#N/A</v>
      </c>
      <c r="AD275" s="14" t="e" cm="1">
        <f t="array" aca="1" ref="AD275" ca="1">IF(INDIRECT(ADDRESS($B275+1,AD$230,1,1,"Actively Infected Trend"))=0,#N/A,INDIRECT(ADDRESS($B275+1,AD$230,1,1,"Actively Infected Trend")))</f>
        <v>#N/A</v>
      </c>
      <c r="AE275" s="14" t="e" cm="1">
        <f t="array" aca="1" ref="AE275" ca="1">IF(INDIRECT(ADDRESS($B275+1,AE$230,1,1,"Actively Infected Trend"))=0,#N/A,INDIRECT(ADDRESS($B275+1,AE$230,1,1,"Actively Infected Trend")))</f>
        <v>#N/A</v>
      </c>
      <c r="AF275" s="14" t="e" cm="1">
        <f t="array" aca="1" ref="AF275" ca="1">IF(INDIRECT(ADDRESS($B275+1,AF$230,1,1,"Actively Infected Trend"))=0,#N/A,INDIRECT(ADDRESS($B275+1,AF$230,1,1,"Actively Infected Trend")))</f>
        <v>#N/A</v>
      </c>
      <c r="AG275" s="14" t="e" cm="1">
        <f t="array" aca="1" ref="AG275" ca="1">IF(INDIRECT(ADDRESS($B275+1,AG$230,1,1,"Actively Infected Trend"))=0,#N/A,INDIRECT(ADDRESS($B275+1,AG$230,1,1,"Actively Infected Trend")))</f>
        <v>#N/A</v>
      </c>
      <c r="AH275" s="14" t="e" cm="1">
        <f t="array" aca="1" ref="AH275" ca="1">IF(INDIRECT(ADDRESS($B275+1,AH$230,1,1,"Actively Infected Trend"))=0,#N/A,INDIRECT(ADDRESS($B275+1,AH$230,1,1,"Actively Infected Trend")))</f>
        <v>#N/A</v>
      </c>
      <c r="AI275" s="14" t="e" cm="1">
        <f t="array" aca="1" ref="AI275" ca="1">IF(INDIRECT(ADDRESS($B275+1,AI$230,1,1,"Actively Infected Trend"))=0,#N/A,INDIRECT(ADDRESS($B275+1,AI$230,1,1,"Actively Infected Trend")))</f>
        <v>#N/A</v>
      </c>
      <c r="AJ275" s="14" t="e" cm="1">
        <f t="array" aca="1" ref="AJ275" ca="1">IF(INDIRECT(ADDRESS($B275+1,AJ$230,1,1,"Actively Infected Trend"))=0,#N/A,INDIRECT(ADDRESS($B275+1,AJ$230,1,1,"Actively Infected Trend")))</f>
        <v>#N/A</v>
      </c>
      <c r="AK275" s="14" t="e" cm="1">
        <f t="array" aca="1" ref="AK275" ca="1">IF(INDIRECT(ADDRESS($B275+1,AK$230,1,1,"Actively Infected Trend"))=0,#N/A,INDIRECT(ADDRESS($B275+1,AK$230,1,1,"Actively Infected Trend")))</f>
        <v>#N/A</v>
      </c>
      <c r="AL275" s="14" t="e" cm="1">
        <f t="array" aca="1" ref="AL275" ca="1">IF(INDIRECT(ADDRESS($B275+1,AL$230,1,1,"Actively Infected Trend"))=0,#N/A,INDIRECT(ADDRESS($B275+1,AL$230,1,1,"Actively Infected Trend")))</f>
        <v>#N/A</v>
      </c>
      <c r="AM275" s="14" t="e" cm="1">
        <f t="array" aca="1" ref="AM275" ca="1">IF(INDIRECT(ADDRESS($B275+1,AM$230,1,1,"Actively Infected Trend"))=0,#N/A,INDIRECT(ADDRESS($B275+1,AM$230,1,1,"Actively Infected Trend")))</f>
        <v>#N/A</v>
      </c>
      <c r="AN275" s="14" t="e" cm="1">
        <f t="array" aca="1" ref="AN275" ca="1">IF(INDIRECT(ADDRESS($B275+1,AN$230,1,1,"Actively Infected Trend"))=0,#N/A,INDIRECT(ADDRESS($B275+1,AN$230,1,1,"Actively Infected Trend")))</f>
        <v>#N/A</v>
      </c>
      <c r="AO275" s="14" t="e" cm="1">
        <f t="array" aca="1" ref="AO275" ca="1">IF(INDIRECT(ADDRESS($B275+1,AO$230,1,1,"Actively Infected Trend"))=0,#N/A,INDIRECT(ADDRESS($B275+1,AO$230,1,1,"Actively Infected Trend")))</f>
        <v>#N/A</v>
      </c>
      <c r="AP275" s="14" t="e" cm="1">
        <f t="array" aca="1" ref="AP275" ca="1">IF(INDIRECT(ADDRESS($B275+1,AP$230,1,1,"Actively Infected Trend"))=0,#N/A,INDIRECT(ADDRESS($B275+1,AP$230,1,1,"Actively Infected Trend")))</f>
        <v>#N/A</v>
      </c>
      <c r="AQ275" s="14" t="e" cm="1">
        <f t="array" aca="1" ref="AQ275" ca="1">IF(INDIRECT(ADDRESS($B275+1,AQ$230,1,1,"Actively Infected Trend"))=0,#N/A,INDIRECT(ADDRESS($B275+1,AQ$230,1,1,"Actively Infected Trend")))</f>
        <v>#N/A</v>
      </c>
      <c r="AR275" s="14" t="e" cm="1">
        <f t="array" aca="1" ref="AR275" ca="1">IF(INDIRECT(ADDRESS($B275+1,AR$230,1,1,"Actively Infected Trend"))=0,#N/A,INDIRECT(ADDRESS($B275+1,AR$230,1,1,"Actively Infected Trend")))</f>
        <v>#N/A</v>
      </c>
      <c r="AS275" s="14" t="e" cm="1">
        <f t="array" aca="1" ref="AS275" ca="1">IF(INDIRECT(ADDRESS($B275+1,AS$230,1,1,"Actively Infected Trend"))=0,#N/A,INDIRECT(ADDRESS($B275+1,AS$230,1,1,"Actively Infected Trend")))</f>
        <v>#N/A</v>
      </c>
      <c r="AT275" s="14" t="e" cm="1">
        <f t="array" aca="1" ref="AT275" ca="1">IF(INDIRECT(ADDRESS($B275+1,AT$230,1,1,"Actively Infected Trend"))=0,#N/A,INDIRECT(ADDRESS($B275+1,AT$230,1,1,"Actively Infected Trend")))</f>
        <v>#N/A</v>
      </c>
      <c r="AU275" s="14" t="e" cm="1">
        <f t="array" aca="1" ref="AU275" ca="1">IF(INDIRECT(ADDRESS($B275+1,AU$230,1,1,"Actively Infected Trend"))=0,#N/A,INDIRECT(ADDRESS($B275+1,AU$230,1,1,"Actively Infected Trend")))</f>
        <v>#N/A</v>
      </c>
      <c r="AV275" s="14" t="e" cm="1">
        <f t="array" aca="1" ref="AV275" ca="1">IF(INDIRECT(ADDRESS($B275+1,AV$230,1,1,"Actively Infected Trend"))=0,#N/A,INDIRECT(ADDRESS($B275+1,AV$230,1,1,"Actively Infected Trend")))</f>
        <v>#N/A</v>
      </c>
      <c r="AW275" s="14" t="e" cm="1">
        <f t="array" aca="1" ref="AW275" ca="1">IF(INDIRECT(ADDRESS($B275+1,AW$230,1,1,"Actively Infected Trend"))=0,#N/A,INDIRECT(ADDRESS($B275+1,AW$230,1,1,"Actively Infected Trend")))</f>
        <v>#N/A</v>
      </c>
      <c r="AX275" s="14" t="e" cm="1">
        <f t="array" aca="1" ref="AX275" ca="1">IF(INDIRECT(ADDRESS($B275+1,AX$230,1,1,"Actively Infected Trend"))=0,#N/A,INDIRECT(ADDRESS($B275+1,AX$230,1,1,"Actively Infected Trend")))</f>
        <v>#N/A</v>
      </c>
      <c r="AY275" s="14" t="e" cm="1">
        <f t="array" aca="1" ref="AY275" ca="1">IF(INDIRECT(ADDRESS($B275+1,AY$230,1,1,"Actively Infected Trend"))=0,#N/A,INDIRECT(ADDRESS($B275+1,AY$230,1,1,"Actively Infected Trend")))</f>
        <v>#N/A</v>
      </c>
      <c r="AZ275" s="14" t="e" cm="1">
        <f t="array" aca="1" ref="AZ275" ca="1">IF(INDIRECT(ADDRESS($B275+1,AZ$230,1,1,"Actively Infected Trend"))=0,#N/A,INDIRECT(ADDRESS($B275+1,AZ$230,1,1,"Actively Infected Trend")))</f>
        <v>#N/A</v>
      </c>
      <c r="BA275" s="14" t="e" cm="1">
        <f t="array" aca="1" ref="BA275" ca="1">IF(INDIRECT(ADDRESS($B275+1,BA$230,1,1,"Actively Infected Trend"))=0,#N/A,INDIRECT(ADDRESS($B275+1,BA$230,1,1,"Actively Infected Trend")))</f>
        <v>#N/A</v>
      </c>
      <c r="BB275" s="14" t="e" cm="1">
        <f t="array" aca="1" ref="BB275" ca="1">IF(INDIRECT(ADDRESS($B275+1,BB$230,1,1,"Actively Infected Trend"))=0,#N/A,INDIRECT(ADDRESS($B275+1,BB$230,1,1,"Actively Infected Trend")))</f>
        <v>#N/A</v>
      </c>
      <c r="BC275" s="14" t="e" cm="1">
        <f t="array" aca="1" ref="BC275" ca="1">IF(INDIRECT(ADDRESS($B275+1,BC$230,1,1,"Actively Infected Trend"))=0,#N/A,INDIRECT(ADDRESS($B275+1,BC$230,1,1,"Actively Infected Trend")))</f>
        <v>#N/A</v>
      </c>
      <c r="BD275" s="14" t="e" cm="1">
        <f t="array" aca="1" ref="BD275" ca="1">IF(INDIRECT(ADDRESS($B275+1,BD$230,1,1,"Actively Infected Trend"))=0,#N/A,INDIRECT(ADDRESS($B275+1,BD$230,1,1,"Actively Infected Trend")))</f>
        <v>#N/A</v>
      </c>
      <c r="BE275" s="14" t="e" cm="1">
        <f t="array" aca="1" ref="BE275" ca="1">IF(INDIRECT(ADDRESS($B275+1,BE$230,1,1,"Actively Infected Trend"))=0,#N/A,INDIRECT(ADDRESS($B275+1,BE$230,1,1,"Actively Infected Trend")))</f>
        <v>#N/A</v>
      </c>
      <c r="BF275" s="14" t="e" cm="1">
        <f t="array" aca="1" ref="BF275" ca="1">IF(INDIRECT(ADDRESS($B275+1,BF$230,1,1,"Actively Infected Trend"))=0,#N/A,INDIRECT(ADDRESS($B275+1,BF$230,1,1,"Actively Infected Trend")))</f>
        <v>#N/A</v>
      </c>
      <c r="BG275" s="14" t="e" cm="1">
        <f t="array" aca="1" ref="BG275" ca="1">IF(INDIRECT(ADDRESS($B275+1,BG$230,1,1,"Actively Infected Trend"))=0,#N/A,INDIRECT(ADDRESS($B275+1,BG$230,1,1,"Actively Infected Trend")))</f>
        <v>#N/A</v>
      </c>
      <c r="BH275" s="14" t="e" cm="1">
        <f t="array" aca="1" ref="BH275" ca="1">IF(INDIRECT(ADDRESS($B275+1,BH$230,1,1,"Actively Infected Trend"))=0,#N/A,INDIRECT(ADDRESS($B275+1,BH$230,1,1,"Actively Infected Trend")))</f>
        <v>#N/A</v>
      </c>
      <c r="BI275" s="14" t="e" cm="1">
        <f t="array" aca="1" ref="BI275" ca="1">IF(INDIRECT(ADDRESS($B275+1,BI$230,1,1,"Actively Infected Trend"))=0,#N/A,INDIRECT(ADDRESS($B275+1,BI$230,1,1,"Actively Infected Trend")))</f>
        <v>#N/A</v>
      </c>
      <c r="BJ275" s="14" t="e" cm="1">
        <f t="array" aca="1" ref="BJ275" ca="1">IF(INDIRECT(ADDRESS($B275+1,BJ$230,1,1,"Actively Infected Trend"))=0,#N/A,INDIRECT(ADDRESS($B275+1,BJ$230,1,1,"Actively Infected Trend")))</f>
        <v>#N/A</v>
      </c>
      <c r="BK275" s="14" t="e" cm="1">
        <f t="array" aca="1" ref="BK275" ca="1">IF(INDIRECT(ADDRESS($B275+1,BK$230,1,1,"Actively Infected Trend"))=0,#N/A,INDIRECT(ADDRESS($B275+1,BK$230,1,1,"Actively Infected Trend")))</f>
        <v>#N/A</v>
      </c>
      <c r="BL275" s="14" t="e" cm="1">
        <f t="array" aca="1" ref="BL275" ca="1">IF(INDIRECT(ADDRESS($B275+1,BL$230,1,1,"Actively Infected Trend"))=0,#N/A,INDIRECT(ADDRESS($B275+1,BL$230,1,1,"Actively Infected Trend")))</f>
        <v>#N/A</v>
      </c>
      <c r="BM275" s="14" t="e" cm="1">
        <f t="array" aca="1" ref="BM275" ca="1">IF(INDIRECT(ADDRESS($B275+1,BM$230,1,1,"Actively Infected Trend"))=0,#N/A,INDIRECT(ADDRESS($B275+1,BM$230,1,1,"Actively Infected Trend")))</f>
        <v>#N/A</v>
      </c>
      <c r="BN275" s="14" t="e" cm="1">
        <f t="array" aca="1" ref="BN275" ca="1">IF(INDIRECT(ADDRESS($B275+1,BN$230,1,1,"Actively Infected Trend"))=0,#N/A,INDIRECT(ADDRESS($B275+1,BN$230,1,1,"Actively Infected Trend")))</f>
        <v>#N/A</v>
      </c>
      <c r="BO275" s="14" t="e" cm="1">
        <f t="array" aca="1" ref="BO275" ca="1">IF(INDIRECT(ADDRESS($B275+1,BO$230,1,1,"Actively Infected Trend"))=0,#N/A,INDIRECT(ADDRESS($B275+1,BO$230,1,1,"Actively Infected Trend")))</f>
        <v>#N/A</v>
      </c>
      <c r="BP275" s="14" t="e" cm="1">
        <f t="array" aca="1" ref="BP275" ca="1">IF(INDIRECT(ADDRESS($B275+1,BP$230,1,1,"Actively Infected Trend"))=0,#N/A,INDIRECT(ADDRESS($B275+1,BP$230,1,1,"Actively Infected Trend")))</f>
        <v>#N/A</v>
      </c>
      <c r="BQ275" s="14" t="e" cm="1">
        <f t="array" aca="1" ref="BQ275" ca="1">IF(INDIRECT(ADDRESS($B275+1,BQ$230,1,1,"Actively Infected Trend"))=0,#N/A,INDIRECT(ADDRESS($B275+1,BQ$230,1,1,"Actively Infected Trend")))</f>
        <v>#N/A</v>
      </c>
      <c r="BR275" s="14" t="e" cm="1">
        <f t="array" aca="1" ref="BR275" ca="1">IF(INDIRECT(ADDRESS($B275+1,BR$230,1,1,"Actively Infected Trend"))=0,#N/A,INDIRECT(ADDRESS($B275+1,BR$230,1,1,"Actively Infected Trend")))</f>
        <v>#N/A</v>
      </c>
      <c r="BS275" s="14" t="e" cm="1">
        <f t="array" aca="1" ref="BS275" ca="1">IF(INDIRECT(ADDRESS($B275+1,BS$230,1,1,"Actively Infected Trend"))=0,#N/A,INDIRECT(ADDRESS($B275+1,BS$230,1,1,"Actively Infected Trend")))</f>
        <v>#N/A</v>
      </c>
      <c r="BT275" s="14" t="e" cm="1">
        <f t="array" aca="1" ref="BT275" ca="1">IF(INDIRECT(ADDRESS($B275+1,BT$230,1,1,"Actively Infected Trend"))=0,#N/A,INDIRECT(ADDRESS($B275+1,BT$230,1,1,"Actively Infected Trend")))</f>
        <v>#N/A</v>
      </c>
      <c r="BU275" s="14" t="e" cm="1">
        <f t="array" aca="1" ref="BU275" ca="1">IF(INDIRECT(ADDRESS($B275+1,BU$230,1,1,"Actively Infected Trend"))=0,#N/A,INDIRECT(ADDRESS($B275+1,BU$230,1,1,"Actively Infected Trend")))</f>
        <v>#N/A</v>
      </c>
      <c r="BV275" s="14" t="e" cm="1">
        <f t="array" aca="1" ref="BV275" ca="1">IF(INDIRECT(ADDRESS($B275+1,BV$230,1,1,"Actively Infected Trend"))=0,#N/A,INDIRECT(ADDRESS($B275+1,BV$230,1,1,"Actively Infected Trend")))</f>
        <v>#N/A</v>
      </c>
      <c r="BW275" s="14" t="e" cm="1">
        <f t="array" aca="1" ref="BW275" ca="1">IF(INDIRECT(ADDRESS($B275+1,BW$230,1,1,"Actively Infected Trend"))=0,#N/A,INDIRECT(ADDRESS($B275+1,BW$230,1,1,"Actively Infected Trend")))</f>
        <v>#N/A</v>
      </c>
      <c r="BX275" s="14" t="e" cm="1">
        <f t="array" aca="1" ref="BX275" ca="1">IF(INDIRECT(ADDRESS($B275+1,BX$230,1,1,"Actively Infected Trend"))=0,#N/A,INDIRECT(ADDRESS($B275+1,BX$230,1,1,"Actively Infected Trend")))</f>
        <v>#N/A</v>
      </c>
      <c r="BY275" s="14" t="e" cm="1">
        <f t="array" aca="1" ref="BY275" ca="1">IF(INDIRECT(ADDRESS($B275+1,BY$230,1,1,"Actively Infected Trend"))=0,#N/A,INDIRECT(ADDRESS($B275+1,BY$230,1,1,"Actively Infected Trend")))</f>
        <v>#N/A</v>
      </c>
      <c r="BZ275" s="14" t="e" cm="1">
        <f t="array" aca="1" ref="BZ275" ca="1">IF(INDIRECT(ADDRESS($B275+1,BZ$230,1,1,"Actively Infected Trend"))=0,#N/A,INDIRECT(ADDRESS($B275+1,BZ$230,1,1,"Actively Infected Trend")))</f>
        <v>#N/A</v>
      </c>
      <c r="CA275" s="14" t="e" cm="1">
        <f t="array" aca="1" ref="CA275" ca="1">IF(INDIRECT(ADDRESS($B275+1,CA$230,1,1,"Actively Infected Trend"))=0,#N/A,INDIRECT(ADDRESS($B275+1,CA$230,1,1,"Actively Infected Trend")))</f>
        <v>#N/A</v>
      </c>
      <c r="CB275" s="14" t="e" cm="1">
        <f t="array" aca="1" ref="CB275" ca="1">IF(INDIRECT(ADDRESS($B275+1,CB$230,1,1,"Actively Infected Trend"))=0,#N/A,INDIRECT(ADDRESS($B275+1,CB$230,1,1,"Actively Infected Trend")))</f>
        <v>#N/A</v>
      </c>
      <c r="CC275" s="14" t="e" cm="1">
        <f t="array" aca="1" ref="CC275" ca="1">IF(INDIRECT(ADDRESS($B275+1,CC$230,1,1,"Actively Infected Trend"))=0,#N/A,INDIRECT(ADDRESS($B275+1,CC$230,1,1,"Actively Infected Trend")))</f>
        <v>#N/A</v>
      </c>
      <c r="CD275" s="14" t="e" cm="1">
        <f t="array" aca="1" ref="CD275" ca="1">IF(INDIRECT(ADDRESS($B275+1,CD$230,1,1,"Actively Infected Trend"))=0,#N/A,INDIRECT(ADDRESS($B275+1,CD$230,1,1,"Actively Infected Trend")))</f>
        <v>#N/A</v>
      </c>
      <c r="CE275" s="14" t="e" cm="1">
        <f t="array" aca="1" ref="CE275" ca="1">IF(INDIRECT(ADDRESS($B275+1,CE$230,1,1,"Actively Infected Trend"))=0,#N/A,INDIRECT(ADDRESS($B275+1,CE$230,1,1,"Actively Infected Trend")))</f>
        <v>#N/A</v>
      </c>
      <c r="CF275" s="14" t="e" cm="1">
        <f t="array" aca="1" ref="CF275" ca="1">IF(INDIRECT(ADDRESS($B275+1,CF$230,1,1,"Actively Infected Trend"))=0,#N/A,INDIRECT(ADDRESS($B275+1,CF$230,1,1,"Actively Infected Trend")))</f>
        <v>#N/A</v>
      </c>
      <c r="CG275" s="14" t="e" cm="1">
        <f t="array" aca="1" ref="CG275" ca="1">IF(INDIRECT(ADDRESS($B275+1,CG$230,1,1,"Actively Infected Trend"))=0,#N/A,INDIRECT(ADDRESS($B275+1,CG$230,1,1,"Actively Infected Trend")))</f>
        <v>#N/A</v>
      </c>
      <c r="CH275" s="14" t="e" cm="1">
        <f t="array" aca="1" ref="CH275" ca="1">IF(INDIRECT(ADDRESS($B275+1,CH$230,1,1,"Actively Infected Trend"))=0,#N/A,INDIRECT(ADDRESS($B275+1,CH$230,1,1,"Actively Infected Trend")))</f>
        <v>#N/A</v>
      </c>
      <c r="CI275" s="14" t="e" cm="1">
        <f t="array" aca="1" ref="CI275" ca="1">IF(INDIRECT(ADDRESS($B275+1,CI$230,1,1,"Actively Infected Trend"))=0,#N/A,INDIRECT(ADDRESS($B275+1,CI$230,1,1,"Actively Infected Trend")))</f>
        <v>#N/A</v>
      </c>
      <c r="CJ275" s="14" t="e" cm="1">
        <f t="array" aca="1" ref="CJ275" ca="1">IF(INDIRECT(ADDRESS($B275+1,CJ$230,1,1,"Actively Infected Trend"))=0,#N/A,INDIRECT(ADDRESS($B275+1,CJ$230,1,1,"Actively Infected Trend")))</f>
        <v>#N/A</v>
      </c>
      <c r="CK275" s="14" t="e" cm="1">
        <f t="array" aca="1" ref="CK275" ca="1">IF(INDIRECT(ADDRESS($B275+1,CK$230,1,1,"Actively Infected Trend"))=0,#N/A,INDIRECT(ADDRESS($B275+1,CK$230,1,1,"Actively Infected Trend")))</f>
        <v>#N/A</v>
      </c>
      <c r="CL275" s="14" t="e" cm="1">
        <f t="array" aca="1" ref="CL275" ca="1">IF(INDIRECT(ADDRESS($B275+1,CL$230,1,1,"Actively Infected Trend"))=0,#N/A,INDIRECT(ADDRESS($B275+1,CL$230,1,1,"Actively Infected Trend")))</f>
        <v>#N/A</v>
      </c>
      <c r="CM275" s="14" t="e" cm="1">
        <f t="array" aca="1" ref="CM275" ca="1">IF(INDIRECT(ADDRESS($B275+1,CM$230,1,1,"Actively Infected Trend"))=0,#N/A,INDIRECT(ADDRESS($B275+1,CM$230,1,1,"Actively Infected Trend")))</f>
        <v>#N/A</v>
      </c>
      <c r="CN275" s="14" t="e" cm="1">
        <f t="array" aca="1" ref="CN275" ca="1">IF(INDIRECT(ADDRESS($B275+1,CN$230,1,1,"Actively Infected Trend"))=0,#N/A,INDIRECT(ADDRESS($B275+1,CN$230,1,1,"Actively Infected Trend")))</f>
        <v>#N/A</v>
      </c>
      <c r="CO275" s="14" t="e" cm="1">
        <f t="array" aca="1" ref="CO275" ca="1">IF(INDIRECT(ADDRESS($B275+1,CO$230,1,1,"Actively Infected Trend"))=0,#N/A,INDIRECT(ADDRESS($B275+1,CO$230,1,1,"Actively Infected Trend")))</f>
        <v>#N/A</v>
      </c>
      <c r="CP275" s="14" t="e" cm="1">
        <f t="array" aca="1" ref="CP275" ca="1">IF(INDIRECT(ADDRESS($B275+1,CP$230,1,1,"Actively Infected Trend"))=0,#N/A,INDIRECT(ADDRESS($B275+1,CP$230,1,1,"Actively Infected Trend")))</f>
        <v>#N/A</v>
      </c>
      <c r="CQ275" s="14" t="e" cm="1">
        <f t="array" aca="1" ref="CQ275" ca="1">IF(INDIRECT(ADDRESS($B275+1,CQ$230,1,1,"Actively Infected Trend"))=0,#N/A,INDIRECT(ADDRESS($B275+1,CQ$230,1,1,"Actively Infected Trend")))</f>
        <v>#N/A</v>
      </c>
      <c r="CR275" s="14" t="e" cm="1">
        <f t="array" aca="1" ref="CR275" ca="1">IF(INDIRECT(ADDRESS($B275+1,CR$230,1,1,"Actively Infected Trend"))=0,#N/A,INDIRECT(ADDRESS($B275+1,CR$230,1,1,"Actively Infected Trend")))</f>
        <v>#N/A</v>
      </c>
    </row>
    <row r="276" spans="2:96" x14ac:dyDescent="0.25">
      <c r="B276">
        <f t="shared" si="349"/>
        <v>45</v>
      </c>
      <c r="C276" cm="1">
        <f t="array" aca="1" ref="C276" ca="1">INDIRECT(ADDRESS($B276+1,1,1,1,"Actively Infected Trend"))</f>
        <v>0</v>
      </c>
      <c r="E276" s="14" t="e" cm="1">
        <f t="array" aca="1" ref="E276" ca="1">IF(INDIRECT(ADDRESS($B276+1,E$230,1,1,"Actively Infected Trend"))=0,#N/A,INDIRECT(ADDRESS($B276+1,E$230,1,1,"Actively Infected Trend")))</f>
        <v>#N/A</v>
      </c>
      <c r="F276" s="14" t="e" cm="1">
        <f t="array" aca="1" ref="F276" ca="1">IF(INDIRECT(ADDRESS($B276+1,F$230,1,1,"Actively Infected Trend"))=0,#N/A,INDIRECT(ADDRESS($B276+1,F$230,1,1,"Actively Infected Trend")))</f>
        <v>#N/A</v>
      </c>
      <c r="G276" s="14" t="e" cm="1">
        <f t="array" aca="1" ref="G276" ca="1">IF(INDIRECT(ADDRESS($B276+1,G$230,1,1,"Actively Infected Trend"))=0,#N/A,INDIRECT(ADDRESS($B276+1,G$230,1,1,"Actively Infected Trend")))</f>
        <v>#N/A</v>
      </c>
      <c r="H276" s="14" t="e" cm="1">
        <f t="array" aca="1" ref="H276" ca="1">IF(INDIRECT(ADDRESS($B276+1,H$230,1,1,"Actively Infected Trend"))=0,#N/A,INDIRECT(ADDRESS($B276+1,H$230,1,1,"Actively Infected Trend")))</f>
        <v>#N/A</v>
      </c>
      <c r="I276" s="14" t="e" cm="1">
        <f t="array" aca="1" ref="I276" ca="1">IF(INDIRECT(ADDRESS($B276+1,I$230,1,1,"Actively Infected Trend"))=0,#N/A,INDIRECT(ADDRESS($B276+1,I$230,1,1,"Actively Infected Trend")))</f>
        <v>#N/A</v>
      </c>
      <c r="J276" s="14" t="e" cm="1">
        <f t="array" aca="1" ref="J276" ca="1">IF(INDIRECT(ADDRESS($B276+1,J$230,1,1,"Actively Infected Trend"))=0,#N/A,INDIRECT(ADDRESS($B276+1,J$230,1,1,"Actively Infected Trend")))</f>
        <v>#N/A</v>
      </c>
      <c r="K276" s="14" t="e" cm="1">
        <f t="array" aca="1" ref="K276" ca="1">IF(INDIRECT(ADDRESS($B276+1,K$230,1,1,"Actively Infected Trend"))=0,#N/A,INDIRECT(ADDRESS($B276+1,K$230,1,1,"Actively Infected Trend")))</f>
        <v>#N/A</v>
      </c>
      <c r="L276" s="14" t="e" cm="1">
        <f t="array" aca="1" ref="L276" ca="1">IF(INDIRECT(ADDRESS($B276+1,L$230,1,1,"Actively Infected Trend"))=0,#N/A,INDIRECT(ADDRESS($B276+1,L$230,1,1,"Actively Infected Trend")))</f>
        <v>#N/A</v>
      </c>
      <c r="M276" s="14" t="e" cm="1">
        <f t="array" aca="1" ref="M276" ca="1">IF(INDIRECT(ADDRESS($B276+1,M$230,1,1,"Actively Infected Trend"))=0,#N/A,INDIRECT(ADDRESS($B276+1,M$230,1,1,"Actively Infected Trend")))</f>
        <v>#N/A</v>
      </c>
      <c r="N276" s="14" t="e" cm="1">
        <f t="array" aca="1" ref="N276" ca="1">IF(INDIRECT(ADDRESS($B276+1,N$230,1,1,"Actively Infected Trend"))=0,#N/A,INDIRECT(ADDRESS($B276+1,N$230,1,1,"Actively Infected Trend")))</f>
        <v>#N/A</v>
      </c>
      <c r="O276" s="14" t="e" cm="1">
        <f t="array" aca="1" ref="O276" ca="1">IF(INDIRECT(ADDRESS($B276+1,O$230,1,1,"Actively Infected Trend"))=0,#N/A,INDIRECT(ADDRESS($B276+1,O$230,1,1,"Actively Infected Trend")))</f>
        <v>#N/A</v>
      </c>
      <c r="P276" s="14" t="e" cm="1">
        <f t="array" aca="1" ref="P276" ca="1">IF(INDIRECT(ADDRESS($B276+1,P$230,1,1,"Actively Infected Trend"))=0,#N/A,INDIRECT(ADDRESS($B276+1,P$230,1,1,"Actively Infected Trend")))</f>
        <v>#N/A</v>
      </c>
      <c r="Q276" s="14" t="e" cm="1">
        <f t="array" aca="1" ref="Q276" ca="1">IF(INDIRECT(ADDRESS($B276+1,Q$230,1,1,"Actively Infected Trend"))=0,#N/A,INDIRECT(ADDRESS($B276+1,Q$230,1,1,"Actively Infected Trend")))</f>
        <v>#N/A</v>
      </c>
      <c r="R276" s="14" t="e" cm="1">
        <f t="array" aca="1" ref="R276" ca="1">IF(INDIRECT(ADDRESS($B276+1,R$230,1,1,"Actively Infected Trend"))=0,#N/A,INDIRECT(ADDRESS($B276+1,R$230,1,1,"Actively Infected Trend")))</f>
        <v>#N/A</v>
      </c>
      <c r="S276" s="14" t="e" cm="1">
        <f t="array" aca="1" ref="S276" ca="1">IF(INDIRECT(ADDRESS($B276+1,S$230,1,1,"Actively Infected Trend"))=0,#N/A,INDIRECT(ADDRESS($B276+1,S$230,1,1,"Actively Infected Trend")))</f>
        <v>#N/A</v>
      </c>
      <c r="T276" s="14" t="e" cm="1">
        <f t="array" aca="1" ref="T276" ca="1">IF(INDIRECT(ADDRESS($B276+1,T$230,1,1,"Actively Infected Trend"))=0,#N/A,INDIRECT(ADDRESS($B276+1,T$230,1,1,"Actively Infected Trend")))</f>
        <v>#N/A</v>
      </c>
      <c r="U276" s="14" t="e" cm="1">
        <f t="array" aca="1" ref="U276" ca="1">IF(INDIRECT(ADDRESS($B276+1,U$230,1,1,"Actively Infected Trend"))=0,#N/A,INDIRECT(ADDRESS($B276+1,U$230,1,1,"Actively Infected Trend")))</f>
        <v>#N/A</v>
      </c>
      <c r="V276" s="14" t="e" cm="1">
        <f t="array" aca="1" ref="V276" ca="1">IF(INDIRECT(ADDRESS($B276+1,V$230,1,1,"Actively Infected Trend"))=0,#N/A,INDIRECT(ADDRESS($B276+1,V$230,1,1,"Actively Infected Trend")))</f>
        <v>#N/A</v>
      </c>
      <c r="W276" s="14" t="e" cm="1">
        <f t="array" aca="1" ref="W276" ca="1">IF(INDIRECT(ADDRESS($B276+1,W$230,1,1,"Actively Infected Trend"))=0,#N/A,INDIRECT(ADDRESS($B276+1,W$230,1,1,"Actively Infected Trend")))</f>
        <v>#N/A</v>
      </c>
      <c r="X276" s="14" t="e" cm="1">
        <f t="array" aca="1" ref="X276" ca="1">IF(INDIRECT(ADDRESS($B276+1,X$230,1,1,"Actively Infected Trend"))=0,#N/A,INDIRECT(ADDRESS($B276+1,X$230,1,1,"Actively Infected Trend")))</f>
        <v>#N/A</v>
      </c>
      <c r="Y276" s="14" t="e" cm="1">
        <f t="array" aca="1" ref="Y276" ca="1">IF(INDIRECT(ADDRESS($B276+1,Y$230,1,1,"Actively Infected Trend"))=0,#N/A,INDIRECT(ADDRESS($B276+1,Y$230,1,1,"Actively Infected Trend")))</f>
        <v>#N/A</v>
      </c>
      <c r="Z276" s="14" t="e" cm="1">
        <f t="array" aca="1" ref="Z276" ca="1">IF(INDIRECT(ADDRESS($B276+1,Z$230,1,1,"Actively Infected Trend"))=0,#N/A,INDIRECT(ADDRESS($B276+1,Z$230,1,1,"Actively Infected Trend")))</f>
        <v>#N/A</v>
      </c>
      <c r="AA276" s="14" t="e" cm="1">
        <f t="array" aca="1" ref="AA276" ca="1">IF(INDIRECT(ADDRESS($B276+1,AA$230,1,1,"Actively Infected Trend"))=0,#N/A,INDIRECT(ADDRESS($B276+1,AA$230,1,1,"Actively Infected Trend")))</f>
        <v>#N/A</v>
      </c>
      <c r="AB276" s="14" t="e" cm="1">
        <f t="array" aca="1" ref="AB276" ca="1">IF(INDIRECT(ADDRESS($B276+1,AB$230,1,1,"Actively Infected Trend"))=0,#N/A,INDIRECT(ADDRESS($B276+1,AB$230,1,1,"Actively Infected Trend")))</f>
        <v>#N/A</v>
      </c>
      <c r="AC276" s="14" t="e" cm="1">
        <f t="array" aca="1" ref="AC276" ca="1">IF(INDIRECT(ADDRESS($B276+1,AC$230,1,1,"Actively Infected Trend"))=0,#N/A,INDIRECT(ADDRESS($B276+1,AC$230,1,1,"Actively Infected Trend")))</f>
        <v>#N/A</v>
      </c>
      <c r="AD276" s="14" t="e" cm="1">
        <f t="array" aca="1" ref="AD276" ca="1">IF(INDIRECT(ADDRESS($B276+1,AD$230,1,1,"Actively Infected Trend"))=0,#N/A,INDIRECT(ADDRESS($B276+1,AD$230,1,1,"Actively Infected Trend")))</f>
        <v>#N/A</v>
      </c>
      <c r="AE276" s="14" t="e" cm="1">
        <f t="array" aca="1" ref="AE276" ca="1">IF(INDIRECT(ADDRESS($B276+1,AE$230,1,1,"Actively Infected Trend"))=0,#N/A,INDIRECT(ADDRESS($B276+1,AE$230,1,1,"Actively Infected Trend")))</f>
        <v>#N/A</v>
      </c>
      <c r="AF276" s="14" t="e" cm="1">
        <f t="array" aca="1" ref="AF276" ca="1">IF(INDIRECT(ADDRESS($B276+1,AF$230,1,1,"Actively Infected Trend"))=0,#N/A,INDIRECT(ADDRESS($B276+1,AF$230,1,1,"Actively Infected Trend")))</f>
        <v>#N/A</v>
      </c>
      <c r="AG276" s="14" t="e" cm="1">
        <f t="array" aca="1" ref="AG276" ca="1">IF(INDIRECT(ADDRESS($B276+1,AG$230,1,1,"Actively Infected Trend"))=0,#N/A,INDIRECT(ADDRESS($B276+1,AG$230,1,1,"Actively Infected Trend")))</f>
        <v>#N/A</v>
      </c>
      <c r="AH276" s="14" t="e" cm="1">
        <f t="array" aca="1" ref="AH276" ca="1">IF(INDIRECT(ADDRESS($B276+1,AH$230,1,1,"Actively Infected Trend"))=0,#N/A,INDIRECT(ADDRESS($B276+1,AH$230,1,1,"Actively Infected Trend")))</f>
        <v>#N/A</v>
      </c>
      <c r="AI276" s="14" t="e" cm="1">
        <f t="array" aca="1" ref="AI276" ca="1">IF(INDIRECT(ADDRESS($B276+1,AI$230,1,1,"Actively Infected Trend"))=0,#N/A,INDIRECT(ADDRESS($B276+1,AI$230,1,1,"Actively Infected Trend")))</f>
        <v>#N/A</v>
      </c>
      <c r="AJ276" s="14" t="e" cm="1">
        <f t="array" aca="1" ref="AJ276" ca="1">IF(INDIRECT(ADDRESS($B276+1,AJ$230,1,1,"Actively Infected Trend"))=0,#N/A,INDIRECT(ADDRESS($B276+1,AJ$230,1,1,"Actively Infected Trend")))</f>
        <v>#N/A</v>
      </c>
      <c r="AK276" s="14" t="e" cm="1">
        <f t="array" aca="1" ref="AK276" ca="1">IF(INDIRECT(ADDRESS($B276+1,AK$230,1,1,"Actively Infected Trend"))=0,#N/A,INDIRECT(ADDRESS($B276+1,AK$230,1,1,"Actively Infected Trend")))</f>
        <v>#N/A</v>
      </c>
      <c r="AL276" s="14" t="e" cm="1">
        <f t="array" aca="1" ref="AL276" ca="1">IF(INDIRECT(ADDRESS($B276+1,AL$230,1,1,"Actively Infected Trend"))=0,#N/A,INDIRECT(ADDRESS($B276+1,AL$230,1,1,"Actively Infected Trend")))</f>
        <v>#N/A</v>
      </c>
      <c r="AM276" s="14" t="e" cm="1">
        <f t="array" aca="1" ref="AM276" ca="1">IF(INDIRECT(ADDRESS($B276+1,AM$230,1,1,"Actively Infected Trend"))=0,#N/A,INDIRECT(ADDRESS($B276+1,AM$230,1,1,"Actively Infected Trend")))</f>
        <v>#N/A</v>
      </c>
      <c r="AN276" s="14" t="e" cm="1">
        <f t="array" aca="1" ref="AN276" ca="1">IF(INDIRECT(ADDRESS($B276+1,AN$230,1,1,"Actively Infected Trend"))=0,#N/A,INDIRECT(ADDRESS($B276+1,AN$230,1,1,"Actively Infected Trend")))</f>
        <v>#N/A</v>
      </c>
      <c r="AO276" s="14" t="e" cm="1">
        <f t="array" aca="1" ref="AO276" ca="1">IF(INDIRECT(ADDRESS($B276+1,AO$230,1,1,"Actively Infected Trend"))=0,#N/A,INDIRECT(ADDRESS($B276+1,AO$230,1,1,"Actively Infected Trend")))</f>
        <v>#N/A</v>
      </c>
      <c r="AP276" s="14" t="e" cm="1">
        <f t="array" aca="1" ref="AP276" ca="1">IF(INDIRECT(ADDRESS($B276+1,AP$230,1,1,"Actively Infected Trend"))=0,#N/A,INDIRECT(ADDRESS($B276+1,AP$230,1,1,"Actively Infected Trend")))</f>
        <v>#N/A</v>
      </c>
      <c r="AQ276" s="14" t="e" cm="1">
        <f t="array" aca="1" ref="AQ276" ca="1">IF(INDIRECT(ADDRESS($B276+1,AQ$230,1,1,"Actively Infected Trend"))=0,#N/A,INDIRECT(ADDRESS($B276+1,AQ$230,1,1,"Actively Infected Trend")))</f>
        <v>#N/A</v>
      </c>
      <c r="AR276" s="14" t="e" cm="1">
        <f t="array" aca="1" ref="AR276" ca="1">IF(INDIRECT(ADDRESS($B276+1,AR$230,1,1,"Actively Infected Trend"))=0,#N/A,INDIRECT(ADDRESS($B276+1,AR$230,1,1,"Actively Infected Trend")))</f>
        <v>#N/A</v>
      </c>
      <c r="AS276" s="14" t="e" cm="1">
        <f t="array" aca="1" ref="AS276" ca="1">IF(INDIRECT(ADDRESS($B276+1,AS$230,1,1,"Actively Infected Trend"))=0,#N/A,INDIRECT(ADDRESS($B276+1,AS$230,1,1,"Actively Infected Trend")))</f>
        <v>#N/A</v>
      </c>
      <c r="AT276" s="14" t="e" cm="1">
        <f t="array" aca="1" ref="AT276" ca="1">IF(INDIRECT(ADDRESS($B276+1,AT$230,1,1,"Actively Infected Trend"))=0,#N/A,INDIRECT(ADDRESS($B276+1,AT$230,1,1,"Actively Infected Trend")))</f>
        <v>#N/A</v>
      </c>
      <c r="AU276" s="14" t="e" cm="1">
        <f t="array" aca="1" ref="AU276" ca="1">IF(INDIRECT(ADDRESS($B276+1,AU$230,1,1,"Actively Infected Trend"))=0,#N/A,INDIRECT(ADDRESS($B276+1,AU$230,1,1,"Actively Infected Trend")))</f>
        <v>#N/A</v>
      </c>
      <c r="AV276" s="14" t="e" cm="1">
        <f t="array" aca="1" ref="AV276" ca="1">IF(INDIRECT(ADDRESS($B276+1,AV$230,1,1,"Actively Infected Trend"))=0,#N/A,INDIRECT(ADDRESS($B276+1,AV$230,1,1,"Actively Infected Trend")))</f>
        <v>#N/A</v>
      </c>
      <c r="AW276" s="14" t="e" cm="1">
        <f t="array" aca="1" ref="AW276" ca="1">IF(INDIRECT(ADDRESS($B276+1,AW$230,1,1,"Actively Infected Trend"))=0,#N/A,INDIRECT(ADDRESS($B276+1,AW$230,1,1,"Actively Infected Trend")))</f>
        <v>#N/A</v>
      </c>
      <c r="AX276" s="14" t="e" cm="1">
        <f t="array" aca="1" ref="AX276" ca="1">IF(INDIRECT(ADDRESS($B276+1,AX$230,1,1,"Actively Infected Trend"))=0,#N/A,INDIRECT(ADDRESS($B276+1,AX$230,1,1,"Actively Infected Trend")))</f>
        <v>#N/A</v>
      </c>
      <c r="AY276" s="14" t="e" cm="1">
        <f t="array" aca="1" ref="AY276" ca="1">IF(INDIRECT(ADDRESS($B276+1,AY$230,1,1,"Actively Infected Trend"))=0,#N/A,INDIRECT(ADDRESS($B276+1,AY$230,1,1,"Actively Infected Trend")))</f>
        <v>#N/A</v>
      </c>
      <c r="AZ276" s="14" t="e" cm="1">
        <f t="array" aca="1" ref="AZ276" ca="1">IF(INDIRECT(ADDRESS($B276+1,AZ$230,1,1,"Actively Infected Trend"))=0,#N/A,INDIRECT(ADDRESS($B276+1,AZ$230,1,1,"Actively Infected Trend")))</f>
        <v>#N/A</v>
      </c>
      <c r="BA276" s="14" t="e" cm="1">
        <f t="array" aca="1" ref="BA276" ca="1">IF(INDIRECT(ADDRESS($B276+1,BA$230,1,1,"Actively Infected Trend"))=0,#N/A,INDIRECT(ADDRESS($B276+1,BA$230,1,1,"Actively Infected Trend")))</f>
        <v>#N/A</v>
      </c>
      <c r="BB276" s="14" t="e" cm="1">
        <f t="array" aca="1" ref="BB276" ca="1">IF(INDIRECT(ADDRESS($B276+1,BB$230,1,1,"Actively Infected Trend"))=0,#N/A,INDIRECT(ADDRESS($B276+1,BB$230,1,1,"Actively Infected Trend")))</f>
        <v>#N/A</v>
      </c>
      <c r="BC276" s="14" t="e" cm="1">
        <f t="array" aca="1" ref="BC276" ca="1">IF(INDIRECT(ADDRESS($B276+1,BC$230,1,1,"Actively Infected Trend"))=0,#N/A,INDIRECT(ADDRESS($B276+1,BC$230,1,1,"Actively Infected Trend")))</f>
        <v>#N/A</v>
      </c>
      <c r="BD276" s="14" t="e" cm="1">
        <f t="array" aca="1" ref="BD276" ca="1">IF(INDIRECT(ADDRESS($B276+1,BD$230,1,1,"Actively Infected Trend"))=0,#N/A,INDIRECT(ADDRESS($B276+1,BD$230,1,1,"Actively Infected Trend")))</f>
        <v>#N/A</v>
      </c>
      <c r="BE276" s="14" t="e" cm="1">
        <f t="array" aca="1" ref="BE276" ca="1">IF(INDIRECT(ADDRESS($B276+1,BE$230,1,1,"Actively Infected Trend"))=0,#N/A,INDIRECT(ADDRESS($B276+1,BE$230,1,1,"Actively Infected Trend")))</f>
        <v>#N/A</v>
      </c>
      <c r="BF276" s="14" t="e" cm="1">
        <f t="array" aca="1" ref="BF276" ca="1">IF(INDIRECT(ADDRESS($B276+1,BF$230,1,1,"Actively Infected Trend"))=0,#N/A,INDIRECT(ADDRESS($B276+1,BF$230,1,1,"Actively Infected Trend")))</f>
        <v>#N/A</v>
      </c>
      <c r="BG276" s="14" t="e" cm="1">
        <f t="array" aca="1" ref="BG276" ca="1">IF(INDIRECT(ADDRESS($B276+1,BG$230,1,1,"Actively Infected Trend"))=0,#N/A,INDIRECT(ADDRESS($B276+1,BG$230,1,1,"Actively Infected Trend")))</f>
        <v>#N/A</v>
      </c>
      <c r="BH276" s="14" t="e" cm="1">
        <f t="array" aca="1" ref="BH276" ca="1">IF(INDIRECT(ADDRESS($B276+1,BH$230,1,1,"Actively Infected Trend"))=0,#N/A,INDIRECT(ADDRESS($B276+1,BH$230,1,1,"Actively Infected Trend")))</f>
        <v>#N/A</v>
      </c>
      <c r="BI276" s="14" t="e" cm="1">
        <f t="array" aca="1" ref="BI276" ca="1">IF(INDIRECT(ADDRESS($B276+1,BI$230,1,1,"Actively Infected Trend"))=0,#N/A,INDIRECT(ADDRESS($B276+1,BI$230,1,1,"Actively Infected Trend")))</f>
        <v>#N/A</v>
      </c>
      <c r="BJ276" s="14" t="e" cm="1">
        <f t="array" aca="1" ref="BJ276" ca="1">IF(INDIRECT(ADDRESS($B276+1,BJ$230,1,1,"Actively Infected Trend"))=0,#N/A,INDIRECT(ADDRESS($B276+1,BJ$230,1,1,"Actively Infected Trend")))</f>
        <v>#N/A</v>
      </c>
      <c r="BK276" s="14" t="e" cm="1">
        <f t="array" aca="1" ref="BK276" ca="1">IF(INDIRECT(ADDRESS($B276+1,BK$230,1,1,"Actively Infected Trend"))=0,#N/A,INDIRECT(ADDRESS($B276+1,BK$230,1,1,"Actively Infected Trend")))</f>
        <v>#N/A</v>
      </c>
      <c r="BL276" s="14" t="e" cm="1">
        <f t="array" aca="1" ref="BL276" ca="1">IF(INDIRECT(ADDRESS($B276+1,BL$230,1,1,"Actively Infected Trend"))=0,#N/A,INDIRECT(ADDRESS($B276+1,BL$230,1,1,"Actively Infected Trend")))</f>
        <v>#N/A</v>
      </c>
      <c r="BM276" s="14" t="e" cm="1">
        <f t="array" aca="1" ref="BM276" ca="1">IF(INDIRECT(ADDRESS($B276+1,BM$230,1,1,"Actively Infected Trend"))=0,#N/A,INDIRECT(ADDRESS($B276+1,BM$230,1,1,"Actively Infected Trend")))</f>
        <v>#N/A</v>
      </c>
      <c r="BN276" s="14" t="e" cm="1">
        <f t="array" aca="1" ref="BN276" ca="1">IF(INDIRECT(ADDRESS($B276+1,BN$230,1,1,"Actively Infected Trend"))=0,#N/A,INDIRECT(ADDRESS($B276+1,BN$230,1,1,"Actively Infected Trend")))</f>
        <v>#N/A</v>
      </c>
      <c r="BO276" s="14" t="e" cm="1">
        <f t="array" aca="1" ref="BO276" ca="1">IF(INDIRECT(ADDRESS($B276+1,BO$230,1,1,"Actively Infected Trend"))=0,#N/A,INDIRECT(ADDRESS($B276+1,BO$230,1,1,"Actively Infected Trend")))</f>
        <v>#N/A</v>
      </c>
      <c r="BP276" s="14" t="e" cm="1">
        <f t="array" aca="1" ref="BP276" ca="1">IF(INDIRECT(ADDRESS($B276+1,BP$230,1,1,"Actively Infected Trend"))=0,#N/A,INDIRECT(ADDRESS($B276+1,BP$230,1,1,"Actively Infected Trend")))</f>
        <v>#N/A</v>
      </c>
      <c r="BQ276" s="14" t="e" cm="1">
        <f t="array" aca="1" ref="BQ276" ca="1">IF(INDIRECT(ADDRESS($B276+1,BQ$230,1,1,"Actively Infected Trend"))=0,#N/A,INDIRECT(ADDRESS($B276+1,BQ$230,1,1,"Actively Infected Trend")))</f>
        <v>#N/A</v>
      </c>
      <c r="BR276" s="14" t="e" cm="1">
        <f t="array" aca="1" ref="BR276" ca="1">IF(INDIRECT(ADDRESS($B276+1,BR$230,1,1,"Actively Infected Trend"))=0,#N/A,INDIRECT(ADDRESS($B276+1,BR$230,1,1,"Actively Infected Trend")))</f>
        <v>#N/A</v>
      </c>
      <c r="BS276" s="14" t="e" cm="1">
        <f t="array" aca="1" ref="BS276" ca="1">IF(INDIRECT(ADDRESS($B276+1,BS$230,1,1,"Actively Infected Trend"))=0,#N/A,INDIRECT(ADDRESS($B276+1,BS$230,1,1,"Actively Infected Trend")))</f>
        <v>#N/A</v>
      </c>
      <c r="BT276" s="14" t="e" cm="1">
        <f t="array" aca="1" ref="BT276" ca="1">IF(INDIRECT(ADDRESS($B276+1,BT$230,1,1,"Actively Infected Trend"))=0,#N/A,INDIRECT(ADDRESS($B276+1,BT$230,1,1,"Actively Infected Trend")))</f>
        <v>#N/A</v>
      </c>
      <c r="BU276" s="14" t="e" cm="1">
        <f t="array" aca="1" ref="BU276" ca="1">IF(INDIRECT(ADDRESS($B276+1,BU$230,1,1,"Actively Infected Trend"))=0,#N/A,INDIRECT(ADDRESS($B276+1,BU$230,1,1,"Actively Infected Trend")))</f>
        <v>#N/A</v>
      </c>
      <c r="BV276" s="14" t="e" cm="1">
        <f t="array" aca="1" ref="BV276" ca="1">IF(INDIRECT(ADDRESS($B276+1,BV$230,1,1,"Actively Infected Trend"))=0,#N/A,INDIRECT(ADDRESS($B276+1,BV$230,1,1,"Actively Infected Trend")))</f>
        <v>#N/A</v>
      </c>
      <c r="BW276" s="14" t="e" cm="1">
        <f t="array" aca="1" ref="BW276" ca="1">IF(INDIRECT(ADDRESS($B276+1,BW$230,1,1,"Actively Infected Trend"))=0,#N/A,INDIRECT(ADDRESS($B276+1,BW$230,1,1,"Actively Infected Trend")))</f>
        <v>#N/A</v>
      </c>
      <c r="BX276" s="14" t="e" cm="1">
        <f t="array" aca="1" ref="BX276" ca="1">IF(INDIRECT(ADDRESS($B276+1,BX$230,1,1,"Actively Infected Trend"))=0,#N/A,INDIRECT(ADDRESS($B276+1,BX$230,1,1,"Actively Infected Trend")))</f>
        <v>#N/A</v>
      </c>
      <c r="BY276" s="14" t="e" cm="1">
        <f t="array" aca="1" ref="BY276" ca="1">IF(INDIRECT(ADDRESS($B276+1,BY$230,1,1,"Actively Infected Trend"))=0,#N/A,INDIRECT(ADDRESS($B276+1,BY$230,1,1,"Actively Infected Trend")))</f>
        <v>#N/A</v>
      </c>
      <c r="BZ276" s="14" t="e" cm="1">
        <f t="array" aca="1" ref="BZ276" ca="1">IF(INDIRECT(ADDRESS($B276+1,BZ$230,1,1,"Actively Infected Trend"))=0,#N/A,INDIRECT(ADDRESS($B276+1,BZ$230,1,1,"Actively Infected Trend")))</f>
        <v>#N/A</v>
      </c>
      <c r="CA276" s="14" t="e" cm="1">
        <f t="array" aca="1" ref="CA276" ca="1">IF(INDIRECT(ADDRESS($B276+1,CA$230,1,1,"Actively Infected Trend"))=0,#N/A,INDIRECT(ADDRESS($B276+1,CA$230,1,1,"Actively Infected Trend")))</f>
        <v>#N/A</v>
      </c>
      <c r="CB276" s="14" t="e" cm="1">
        <f t="array" aca="1" ref="CB276" ca="1">IF(INDIRECT(ADDRESS($B276+1,CB$230,1,1,"Actively Infected Trend"))=0,#N/A,INDIRECT(ADDRESS($B276+1,CB$230,1,1,"Actively Infected Trend")))</f>
        <v>#N/A</v>
      </c>
      <c r="CC276" s="14" t="e" cm="1">
        <f t="array" aca="1" ref="CC276" ca="1">IF(INDIRECT(ADDRESS($B276+1,CC$230,1,1,"Actively Infected Trend"))=0,#N/A,INDIRECT(ADDRESS($B276+1,CC$230,1,1,"Actively Infected Trend")))</f>
        <v>#N/A</v>
      </c>
      <c r="CD276" s="14" t="e" cm="1">
        <f t="array" aca="1" ref="CD276" ca="1">IF(INDIRECT(ADDRESS($B276+1,CD$230,1,1,"Actively Infected Trend"))=0,#N/A,INDIRECT(ADDRESS($B276+1,CD$230,1,1,"Actively Infected Trend")))</f>
        <v>#N/A</v>
      </c>
      <c r="CE276" s="14" t="e" cm="1">
        <f t="array" aca="1" ref="CE276" ca="1">IF(INDIRECT(ADDRESS($B276+1,CE$230,1,1,"Actively Infected Trend"))=0,#N/A,INDIRECT(ADDRESS($B276+1,CE$230,1,1,"Actively Infected Trend")))</f>
        <v>#N/A</v>
      </c>
      <c r="CF276" s="14" t="e" cm="1">
        <f t="array" aca="1" ref="CF276" ca="1">IF(INDIRECT(ADDRESS($B276+1,CF$230,1,1,"Actively Infected Trend"))=0,#N/A,INDIRECT(ADDRESS($B276+1,CF$230,1,1,"Actively Infected Trend")))</f>
        <v>#N/A</v>
      </c>
      <c r="CG276" s="14" t="e" cm="1">
        <f t="array" aca="1" ref="CG276" ca="1">IF(INDIRECT(ADDRESS($B276+1,CG$230,1,1,"Actively Infected Trend"))=0,#N/A,INDIRECT(ADDRESS($B276+1,CG$230,1,1,"Actively Infected Trend")))</f>
        <v>#N/A</v>
      </c>
      <c r="CH276" s="14" t="e" cm="1">
        <f t="array" aca="1" ref="CH276" ca="1">IF(INDIRECT(ADDRESS($B276+1,CH$230,1,1,"Actively Infected Trend"))=0,#N/A,INDIRECT(ADDRESS($B276+1,CH$230,1,1,"Actively Infected Trend")))</f>
        <v>#N/A</v>
      </c>
      <c r="CI276" s="14" t="e" cm="1">
        <f t="array" aca="1" ref="CI276" ca="1">IF(INDIRECT(ADDRESS($B276+1,CI$230,1,1,"Actively Infected Trend"))=0,#N/A,INDIRECT(ADDRESS($B276+1,CI$230,1,1,"Actively Infected Trend")))</f>
        <v>#N/A</v>
      </c>
      <c r="CJ276" s="14" t="e" cm="1">
        <f t="array" aca="1" ref="CJ276" ca="1">IF(INDIRECT(ADDRESS($B276+1,CJ$230,1,1,"Actively Infected Trend"))=0,#N/A,INDIRECT(ADDRESS($B276+1,CJ$230,1,1,"Actively Infected Trend")))</f>
        <v>#N/A</v>
      </c>
      <c r="CK276" s="14" t="e" cm="1">
        <f t="array" aca="1" ref="CK276" ca="1">IF(INDIRECT(ADDRESS($B276+1,CK$230,1,1,"Actively Infected Trend"))=0,#N/A,INDIRECT(ADDRESS($B276+1,CK$230,1,1,"Actively Infected Trend")))</f>
        <v>#N/A</v>
      </c>
      <c r="CL276" s="14" t="e" cm="1">
        <f t="array" aca="1" ref="CL276" ca="1">IF(INDIRECT(ADDRESS($B276+1,CL$230,1,1,"Actively Infected Trend"))=0,#N/A,INDIRECT(ADDRESS($B276+1,CL$230,1,1,"Actively Infected Trend")))</f>
        <v>#N/A</v>
      </c>
      <c r="CM276" s="14" t="e" cm="1">
        <f t="array" aca="1" ref="CM276" ca="1">IF(INDIRECT(ADDRESS($B276+1,CM$230,1,1,"Actively Infected Trend"))=0,#N/A,INDIRECT(ADDRESS($B276+1,CM$230,1,1,"Actively Infected Trend")))</f>
        <v>#N/A</v>
      </c>
      <c r="CN276" s="14" t="e" cm="1">
        <f t="array" aca="1" ref="CN276" ca="1">IF(INDIRECT(ADDRESS($B276+1,CN$230,1,1,"Actively Infected Trend"))=0,#N/A,INDIRECT(ADDRESS($B276+1,CN$230,1,1,"Actively Infected Trend")))</f>
        <v>#N/A</v>
      </c>
      <c r="CO276" s="14" t="e" cm="1">
        <f t="array" aca="1" ref="CO276" ca="1">IF(INDIRECT(ADDRESS($B276+1,CO$230,1,1,"Actively Infected Trend"))=0,#N/A,INDIRECT(ADDRESS($B276+1,CO$230,1,1,"Actively Infected Trend")))</f>
        <v>#N/A</v>
      </c>
      <c r="CP276" s="14" t="e" cm="1">
        <f t="array" aca="1" ref="CP276" ca="1">IF(INDIRECT(ADDRESS($B276+1,CP$230,1,1,"Actively Infected Trend"))=0,#N/A,INDIRECT(ADDRESS($B276+1,CP$230,1,1,"Actively Infected Trend")))</f>
        <v>#N/A</v>
      </c>
      <c r="CQ276" s="14" t="e" cm="1">
        <f t="array" aca="1" ref="CQ276" ca="1">IF(INDIRECT(ADDRESS($B276+1,CQ$230,1,1,"Actively Infected Trend"))=0,#N/A,INDIRECT(ADDRESS($B276+1,CQ$230,1,1,"Actively Infected Trend")))</f>
        <v>#N/A</v>
      </c>
      <c r="CR276" s="14" t="e" cm="1">
        <f t="array" aca="1" ref="CR276" ca="1">IF(INDIRECT(ADDRESS($B276+1,CR$230,1,1,"Actively Infected Trend"))=0,#N/A,INDIRECT(ADDRESS($B276+1,CR$230,1,1,"Actively Infected Trend")))</f>
        <v>#N/A</v>
      </c>
    </row>
    <row r="277" spans="2:96" x14ac:dyDescent="0.25">
      <c r="B277">
        <f t="shared" si="349"/>
        <v>46</v>
      </c>
      <c r="C277" cm="1">
        <f t="array" aca="1" ref="C277" ca="1">INDIRECT(ADDRESS($B277+1,1,1,1,"Actively Infected Trend"))</f>
        <v>0</v>
      </c>
      <c r="E277" s="14" t="e" cm="1">
        <f t="array" aca="1" ref="E277" ca="1">IF(INDIRECT(ADDRESS($B277+1,E$230,1,1,"Actively Infected Trend"))=0,#N/A,INDIRECT(ADDRESS($B277+1,E$230,1,1,"Actively Infected Trend")))</f>
        <v>#N/A</v>
      </c>
      <c r="F277" s="14" t="e" cm="1">
        <f t="array" aca="1" ref="F277" ca="1">IF(INDIRECT(ADDRESS($B277+1,F$230,1,1,"Actively Infected Trend"))=0,#N/A,INDIRECT(ADDRESS($B277+1,F$230,1,1,"Actively Infected Trend")))</f>
        <v>#N/A</v>
      </c>
      <c r="G277" s="14" t="e" cm="1">
        <f t="array" aca="1" ref="G277" ca="1">IF(INDIRECT(ADDRESS($B277+1,G$230,1,1,"Actively Infected Trend"))=0,#N/A,INDIRECT(ADDRESS($B277+1,G$230,1,1,"Actively Infected Trend")))</f>
        <v>#N/A</v>
      </c>
      <c r="H277" s="14" t="e" cm="1">
        <f t="array" aca="1" ref="H277" ca="1">IF(INDIRECT(ADDRESS($B277+1,H$230,1,1,"Actively Infected Trend"))=0,#N/A,INDIRECT(ADDRESS($B277+1,H$230,1,1,"Actively Infected Trend")))</f>
        <v>#N/A</v>
      </c>
      <c r="I277" s="14" t="e" cm="1">
        <f t="array" aca="1" ref="I277" ca="1">IF(INDIRECT(ADDRESS($B277+1,I$230,1,1,"Actively Infected Trend"))=0,#N/A,INDIRECT(ADDRESS($B277+1,I$230,1,1,"Actively Infected Trend")))</f>
        <v>#N/A</v>
      </c>
      <c r="J277" s="14" t="e" cm="1">
        <f t="array" aca="1" ref="J277" ca="1">IF(INDIRECT(ADDRESS($B277+1,J$230,1,1,"Actively Infected Trend"))=0,#N/A,INDIRECT(ADDRESS($B277+1,J$230,1,1,"Actively Infected Trend")))</f>
        <v>#N/A</v>
      </c>
      <c r="K277" s="14" t="e" cm="1">
        <f t="array" aca="1" ref="K277" ca="1">IF(INDIRECT(ADDRESS($B277+1,K$230,1,1,"Actively Infected Trend"))=0,#N/A,INDIRECT(ADDRESS($B277+1,K$230,1,1,"Actively Infected Trend")))</f>
        <v>#N/A</v>
      </c>
      <c r="L277" s="14" t="e" cm="1">
        <f t="array" aca="1" ref="L277" ca="1">IF(INDIRECT(ADDRESS($B277+1,L$230,1,1,"Actively Infected Trend"))=0,#N/A,INDIRECT(ADDRESS($B277+1,L$230,1,1,"Actively Infected Trend")))</f>
        <v>#N/A</v>
      </c>
      <c r="M277" s="14" t="e" cm="1">
        <f t="array" aca="1" ref="M277" ca="1">IF(INDIRECT(ADDRESS($B277+1,M$230,1,1,"Actively Infected Trend"))=0,#N/A,INDIRECT(ADDRESS($B277+1,M$230,1,1,"Actively Infected Trend")))</f>
        <v>#N/A</v>
      </c>
      <c r="N277" s="14" t="e" cm="1">
        <f t="array" aca="1" ref="N277" ca="1">IF(INDIRECT(ADDRESS($B277+1,N$230,1,1,"Actively Infected Trend"))=0,#N/A,INDIRECT(ADDRESS($B277+1,N$230,1,1,"Actively Infected Trend")))</f>
        <v>#N/A</v>
      </c>
      <c r="O277" s="14" t="e" cm="1">
        <f t="array" aca="1" ref="O277" ca="1">IF(INDIRECT(ADDRESS($B277+1,O$230,1,1,"Actively Infected Trend"))=0,#N/A,INDIRECT(ADDRESS($B277+1,O$230,1,1,"Actively Infected Trend")))</f>
        <v>#N/A</v>
      </c>
      <c r="P277" s="14" t="e" cm="1">
        <f t="array" aca="1" ref="P277" ca="1">IF(INDIRECT(ADDRESS($B277+1,P$230,1,1,"Actively Infected Trend"))=0,#N/A,INDIRECT(ADDRESS($B277+1,P$230,1,1,"Actively Infected Trend")))</f>
        <v>#N/A</v>
      </c>
      <c r="Q277" s="14" t="e" cm="1">
        <f t="array" aca="1" ref="Q277" ca="1">IF(INDIRECT(ADDRESS($B277+1,Q$230,1,1,"Actively Infected Trend"))=0,#N/A,INDIRECT(ADDRESS($B277+1,Q$230,1,1,"Actively Infected Trend")))</f>
        <v>#N/A</v>
      </c>
      <c r="R277" s="14" t="e" cm="1">
        <f t="array" aca="1" ref="R277" ca="1">IF(INDIRECT(ADDRESS($B277+1,R$230,1,1,"Actively Infected Trend"))=0,#N/A,INDIRECT(ADDRESS($B277+1,R$230,1,1,"Actively Infected Trend")))</f>
        <v>#N/A</v>
      </c>
      <c r="S277" s="14" t="e" cm="1">
        <f t="array" aca="1" ref="S277" ca="1">IF(INDIRECT(ADDRESS($B277+1,S$230,1,1,"Actively Infected Trend"))=0,#N/A,INDIRECT(ADDRESS($B277+1,S$230,1,1,"Actively Infected Trend")))</f>
        <v>#N/A</v>
      </c>
      <c r="T277" s="14" t="e" cm="1">
        <f t="array" aca="1" ref="T277" ca="1">IF(INDIRECT(ADDRESS($B277+1,T$230,1,1,"Actively Infected Trend"))=0,#N/A,INDIRECT(ADDRESS($B277+1,T$230,1,1,"Actively Infected Trend")))</f>
        <v>#N/A</v>
      </c>
      <c r="U277" s="14" t="e" cm="1">
        <f t="array" aca="1" ref="U277" ca="1">IF(INDIRECT(ADDRESS($B277+1,U$230,1,1,"Actively Infected Trend"))=0,#N/A,INDIRECT(ADDRESS($B277+1,U$230,1,1,"Actively Infected Trend")))</f>
        <v>#N/A</v>
      </c>
      <c r="V277" s="14" t="e" cm="1">
        <f t="array" aca="1" ref="V277" ca="1">IF(INDIRECT(ADDRESS($B277+1,V$230,1,1,"Actively Infected Trend"))=0,#N/A,INDIRECT(ADDRESS($B277+1,V$230,1,1,"Actively Infected Trend")))</f>
        <v>#N/A</v>
      </c>
      <c r="W277" s="14" t="e" cm="1">
        <f t="array" aca="1" ref="W277" ca="1">IF(INDIRECT(ADDRESS($B277+1,W$230,1,1,"Actively Infected Trend"))=0,#N/A,INDIRECT(ADDRESS($B277+1,W$230,1,1,"Actively Infected Trend")))</f>
        <v>#N/A</v>
      </c>
      <c r="X277" s="14" t="e" cm="1">
        <f t="array" aca="1" ref="X277" ca="1">IF(INDIRECT(ADDRESS($B277+1,X$230,1,1,"Actively Infected Trend"))=0,#N/A,INDIRECT(ADDRESS($B277+1,X$230,1,1,"Actively Infected Trend")))</f>
        <v>#N/A</v>
      </c>
      <c r="Y277" s="14" t="e" cm="1">
        <f t="array" aca="1" ref="Y277" ca="1">IF(INDIRECT(ADDRESS($B277+1,Y$230,1,1,"Actively Infected Trend"))=0,#N/A,INDIRECT(ADDRESS($B277+1,Y$230,1,1,"Actively Infected Trend")))</f>
        <v>#N/A</v>
      </c>
      <c r="Z277" s="14" t="e" cm="1">
        <f t="array" aca="1" ref="Z277" ca="1">IF(INDIRECT(ADDRESS($B277+1,Z$230,1,1,"Actively Infected Trend"))=0,#N/A,INDIRECT(ADDRESS($B277+1,Z$230,1,1,"Actively Infected Trend")))</f>
        <v>#N/A</v>
      </c>
      <c r="AA277" s="14" t="e" cm="1">
        <f t="array" aca="1" ref="AA277" ca="1">IF(INDIRECT(ADDRESS($B277+1,AA$230,1,1,"Actively Infected Trend"))=0,#N/A,INDIRECT(ADDRESS($B277+1,AA$230,1,1,"Actively Infected Trend")))</f>
        <v>#N/A</v>
      </c>
      <c r="AB277" s="14" t="e" cm="1">
        <f t="array" aca="1" ref="AB277" ca="1">IF(INDIRECT(ADDRESS($B277+1,AB$230,1,1,"Actively Infected Trend"))=0,#N/A,INDIRECT(ADDRESS($B277+1,AB$230,1,1,"Actively Infected Trend")))</f>
        <v>#N/A</v>
      </c>
      <c r="AC277" s="14" t="e" cm="1">
        <f t="array" aca="1" ref="AC277" ca="1">IF(INDIRECT(ADDRESS($B277+1,AC$230,1,1,"Actively Infected Trend"))=0,#N/A,INDIRECT(ADDRESS($B277+1,AC$230,1,1,"Actively Infected Trend")))</f>
        <v>#N/A</v>
      </c>
      <c r="AD277" s="14" t="e" cm="1">
        <f t="array" aca="1" ref="AD277" ca="1">IF(INDIRECT(ADDRESS($B277+1,AD$230,1,1,"Actively Infected Trend"))=0,#N/A,INDIRECT(ADDRESS($B277+1,AD$230,1,1,"Actively Infected Trend")))</f>
        <v>#N/A</v>
      </c>
      <c r="AE277" s="14" t="e" cm="1">
        <f t="array" aca="1" ref="AE277" ca="1">IF(INDIRECT(ADDRESS($B277+1,AE$230,1,1,"Actively Infected Trend"))=0,#N/A,INDIRECT(ADDRESS($B277+1,AE$230,1,1,"Actively Infected Trend")))</f>
        <v>#N/A</v>
      </c>
      <c r="AF277" s="14" t="e" cm="1">
        <f t="array" aca="1" ref="AF277" ca="1">IF(INDIRECT(ADDRESS($B277+1,AF$230,1,1,"Actively Infected Trend"))=0,#N/A,INDIRECT(ADDRESS($B277+1,AF$230,1,1,"Actively Infected Trend")))</f>
        <v>#N/A</v>
      </c>
      <c r="AG277" s="14" t="e" cm="1">
        <f t="array" aca="1" ref="AG277" ca="1">IF(INDIRECT(ADDRESS($B277+1,AG$230,1,1,"Actively Infected Trend"))=0,#N/A,INDIRECT(ADDRESS($B277+1,AG$230,1,1,"Actively Infected Trend")))</f>
        <v>#N/A</v>
      </c>
      <c r="AH277" s="14" t="e" cm="1">
        <f t="array" aca="1" ref="AH277" ca="1">IF(INDIRECT(ADDRESS($B277+1,AH$230,1,1,"Actively Infected Trend"))=0,#N/A,INDIRECT(ADDRESS($B277+1,AH$230,1,1,"Actively Infected Trend")))</f>
        <v>#N/A</v>
      </c>
      <c r="AI277" s="14" t="e" cm="1">
        <f t="array" aca="1" ref="AI277" ca="1">IF(INDIRECT(ADDRESS($B277+1,AI$230,1,1,"Actively Infected Trend"))=0,#N/A,INDIRECT(ADDRESS($B277+1,AI$230,1,1,"Actively Infected Trend")))</f>
        <v>#N/A</v>
      </c>
      <c r="AJ277" s="14" t="e" cm="1">
        <f t="array" aca="1" ref="AJ277" ca="1">IF(INDIRECT(ADDRESS($B277+1,AJ$230,1,1,"Actively Infected Trend"))=0,#N/A,INDIRECT(ADDRESS($B277+1,AJ$230,1,1,"Actively Infected Trend")))</f>
        <v>#N/A</v>
      </c>
      <c r="AK277" s="14" t="e" cm="1">
        <f t="array" aca="1" ref="AK277" ca="1">IF(INDIRECT(ADDRESS($B277+1,AK$230,1,1,"Actively Infected Trend"))=0,#N/A,INDIRECT(ADDRESS($B277+1,AK$230,1,1,"Actively Infected Trend")))</f>
        <v>#N/A</v>
      </c>
      <c r="AL277" s="14" t="e" cm="1">
        <f t="array" aca="1" ref="AL277" ca="1">IF(INDIRECT(ADDRESS($B277+1,AL$230,1,1,"Actively Infected Trend"))=0,#N/A,INDIRECT(ADDRESS($B277+1,AL$230,1,1,"Actively Infected Trend")))</f>
        <v>#N/A</v>
      </c>
      <c r="AM277" s="14" t="e" cm="1">
        <f t="array" aca="1" ref="AM277" ca="1">IF(INDIRECT(ADDRESS($B277+1,AM$230,1,1,"Actively Infected Trend"))=0,#N/A,INDIRECT(ADDRESS($B277+1,AM$230,1,1,"Actively Infected Trend")))</f>
        <v>#N/A</v>
      </c>
      <c r="AN277" s="14" t="e" cm="1">
        <f t="array" aca="1" ref="AN277" ca="1">IF(INDIRECT(ADDRESS($B277+1,AN$230,1,1,"Actively Infected Trend"))=0,#N/A,INDIRECT(ADDRESS($B277+1,AN$230,1,1,"Actively Infected Trend")))</f>
        <v>#N/A</v>
      </c>
      <c r="AO277" s="14" t="e" cm="1">
        <f t="array" aca="1" ref="AO277" ca="1">IF(INDIRECT(ADDRESS($B277+1,AO$230,1,1,"Actively Infected Trend"))=0,#N/A,INDIRECT(ADDRESS($B277+1,AO$230,1,1,"Actively Infected Trend")))</f>
        <v>#N/A</v>
      </c>
      <c r="AP277" s="14" t="e" cm="1">
        <f t="array" aca="1" ref="AP277" ca="1">IF(INDIRECT(ADDRESS($B277+1,AP$230,1,1,"Actively Infected Trend"))=0,#N/A,INDIRECT(ADDRESS($B277+1,AP$230,1,1,"Actively Infected Trend")))</f>
        <v>#N/A</v>
      </c>
      <c r="AQ277" s="14" t="e" cm="1">
        <f t="array" aca="1" ref="AQ277" ca="1">IF(INDIRECT(ADDRESS($B277+1,AQ$230,1,1,"Actively Infected Trend"))=0,#N/A,INDIRECT(ADDRESS($B277+1,AQ$230,1,1,"Actively Infected Trend")))</f>
        <v>#N/A</v>
      </c>
      <c r="AR277" s="14" t="e" cm="1">
        <f t="array" aca="1" ref="AR277" ca="1">IF(INDIRECT(ADDRESS($B277+1,AR$230,1,1,"Actively Infected Trend"))=0,#N/A,INDIRECT(ADDRESS($B277+1,AR$230,1,1,"Actively Infected Trend")))</f>
        <v>#N/A</v>
      </c>
      <c r="AS277" s="14" t="e" cm="1">
        <f t="array" aca="1" ref="AS277" ca="1">IF(INDIRECT(ADDRESS($B277+1,AS$230,1,1,"Actively Infected Trend"))=0,#N/A,INDIRECT(ADDRESS($B277+1,AS$230,1,1,"Actively Infected Trend")))</f>
        <v>#N/A</v>
      </c>
      <c r="AT277" s="14" t="e" cm="1">
        <f t="array" aca="1" ref="AT277" ca="1">IF(INDIRECT(ADDRESS($B277+1,AT$230,1,1,"Actively Infected Trend"))=0,#N/A,INDIRECT(ADDRESS($B277+1,AT$230,1,1,"Actively Infected Trend")))</f>
        <v>#N/A</v>
      </c>
      <c r="AU277" s="14" t="e" cm="1">
        <f t="array" aca="1" ref="AU277" ca="1">IF(INDIRECT(ADDRESS($B277+1,AU$230,1,1,"Actively Infected Trend"))=0,#N/A,INDIRECT(ADDRESS($B277+1,AU$230,1,1,"Actively Infected Trend")))</f>
        <v>#N/A</v>
      </c>
      <c r="AV277" s="14" t="e" cm="1">
        <f t="array" aca="1" ref="AV277" ca="1">IF(INDIRECT(ADDRESS($B277+1,AV$230,1,1,"Actively Infected Trend"))=0,#N/A,INDIRECT(ADDRESS($B277+1,AV$230,1,1,"Actively Infected Trend")))</f>
        <v>#N/A</v>
      </c>
      <c r="AW277" s="14" t="e" cm="1">
        <f t="array" aca="1" ref="AW277" ca="1">IF(INDIRECT(ADDRESS($B277+1,AW$230,1,1,"Actively Infected Trend"))=0,#N/A,INDIRECT(ADDRESS($B277+1,AW$230,1,1,"Actively Infected Trend")))</f>
        <v>#N/A</v>
      </c>
      <c r="AX277" s="14" t="e" cm="1">
        <f t="array" aca="1" ref="AX277" ca="1">IF(INDIRECT(ADDRESS($B277+1,AX$230,1,1,"Actively Infected Trend"))=0,#N/A,INDIRECT(ADDRESS($B277+1,AX$230,1,1,"Actively Infected Trend")))</f>
        <v>#N/A</v>
      </c>
      <c r="AY277" s="14" t="e" cm="1">
        <f t="array" aca="1" ref="AY277" ca="1">IF(INDIRECT(ADDRESS($B277+1,AY$230,1,1,"Actively Infected Trend"))=0,#N/A,INDIRECT(ADDRESS($B277+1,AY$230,1,1,"Actively Infected Trend")))</f>
        <v>#N/A</v>
      </c>
      <c r="AZ277" s="14" t="e" cm="1">
        <f t="array" aca="1" ref="AZ277" ca="1">IF(INDIRECT(ADDRESS($B277+1,AZ$230,1,1,"Actively Infected Trend"))=0,#N/A,INDIRECT(ADDRESS($B277+1,AZ$230,1,1,"Actively Infected Trend")))</f>
        <v>#N/A</v>
      </c>
      <c r="BA277" s="14" t="e" cm="1">
        <f t="array" aca="1" ref="BA277" ca="1">IF(INDIRECT(ADDRESS($B277+1,BA$230,1,1,"Actively Infected Trend"))=0,#N/A,INDIRECT(ADDRESS($B277+1,BA$230,1,1,"Actively Infected Trend")))</f>
        <v>#N/A</v>
      </c>
      <c r="BB277" s="14" t="e" cm="1">
        <f t="array" aca="1" ref="BB277" ca="1">IF(INDIRECT(ADDRESS($B277+1,BB$230,1,1,"Actively Infected Trend"))=0,#N/A,INDIRECT(ADDRESS($B277+1,BB$230,1,1,"Actively Infected Trend")))</f>
        <v>#N/A</v>
      </c>
      <c r="BC277" s="14" t="e" cm="1">
        <f t="array" aca="1" ref="BC277" ca="1">IF(INDIRECT(ADDRESS($B277+1,BC$230,1,1,"Actively Infected Trend"))=0,#N/A,INDIRECT(ADDRESS($B277+1,BC$230,1,1,"Actively Infected Trend")))</f>
        <v>#N/A</v>
      </c>
      <c r="BD277" s="14" t="e" cm="1">
        <f t="array" aca="1" ref="BD277" ca="1">IF(INDIRECT(ADDRESS($B277+1,BD$230,1,1,"Actively Infected Trend"))=0,#N/A,INDIRECT(ADDRESS($B277+1,BD$230,1,1,"Actively Infected Trend")))</f>
        <v>#N/A</v>
      </c>
      <c r="BE277" s="14" t="e" cm="1">
        <f t="array" aca="1" ref="BE277" ca="1">IF(INDIRECT(ADDRESS($B277+1,BE$230,1,1,"Actively Infected Trend"))=0,#N/A,INDIRECT(ADDRESS($B277+1,BE$230,1,1,"Actively Infected Trend")))</f>
        <v>#N/A</v>
      </c>
      <c r="BF277" s="14" t="e" cm="1">
        <f t="array" aca="1" ref="BF277" ca="1">IF(INDIRECT(ADDRESS($B277+1,BF$230,1,1,"Actively Infected Trend"))=0,#N/A,INDIRECT(ADDRESS($B277+1,BF$230,1,1,"Actively Infected Trend")))</f>
        <v>#N/A</v>
      </c>
      <c r="BG277" s="14" t="e" cm="1">
        <f t="array" aca="1" ref="BG277" ca="1">IF(INDIRECT(ADDRESS($B277+1,BG$230,1,1,"Actively Infected Trend"))=0,#N/A,INDIRECT(ADDRESS($B277+1,BG$230,1,1,"Actively Infected Trend")))</f>
        <v>#N/A</v>
      </c>
      <c r="BH277" s="14" t="e" cm="1">
        <f t="array" aca="1" ref="BH277" ca="1">IF(INDIRECT(ADDRESS($B277+1,BH$230,1,1,"Actively Infected Trend"))=0,#N/A,INDIRECT(ADDRESS($B277+1,BH$230,1,1,"Actively Infected Trend")))</f>
        <v>#N/A</v>
      </c>
      <c r="BI277" s="14" t="e" cm="1">
        <f t="array" aca="1" ref="BI277" ca="1">IF(INDIRECT(ADDRESS($B277+1,BI$230,1,1,"Actively Infected Trend"))=0,#N/A,INDIRECT(ADDRESS($B277+1,BI$230,1,1,"Actively Infected Trend")))</f>
        <v>#N/A</v>
      </c>
      <c r="BJ277" s="14" t="e" cm="1">
        <f t="array" aca="1" ref="BJ277" ca="1">IF(INDIRECT(ADDRESS($B277+1,BJ$230,1,1,"Actively Infected Trend"))=0,#N/A,INDIRECT(ADDRESS($B277+1,BJ$230,1,1,"Actively Infected Trend")))</f>
        <v>#N/A</v>
      </c>
      <c r="BK277" s="14" t="e" cm="1">
        <f t="array" aca="1" ref="BK277" ca="1">IF(INDIRECT(ADDRESS($B277+1,BK$230,1,1,"Actively Infected Trend"))=0,#N/A,INDIRECT(ADDRESS($B277+1,BK$230,1,1,"Actively Infected Trend")))</f>
        <v>#N/A</v>
      </c>
      <c r="BL277" s="14" t="e" cm="1">
        <f t="array" aca="1" ref="BL277" ca="1">IF(INDIRECT(ADDRESS($B277+1,BL$230,1,1,"Actively Infected Trend"))=0,#N/A,INDIRECT(ADDRESS($B277+1,BL$230,1,1,"Actively Infected Trend")))</f>
        <v>#N/A</v>
      </c>
      <c r="BM277" s="14" t="e" cm="1">
        <f t="array" aca="1" ref="BM277" ca="1">IF(INDIRECT(ADDRESS($B277+1,BM$230,1,1,"Actively Infected Trend"))=0,#N/A,INDIRECT(ADDRESS($B277+1,BM$230,1,1,"Actively Infected Trend")))</f>
        <v>#N/A</v>
      </c>
      <c r="BN277" s="14" t="e" cm="1">
        <f t="array" aca="1" ref="BN277" ca="1">IF(INDIRECT(ADDRESS($B277+1,BN$230,1,1,"Actively Infected Trend"))=0,#N/A,INDIRECT(ADDRESS($B277+1,BN$230,1,1,"Actively Infected Trend")))</f>
        <v>#N/A</v>
      </c>
      <c r="BO277" s="14" t="e" cm="1">
        <f t="array" aca="1" ref="BO277" ca="1">IF(INDIRECT(ADDRESS($B277+1,BO$230,1,1,"Actively Infected Trend"))=0,#N/A,INDIRECT(ADDRESS($B277+1,BO$230,1,1,"Actively Infected Trend")))</f>
        <v>#N/A</v>
      </c>
      <c r="BP277" s="14" t="e" cm="1">
        <f t="array" aca="1" ref="BP277" ca="1">IF(INDIRECT(ADDRESS($B277+1,BP$230,1,1,"Actively Infected Trend"))=0,#N/A,INDIRECT(ADDRESS($B277+1,BP$230,1,1,"Actively Infected Trend")))</f>
        <v>#N/A</v>
      </c>
      <c r="BQ277" s="14" t="e" cm="1">
        <f t="array" aca="1" ref="BQ277" ca="1">IF(INDIRECT(ADDRESS($B277+1,BQ$230,1,1,"Actively Infected Trend"))=0,#N/A,INDIRECT(ADDRESS($B277+1,BQ$230,1,1,"Actively Infected Trend")))</f>
        <v>#N/A</v>
      </c>
      <c r="BR277" s="14" t="e" cm="1">
        <f t="array" aca="1" ref="BR277" ca="1">IF(INDIRECT(ADDRESS($B277+1,BR$230,1,1,"Actively Infected Trend"))=0,#N/A,INDIRECT(ADDRESS($B277+1,BR$230,1,1,"Actively Infected Trend")))</f>
        <v>#N/A</v>
      </c>
      <c r="BS277" s="14" t="e" cm="1">
        <f t="array" aca="1" ref="BS277" ca="1">IF(INDIRECT(ADDRESS($B277+1,BS$230,1,1,"Actively Infected Trend"))=0,#N/A,INDIRECT(ADDRESS($B277+1,BS$230,1,1,"Actively Infected Trend")))</f>
        <v>#N/A</v>
      </c>
      <c r="BT277" s="14" t="e" cm="1">
        <f t="array" aca="1" ref="BT277" ca="1">IF(INDIRECT(ADDRESS($B277+1,BT$230,1,1,"Actively Infected Trend"))=0,#N/A,INDIRECT(ADDRESS($B277+1,BT$230,1,1,"Actively Infected Trend")))</f>
        <v>#N/A</v>
      </c>
      <c r="BU277" s="14" t="e" cm="1">
        <f t="array" aca="1" ref="BU277" ca="1">IF(INDIRECT(ADDRESS($B277+1,BU$230,1,1,"Actively Infected Trend"))=0,#N/A,INDIRECT(ADDRESS($B277+1,BU$230,1,1,"Actively Infected Trend")))</f>
        <v>#N/A</v>
      </c>
      <c r="BV277" s="14" t="e" cm="1">
        <f t="array" aca="1" ref="BV277" ca="1">IF(INDIRECT(ADDRESS($B277+1,BV$230,1,1,"Actively Infected Trend"))=0,#N/A,INDIRECT(ADDRESS($B277+1,BV$230,1,1,"Actively Infected Trend")))</f>
        <v>#N/A</v>
      </c>
      <c r="BW277" s="14" t="e" cm="1">
        <f t="array" aca="1" ref="BW277" ca="1">IF(INDIRECT(ADDRESS($B277+1,BW$230,1,1,"Actively Infected Trend"))=0,#N/A,INDIRECT(ADDRESS($B277+1,BW$230,1,1,"Actively Infected Trend")))</f>
        <v>#N/A</v>
      </c>
      <c r="BX277" s="14" t="e" cm="1">
        <f t="array" aca="1" ref="BX277" ca="1">IF(INDIRECT(ADDRESS($B277+1,BX$230,1,1,"Actively Infected Trend"))=0,#N/A,INDIRECT(ADDRESS($B277+1,BX$230,1,1,"Actively Infected Trend")))</f>
        <v>#N/A</v>
      </c>
      <c r="BY277" s="14" t="e" cm="1">
        <f t="array" aca="1" ref="BY277" ca="1">IF(INDIRECT(ADDRESS($B277+1,BY$230,1,1,"Actively Infected Trend"))=0,#N/A,INDIRECT(ADDRESS($B277+1,BY$230,1,1,"Actively Infected Trend")))</f>
        <v>#N/A</v>
      </c>
      <c r="BZ277" s="14" t="e" cm="1">
        <f t="array" aca="1" ref="BZ277" ca="1">IF(INDIRECT(ADDRESS($B277+1,BZ$230,1,1,"Actively Infected Trend"))=0,#N/A,INDIRECT(ADDRESS($B277+1,BZ$230,1,1,"Actively Infected Trend")))</f>
        <v>#N/A</v>
      </c>
      <c r="CA277" s="14" t="e" cm="1">
        <f t="array" aca="1" ref="CA277" ca="1">IF(INDIRECT(ADDRESS($B277+1,CA$230,1,1,"Actively Infected Trend"))=0,#N/A,INDIRECT(ADDRESS($B277+1,CA$230,1,1,"Actively Infected Trend")))</f>
        <v>#N/A</v>
      </c>
      <c r="CB277" s="14" t="e" cm="1">
        <f t="array" aca="1" ref="CB277" ca="1">IF(INDIRECT(ADDRESS($B277+1,CB$230,1,1,"Actively Infected Trend"))=0,#N/A,INDIRECT(ADDRESS($B277+1,CB$230,1,1,"Actively Infected Trend")))</f>
        <v>#N/A</v>
      </c>
      <c r="CC277" s="14" t="e" cm="1">
        <f t="array" aca="1" ref="CC277" ca="1">IF(INDIRECT(ADDRESS($B277+1,CC$230,1,1,"Actively Infected Trend"))=0,#N/A,INDIRECT(ADDRESS($B277+1,CC$230,1,1,"Actively Infected Trend")))</f>
        <v>#N/A</v>
      </c>
      <c r="CD277" s="14" t="e" cm="1">
        <f t="array" aca="1" ref="CD277" ca="1">IF(INDIRECT(ADDRESS($B277+1,CD$230,1,1,"Actively Infected Trend"))=0,#N/A,INDIRECT(ADDRESS($B277+1,CD$230,1,1,"Actively Infected Trend")))</f>
        <v>#N/A</v>
      </c>
      <c r="CE277" s="14" t="e" cm="1">
        <f t="array" aca="1" ref="CE277" ca="1">IF(INDIRECT(ADDRESS($B277+1,CE$230,1,1,"Actively Infected Trend"))=0,#N/A,INDIRECT(ADDRESS($B277+1,CE$230,1,1,"Actively Infected Trend")))</f>
        <v>#N/A</v>
      </c>
      <c r="CF277" s="14" t="e" cm="1">
        <f t="array" aca="1" ref="CF277" ca="1">IF(INDIRECT(ADDRESS($B277+1,CF$230,1,1,"Actively Infected Trend"))=0,#N/A,INDIRECT(ADDRESS($B277+1,CF$230,1,1,"Actively Infected Trend")))</f>
        <v>#N/A</v>
      </c>
      <c r="CG277" s="14" t="e" cm="1">
        <f t="array" aca="1" ref="CG277" ca="1">IF(INDIRECT(ADDRESS($B277+1,CG$230,1,1,"Actively Infected Trend"))=0,#N/A,INDIRECT(ADDRESS($B277+1,CG$230,1,1,"Actively Infected Trend")))</f>
        <v>#N/A</v>
      </c>
      <c r="CH277" s="14" t="e" cm="1">
        <f t="array" aca="1" ref="CH277" ca="1">IF(INDIRECT(ADDRESS($B277+1,CH$230,1,1,"Actively Infected Trend"))=0,#N/A,INDIRECT(ADDRESS($B277+1,CH$230,1,1,"Actively Infected Trend")))</f>
        <v>#N/A</v>
      </c>
      <c r="CI277" s="14" t="e" cm="1">
        <f t="array" aca="1" ref="CI277" ca="1">IF(INDIRECT(ADDRESS($B277+1,CI$230,1,1,"Actively Infected Trend"))=0,#N/A,INDIRECT(ADDRESS($B277+1,CI$230,1,1,"Actively Infected Trend")))</f>
        <v>#N/A</v>
      </c>
      <c r="CJ277" s="14" t="e" cm="1">
        <f t="array" aca="1" ref="CJ277" ca="1">IF(INDIRECT(ADDRESS($B277+1,CJ$230,1,1,"Actively Infected Trend"))=0,#N/A,INDIRECT(ADDRESS($B277+1,CJ$230,1,1,"Actively Infected Trend")))</f>
        <v>#N/A</v>
      </c>
      <c r="CK277" s="14" t="e" cm="1">
        <f t="array" aca="1" ref="CK277" ca="1">IF(INDIRECT(ADDRESS($B277+1,CK$230,1,1,"Actively Infected Trend"))=0,#N/A,INDIRECT(ADDRESS($B277+1,CK$230,1,1,"Actively Infected Trend")))</f>
        <v>#N/A</v>
      </c>
      <c r="CL277" s="14" t="e" cm="1">
        <f t="array" aca="1" ref="CL277" ca="1">IF(INDIRECT(ADDRESS($B277+1,CL$230,1,1,"Actively Infected Trend"))=0,#N/A,INDIRECT(ADDRESS($B277+1,CL$230,1,1,"Actively Infected Trend")))</f>
        <v>#N/A</v>
      </c>
      <c r="CM277" s="14" t="e" cm="1">
        <f t="array" aca="1" ref="CM277" ca="1">IF(INDIRECT(ADDRESS($B277+1,CM$230,1,1,"Actively Infected Trend"))=0,#N/A,INDIRECT(ADDRESS($B277+1,CM$230,1,1,"Actively Infected Trend")))</f>
        <v>#N/A</v>
      </c>
      <c r="CN277" s="14" t="e" cm="1">
        <f t="array" aca="1" ref="CN277" ca="1">IF(INDIRECT(ADDRESS($B277+1,CN$230,1,1,"Actively Infected Trend"))=0,#N/A,INDIRECT(ADDRESS($B277+1,CN$230,1,1,"Actively Infected Trend")))</f>
        <v>#N/A</v>
      </c>
      <c r="CO277" s="14" t="e" cm="1">
        <f t="array" aca="1" ref="CO277" ca="1">IF(INDIRECT(ADDRESS($B277+1,CO$230,1,1,"Actively Infected Trend"))=0,#N/A,INDIRECT(ADDRESS($B277+1,CO$230,1,1,"Actively Infected Trend")))</f>
        <v>#N/A</v>
      </c>
      <c r="CP277" s="14" t="e" cm="1">
        <f t="array" aca="1" ref="CP277" ca="1">IF(INDIRECT(ADDRESS($B277+1,CP$230,1,1,"Actively Infected Trend"))=0,#N/A,INDIRECT(ADDRESS($B277+1,CP$230,1,1,"Actively Infected Trend")))</f>
        <v>#N/A</v>
      </c>
      <c r="CQ277" s="14" t="e" cm="1">
        <f t="array" aca="1" ref="CQ277" ca="1">IF(INDIRECT(ADDRESS($B277+1,CQ$230,1,1,"Actively Infected Trend"))=0,#N/A,INDIRECT(ADDRESS($B277+1,CQ$230,1,1,"Actively Infected Trend")))</f>
        <v>#N/A</v>
      </c>
      <c r="CR277" s="14" t="e" cm="1">
        <f t="array" aca="1" ref="CR277" ca="1">IF(INDIRECT(ADDRESS($B277+1,CR$230,1,1,"Actively Infected Trend"))=0,#N/A,INDIRECT(ADDRESS($B277+1,CR$230,1,1,"Actively Infected Trend")))</f>
        <v>#N/A</v>
      </c>
    </row>
    <row r="278" spans="2:96" x14ac:dyDescent="0.25">
      <c r="B278">
        <f t="shared" si="349"/>
        <v>47</v>
      </c>
      <c r="C278" cm="1">
        <f t="array" aca="1" ref="C278" ca="1">INDIRECT(ADDRESS($B278+1,1,1,1,"Actively Infected Trend"))</f>
        <v>0</v>
      </c>
      <c r="E278" s="14" t="e" cm="1">
        <f t="array" aca="1" ref="E278" ca="1">IF(INDIRECT(ADDRESS($B278+1,E$230,1,1,"Actively Infected Trend"))=0,#N/A,INDIRECT(ADDRESS($B278+1,E$230,1,1,"Actively Infected Trend")))</f>
        <v>#N/A</v>
      </c>
      <c r="F278" s="14" t="e" cm="1">
        <f t="array" aca="1" ref="F278" ca="1">IF(INDIRECT(ADDRESS($B278+1,F$230,1,1,"Actively Infected Trend"))=0,#N/A,INDIRECT(ADDRESS($B278+1,F$230,1,1,"Actively Infected Trend")))</f>
        <v>#N/A</v>
      </c>
      <c r="G278" s="14" t="e" cm="1">
        <f t="array" aca="1" ref="G278" ca="1">IF(INDIRECT(ADDRESS($B278+1,G$230,1,1,"Actively Infected Trend"))=0,#N/A,INDIRECT(ADDRESS($B278+1,G$230,1,1,"Actively Infected Trend")))</f>
        <v>#N/A</v>
      </c>
      <c r="H278" s="14" t="e" cm="1">
        <f t="array" aca="1" ref="H278" ca="1">IF(INDIRECT(ADDRESS($B278+1,H$230,1,1,"Actively Infected Trend"))=0,#N/A,INDIRECT(ADDRESS($B278+1,H$230,1,1,"Actively Infected Trend")))</f>
        <v>#N/A</v>
      </c>
      <c r="I278" s="14" t="e" cm="1">
        <f t="array" aca="1" ref="I278" ca="1">IF(INDIRECT(ADDRESS($B278+1,I$230,1,1,"Actively Infected Trend"))=0,#N/A,INDIRECT(ADDRESS($B278+1,I$230,1,1,"Actively Infected Trend")))</f>
        <v>#N/A</v>
      </c>
      <c r="J278" s="14" t="e" cm="1">
        <f t="array" aca="1" ref="J278" ca="1">IF(INDIRECT(ADDRESS($B278+1,J$230,1,1,"Actively Infected Trend"))=0,#N/A,INDIRECT(ADDRESS($B278+1,J$230,1,1,"Actively Infected Trend")))</f>
        <v>#N/A</v>
      </c>
      <c r="K278" s="14" t="e" cm="1">
        <f t="array" aca="1" ref="K278" ca="1">IF(INDIRECT(ADDRESS($B278+1,K$230,1,1,"Actively Infected Trend"))=0,#N/A,INDIRECT(ADDRESS($B278+1,K$230,1,1,"Actively Infected Trend")))</f>
        <v>#N/A</v>
      </c>
      <c r="L278" s="14" t="e" cm="1">
        <f t="array" aca="1" ref="L278" ca="1">IF(INDIRECT(ADDRESS($B278+1,L$230,1,1,"Actively Infected Trend"))=0,#N/A,INDIRECT(ADDRESS($B278+1,L$230,1,1,"Actively Infected Trend")))</f>
        <v>#N/A</v>
      </c>
      <c r="M278" s="14" t="e" cm="1">
        <f t="array" aca="1" ref="M278" ca="1">IF(INDIRECT(ADDRESS($B278+1,M$230,1,1,"Actively Infected Trend"))=0,#N/A,INDIRECT(ADDRESS($B278+1,M$230,1,1,"Actively Infected Trend")))</f>
        <v>#N/A</v>
      </c>
      <c r="N278" s="14" t="e" cm="1">
        <f t="array" aca="1" ref="N278" ca="1">IF(INDIRECT(ADDRESS($B278+1,N$230,1,1,"Actively Infected Trend"))=0,#N/A,INDIRECT(ADDRESS($B278+1,N$230,1,1,"Actively Infected Trend")))</f>
        <v>#N/A</v>
      </c>
      <c r="O278" s="14" t="e" cm="1">
        <f t="array" aca="1" ref="O278" ca="1">IF(INDIRECT(ADDRESS($B278+1,O$230,1,1,"Actively Infected Trend"))=0,#N/A,INDIRECT(ADDRESS($B278+1,O$230,1,1,"Actively Infected Trend")))</f>
        <v>#N/A</v>
      </c>
      <c r="P278" s="14" t="e" cm="1">
        <f t="array" aca="1" ref="P278" ca="1">IF(INDIRECT(ADDRESS($B278+1,P$230,1,1,"Actively Infected Trend"))=0,#N/A,INDIRECT(ADDRESS($B278+1,P$230,1,1,"Actively Infected Trend")))</f>
        <v>#N/A</v>
      </c>
      <c r="Q278" s="14" t="e" cm="1">
        <f t="array" aca="1" ref="Q278" ca="1">IF(INDIRECT(ADDRESS($B278+1,Q$230,1,1,"Actively Infected Trend"))=0,#N/A,INDIRECT(ADDRESS($B278+1,Q$230,1,1,"Actively Infected Trend")))</f>
        <v>#N/A</v>
      </c>
      <c r="R278" s="14" t="e" cm="1">
        <f t="array" aca="1" ref="R278" ca="1">IF(INDIRECT(ADDRESS($B278+1,R$230,1,1,"Actively Infected Trend"))=0,#N/A,INDIRECT(ADDRESS($B278+1,R$230,1,1,"Actively Infected Trend")))</f>
        <v>#N/A</v>
      </c>
      <c r="S278" s="14" t="e" cm="1">
        <f t="array" aca="1" ref="S278" ca="1">IF(INDIRECT(ADDRESS($B278+1,S$230,1,1,"Actively Infected Trend"))=0,#N/A,INDIRECT(ADDRESS($B278+1,S$230,1,1,"Actively Infected Trend")))</f>
        <v>#N/A</v>
      </c>
      <c r="T278" s="14" t="e" cm="1">
        <f t="array" aca="1" ref="T278" ca="1">IF(INDIRECT(ADDRESS($B278+1,T$230,1,1,"Actively Infected Trend"))=0,#N/A,INDIRECT(ADDRESS($B278+1,T$230,1,1,"Actively Infected Trend")))</f>
        <v>#N/A</v>
      </c>
      <c r="U278" s="14" t="e" cm="1">
        <f t="array" aca="1" ref="U278" ca="1">IF(INDIRECT(ADDRESS($B278+1,U$230,1,1,"Actively Infected Trend"))=0,#N/A,INDIRECT(ADDRESS($B278+1,U$230,1,1,"Actively Infected Trend")))</f>
        <v>#N/A</v>
      </c>
      <c r="V278" s="14" t="e" cm="1">
        <f t="array" aca="1" ref="V278" ca="1">IF(INDIRECT(ADDRESS($B278+1,V$230,1,1,"Actively Infected Trend"))=0,#N/A,INDIRECT(ADDRESS($B278+1,V$230,1,1,"Actively Infected Trend")))</f>
        <v>#N/A</v>
      </c>
      <c r="W278" s="14" t="e" cm="1">
        <f t="array" aca="1" ref="W278" ca="1">IF(INDIRECT(ADDRESS($B278+1,W$230,1,1,"Actively Infected Trend"))=0,#N/A,INDIRECT(ADDRESS($B278+1,W$230,1,1,"Actively Infected Trend")))</f>
        <v>#N/A</v>
      </c>
      <c r="X278" s="14" t="e" cm="1">
        <f t="array" aca="1" ref="X278" ca="1">IF(INDIRECT(ADDRESS($B278+1,X$230,1,1,"Actively Infected Trend"))=0,#N/A,INDIRECT(ADDRESS($B278+1,X$230,1,1,"Actively Infected Trend")))</f>
        <v>#N/A</v>
      </c>
      <c r="Y278" s="14" t="e" cm="1">
        <f t="array" aca="1" ref="Y278" ca="1">IF(INDIRECT(ADDRESS($B278+1,Y$230,1,1,"Actively Infected Trend"))=0,#N/A,INDIRECT(ADDRESS($B278+1,Y$230,1,1,"Actively Infected Trend")))</f>
        <v>#N/A</v>
      </c>
      <c r="Z278" s="14" t="e" cm="1">
        <f t="array" aca="1" ref="Z278" ca="1">IF(INDIRECT(ADDRESS($B278+1,Z$230,1,1,"Actively Infected Trend"))=0,#N/A,INDIRECT(ADDRESS($B278+1,Z$230,1,1,"Actively Infected Trend")))</f>
        <v>#N/A</v>
      </c>
      <c r="AA278" s="14" t="e" cm="1">
        <f t="array" aca="1" ref="AA278" ca="1">IF(INDIRECT(ADDRESS($B278+1,AA$230,1,1,"Actively Infected Trend"))=0,#N/A,INDIRECT(ADDRESS($B278+1,AA$230,1,1,"Actively Infected Trend")))</f>
        <v>#N/A</v>
      </c>
      <c r="AB278" s="14" t="e" cm="1">
        <f t="array" aca="1" ref="AB278" ca="1">IF(INDIRECT(ADDRESS($B278+1,AB$230,1,1,"Actively Infected Trend"))=0,#N/A,INDIRECT(ADDRESS($B278+1,AB$230,1,1,"Actively Infected Trend")))</f>
        <v>#N/A</v>
      </c>
      <c r="AC278" s="14" t="e" cm="1">
        <f t="array" aca="1" ref="AC278" ca="1">IF(INDIRECT(ADDRESS($B278+1,AC$230,1,1,"Actively Infected Trend"))=0,#N/A,INDIRECT(ADDRESS($B278+1,AC$230,1,1,"Actively Infected Trend")))</f>
        <v>#N/A</v>
      </c>
      <c r="AD278" s="14" t="e" cm="1">
        <f t="array" aca="1" ref="AD278" ca="1">IF(INDIRECT(ADDRESS($B278+1,AD$230,1,1,"Actively Infected Trend"))=0,#N/A,INDIRECT(ADDRESS($B278+1,AD$230,1,1,"Actively Infected Trend")))</f>
        <v>#N/A</v>
      </c>
      <c r="AE278" s="14" t="e" cm="1">
        <f t="array" aca="1" ref="AE278" ca="1">IF(INDIRECT(ADDRESS($B278+1,AE$230,1,1,"Actively Infected Trend"))=0,#N/A,INDIRECT(ADDRESS($B278+1,AE$230,1,1,"Actively Infected Trend")))</f>
        <v>#N/A</v>
      </c>
      <c r="AF278" s="14" t="e" cm="1">
        <f t="array" aca="1" ref="AF278" ca="1">IF(INDIRECT(ADDRESS($B278+1,AF$230,1,1,"Actively Infected Trend"))=0,#N/A,INDIRECT(ADDRESS($B278+1,AF$230,1,1,"Actively Infected Trend")))</f>
        <v>#N/A</v>
      </c>
      <c r="AG278" s="14" t="e" cm="1">
        <f t="array" aca="1" ref="AG278" ca="1">IF(INDIRECT(ADDRESS($B278+1,AG$230,1,1,"Actively Infected Trend"))=0,#N/A,INDIRECT(ADDRESS($B278+1,AG$230,1,1,"Actively Infected Trend")))</f>
        <v>#N/A</v>
      </c>
      <c r="AH278" s="14" t="e" cm="1">
        <f t="array" aca="1" ref="AH278" ca="1">IF(INDIRECT(ADDRESS($B278+1,AH$230,1,1,"Actively Infected Trend"))=0,#N/A,INDIRECT(ADDRESS($B278+1,AH$230,1,1,"Actively Infected Trend")))</f>
        <v>#N/A</v>
      </c>
      <c r="AI278" s="14" t="e" cm="1">
        <f t="array" aca="1" ref="AI278" ca="1">IF(INDIRECT(ADDRESS($B278+1,AI$230,1,1,"Actively Infected Trend"))=0,#N/A,INDIRECT(ADDRESS($B278+1,AI$230,1,1,"Actively Infected Trend")))</f>
        <v>#N/A</v>
      </c>
      <c r="AJ278" s="14" t="e" cm="1">
        <f t="array" aca="1" ref="AJ278" ca="1">IF(INDIRECT(ADDRESS($B278+1,AJ$230,1,1,"Actively Infected Trend"))=0,#N/A,INDIRECT(ADDRESS($B278+1,AJ$230,1,1,"Actively Infected Trend")))</f>
        <v>#N/A</v>
      </c>
      <c r="AK278" s="14" t="e" cm="1">
        <f t="array" aca="1" ref="AK278" ca="1">IF(INDIRECT(ADDRESS($B278+1,AK$230,1,1,"Actively Infected Trend"))=0,#N/A,INDIRECT(ADDRESS($B278+1,AK$230,1,1,"Actively Infected Trend")))</f>
        <v>#N/A</v>
      </c>
      <c r="AL278" s="14" t="e" cm="1">
        <f t="array" aca="1" ref="AL278" ca="1">IF(INDIRECT(ADDRESS($B278+1,AL$230,1,1,"Actively Infected Trend"))=0,#N/A,INDIRECT(ADDRESS($B278+1,AL$230,1,1,"Actively Infected Trend")))</f>
        <v>#N/A</v>
      </c>
      <c r="AM278" s="14" t="e" cm="1">
        <f t="array" aca="1" ref="AM278" ca="1">IF(INDIRECT(ADDRESS($B278+1,AM$230,1,1,"Actively Infected Trend"))=0,#N/A,INDIRECT(ADDRESS($B278+1,AM$230,1,1,"Actively Infected Trend")))</f>
        <v>#N/A</v>
      </c>
      <c r="AN278" s="14" t="e" cm="1">
        <f t="array" aca="1" ref="AN278" ca="1">IF(INDIRECT(ADDRESS($B278+1,AN$230,1,1,"Actively Infected Trend"))=0,#N/A,INDIRECT(ADDRESS($B278+1,AN$230,1,1,"Actively Infected Trend")))</f>
        <v>#N/A</v>
      </c>
      <c r="AO278" s="14" t="e" cm="1">
        <f t="array" aca="1" ref="AO278" ca="1">IF(INDIRECT(ADDRESS($B278+1,AO$230,1,1,"Actively Infected Trend"))=0,#N/A,INDIRECT(ADDRESS($B278+1,AO$230,1,1,"Actively Infected Trend")))</f>
        <v>#N/A</v>
      </c>
      <c r="AP278" s="14" t="e" cm="1">
        <f t="array" aca="1" ref="AP278" ca="1">IF(INDIRECT(ADDRESS($B278+1,AP$230,1,1,"Actively Infected Trend"))=0,#N/A,INDIRECT(ADDRESS($B278+1,AP$230,1,1,"Actively Infected Trend")))</f>
        <v>#N/A</v>
      </c>
      <c r="AQ278" s="14" t="e" cm="1">
        <f t="array" aca="1" ref="AQ278" ca="1">IF(INDIRECT(ADDRESS($B278+1,AQ$230,1,1,"Actively Infected Trend"))=0,#N/A,INDIRECT(ADDRESS($B278+1,AQ$230,1,1,"Actively Infected Trend")))</f>
        <v>#N/A</v>
      </c>
      <c r="AR278" s="14" t="e" cm="1">
        <f t="array" aca="1" ref="AR278" ca="1">IF(INDIRECT(ADDRESS($B278+1,AR$230,1,1,"Actively Infected Trend"))=0,#N/A,INDIRECT(ADDRESS($B278+1,AR$230,1,1,"Actively Infected Trend")))</f>
        <v>#N/A</v>
      </c>
      <c r="AS278" s="14" t="e" cm="1">
        <f t="array" aca="1" ref="AS278" ca="1">IF(INDIRECT(ADDRESS($B278+1,AS$230,1,1,"Actively Infected Trend"))=0,#N/A,INDIRECT(ADDRESS($B278+1,AS$230,1,1,"Actively Infected Trend")))</f>
        <v>#N/A</v>
      </c>
      <c r="AT278" s="14" t="e" cm="1">
        <f t="array" aca="1" ref="AT278" ca="1">IF(INDIRECT(ADDRESS($B278+1,AT$230,1,1,"Actively Infected Trend"))=0,#N/A,INDIRECT(ADDRESS($B278+1,AT$230,1,1,"Actively Infected Trend")))</f>
        <v>#N/A</v>
      </c>
      <c r="AU278" s="14" t="e" cm="1">
        <f t="array" aca="1" ref="AU278" ca="1">IF(INDIRECT(ADDRESS($B278+1,AU$230,1,1,"Actively Infected Trend"))=0,#N/A,INDIRECT(ADDRESS($B278+1,AU$230,1,1,"Actively Infected Trend")))</f>
        <v>#N/A</v>
      </c>
      <c r="AV278" s="14" t="e" cm="1">
        <f t="array" aca="1" ref="AV278" ca="1">IF(INDIRECT(ADDRESS($B278+1,AV$230,1,1,"Actively Infected Trend"))=0,#N/A,INDIRECT(ADDRESS($B278+1,AV$230,1,1,"Actively Infected Trend")))</f>
        <v>#N/A</v>
      </c>
      <c r="AW278" s="14" t="e" cm="1">
        <f t="array" aca="1" ref="AW278" ca="1">IF(INDIRECT(ADDRESS($B278+1,AW$230,1,1,"Actively Infected Trend"))=0,#N/A,INDIRECT(ADDRESS($B278+1,AW$230,1,1,"Actively Infected Trend")))</f>
        <v>#N/A</v>
      </c>
      <c r="AX278" s="14" t="e" cm="1">
        <f t="array" aca="1" ref="AX278" ca="1">IF(INDIRECT(ADDRESS($B278+1,AX$230,1,1,"Actively Infected Trend"))=0,#N/A,INDIRECT(ADDRESS($B278+1,AX$230,1,1,"Actively Infected Trend")))</f>
        <v>#N/A</v>
      </c>
      <c r="AY278" s="14" t="e" cm="1">
        <f t="array" aca="1" ref="AY278" ca="1">IF(INDIRECT(ADDRESS($B278+1,AY$230,1,1,"Actively Infected Trend"))=0,#N/A,INDIRECT(ADDRESS($B278+1,AY$230,1,1,"Actively Infected Trend")))</f>
        <v>#N/A</v>
      </c>
      <c r="AZ278" s="14" t="e" cm="1">
        <f t="array" aca="1" ref="AZ278" ca="1">IF(INDIRECT(ADDRESS($B278+1,AZ$230,1,1,"Actively Infected Trend"))=0,#N/A,INDIRECT(ADDRESS($B278+1,AZ$230,1,1,"Actively Infected Trend")))</f>
        <v>#N/A</v>
      </c>
      <c r="BA278" s="14" t="e" cm="1">
        <f t="array" aca="1" ref="BA278" ca="1">IF(INDIRECT(ADDRESS($B278+1,BA$230,1,1,"Actively Infected Trend"))=0,#N/A,INDIRECT(ADDRESS($B278+1,BA$230,1,1,"Actively Infected Trend")))</f>
        <v>#N/A</v>
      </c>
      <c r="BB278" s="14" t="e" cm="1">
        <f t="array" aca="1" ref="BB278" ca="1">IF(INDIRECT(ADDRESS($B278+1,BB$230,1,1,"Actively Infected Trend"))=0,#N/A,INDIRECT(ADDRESS($B278+1,BB$230,1,1,"Actively Infected Trend")))</f>
        <v>#N/A</v>
      </c>
      <c r="BC278" s="14" t="e" cm="1">
        <f t="array" aca="1" ref="BC278" ca="1">IF(INDIRECT(ADDRESS($B278+1,BC$230,1,1,"Actively Infected Trend"))=0,#N/A,INDIRECT(ADDRESS($B278+1,BC$230,1,1,"Actively Infected Trend")))</f>
        <v>#N/A</v>
      </c>
      <c r="BD278" s="14" t="e" cm="1">
        <f t="array" aca="1" ref="BD278" ca="1">IF(INDIRECT(ADDRESS($B278+1,BD$230,1,1,"Actively Infected Trend"))=0,#N/A,INDIRECT(ADDRESS($B278+1,BD$230,1,1,"Actively Infected Trend")))</f>
        <v>#N/A</v>
      </c>
      <c r="BE278" s="14" t="e" cm="1">
        <f t="array" aca="1" ref="BE278" ca="1">IF(INDIRECT(ADDRESS($B278+1,BE$230,1,1,"Actively Infected Trend"))=0,#N/A,INDIRECT(ADDRESS($B278+1,BE$230,1,1,"Actively Infected Trend")))</f>
        <v>#N/A</v>
      </c>
      <c r="BF278" s="14" t="e" cm="1">
        <f t="array" aca="1" ref="BF278" ca="1">IF(INDIRECT(ADDRESS($B278+1,BF$230,1,1,"Actively Infected Trend"))=0,#N/A,INDIRECT(ADDRESS($B278+1,BF$230,1,1,"Actively Infected Trend")))</f>
        <v>#N/A</v>
      </c>
      <c r="BG278" s="14" t="e" cm="1">
        <f t="array" aca="1" ref="BG278" ca="1">IF(INDIRECT(ADDRESS($B278+1,BG$230,1,1,"Actively Infected Trend"))=0,#N/A,INDIRECT(ADDRESS($B278+1,BG$230,1,1,"Actively Infected Trend")))</f>
        <v>#N/A</v>
      </c>
      <c r="BH278" s="14" t="e" cm="1">
        <f t="array" aca="1" ref="BH278" ca="1">IF(INDIRECT(ADDRESS($B278+1,BH$230,1,1,"Actively Infected Trend"))=0,#N/A,INDIRECT(ADDRESS($B278+1,BH$230,1,1,"Actively Infected Trend")))</f>
        <v>#N/A</v>
      </c>
      <c r="BI278" s="14" t="e" cm="1">
        <f t="array" aca="1" ref="BI278" ca="1">IF(INDIRECT(ADDRESS($B278+1,BI$230,1,1,"Actively Infected Trend"))=0,#N/A,INDIRECT(ADDRESS($B278+1,BI$230,1,1,"Actively Infected Trend")))</f>
        <v>#N/A</v>
      </c>
      <c r="BJ278" s="14" t="e" cm="1">
        <f t="array" aca="1" ref="BJ278" ca="1">IF(INDIRECT(ADDRESS($B278+1,BJ$230,1,1,"Actively Infected Trend"))=0,#N/A,INDIRECT(ADDRESS($B278+1,BJ$230,1,1,"Actively Infected Trend")))</f>
        <v>#N/A</v>
      </c>
      <c r="BK278" s="14" t="e" cm="1">
        <f t="array" aca="1" ref="BK278" ca="1">IF(INDIRECT(ADDRESS($B278+1,BK$230,1,1,"Actively Infected Trend"))=0,#N/A,INDIRECT(ADDRESS($B278+1,BK$230,1,1,"Actively Infected Trend")))</f>
        <v>#N/A</v>
      </c>
      <c r="BL278" s="14" t="e" cm="1">
        <f t="array" aca="1" ref="BL278" ca="1">IF(INDIRECT(ADDRESS($B278+1,BL$230,1,1,"Actively Infected Trend"))=0,#N/A,INDIRECT(ADDRESS($B278+1,BL$230,1,1,"Actively Infected Trend")))</f>
        <v>#N/A</v>
      </c>
      <c r="BM278" s="14" t="e" cm="1">
        <f t="array" aca="1" ref="BM278" ca="1">IF(INDIRECT(ADDRESS($B278+1,BM$230,1,1,"Actively Infected Trend"))=0,#N/A,INDIRECT(ADDRESS($B278+1,BM$230,1,1,"Actively Infected Trend")))</f>
        <v>#N/A</v>
      </c>
      <c r="BN278" s="14" t="e" cm="1">
        <f t="array" aca="1" ref="BN278" ca="1">IF(INDIRECT(ADDRESS($B278+1,BN$230,1,1,"Actively Infected Trend"))=0,#N/A,INDIRECT(ADDRESS($B278+1,BN$230,1,1,"Actively Infected Trend")))</f>
        <v>#N/A</v>
      </c>
      <c r="BO278" s="14" t="e" cm="1">
        <f t="array" aca="1" ref="BO278" ca="1">IF(INDIRECT(ADDRESS($B278+1,BO$230,1,1,"Actively Infected Trend"))=0,#N/A,INDIRECT(ADDRESS($B278+1,BO$230,1,1,"Actively Infected Trend")))</f>
        <v>#N/A</v>
      </c>
      <c r="BP278" s="14" t="e" cm="1">
        <f t="array" aca="1" ref="BP278" ca="1">IF(INDIRECT(ADDRESS($B278+1,BP$230,1,1,"Actively Infected Trend"))=0,#N/A,INDIRECT(ADDRESS($B278+1,BP$230,1,1,"Actively Infected Trend")))</f>
        <v>#N/A</v>
      </c>
      <c r="BQ278" s="14" t="e" cm="1">
        <f t="array" aca="1" ref="BQ278" ca="1">IF(INDIRECT(ADDRESS($B278+1,BQ$230,1,1,"Actively Infected Trend"))=0,#N/A,INDIRECT(ADDRESS($B278+1,BQ$230,1,1,"Actively Infected Trend")))</f>
        <v>#N/A</v>
      </c>
      <c r="BR278" s="14" t="e" cm="1">
        <f t="array" aca="1" ref="BR278" ca="1">IF(INDIRECT(ADDRESS($B278+1,BR$230,1,1,"Actively Infected Trend"))=0,#N/A,INDIRECT(ADDRESS($B278+1,BR$230,1,1,"Actively Infected Trend")))</f>
        <v>#N/A</v>
      </c>
      <c r="BS278" s="14" t="e" cm="1">
        <f t="array" aca="1" ref="BS278" ca="1">IF(INDIRECT(ADDRESS($B278+1,BS$230,1,1,"Actively Infected Trend"))=0,#N/A,INDIRECT(ADDRESS($B278+1,BS$230,1,1,"Actively Infected Trend")))</f>
        <v>#N/A</v>
      </c>
      <c r="BT278" s="14" t="e" cm="1">
        <f t="array" aca="1" ref="BT278" ca="1">IF(INDIRECT(ADDRESS($B278+1,BT$230,1,1,"Actively Infected Trend"))=0,#N/A,INDIRECT(ADDRESS($B278+1,BT$230,1,1,"Actively Infected Trend")))</f>
        <v>#N/A</v>
      </c>
      <c r="BU278" s="14" t="e" cm="1">
        <f t="array" aca="1" ref="BU278" ca="1">IF(INDIRECT(ADDRESS($B278+1,BU$230,1,1,"Actively Infected Trend"))=0,#N/A,INDIRECT(ADDRESS($B278+1,BU$230,1,1,"Actively Infected Trend")))</f>
        <v>#N/A</v>
      </c>
      <c r="BV278" s="14" t="e" cm="1">
        <f t="array" aca="1" ref="BV278" ca="1">IF(INDIRECT(ADDRESS($B278+1,BV$230,1,1,"Actively Infected Trend"))=0,#N/A,INDIRECT(ADDRESS($B278+1,BV$230,1,1,"Actively Infected Trend")))</f>
        <v>#N/A</v>
      </c>
      <c r="BW278" s="14" t="e" cm="1">
        <f t="array" aca="1" ref="BW278" ca="1">IF(INDIRECT(ADDRESS($B278+1,BW$230,1,1,"Actively Infected Trend"))=0,#N/A,INDIRECT(ADDRESS($B278+1,BW$230,1,1,"Actively Infected Trend")))</f>
        <v>#N/A</v>
      </c>
      <c r="BX278" s="14" t="e" cm="1">
        <f t="array" aca="1" ref="BX278" ca="1">IF(INDIRECT(ADDRESS($B278+1,BX$230,1,1,"Actively Infected Trend"))=0,#N/A,INDIRECT(ADDRESS($B278+1,BX$230,1,1,"Actively Infected Trend")))</f>
        <v>#N/A</v>
      </c>
      <c r="BY278" s="14" t="e" cm="1">
        <f t="array" aca="1" ref="BY278" ca="1">IF(INDIRECT(ADDRESS($B278+1,BY$230,1,1,"Actively Infected Trend"))=0,#N/A,INDIRECT(ADDRESS($B278+1,BY$230,1,1,"Actively Infected Trend")))</f>
        <v>#N/A</v>
      </c>
      <c r="BZ278" s="14" t="e" cm="1">
        <f t="array" aca="1" ref="BZ278" ca="1">IF(INDIRECT(ADDRESS($B278+1,BZ$230,1,1,"Actively Infected Trend"))=0,#N/A,INDIRECT(ADDRESS($B278+1,BZ$230,1,1,"Actively Infected Trend")))</f>
        <v>#N/A</v>
      </c>
      <c r="CA278" s="14" t="e" cm="1">
        <f t="array" aca="1" ref="CA278" ca="1">IF(INDIRECT(ADDRESS($B278+1,CA$230,1,1,"Actively Infected Trend"))=0,#N/A,INDIRECT(ADDRESS($B278+1,CA$230,1,1,"Actively Infected Trend")))</f>
        <v>#N/A</v>
      </c>
      <c r="CB278" s="14" t="e" cm="1">
        <f t="array" aca="1" ref="CB278" ca="1">IF(INDIRECT(ADDRESS($B278+1,CB$230,1,1,"Actively Infected Trend"))=0,#N/A,INDIRECT(ADDRESS($B278+1,CB$230,1,1,"Actively Infected Trend")))</f>
        <v>#N/A</v>
      </c>
      <c r="CC278" s="14" t="e" cm="1">
        <f t="array" aca="1" ref="CC278" ca="1">IF(INDIRECT(ADDRESS($B278+1,CC$230,1,1,"Actively Infected Trend"))=0,#N/A,INDIRECT(ADDRESS($B278+1,CC$230,1,1,"Actively Infected Trend")))</f>
        <v>#N/A</v>
      </c>
      <c r="CD278" s="14" t="e" cm="1">
        <f t="array" aca="1" ref="CD278" ca="1">IF(INDIRECT(ADDRESS($B278+1,CD$230,1,1,"Actively Infected Trend"))=0,#N/A,INDIRECT(ADDRESS($B278+1,CD$230,1,1,"Actively Infected Trend")))</f>
        <v>#N/A</v>
      </c>
      <c r="CE278" s="14" t="e" cm="1">
        <f t="array" aca="1" ref="CE278" ca="1">IF(INDIRECT(ADDRESS($B278+1,CE$230,1,1,"Actively Infected Trend"))=0,#N/A,INDIRECT(ADDRESS($B278+1,CE$230,1,1,"Actively Infected Trend")))</f>
        <v>#N/A</v>
      </c>
      <c r="CF278" s="14" t="e" cm="1">
        <f t="array" aca="1" ref="CF278" ca="1">IF(INDIRECT(ADDRESS($B278+1,CF$230,1,1,"Actively Infected Trend"))=0,#N/A,INDIRECT(ADDRESS($B278+1,CF$230,1,1,"Actively Infected Trend")))</f>
        <v>#N/A</v>
      </c>
      <c r="CG278" s="14" t="e" cm="1">
        <f t="array" aca="1" ref="CG278" ca="1">IF(INDIRECT(ADDRESS($B278+1,CG$230,1,1,"Actively Infected Trend"))=0,#N/A,INDIRECT(ADDRESS($B278+1,CG$230,1,1,"Actively Infected Trend")))</f>
        <v>#N/A</v>
      </c>
      <c r="CH278" s="14" t="e" cm="1">
        <f t="array" aca="1" ref="CH278" ca="1">IF(INDIRECT(ADDRESS($B278+1,CH$230,1,1,"Actively Infected Trend"))=0,#N/A,INDIRECT(ADDRESS($B278+1,CH$230,1,1,"Actively Infected Trend")))</f>
        <v>#N/A</v>
      </c>
      <c r="CI278" s="14" t="e" cm="1">
        <f t="array" aca="1" ref="CI278" ca="1">IF(INDIRECT(ADDRESS($B278+1,CI$230,1,1,"Actively Infected Trend"))=0,#N/A,INDIRECT(ADDRESS($B278+1,CI$230,1,1,"Actively Infected Trend")))</f>
        <v>#N/A</v>
      </c>
      <c r="CJ278" s="14" t="e" cm="1">
        <f t="array" aca="1" ref="CJ278" ca="1">IF(INDIRECT(ADDRESS($B278+1,CJ$230,1,1,"Actively Infected Trend"))=0,#N/A,INDIRECT(ADDRESS($B278+1,CJ$230,1,1,"Actively Infected Trend")))</f>
        <v>#N/A</v>
      </c>
      <c r="CK278" s="14" t="e" cm="1">
        <f t="array" aca="1" ref="CK278" ca="1">IF(INDIRECT(ADDRESS($B278+1,CK$230,1,1,"Actively Infected Trend"))=0,#N/A,INDIRECT(ADDRESS($B278+1,CK$230,1,1,"Actively Infected Trend")))</f>
        <v>#N/A</v>
      </c>
      <c r="CL278" s="14" t="e" cm="1">
        <f t="array" aca="1" ref="CL278" ca="1">IF(INDIRECT(ADDRESS($B278+1,CL$230,1,1,"Actively Infected Trend"))=0,#N/A,INDIRECT(ADDRESS($B278+1,CL$230,1,1,"Actively Infected Trend")))</f>
        <v>#N/A</v>
      </c>
      <c r="CM278" s="14" t="e" cm="1">
        <f t="array" aca="1" ref="CM278" ca="1">IF(INDIRECT(ADDRESS($B278+1,CM$230,1,1,"Actively Infected Trend"))=0,#N/A,INDIRECT(ADDRESS($B278+1,CM$230,1,1,"Actively Infected Trend")))</f>
        <v>#N/A</v>
      </c>
      <c r="CN278" s="14" t="e" cm="1">
        <f t="array" aca="1" ref="CN278" ca="1">IF(INDIRECT(ADDRESS($B278+1,CN$230,1,1,"Actively Infected Trend"))=0,#N/A,INDIRECT(ADDRESS($B278+1,CN$230,1,1,"Actively Infected Trend")))</f>
        <v>#N/A</v>
      </c>
      <c r="CO278" s="14" t="e" cm="1">
        <f t="array" aca="1" ref="CO278" ca="1">IF(INDIRECT(ADDRESS($B278+1,CO$230,1,1,"Actively Infected Trend"))=0,#N/A,INDIRECT(ADDRESS($B278+1,CO$230,1,1,"Actively Infected Trend")))</f>
        <v>#N/A</v>
      </c>
      <c r="CP278" s="14" t="e" cm="1">
        <f t="array" aca="1" ref="CP278" ca="1">IF(INDIRECT(ADDRESS($B278+1,CP$230,1,1,"Actively Infected Trend"))=0,#N/A,INDIRECT(ADDRESS($B278+1,CP$230,1,1,"Actively Infected Trend")))</f>
        <v>#N/A</v>
      </c>
      <c r="CQ278" s="14" t="e" cm="1">
        <f t="array" aca="1" ref="CQ278" ca="1">IF(INDIRECT(ADDRESS($B278+1,CQ$230,1,1,"Actively Infected Trend"))=0,#N/A,INDIRECT(ADDRESS($B278+1,CQ$230,1,1,"Actively Infected Trend")))</f>
        <v>#N/A</v>
      </c>
      <c r="CR278" s="14" t="e" cm="1">
        <f t="array" aca="1" ref="CR278" ca="1">IF(INDIRECT(ADDRESS($B278+1,CR$230,1,1,"Actively Infected Trend"))=0,#N/A,INDIRECT(ADDRESS($B278+1,CR$230,1,1,"Actively Infected Trend")))</f>
        <v>#N/A</v>
      </c>
    </row>
    <row r="279" spans="2:96" x14ac:dyDescent="0.25">
      <c r="B279">
        <f t="shared" si="349"/>
        <v>48</v>
      </c>
      <c r="C279" cm="1">
        <f t="array" aca="1" ref="C279" ca="1">INDIRECT(ADDRESS($B279+1,1,1,1,"Actively Infected Trend"))</f>
        <v>0</v>
      </c>
      <c r="E279" s="14" t="e" cm="1">
        <f t="array" aca="1" ref="E279" ca="1">IF(INDIRECT(ADDRESS($B279+1,E$230,1,1,"Actively Infected Trend"))=0,#N/A,INDIRECT(ADDRESS($B279+1,E$230,1,1,"Actively Infected Trend")))</f>
        <v>#N/A</v>
      </c>
      <c r="F279" s="14" t="e" cm="1">
        <f t="array" aca="1" ref="F279" ca="1">IF(INDIRECT(ADDRESS($B279+1,F$230,1,1,"Actively Infected Trend"))=0,#N/A,INDIRECT(ADDRESS($B279+1,F$230,1,1,"Actively Infected Trend")))</f>
        <v>#N/A</v>
      </c>
      <c r="G279" s="14" t="e" cm="1">
        <f t="array" aca="1" ref="G279" ca="1">IF(INDIRECT(ADDRESS($B279+1,G$230,1,1,"Actively Infected Trend"))=0,#N/A,INDIRECT(ADDRESS($B279+1,G$230,1,1,"Actively Infected Trend")))</f>
        <v>#N/A</v>
      </c>
      <c r="H279" s="14" t="e" cm="1">
        <f t="array" aca="1" ref="H279" ca="1">IF(INDIRECT(ADDRESS($B279+1,H$230,1,1,"Actively Infected Trend"))=0,#N/A,INDIRECT(ADDRESS($B279+1,H$230,1,1,"Actively Infected Trend")))</f>
        <v>#N/A</v>
      </c>
      <c r="I279" s="14" t="e" cm="1">
        <f t="array" aca="1" ref="I279" ca="1">IF(INDIRECT(ADDRESS($B279+1,I$230,1,1,"Actively Infected Trend"))=0,#N/A,INDIRECT(ADDRESS($B279+1,I$230,1,1,"Actively Infected Trend")))</f>
        <v>#N/A</v>
      </c>
      <c r="J279" s="14" t="e" cm="1">
        <f t="array" aca="1" ref="J279" ca="1">IF(INDIRECT(ADDRESS($B279+1,J$230,1,1,"Actively Infected Trend"))=0,#N/A,INDIRECT(ADDRESS($B279+1,J$230,1,1,"Actively Infected Trend")))</f>
        <v>#N/A</v>
      </c>
      <c r="K279" s="14" t="e" cm="1">
        <f t="array" aca="1" ref="K279" ca="1">IF(INDIRECT(ADDRESS($B279+1,K$230,1,1,"Actively Infected Trend"))=0,#N/A,INDIRECT(ADDRESS($B279+1,K$230,1,1,"Actively Infected Trend")))</f>
        <v>#N/A</v>
      </c>
      <c r="L279" s="14" t="e" cm="1">
        <f t="array" aca="1" ref="L279" ca="1">IF(INDIRECT(ADDRESS($B279+1,L$230,1,1,"Actively Infected Trend"))=0,#N/A,INDIRECT(ADDRESS($B279+1,L$230,1,1,"Actively Infected Trend")))</f>
        <v>#N/A</v>
      </c>
      <c r="M279" s="14" t="e" cm="1">
        <f t="array" aca="1" ref="M279" ca="1">IF(INDIRECT(ADDRESS($B279+1,M$230,1,1,"Actively Infected Trend"))=0,#N/A,INDIRECT(ADDRESS($B279+1,M$230,1,1,"Actively Infected Trend")))</f>
        <v>#N/A</v>
      </c>
      <c r="N279" s="14" t="e" cm="1">
        <f t="array" aca="1" ref="N279" ca="1">IF(INDIRECT(ADDRESS($B279+1,N$230,1,1,"Actively Infected Trend"))=0,#N/A,INDIRECT(ADDRESS($B279+1,N$230,1,1,"Actively Infected Trend")))</f>
        <v>#N/A</v>
      </c>
      <c r="O279" s="14" t="e" cm="1">
        <f t="array" aca="1" ref="O279" ca="1">IF(INDIRECT(ADDRESS($B279+1,O$230,1,1,"Actively Infected Trend"))=0,#N/A,INDIRECT(ADDRESS($B279+1,O$230,1,1,"Actively Infected Trend")))</f>
        <v>#N/A</v>
      </c>
      <c r="P279" s="14" t="e" cm="1">
        <f t="array" aca="1" ref="P279" ca="1">IF(INDIRECT(ADDRESS($B279+1,P$230,1,1,"Actively Infected Trend"))=0,#N/A,INDIRECT(ADDRESS($B279+1,P$230,1,1,"Actively Infected Trend")))</f>
        <v>#N/A</v>
      </c>
      <c r="Q279" s="14" t="e" cm="1">
        <f t="array" aca="1" ref="Q279" ca="1">IF(INDIRECT(ADDRESS($B279+1,Q$230,1,1,"Actively Infected Trend"))=0,#N/A,INDIRECT(ADDRESS($B279+1,Q$230,1,1,"Actively Infected Trend")))</f>
        <v>#N/A</v>
      </c>
      <c r="R279" s="14" t="e" cm="1">
        <f t="array" aca="1" ref="R279" ca="1">IF(INDIRECT(ADDRESS($B279+1,R$230,1,1,"Actively Infected Trend"))=0,#N/A,INDIRECT(ADDRESS($B279+1,R$230,1,1,"Actively Infected Trend")))</f>
        <v>#N/A</v>
      </c>
      <c r="S279" s="14" t="e" cm="1">
        <f t="array" aca="1" ref="S279" ca="1">IF(INDIRECT(ADDRESS($B279+1,S$230,1,1,"Actively Infected Trend"))=0,#N/A,INDIRECT(ADDRESS($B279+1,S$230,1,1,"Actively Infected Trend")))</f>
        <v>#N/A</v>
      </c>
      <c r="T279" s="14" t="e" cm="1">
        <f t="array" aca="1" ref="T279" ca="1">IF(INDIRECT(ADDRESS($B279+1,T$230,1,1,"Actively Infected Trend"))=0,#N/A,INDIRECT(ADDRESS($B279+1,T$230,1,1,"Actively Infected Trend")))</f>
        <v>#N/A</v>
      </c>
      <c r="U279" s="14" t="e" cm="1">
        <f t="array" aca="1" ref="U279" ca="1">IF(INDIRECT(ADDRESS($B279+1,U$230,1,1,"Actively Infected Trend"))=0,#N/A,INDIRECT(ADDRESS($B279+1,U$230,1,1,"Actively Infected Trend")))</f>
        <v>#N/A</v>
      </c>
      <c r="V279" s="14" t="e" cm="1">
        <f t="array" aca="1" ref="V279" ca="1">IF(INDIRECT(ADDRESS($B279+1,V$230,1,1,"Actively Infected Trend"))=0,#N/A,INDIRECT(ADDRESS($B279+1,V$230,1,1,"Actively Infected Trend")))</f>
        <v>#N/A</v>
      </c>
      <c r="W279" s="14" t="e" cm="1">
        <f t="array" aca="1" ref="W279" ca="1">IF(INDIRECT(ADDRESS($B279+1,W$230,1,1,"Actively Infected Trend"))=0,#N/A,INDIRECT(ADDRESS($B279+1,W$230,1,1,"Actively Infected Trend")))</f>
        <v>#N/A</v>
      </c>
      <c r="X279" s="14" t="e" cm="1">
        <f t="array" aca="1" ref="X279" ca="1">IF(INDIRECT(ADDRESS($B279+1,X$230,1,1,"Actively Infected Trend"))=0,#N/A,INDIRECT(ADDRESS($B279+1,X$230,1,1,"Actively Infected Trend")))</f>
        <v>#N/A</v>
      </c>
      <c r="Y279" s="14" t="e" cm="1">
        <f t="array" aca="1" ref="Y279" ca="1">IF(INDIRECT(ADDRESS($B279+1,Y$230,1,1,"Actively Infected Trend"))=0,#N/A,INDIRECT(ADDRESS($B279+1,Y$230,1,1,"Actively Infected Trend")))</f>
        <v>#N/A</v>
      </c>
      <c r="Z279" s="14" t="e" cm="1">
        <f t="array" aca="1" ref="Z279" ca="1">IF(INDIRECT(ADDRESS($B279+1,Z$230,1,1,"Actively Infected Trend"))=0,#N/A,INDIRECT(ADDRESS($B279+1,Z$230,1,1,"Actively Infected Trend")))</f>
        <v>#N/A</v>
      </c>
      <c r="AA279" s="14" t="e" cm="1">
        <f t="array" aca="1" ref="AA279" ca="1">IF(INDIRECT(ADDRESS($B279+1,AA$230,1,1,"Actively Infected Trend"))=0,#N/A,INDIRECT(ADDRESS($B279+1,AA$230,1,1,"Actively Infected Trend")))</f>
        <v>#N/A</v>
      </c>
      <c r="AB279" s="14" t="e" cm="1">
        <f t="array" aca="1" ref="AB279" ca="1">IF(INDIRECT(ADDRESS($B279+1,AB$230,1,1,"Actively Infected Trend"))=0,#N/A,INDIRECT(ADDRESS($B279+1,AB$230,1,1,"Actively Infected Trend")))</f>
        <v>#N/A</v>
      </c>
      <c r="AC279" s="14" t="e" cm="1">
        <f t="array" aca="1" ref="AC279" ca="1">IF(INDIRECT(ADDRESS($B279+1,AC$230,1,1,"Actively Infected Trend"))=0,#N/A,INDIRECT(ADDRESS($B279+1,AC$230,1,1,"Actively Infected Trend")))</f>
        <v>#N/A</v>
      </c>
      <c r="AD279" s="14" t="e" cm="1">
        <f t="array" aca="1" ref="AD279" ca="1">IF(INDIRECT(ADDRESS($B279+1,AD$230,1,1,"Actively Infected Trend"))=0,#N/A,INDIRECT(ADDRESS($B279+1,AD$230,1,1,"Actively Infected Trend")))</f>
        <v>#N/A</v>
      </c>
      <c r="AE279" s="14" t="e" cm="1">
        <f t="array" aca="1" ref="AE279" ca="1">IF(INDIRECT(ADDRESS($B279+1,AE$230,1,1,"Actively Infected Trend"))=0,#N/A,INDIRECT(ADDRESS($B279+1,AE$230,1,1,"Actively Infected Trend")))</f>
        <v>#N/A</v>
      </c>
      <c r="AF279" s="14" t="e" cm="1">
        <f t="array" aca="1" ref="AF279" ca="1">IF(INDIRECT(ADDRESS($B279+1,AF$230,1,1,"Actively Infected Trend"))=0,#N/A,INDIRECT(ADDRESS($B279+1,AF$230,1,1,"Actively Infected Trend")))</f>
        <v>#N/A</v>
      </c>
      <c r="AG279" s="14" t="e" cm="1">
        <f t="array" aca="1" ref="AG279" ca="1">IF(INDIRECT(ADDRESS($B279+1,AG$230,1,1,"Actively Infected Trend"))=0,#N/A,INDIRECT(ADDRESS($B279+1,AG$230,1,1,"Actively Infected Trend")))</f>
        <v>#N/A</v>
      </c>
      <c r="AH279" s="14" t="e" cm="1">
        <f t="array" aca="1" ref="AH279" ca="1">IF(INDIRECT(ADDRESS($B279+1,AH$230,1,1,"Actively Infected Trend"))=0,#N/A,INDIRECT(ADDRESS($B279+1,AH$230,1,1,"Actively Infected Trend")))</f>
        <v>#N/A</v>
      </c>
      <c r="AI279" s="14" t="e" cm="1">
        <f t="array" aca="1" ref="AI279" ca="1">IF(INDIRECT(ADDRESS($B279+1,AI$230,1,1,"Actively Infected Trend"))=0,#N/A,INDIRECT(ADDRESS($B279+1,AI$230,1,1,"Actively Infected Trend")))</f>
        <v>#N/A</v>
      </c>
      <c r="AJ279" s="14" t="e" cm="1">
        <f t="array" aca="1" ref="AJ279" ca="1">IF(INDIRECT(ADDRESS($B279+1,AJ$230,1,1,"Actively Infected Trend"))=0,#N/A,INDIRECT(ADDRESS($B279+1,AJ$230,1,1,"Actively Infected Trend")))</f>
        <v>#N/A</v>
      </c>
      <c r="AK279" s="14" t="e" cm="1">
        <f t="array" aca="1" ref="AK279" ca="1">IF(INDIRECT(ADDRESS($B279+1,AK$230,1,1,"Actively Infected Trend"))=0,#N/A,INDIRECT(ADDRESS($B279+1,AK$230,1,1,"Actively Infected Trend")))</f>
        <v>#N/A</v>
      </c>
      <c r="AL279" s="14" t="e" cm="1">
        <f t="array" aca="1" ref="AL279" ca="1">IF(INDIRECT(ADDRESS($B279+1,AL$230,1,1,"Actively Infected Trend"))=0,#N/A,INDIRECT(ADDRESS($B279+1,AL$230,1,1,"Actively Infected Trend")))</f>
        <v>#N/A</v>
      </c>
      <c r="AM279" s="14" t="e" cm="1">
        <f t="array" aca="1" ref="AM279" ca="1">IF(INDIRECT(ADDRESS($B279+1,AM$230,1,1,"Actively Infected Trend"))=0,#N/A,INDIRECT(ADDRESS($B279+1,AM$230,1,1,"Actively Infected Trend")))</f>
        <v>#N/A</v>
      </c>
      <c r="AN279" s="14" t="e" cm="1">
        <f t="array" aca="1" ref="AN279" ca="1">IF(INDIRECT(ADDRESS($B279+1,AN$230,1,1,"Actively Infected Trend"))=0,#N/A,INDIRECT(ADDRESS($B279+1,AN$230,1,1,"Actively Infected Trend")))</f>
        <v>#N/A</v>
      </c>
      <c r="AO279" s="14" t="e" cm="1">
        <f t="array" aca="1" ref="AO279" ca="1">IF(INDIRECT(ADDRESS($B279+1,AO$230,1,1,"Actively Infected Trend"))=0,#N/A,INDIRECT(ADDRESS($B279+1,AO$230,1,1,"Actively Infected Trend")))</f>
        <v>#N/A</v>
      </c>
      <c r="AP279" s="14" t="e" cm="1">
        <f t="array" aca="1" ref="AP279" ca="1">IF(INDIRECT(ADDRESS($B279+1,AP$230,1,1,"Actively Infected Trend"))=0,#N/A,INDIRECT(ADDRESS($B279+1,AP$230,1,1,"Actively Infected Trend")))</f>
        <v>#N/A</v>
      </c>
      <c r="AQ279" s="14" t="e" cm="1">
        <f t="array" aca="1" ref="AQ279" ca="1">IF(INDIRECT(ADDRESS($B279+1,AQ$230,1,1,"Actively Infected Trend"))=0,#N/A,INDIRECT(ADDRESS($B279+1,AQ$230,1,1,"Actively Infected Trend")))</f>
        <v>#N/A</v>
      </c>
      <c r="AR279" s="14" t="e" cm="1">
        <f t="array" aca="1" ref="AR279" ca="1">IF(INDIRECT(ADDRESS($B279+1,AR$230,1,1,"Actively Infected Trend"))=0,#N/A,INDIRECT(ADDRESS($B279+1,AR$230,1,1,"Actively Infected Trend")))</f>
        <v>#N/A</v>
      </c>
      <c r="AS279" s="14" t="e" cm="1">
        <f t="array" aca="1" ref="AS279" ca="1">IF(INDIRECT(ADDRESS($B279+1,AS$230,1,1,"Actively Infected Trend"))=0,#N/A,INDIRECT(ADDRESS($B279+1,AS$230,1,1,"Actively Infected Trend")))</f>
        <v>#N/A</v>
      </c>
      <c r="AT279" s="14" t="e" cm="1">
        <f t="array" aca="1" ref="AT279" ca="1">IF(INDIRECT(ADDRESS($B279+1,AT$230,1,1,"Actively Infected Trend"))=0,#N/A,INDIRECT(ADDRESS($B279+1,AT$230,1,1,"Actively Infected Trend")))</f>
        <v>#N/A</v>
      </c>
      <c r="AU279" s="14" t="e" cm="1">
        <f t="array" aca="1" ref="AU279" ca="1">IF(INDIRECT(ADDRESS($B279+1,AU$230,1,1,"Actively Infected Trend"))=0,#N/A,INDIRECT(ADDRESS($B279+1,AU$230,1,1,"Actively Infected Trend")))</f>
        <v>#N/A</v>
      </c>
      <c r="AV279" s="14" t="e" cm="1">
        <f t="array" aca="1" ref="AV279" ca="1">IF(INDIRECT(ADDRESS($B279+1,AV$230,1,1,"Actively Infected Trend"))=0,#N/A,INDIRECT(ADDRESS($B279+1,AV$230,1,1,"Actively Infected Trend")))</f>
        <v>#N/A</v>
      </c>
      <c r="AW279" s="14" t="e" cm="1">
        <f t="array" aca="1" ref="AW279" ca="1">IF(INDIRECT(ADDRESS($B279+1,AW$230,1,1,"Actively Infected Trend"))=0,#N/A,INDIRECT(ADDRESS($B279+1,AW$230,1,1,"Actively Infected Trend")))</f>
        <v>#N/A</v>
      </c>
      <c r="AX279" s="14" t="e" cm="1">
        <f t="array" aca="1" ref="AX279" ca="1">IF(INDIRECT(ADDRESS($B279+1,AX$230,1,1,"Actively Infected Trend"))=0,#N/A,INDIRECT(ADDRESS($B279+1,AX$230,1,1,"Actively Infected Trend")))</f>
        <v>#N/A</v>
      </c>
      <c r="AY279" s="14" t="e" cm="1">
        <f t="array" aca="1" ref="AY279" ca="1">IF(INDIRECT(ADDRESS($B279+1,AY$230,1,1,"Actively Infected Trend"))=0,#N/A,INDIRECT(ADDRESS($B279+1,AY$230,1,1,"Actively Infected Trend")))</f>
        <v>#N/A</v>
      </c>
      <c r="AZ279" s="14" t="e" cm="1">
        <f t="array" aca="1" ref="AZ279" ca="1">IF(INDIRECT(ADDRESS($B279+1,AZ$230,1,1,"Actively Infected Trend"))=0,#N/A,INDIRECT(ADDRESS($B279+1,AZ$230,1,1,"Actively Infected Trend")))</f>
        <v>#N/A</v>
      </c>
      <c r="BA279" s="14" t="e" cm="1">
        <f t="array" aca="1" ref="BA279" ca="1">IF(INDIRECT(ADDRESS($B279+1,BA$230,1,1,"Actively Infected Trend"))=0,#N/A,INDIRECT(ADDRESS($B279+1,BA$230,1,1,"Actively Infected Trend")))</f>
        <v>#N/A</v>
      </c>
      <c r="BB279" s="14" t="e" cm="1">
        <f t="array" aca="1" ref="BB279" ca="1">IF(INDIRECT(ADDRESS($B279+1,BB$230,1,1,"Actively Infected Trend"))=0,#N/A,INDIRECT(ADDRESS($B279+1,BB$230,1,1,"Actively Infected Trend")))</f>
        <v>#N/A</v>
      </c>
      <c r="BC279" s="14" t="e" cm="1">
        <f t="array" aca="1" ref="BC279" ca="1">IF(INDIRECT(ADDRESS($B279+1,BC$230,1,1,"Actively Infected Trend"))=0,#N/A,INDIRECT(ADDRESS($B279+1,BC$230,1,1,"Actively Infected Trend")))</f>
        <v>#N/A</v>
      </c>
      <c r="BD279" s="14" t="e" cm="1">
        <f t="array" aca="1" ref="BD279" ca="1">IF(INDIRECT(ADDRESS($B279+1,BD$230,1,1,"Actively Infected Trend"))=0,#N/A,INDIRECT(ADDRESS($B279+1,BD$230,1,1,"Actively Infected Trend")))</f>
        <v>#N/A</v>
      </c>
      <c r="BE279" s="14" t="e" cm="1">
        <f t="array" aca="1" ref="BE279" ca="1">IF(INDIRECT(ADDRESS($B279+1,BE$230,1,1,"Actively Infected Trend"))=0,#N/A,INDIRECT(ADDRESS($B279+1,BE$230,1,1,"Actively Infected Trend")))</f>
        <v>#N/A</v>
      </c>
      <c r="BF279" s="14" t="e" cm="1">
        <f t="array" aca="1" ref="BF279" ca="1">IF(INDIRECT(ADDRESS($B279+1,BF$230,1,1,"Actively Infected Trend"))=0,#N/A,INDIRECT(ADDRESS($B279+1,BF$230,1,1,"Actively Infected Trend")))</f>
        <v>#N/A</v>
      </c>
      <c r="BG279" s="14" t="e" cm="1">
        <f t="array" aca="1" ref="BG279" ca="1">IF(INDIRECT(ADDRESS($B279+1,BG$230,1,1,"Actively Infected Trend"))=0,#N/A,INDIRECT(ADDRESS($B279+1,BG$230,1,1,"Actively Infected Trend")))</f>
        <v>#N/A</v>
      </c>
      <c r="BH279" s="14" t="e" cm="1">
        <f t="array" aca="1" ref="BH279" ca="1">IF(INDIRECT(ADDRESS($B279+1,BH$230,1,1,"Actively Infected Trend"))=0,#N/A,INDIRECT(ADDRESS($B279+1,BH$230,1,1,"Actively Infected Trend")))</f>
        <v>#N/A</v>
      </c>
      <c r="BI279" s="14" t="e" cm="1">
        <f t="array" aca="1" ref="BI279" ca="1">IF(INDIRECT(ADDRESS($B279+1,BI$230,1,1,"Actively Infected Trend"))=0,#N/A,INDIRECT(ADDRESS($B279+1,BI$230,1,1,"Actively Infected Trend")))</f>
        <v>#N/A</v>
      </c>
      <c r="BJ279" s="14" t="e" cm="1">
        <f t="array" aca="1" ref="BJ279" ca="1">IF(INDIRECT(ADDRESS($B279+1,BJ$230,1,1,"Actively Infected Trend"))=0,#N/A,INDIRECT(ADDRESS($B279+1,BJ$230,1,1,"Actively Infected Trend")))</f>
        <v>#N/A</v>
      </c>
      <c r="BK279" s="14" t="e" cm="1">
        <f t="array" aca="1" ref="BK279" ca="1">IF(INDIRECT(ADDRESS($B279+1,BK$230,1,1,"Actively Infected Trend"))=0,#N/A,INDIRECT(ADDRESS($B279+1,BK$230,1,1,"Actively Infected Trend")))</f>
        <v>#N/A</v>
      </c>
      <c r="BL279" s="14" t="e" cm="1">
        <f t="array" aca="1" ref="BL279" ca="1">IF(INDIRECT(ADDRESS($B279+1,BL$230,1,1,"Actively Infected Trend"))=0,#N/A,INDIRECT(ADDRESS($B279+1,BL$230,1,1,"Actively Infected Trend")))</f>
        <v>#N/A</v>
      </c>
      <c r="BM279" s="14" t="e" cm="1">
        <f t="array" aca="1" ref="BM279" ca="1">IF(INDIRECT(ADDRESS($B279+1,BM$230,1,1,"Actively Infected Trend"))=0,#N/A,INDIRECT(ADDRESS($B279+1,BM$230,1,1,"Actively Infected Trend")))</f>
        <v>#N/A</v>
      </c>
      <c r="BN279" s="14" t="e" cm="1">
        <f t="array" aca="1" ref="BN279" ca="1">IF(INDIRECT(ADDRESS($B279+1,BN$230,1,1,"Actively Infected Trend"))=0,#N/A,INDIRECT(ADDRESS($B279+1,BN$230,1,1,"Actively Infected Trend")))</f>
        <v>#N/A</v>
      </c>
      <c r="BO279" s="14" t="e" cm="1">
        <f t="array" aca="1" ref="BO279" ca="1">IF(INDIRECT(ADDRESS($B279+1,BO$230,1,1,"Actively Infected Trend"))=0,#N/A,INDIRECT(ADDRESS($B279+1,BO$230,1,1,"Actively Infected Trend")))</f>
        <v>#N/A</v>
      </c>
      <c r="BP279" s="14" t="e" cm="1">
        <f t="array" aca="1" ref="BP279" ca="1">IF(INDIRECT(ADDRESS($B279+1,BP$230,1,1,"Actively Infected Trend"))=0,#N/A,INDIRECT(ADDRESS($B279+1,BP$230,1,1,"Actively Infected Trend")))</f>
        <v>#N/A</v>
      </c>
      <c r="BQ279" s="14" t="e" cm="1">
        <f t="array" aca="1" ref="BQ279" ca="1">IF(INDIRECT(ADDRESS($B279+1,BQ$230,1,1,"Actively Infected Trend"))=0,#N/A,INDIRECT(ADDRESS($B279+1,BQ$230,1,1,"Actively Infected Trend")))</f>
        <v>#N/A</v>
      </c>
      <c r="BR279" s="14" t="e" cm="1">
        <f t="array" aca="1" ref="BR279" ca="1">IF(INDIRECT(ADDRESS($B279+1,BR$230,1,1,"Actively Infected Trend"))=0,#N/A,INDIRECT(ADDRESS($B279+1,BR$230,1,1,"Actively Infected Trend")))</f>
        <v>#N/A</v>
      </c>
      <c r="BS279" s="14" t="e" cm="1">
        <f t="array" aca="1" ref="BS279" ca="1">IF(INDIRECT(ADDRESS($B279+1,BS$230,1,1,"Actively Infected Trend"))=0,#N/A,INDIRECT(ADDRESS($B279+1,BS$230,1,1,"Actively Infected Trend")))</f>
        <v>#N/A</v>
      </c>
      <c r="BT279" s="14" t="e" cm="1">
        <f t="array" aca="1" ref="BT279" ca="1">IF(INDIRECT(ADDRESS($B279+1,BT$230,1,1,"Actively Infected Trend"))=0,#N/A,INDIRECT(ADDRESS($B279+1,BT$230,1,1,"Actively Infected Trend")))</f>
        <v>#N/A</v>
      </c>
      <c r="BU279" s="14" t="e" cm="1">
        <f t="array" aca="1" ref="BU279" ca="1">IF(INDIRECT(ADDRESS($B279+1,BU$230,1,1,"Actively Infected Trend"))=0,#N/A,INDIRECT(ADDRESS($B279+1,BU$230,1,1,"Actively Infected Trend")))</f>
        <v>#N/A</v>
      </c>
      <c r="BV279" s="14" t="e" cm="1">
        <f t="array" aca="1" ref="BV279" ca="1">IF(INDIRECT(ADDRESS($B279+1,BV$230,1,1,"Actively Infected Trend"))=0,#N/A,INDIRECT(ADDRESS($B279+1,BV$230,1,1,"Actively Infected Trend")))</f>
        <v>#N/A</v>
      </c>
      <c r="BW279" s="14" t="e" cm="1">
        <f t="array" aca="1" ref="BW279" ca="1">IF(INDIRECT(ADDRESS($B279+1,BW$230,1,1,"Actively Infected Trend"))=0,#N/A,INDIRECT(ADDRESS($B279+1,BW$230,1,1,"Actively Infected Trend")))</f>
        <v>#N/A</v>
      </c>
      <c r="BX279" s="14" t="e" cm="1">
        <f t="array" aca="1" ref="BX279" ca="1">IF(INDIRECT(ADDRESS($B279+1,BX$230,1,1,"Actively Infected Trend"))=0,#N/A,INDIRECT(ADDRESS($B279+1,BX$230,1,1,"Actively Infected Trend")))</f>
        <v>#N/A</v>
      </c>
      <c r="BY279" s="14" t="e" cm="1">
        <f t="array" aca="1" ref="BY279" ca="1">IF(INDIRECT(ADDRESS($B279+1,BY$230,1,1,"Actively Infected Trend"))=0,#N/A,INDIRECT(ADDRESS($B279+1,BY$230,1,1,"Actively Infected Trend")))</f>
        <v>#N/A</v>
      </c>
      <c r="BZ279" s="14" t="e" cm="1">
        <f t="array" aca="1" ref="BZ279" ca="1">IF(INDIRECT(ADDRESS($B279+1,BZ$230,1,1,"Actively Infected Trend"))=0,#N/A,INDIRECT(ADDRESS($B279+1,BZ$230,1,1,"Actively Infected Trend")))</f>
        <v>#N/A</v>
      </c>
      <c r="CA279" s="14" t="e" cm="1">
        <f t="array" aca="1" ref="CA279" ca="1">IF(INDIRECT(ADDRESS($B279+1,CA$230,1,1,"Actively Infected Trend"))=0,#N/A,INDIRECT(ADDRESS($B279+1,CA$230,1,1,"Actively Infected Trend")))</f>
        <v>#N/A</v>
      </c>
      <c r="CB279" s="14" t="e" cm="1">
        <f t="array" aca="1" ref="CB279" ca="1">IF(INDIRECT(ADDRESS($B279+1,CB$230,1,1,"Actively Infected Trend"))=0,#N/A,INDIRECT(ADDRESS($B279+1,CB$230,1,1,"Actively Infected Trend")))</f>
        <v>#N/A</v>
      </c>
      <c r="CC279" s="14" t="e" cm="1">
        <f t="array" aca="1" ref="CC279" ca="1">IF(INDIRECT(ADDRESS($B279+1,CC$230,1,1,"Actively Infected Trend"))=0,#N/A,INDIRECT(ADDRESS($B279+1,CC$230,1,1,"Actively Infected Trend")))</f>
        <v>#N/A</v>
      </c>
      <c r="CD279" s="14" t="e" cm="1">
        <f t="array" aca="1" ref="CD279" ca="1">IF(INDIRECT(ADDRESS($B279+1,CD$230,1,1,"Actively Infected Trend"))=0,#N/A,INDIRECT(ADDRESS($B279+1,CD$230,1,1,"Actively Infected Trend")))</f>
        <v>#N/A</v>
      </c>
      <c r="CE279" s="14" t="e" cm="1">
        <f t="array" aca="1" ref="CE279" ca="1">IF(INDIRECT(ADDRESS($B279+1,CE$230,1,1,"Actively Infected Trend"))=0,#N/A,INDIRECT(ADDRESS($B279+1,CE$230,1,1,"Actively Infected Trend")))</f>
        <v>#N/A</v>
      </c>
      <c r="CF279" s="14" t="e" cm="1">
        <f t="array" aca="1" ref="CF279" ca="1">IF(INDIRECT(ADDRESS($B279+1,CF$230,1,1,"Actively Infected Trend"))=0,#N/A,INDIRECT(ADDRESS($B279+1,CF$230,1,1,"Actively Infected Trend")))</f>
        <v>#N/A</v>
      </c>
      <c r="CG279" s="14" t="e" cm="1">
        <f t="array" aca="1" ref="CG279" ca="1">IF(INDIRECT(ADDRESS($B279+1,CG$230,1,1,"Actively Infected Trend"))=0,#N/A,INDIRECT(ADDRESS($B279+1,CG$230,1,1,"Actively Infected Trend")))</f>
        <v>#N/A</v>
      </c>
      <c r="CH279" s="14" t="e" cm="1">
        <f t="array" aca="1" ref="CH279" ca="1">IF(INDIRECT(ADDRESS($B279+1,CH$230,1,1,"Actively Infected Trend"))=0,#N/A,INDIRECT(ADDRESS($B279+1,CH$230,1,1,"Actively Infected Trend")))</f>
        <v>#N/A</v>
      </c>
      <c r="CI279" s="14" t="e" cm="1">
        <f t="array" aca="1" ref="CI279" ca="1">IF(INDIRECT(ADDRESS($B279+1,CI$230,1,1,"Actively Infected Trend"))=0,#N/A,INDIRECT(ADDRESS($B279+1,CI$230,1,1,"Actively Infected Trend")))</f>
        <v>#N/A</v>
      </c>
      <c r="CJ279" s="14" t="e" cm="1">
        <f t="array" aca="1" ref="CJ279" ca="1">IF(INDIRECT(ADDRESS($B279+1,CJ$230,1,1,"Actively Infected Trend"))=0,#N/A,INDIRECT(ADDRESS($B279+1,CJ$230,1,1,"Actively Infected Trend")))</f>
        <v>#N/A</v>
      </c>
      <c r="CK279" s="14" t="e" cm="1">
        <f t="array" aca="1" ref="CK279" ca="1">IF(INDIRECT(ADDRESS($B279+1,CK$230,1,1,"Actively Infected Trend"))=0,#N/A,INDIRECT(ADDRESS($B279+1,CK$230,1,1,"Actively Infected Trend")))</f>
        <v>#N/A</v>
      </c>
      <c r="CL279" s="14" t="e" cm="1">
        <f t="array" aca="1" ref="CL279" ca="1">IF(INDIRECT(ADDRESS($B279+1,CL$230,1,1,"Actively Infected Trend"))=0,#N/A,INDIRECT(ADDRESS($B279+1,CL$230,1,1,"Actively Infected Trend")))</f>
        <v>#N/A</v>
      </c>
      <c r="CM279" s="14" t="e" cm="1">
        <f t="array" aca="1" ref="CM279" ca="1">IF(INDIRECT(ADDRESS($B279+1,CM$230,1,1,"Actively Infected Trend"))=0,#N/A,INDIRECT(ADDRESS($B279+1,CM$230,1,1,"Actively Infected Trend")))</f>
        <v>#N/A</v>
      </c>
      <c r="CN279" s="14" t="e" cm="1">
        <f t="array" aca="1" ref="CN279" ca="1">IF(INDIRECT(ADDRESS($B279+1,CN$230,1,1,"Actively Infected Trend"))=0,#N/A,INDIRECT(ADDRESS($B279+1,CN$230,1,1,"Actively Infected Trend")))</f>
        <v>#N/A</v>
      </c>
      <c r="CO279" s="14" t="e" cm="1">
        <f t="array" aca="1" ref="CO279" ca="1">IF(INDIRECT(ADDRESS($B279+1,CO$230,1,1,"Actively Infected Trend"))=0,#N/A,INDIRECT(ADDRESS($B279+1,CO$230,1,1,"Actively Infected Trend")))</f>
        <v>#N/A</v>
      </c>
      <c r="CP279" s="14" t="e" cm="1">
        <f t="array" aca="1" ref="CP279" ca="1">IF(INDIRECT(ADDRESS($B279+1,CP$230,1,1,"Actively Infected Trend"))=0,#N/A,INDIRECT(ADDRESS($B279+1,CP$230,1,1,"Actively Infected Trend")))</f>
        <v>#N/A</v>
      </c>
      <c r="CQ279" s="14" t="e" cm="1">
        <f t="array" aca="1" ref="CQ279" ca="1">IF(INDIRECT(ADDRESS($B279+1,CQ$230,1,1,"Actively Infected Trend"))=0,#N/A,INDIRECT(ADDRESS($B279+1,CQ$230,1,1,"Actively Infected Trend")))</f>
        <v>#N/A</v>
      </c>
      <c r="CR279" s="14" t="e" cm="1">
        <f t="array" aca="1" ref="CR279" ca="1">IF(INDIRECT(ADDRESS($B279+1,CR$230,1,1,"Actively Infected Trend"))=0,#N/A,INDIRECT(ADDRESS($B279+1,CR$230,1,1,"Actively Infected Trend")))</f>
        <v>#N/A</v>
      </c>
    </row>
    <row r="280" spans="2:96" x14ac:dyDescent="0.25">
      <c r="B280">
        <f t="shared" si="349"/>
        <v>49</v>
      </c>
      <c r="C280" cm="1">
        <f t="array" aca="1" ref="C280" ca="1">INDIRECT(ADDRESS($B280+1,1,1,1,"Actively Infected Trend"))</f>
        <v>0</v>
      </c>
      <c r="E280" s="14" t="e" cm="1">
        <f t="array" aca="1" ref="E280" ca="1">IF(INDIRECT(ADDRESS($B280+1,E$230,1,1,"Actively Infected Trend"))=0,#N/A,INDIRECT(ADDRESS($B280+1,E$230,1,1,"Actively Infected Trend")))</f>
        <v>#N/A</v>
      </c>
      <c r="F280" s="14" t="e" cm="1">
        <f t="array" aca="1" ref="F280" ca="1">IF(INDIRECT(ADDRESS($B280+1,F$230,1,1,"Actively Infected Trend"))=0,#N/A,INDIRECT(ADDRESS($B280+1,F$230,1,1,"Actively Infected Trend")))</f>
        <v>#N/A</v>
      </c>
      <c r="G280" s="14" t="e" cm="1">
        <f t="array" aca="1" ref="G280" ca="1">IF(INDIRECT(ADDRESS($B280+1,G$230,1,1,"Actively Infected Trend"))=0,#N/A,INDIRECT(ADDRESS($B280+1,G$230,1,1,"Actively Infected Trend")))</f>
        <v>#N/A</v>
      </c>
      <c r="H280" s="14" t="e" cm="1">
        <f t="array" aca="1" ref="H280" ca="1">IF(INDIRECT(ADDRESS($B280+1,H$230,1,1,"Actively Infected Trend"))=0,#N/A,INDIRECT(ADDRESS($B280+1,H$230,1,1,"Actively Infected Trend")))</f>
        <v>#N/A</v>
      </c>
      <c r="I280" s="14" t="e" cm="1">
        <f t="array" aca="1" ref="I280" ca="1">IF(INDIRECT(ADDRESS($B280+1,I$230,1,1,"Actively Infected Trend"))=0,#N/A,INDIRECT(ADDRESS($B280+1,I$230,1,1,"Actively Infected Trend")))</f>
        <v>#N/A</v>
      </c>
      <c r="J280" s="14" t="e" cm="1">
        <f t="array" aca="1" ref="J280" ca="1">IF(INDIRECT(ADDRESS($B280+1,J$230,1,1,"Actively Infected Trend"))=0,#N/A,INDIRECT(ADDRESS($B280+1,J$230,1,1,"Actively Infected Trend")))</f>
        <v>#N/A</v>
      </c>
      <c r="K280" s="14" t="e" cm="1">
        <f t="array" aca="1" ref="K280" ca="1">IF(INDIRECT(ADDRESS($B280+1,K$230,1,1,"Actively Infected Trend"))=0,#N/A,INDIRECT(ADDRESS($B280+1,K$230,1,1,"Actively Infected Trend")))</f>
        <v>#N/A</v>
      </c>
      <c r="L280" s="14" t="e" cm="1">
        <f t="array" aca="1" ref="L280" ca="1">IF(INDIRECT(ADDRESS($B280+1,L$230,1,1,"Actively Infected Trend"))=0,#N/A,INDIRECT(ADDRESS($B280+1,L$230,1,1,"Actively Infected Trend")))</f>
        <v>#N/A</v>
      </c>
      <c r="M280" s="14" t="e" cm="1">
        <f t="array" aca="1" ref="M280" ca="1">IF(INDIRECT(ADDRESS($B280+1,M$230,1,1,"Actively Infected Trend"))=0,#N/A,INDIRECT(ADDRESS($B280+1,M$230,1,1,"Actively Infected Trend")))</f>
        <v>#N/A</v>
      </c>
      <c r="N280" s="14" t="e" cm="1">
        <f t="array" aca="1" ref="N280" ca="1">IF(INDIRECT(ADDRESS($B280+1,N$230,1,1,"Actively Infected Trend"))=0,#N/A,INDIRECT(ADDRESS($B280+1,N$230,1,1,"Actively Infected Trend")))</f>
        <v>#N/A</v>
      </c>
      <c r="O280" s="14" t="e" cm="1">
        <f t="array" aca="1" ref="O280" ca="1">IF(INDIRECT(ADDRESS($B280+1,O$230,1,1,"Actively Infected Trend"))=0,#N/A,INDIRECT(ADDRESS($B280+1,O$230,1,1,"Actively Infected Trend")))</f>
        <v>#N/A</v>
      </c>
      <c r="P280" s="14" t="e" cm="1">
        <f t="array" aca="1" ref="P280" ca="1">IF(INDIRECT(ADDRESS($B280+1,P$230,1,1,"Actively Infected Trend"))=0,#N/A,INDIRECT(ADDRESS($B280+1,P$230,1,1,"Actively Infected Trend")))</f>
        <v>#N/A</v>
      </c>
      <c r="Q280" s="14" t="e" cm="1">
        <f t="array" aca="1" ref="Q280" ca="1">IF(INDIRECT(ADDRESS($B280+1,Q$230,1,1,"Actively Infected Trend"))=0,#N/A,INDIRECT(ADDRESS($B280+1,Q$230,1,1,"Actively Infected Trend")))</f>
        <v>#N/A</v>
      </c>
      <c r="R280" s="14" t="e" cm="1">
        <f t="array" aca="1" ref="R280" ca="1">IF(INDIRECT(ADDRESS($B280+1,R$230,1,1,"Actively Infected Trend"))=0,#N/A,INDIRECT(ADDRESS($B280+1,R$230,1,1,"Actively Infected Trend")))</f>
        <v>#N/A</v>
      </c>
      <c r="S280" s="14" t="e" cm="1">
        <f t="array" aca="1" ref="S280" ca="1">IF(INDIRECT(ADDRESS($B280+1,S$230,1,1,"Actively Infected Trend"))=0,#N/A,INDIRECT(ADDRESS($B280+1,S$230,1,1,"Actively Infected Trend")))</f>
        <v>#N/A</v>
      </c>
      <c r="T280" s="14" t="e" cm="1">
        <f t="array" aca="1" ref="T280" ca="1">IF(INDIRECT(ADDRESS($B280+1,T$230,1,1,"Actively Infected Trend"))=0,#N/A,INDIRECT(ADDRESS($B280+1,T$230,1,1,"Actively Infected Trend")))</f>
        <v>#N/A</v>
      </c>
      <c r="U280" s="14" t="e" cm="1">
        <f t="array" aca="1" ref="U280" ca="1">IF(INDIRECT(ADDRESS($B280+1,U$230,1,1,"Actively Infected Trend"))=0,#N/A,INDIRECT(ADDRESS($B280+1,U$230,1,1,"Actively Infected Trend")))</f>
        <v>#N/A</v>
      </c>
      <c r="V280" s="14" t="e" cm="1">
        <f t="array" aca="1" ref="V280" ca="1">IF(INDIRECT(ADDRESS($B280+1,V$230,1,1,"Actively Infected Trend"))=0,#N/A,INDIRECT(ADDRESS($B280+1,V$230,1,1,"Actively Infected Trend")))</f>
        <v>#N/A</v>
      </c>
      <c r="W280" s="14" t="e" cm="1">
        <f t="array" aca="1" ref="W280" ca="1">IF(INDIRECT(ADDRESS($B280+1,W$230,1,1,"Actively Infected Trend"))=0,#N/A,INDIRECT(ADDRESS($B280+1,W$230,1,1,"Actively Infected Trend")))</f>
        <v>#N/A</v>
      </c>
      <c r="X280" s="14" t="e" cm="1">
        <f t="array" aca="1" ref="X280" ca="1">IF(INDIRECT(ADDRESS($B280+1,X$230,1,1,"Actively Infected Trend"))=0,#N/A,INDIRECT(ADDRESS($B280+1,X$230,1,1,"Actively Infected Trend")))</f>
        <v>#N/A</v>
      </c>
      <c r="Y280" s="14" t="e" cm="1">
        <f t="array" aca="1" ref="Y280" ca="1">IF(INDIRECT(ADDRESS($B280+1,Y$230,1,1,"Actively Infected Trend"))=0,#N/A,INDIRECT(ADDRESS($B280+1,Y$230,1,1,"Actively Infected Trend")))</f>
        <v>#N/A</v>
      </c>
      <c r="Z280" s="14" t="e" cm="1">
        <f t="array" aca="1" ref="Z280" ca="1">IF(INDIRECT(ADDRESS($B280+1,Z$230,1,1,"Actively Infected Trend"))=0,#N/A,INDIRECT(ADDRESS($B280+1,Z$230,1,1,"Actively Infected Trend")))</f>
        <v>#N/A</v>
      </c>
      <c r="AA280" s="14" t="e" cm="1">
        <f t="array" aca="1" ref="AA280" ca="1">IF(INDIRECT(ADDRESS($B280+1,AA$230,1,1,"Actively Infected Trend"))=0,#N/A,INDIRECT(ADDRESS($B280+1,AA$230,1,1,"Actively Infected Trend")))</f>
        <v>#N/A</v>
      </c>
      <c r="AB280" s="14" t="e" cm="1">
        <f t="array" aca="1" ref="AB280" ca="1">IF(INDIRECT(ADDRESS($B280+1,AB$230,1,1,"Actively Infected Trend"))=0,#N/A,INDIRECT(ADDRESS($B280+1,AB$230,1,1,"Actively Infected Trend")))</f>
        <v>#N/A</v>
      </c>
      <c r="AC280" s="14" t="e" cm="1">
        <f t="array" aca="1" ref="AC280" ca="1">IF(INDIRECT(ADDRESS($B280+1,AC$230,1,1,"Actively Infected Trend"))=0,#N/A,INDIRECT(ADDRESS($B280+1,AC$230,1,1,"Actively Infected Trend")))</f>
        <v>#N/A</v>
      </c>
      <c r="AD280" s="14" t="e" cm="1">
        <f t="array" aca="1" ref="AD280" ca="1">IF(INDIRECT(ADDRESS($B280+1,AD$230,1,1,"Actively Infected Trend"))=0,#N/A,INDIRECT(ADDRESS($B280+1,AD$230,1,1,"Actively Infected Trend")))</f>
        <v>#N/A</v>
      </c>
      <c r="AE280" s="14" t="e" cm="1">
        <f t="array" aca="1" ref="AE280" ca="1">IF(INDIRECT(ADDRESS($B280+1,AE$230,1,1,"Actively Infected Trend"))=0,#N/A,INDIRECT(ADDRESS($B280+1,AE$230,1,1,"Actively Infected Trend")))</f>
        <v>#N/A</v>
      </c>
      <c r="AF280" s="14" t="e" cm="1">
        <f t="array" aca="1" ref="AF280" ca="1">IF(INDIRECT(ADDRESS($B280+1,AF$230,1,1,"Actively Infected Trend"))=0,#N/A,INDIRECT(ADDRESS($B280+1,AF$230,1,1,"Actively Infected Trend")))</f>
        <v>#N/A</v>
      </c>
      <c r="AG280" s="14" t="e" cm="1">
        <f t="array" aca="1" ref="AG280" ca="1">IF(INDIRECT(ADDRESS($B280+1,AG$230,1,1,"Actively Infected Trend"))=0,#N/A,INDIRECT(ADDRESS($B280+1,AG$230,1,1,"Actively Infected Trend")))</f>
        <v>#N/A</v>
      </c>
      <c r="AH280" s="14" t="e" cm="1">
        <f t="array" aca="1" ref="AH280" ca="1">IF(INDIRECT(ADDRESS($B280+1,AH$230,1,1,"Actively Infected Trend"))=0,#N/A,INDIRECT(ADDRESS($B280+1,AH$230,1,1,"Actively Infected Trend")))</f>
        <v>#N/A</v>
      </c>
      <c r="AI280" s="14" t="e" cm="1">
        <f t="array" aca="1" ref="AI280" ca="1">IF(INDIRECT(ADDRESS($B280+1,AI$230,1,1,"Actively Infected Trend"))=0,#N/A,INDIRECT(ADDRESS($B280+1,AI$230,1,1,"Actively Infected Trend")))</f>
        <v>#N/A</v>
      </c>
      <c r="AJ280" s="14" t="e" cm="1">
        <f t="array" aca="1" ref="AJ280" ca="1">IF(INDIRECT(ADDRESS($B280+1,AJ$230,1,1,"Actively Infected Trend"))=0,#N/A,INDIRECT(ADDRESS($B280+1,AJ$230,1,1,"Actively Infected Trend")))</f>
        <v>#N/A</v>
      </c>
      <c r="AK280" s="14" t="e" cm="1">
        <f t="array" aca="1" ref="AK280" ca="1">IF(INDIRECT(ADDRESS($B280+1,AK$230,1,1,"Actively Infected Trend"))=0,#N/A,INDIRECT(ADDRESS($B280+1,AK$230,1,1,"Actively Infected Trend")))</f>
        <v>#N/A</v>
      </c>
      <c r="AL280" s="14" t="e" cm="1">
        <f t="array" aca="1" ref="AL280" ca="1">IF(INDIRECT(ADDRESS($B280+1,AL$230,1,1,"Actively Infected Trend"))=0,#N/A,INDIRECT(ADDRESS($B280+1,AL$230,1,1,"Actively Infected Trend")))</f>
        <v>#N/A</v>
      </c>
      <c r="AM280" s="14" t="e" cm="1">
        <f t="array" aca="1" ref="AM280" ca="1">IF(INDIRECT(ADDRESS($B280+1,AM$230,1,1,"Actively Infected Trend"))=0,#N/A,INDIRECT(ADDRESS($B280+1,AM$230,1,1,"Actively Infected Trend")))</f>
        <v>#N/A</v>
      </c>
      <c r="AN280" s="14" t="e" cm="1">
        <f t="array" aca="1" ref="AN280" ca="1">IF(INDIRECT(ADDRESS($B280+1,AN$230,1,1,"Actively Infected Trend"))=0,#N/A,INDIRECT(ADDRESS($B280+1,AN$230,1,1,"Actively Infected Trend")))</f>
        <v>#N/A</v>
      </c>
      <c r="AO280" s="14" t="e" cm="1">
        <f t="array" aca="1" ref="AO280" ca="1">IF(INDIRECT(ADDRESS($B280+1,AO$230,1,1,"Actively Infected Trend"))=0,#N/A,INDIRECT(ADDRESS($B280+1,AO$230,1,1,"Actively Infected Trend")))</f>
        <v>#N/A</v>
      </c>
      <c r="AP280" s="14" t="e" cm="1">
        <f t="array" aca="1" ref="AP280" ca="1">IF(INDIRECT(ADDRESS($B280+1,AP$230,1,1,"Actively Infected Trend"))=0,#N/A,INDIRECT(ADDRESS($B280+1,AP$230,1,1,"Actively Infected Trend")))</f>
        <v>#N/A</v>
      </c>
      <c r="AQ280" s="14" t="e" cm="1">
        <f t="array" aca="1" ref="AQ280" ca="1">IF(INDIRECT(ADDRESS($B280+1,AQ$230,1,1,"Actively Infected Trend"))=0,#N/A,INDIRECT(ADDRESS($B280+1,AQ$230,1,1,"Actively Infected Trend")))</f>
        <v>#N/A</v>
      </c>
      <c r="AR280" s="14" t="e" cm="1">
        <f t="array" aca="1" ref="AR280" ca="1">IF(INDIRECT(ADDRESS($B280+1,AR$230,1,1,"Actively Infected Trend"))=0,#N/A,INDIRECT(ADDRESS($B280+1,AR$230,1,1,"Actively Infected Trend")))</f>
        <v>#N/A</v>
      </c>
      <c r="AS280" s="14" t="e" cm="1">
        <f t="array" aca="1" ref="AS280" ca="1">IF(INDIRECT(ADDRESS($B280+1,AS$230,1,1,"Actively Infected Trend"))=0,#N/A,INDIRECT(ADDRESS($B280+1,AS$230,1,1,"Actively Infected Trend")))</f>
        <v>#N/A</v>
      </c>
      <c r="AT280" s="14" t="e" cm="1">
        <f t="array" aca="1" ref="AT280" ca="1">IF(INDIRECT(ADDRESS($B280+1,AT$230,1,1,"Actively Infected Trend"))=0,#N/A,INDIRECT(ADDRESS($B280+1,AT$230,1,1,"Actively Infected Trend")))</f>
        <v>#N/A</v>
      </c>
      <c r="AU280" s="14" t="e" cm="1">
        <f t="array" aca="1" ref="AU280" ca="1">IF(INDIRECT(ADDRESS($B280+1,AU$230,1,1,"Actively Infected Trend"))=0,#N/A,INDIRECT(ADDRESS($B280+1,AU$230,1,1,"Actively Infected Trend")))</f>
        <v>#N/A</v>
      </c>
      <c r="AV280" s="14" t="e" cm="1">
        <f t="array" aca="1" ref="AV280" ca="1">IF(INDIRECT(ADDRESS($B280+1,AV$230,1,1,"Actively Infected Trend"))=0,#N/A,INDIRECT(ADDRESS($B280+1,AV$230,1,1,"Actively Infected Trend")))</f>
        <v>#N/A</v>
      </c>
      <c r="AW280" s="14" t="e" cm="1">
        <f t="array" aca="1" ref="AW280" ca="1">IF(INDIRECT(ADDRESS($B280+1,AW$230,1,1,"Actively Infected Trend"))=0,#N/A,INDIRECT(ADDRESS($B280+1,AW$230,1,1,"Actively Infected Trend")))</f>
        <v>#N/A</v>
      </c>
      <c r="AX280" s="14" t="e" cm="1">
        <f t="array" aca="1" ref="AX280" ca="1">IF(INDIRECT(ADDRESS($B280+1,AX$230,1,1,"Actively Infected Trend"))=0,#N/A,INDIRECT(ADDRESS($B280+1,AX$230,1,1,"Actively Infected Trend")))</f>
        <v>#N/A</v>
      </c>
      <c r="AY280" s="14" t="e" cm="1">
        <f t="array" aca="1" ref="AY280" ca="1">IF(INDIRECT(ADDRESS($B280+1,AY$230,1,1,"Actively Infected Trend"))=0,#N/A,INDIRECT(ADDRESS($B280+1,AY$230,1,1,"Actively Infected Trend")))</f>
        <v>#N/A</v>
      </c>
      <c r="AZ280" s="14" t="e" cm="1">
        <f t="array" aca="1" ref="AZ280" ca="1">IF(INDIRECT(ADDRESS($B280+1,AZ$230,1,1,"Actively Infected Trend"))=0,#N/A,INDIRECT(ADDRESS($B280+1,AZ$230,1,1,"Actively Infected Trend")))</f>
        <v>#N/A</v>
      </c>
      <c r="BA280" s="14" t="e" cm="1">
        <f t="array" aca="1" ref="BA280" ca="1">IF(INDIRECT(ADDRESS($B280+1,BA$230,1,1,"Actively Infected Trend"))=0,#N/A,INDIRECT(ADDRESS($B280+1,BA$230,1,1,"Actively Infected Trend")))</f>
        <v>#N/A</v>
      </c>
      <c r="BB280" s="14" t="e" cm="1">
        <f t="array" aca="1" ref="BB280" ca="1">IF(INDIRECT(ADDRESS($B280+1,BB$230,1,1,"Actively Infected Trend"))=0,#N/A,INDIRECT(ADDRESS($B280+1,BB$230,1,1,"Actively Infected Trend")))</f>
        <v>#N/A</v>
      </c>
      <c r="BC280" s="14" t="e" cm="1">
        <f t="array" aca="1" ref="BC280" ca="1">IF(INDIRECT(ADDRESS($B280+1,BC$230,1,1,"Actively Infected Trend"))=0,#N/A,INDIRECT(ADDRESS($B280+1,BC$230,1,1,"Actively Infected Trend")))</f>
        <v>#N/A</v>
      </c>
      <c r="BD280" s="14" t="e" cm="1">
        <f t="array" aca="1" ref="BD280" ca="1">IF(INDIRECT(ADDRESS($B280+1,BD$230,1,1,"Actively Infected Trend"))=0,#N/A,INDIRECT(ADDRESS($B280+1,BD$230,1,1,"Actively Infected Trend")))</f>
        <v>#N/A</v>
      </c>
      <c r="BE280" s="14" t="e" cm="1">
        <f t="array" aca="1" ref="BE280" ca="1">IF(INDIRECT(ADDRESS($B280+1,BE$230,1,1,"Actively Infected Trend"))=0,#N/A,INDIRECT(ADDRESS($B280+1,BE$230,1,1,"Actively Infected Trend")))</f>
        <v>#N/A</v>
      </c>
      <c r="BF280" s="14" t="e" cm="1">
        <f t="array" aca="1" ref="BF280" ca="1">IF(INDIRECT(ADDRESS($B280+1,BF$230,1,1,"Actively Infected Trend"))=0,#N/A,INDIRECT(ADDRESS($B280+1,BF$230,1,1,"Actively Infected Trend")))</f>
        <v>#N/A</v>
      </c>
      <c r="BG280" s="14" t="e" cm="1">
        <f t="array" aca="1" ref="BG280" ca="1">IF(INDIRECT(ADDRESS($B280+1,BG$230,1,1,"Actively Infected Trend"))=0,#N/A,INDIRECT(ADDRESS($B280+1,BG$230,1,1,"Actively Infected Trend")))</f>
        <v>#N/A</v>
      </c>
      <c r="BH280" s="14" t="e" cm="1">
        <f t="array" aca="1" ref="BH280" ca="1">IF(INDIRECT(ADDRESS($B280+1,BH$230,1,1,"Actively Infected Trend"))=0,#N/A,INDIRECT(ADDRESS($B280+1,BH$230,1,1,"Actively Infected Trend")))</f>
        <v>#N/A</v>
      </c>
      <c r="BI280" s="14" t="e" cm="1">
        <f t="array" aca="1" ref="BI280" ca="1">IF(INDIRECT(ADDRESS($B280+1,BI$230,1,1,"Actively Infected Trend"))=0,#N/A,INDIRECT(ADDRESS($B280+1,BI$230,1,1,"Actively Infected Trend")))</f>
        <v>#N/A</v>
      </c>
      <c r="BJ280" s="14" t="e" cm="1">
        <f t="array" aca="1" ref="BJ280" ca="1">IF(INDIRECT(ADDRESS($B280+1,BJ$230,1,1,"Actively Infected Trend"))=0,#N/A,INDIRECT(ADDRESS($B280+1,BJ$230,1,1,"Actively Infected Trend")))</f>
        <v>#N/A</v>
      </c>
      <c r="BK280" s="14" t="e" cm="1">
        <f t="array" aca="1" ref="BK280" ca="1">IF(INDIRECT(ADDRESS($B280+1,BK$230,1,1,"Actively Infected Trend"))=0,#N/A,INDIRECT(ADDRESS($B280+1,BK$230,1,1,"Actively Infected Trend")))</f>
        <v>#N/A</v>
      </c>
      <c r="BL280" s="14" t="e" cm="1">
        <f t="array" aca="1" ref="BL280" ca="1">IF(INDIRECT(ADDRESS($B280+1,BL$230,1,1,"Actively Infected Trend"))=0,#N/A,INDIRECT(ADDRESS($B280+1,BL$230,1,1,"Actively Infected Trend")))</f>
        <v>#N/A</v>
      </c>
      <c r="BM280" s="14" t="e" cm="1">
        <f t="array" aca="1" ref="BM280" ca="1">IF(INDIRECT(ADDRESS($B280+1,BM$230,1,1,"Actively Infected Trend"))=0,#N/A,INDIRECT(ADDRESS($B280+1,BM$230,1,1,"Actively Infected Trend")))</f>
        <v>#N/A</v>
      </c>
      <c r="BN280" s="14" t="e" cm="1">
        <f t="array" aca="1" ref="BN280" ca="1">IF(INDIRECT(ADDRESS($B280+1,BN$230,1,1,"Actively Infected Trend"))=0,#N/A,INDIRECT(ADDRESS($B280+1,BN$230,1,1,"Actively Infected Trend")))</f>
        <v>#N/A</v>
      </c>
      <c r="BO280" s="14" t="e" cm="1">
        <f t="array" aca="1" ref="BO280" ca="1">IF(INDIRECT(ADDRESS($B280+1,BO$230,1,1,"Actively Infected Trend"))=0,#N/A,INDIRECT(ADDRESS($B280+1,BO$230,1,1,"Actively Infected Trend")))</f>
        <v>#N/A</v>
      </c>
      <c r="BP280" s="14" t="e" cm="1">
        <f t="array" aca="1" ref="BP280" ca="1">IF(INDIRECT(ADDRESS($B280+1,BP$230,1,1,"Actively Infected Trend"))=0,#N/A,INDIRECT(ADDRESS($B280+1,BP$230,1,1,"Actively Infected Trend")))</f>
        <v>#N/A</v>
      </c>
      <c r="BQ280" s="14" t="e" cm="1">
        <f t="array" aca="1" ref="BQ280" ca="1">IF(INDIRECT(ADDRESS($B280+1,BQ$230,1,1,"Actively Infected Trend"))=0,#N/A,INDIRECT(ADDRESS($B280+1,BQ$230,1,1,"Actively Infected Trend")))</f>
        <v>#N/A</v>
      </c>
      <c r="BR280" s="14" t="e" cm="1">
        <f t="array" aca="1" ref="BR280" ca="1">IF(INDIRECT(ADDRESS($B280+1,BR$230,1,1,"Actively Infected Trend"))=0,#N/A,INDIRECT(ADDRESS($B280+1,BR$230,1,1,"Actively Infected Trend")))</f>
        <v>#N/A</v>
      </c>
      <c r="BS280" s="14" t="e" cm="1">
        <f t="array" aca="1" ref="BS280" ca="1">IF(INDIRECT(ADDRESS($B280+1,BS$230,1,1,"Actively Infected Trend"))=0,#N/A,INDIRECT(ADDRESS($B280+1,BS$230,1,1,"Actively Infected Trend")))</f>
        <v>#N/A</v>
      </c>
      <c r="BT280" s="14" t="e" cm="1">
        <f t="array" aca="1" ref="BT280" ca="1">IF(INDIRECT(ADDRESS($B280+1,BT$230,1,1,"Actively Infected Trend"))=0,#N/A,INDIRECT(ADDRESS($B280+1,BT$230,1,1,"Actively Infected Trend")))</f>
        <v>#N/A</v>
      </c>
      <c r="BU280" s="14" t="e" cm="1">
        <f t="array" aca="1" ref="BU280" ca="1">IF(INDIRECT(ADDRESS($B280+1,BU$230,1,1,"Actively Infected Trend"))=0,#N/A,INDIRECT(ADDRESS($B280+1,BU$230,1,1,"Actively Infected Trend")))</f>
        <v>#N/A</v>
      </c>
      <c r="BV280" s="14" t="e" cm="1">
        <f t="array" aca="1" ref="BV280" ca="1">IF(INDIRECT(ADDRESS($B280+1,BV$230,1,1,"Actively Infected Trend"))=0,#N/A,INDIRECT(ADDRESS($B280+1,BV$230,1,1,"Actively Infected Trend")))</f>
        <v>#N/A</v>
      </c>
      <c r="BW280" s="14" t="e" cm="1">
        <f t="array" aca="1" ref="BW280" ca="1">IF(INDIRECT(ADDRESS($B280+1,BW$230,1,1,"Actively Infected Trend"))=0,#N/A,INDIRECT(ADDRESS($B280+1,BW$230,1,1,"Actively Infected Trend")))</f>
        <v>#N/A</v>
      </c>
      <c r="BX280" s="14" t="e" cm="1">
        <f t="array" aca="1" ref="BX280" ca="1">IF(INDIRECT(ADDRESS($B280+1,BX$230,1,1,"Actively Infected Trend"))=0,#N/A,INDIRECT(ADDRESS($B280+1,BX$230,1,1,"Actively Infected Trend")))</f>
        <v>#N/A</v>
      </c>
      <c r="BY280" s="14" t="e" cm="1">
        <f t="array" aca="1" ref="BY280" ca="1">IF(INDIRECT(ADDRESS($B280+1,BY$230,1,1,"Actively Infected Trend"))=0,#N/A,INDIRECT(ADDRESS($B280+1,BY$230,1,1,"Actively Infected Trend")))</f>
        <v>#N/A</v>
      </c>
      <c r="BZ280" s="14" t="e" cm="1">
        <f t="array" aca="1" ref="BZ280" ca="1">IF(INDIRECT(ADDRESS($B280+1,BZ$230,1,1,"Actively Infected Trend"))=0,#N/A,INDIRECT(ADDRESS($B280+1,BZ$230,1,1,"Actively Infected Trend")))</f>
        <v>#N/A</v>
      </c>
      <c r="CA280" s="14" t="e" cm="1">
        <f t="array" aca="1" ref="CA280" ca="1">IF(INDIRECT(ADDRESS($B280+1,CA$230,1,1,"Actively Infected Trend"))=0,#N/A,INDIRECT(ADDRESS($B280+1,CA$230,1,1,"Actively Infected Trend")))</f>
        <v>#N/A</v>
      </c>
      <c r="CB280" s="14" t="e" cm="1">
        <f t="array" aca="1" ref="CB280" ca="1">IF(INDIRECT(ADDRESS($B280+1,CB$230,1,1,"Actively Infected Trend"))=0,#N/A,INDIRECT(ADDRESS($B280+1,CB$230,1,1,"Actively Infected Trend")))</f>
        <v>#N/A</v>
      </c>
      <c r="CC280" s="14" t="e" cm="1">
        <f t="array" aca="1" ref="CC280" ca="1">IF(INDIRECT(ADDRESS($B280+1,CC$230,1,1,"Actively Infected Trend"))=0,#N/A,INDIRECT(ADDRESS($B280+1,CC$230,1,1,"Actively Infected Trend")))</f>
        <v>#N/A</v>
      </c>
      <c r="CD280" s="14" t="e" cm="1">
        <f t="array" aca="1" ref="CD280" ca="1">IF(INDIRECT(ADDRESS($B280+1,CD$230,1,1,"Actively Infected Trend"))=0,#N/A,INDIRECT(ADDRESS($B280+1,CD$230,1,1,"Actively Infected Trend")))</f>
        <v>#N/A</v>
      </c>
      <c r="CE280" s="14" t="e" cm="1">
        <f t="array" aca="1" ref="CE280" ca="1">IF(INDIRECT(ADDRESS($B280+1,CE$230,1,1,"Actively Infected Trend"))=0,#N/A,INDIRECT(ADDRESS($B280+1,CE$230,1,1,"Actively Infected Trend")))</f>
        <v>#N/A</v>
      </c>
      <c r="CF280" s="14" t="e" cm="1">
        <f t="array" aca="1" ref="CF280" ca="1">IF(INDIRECT(ADDRESS($B280+1,CF$230,1,1,"Actively Infected Trend"))=0,#N/A,INDIRECT(ADDRESS($B280+1,CF$230,1,1,"Actively Infected Trend")))</f>
        <v>#N/A</v>
      </c>
      <c r="CG280" s="14" t="e" cm="1">
        <f t="array" aca="1" ref="CG280" ca="1">IF(INDIRECT(ADDRESS($B280+1,CG$230,1,1,"Actively Infected Trend"))=0,#N/A,INDIRECT(ADDRESS($B280+1,CG$230,1,1,"Actively Infected Trend")))</f>
        <v>#N/A</v>
      </c>
      <c r="CH280" s="14" t="e" cm="1">
        <f t="array" aca="1" ref="CH280" ca="1">IF(INDIRECT(ADDRESS($B280+1,CH$230,1,1,"Actively Infected Trend"))=0,#N/A,INDIRECT(ADDRESS($B280+1,CH$230,1,1,"Actively Infected Trend")))</f>
        <v>#N/A</v>
      </c>
      <c r="CI280" s="14" t="e" cm="1">
        <f t="array" aca="1" ref="CI280" ca="1">IF(INDIRECT(ADDRESS($B280+1,CI$230,1,1,"Actively Infected Trend"))=0,#N/A,INDIRECT(ADDRESS($B280+1,CI$230,1,1,"Actively Infected Trend")))</f>
        <v>#N/A</v>
      </c>
      <c r="CJ280" s="14" t="e" cm="1">
        <f t="array" aca="1" ref="CJ280" ca="1">IF(INDIRECT(ADDRESS($B280+1,CJ$230,1,1,"Actively Infected Trend"))=0,#N/A,INDIRECT(ADDRESS($B280+1,CJ$230,1,1,"Actively Infected Trend")))</f>
        <v>#N/A</v>
      </c>
      <c r="CK280" s="14" t="e" cm="1">
        <f t="array" aca="1" ref="CK280" ca="1">IF(INDIRECT(ADDRESS($B280+1,CK$230,1,1,"Actively Infected Trend"))=0,#N/A,INDIRECT(ADDRESS($B280+1,CK$230,1,1,"Actively Infected Trend")))</f>
        <v>#N/A</v>
      </c>
      <c r="CL280" s="14" t="e" cm="1">
        <f t="array" aca="1" ref="CL280" ca="1">IF(INDIRECT(ADDRESS($B280+1,CL$230,1,1,"Actively Infected Trend"))=0,#N/A,INDIRECT(ADDRESS($B280+1,CL$230,1,1,"Actively Infected Trend")))</f>
        <v>#N/A</v>
      </c>
      <c r="CM280" s="14" t="e" cm="1">
        <f t="array" aca="1" ref="CM280" ca="1">IF(INDIRECT(ADDRESS($B280+1,CM$230,1,1,"Actively Infected Trend"))=0,#N/A,INDIRECT(ADDRESS($B280+1,CM$230,1,1,"Actively Infected Trend")))</f>
        <v>#N/A</v>
      </c>
      <c r="CN280" s="14" t="e" cm="1">
        <f t="array" aca="1" ref="CN280" ca="1">IF(INDIRECT(ADDRESS($B280+1,CN$230,1,1,"Actively Infected Trend"))=0,#N/A,INDIRECT(ADDRESS($B280+1,CN$230,1,1,"Actively Infected Trend")))</f>
        <v>#N/A</v>
      </c>
      <c r="CO280" s="14" t="e" cm="1">
        <f t="array" aca="1" ref="CO280" ca="1">IF(INDIRECT(ADDRESS($B280+1,CO$230,1,1,"Actively Infected Trend"))=0,#N/A,INDIRECT(ADDRESS($B280+1,CO$230,1,1,"Actively Infected Trend")))</f>
        <v>#N/A</v>
      </c>
      <c r="CP280" s="14" t="e" cm="1">
        <f t="array" aca="1" ref="CP280" ca="1">IF(INDIRECT(ADDRESS($B280+1,CP$230,1,1,"Actively Infected Trend"))=0,#N/A,INDIRECT(ADDRESS($B280+1,CP$230,1,1,"Actively Infected Trend")))</f>
        <v>#N/A</v>
      </c>
      <c r="CQ280" s="14" t="e" cm="1">
        <f t="array" aca="1" ref="CQ280" ca="1">IF(INDIRECT(ADDRESS($B280+1,CQ$230,1,1,"Actively Infected Trend"))=0,#N/A,INDIRECT(ADDRESS($B280+1,CQ$230,1,1,"Actively Infected Trend")))</f>
        <v>#N/A</v>
      </c>
      <c r="CR280" s="14" t="e" cm="1">
        <f t="array" aca="1" ref="CR280" ca="1">IF(INDIRECT(ADDRESS($B280+1,CR$230,1,1,"Actively Infected Trend"))=0,#N/A,INDIRECT(ADDRESS($B280+1,CR$230,1,1,"Actively Infected Trend")))</f>
        <v>#N/A</v>
      </c>
    </row>
    <row r="281" spans="2:96" x14ac:dyDescent="0.25">
      <c r="B281">
        <f t="shared" si="349"/>
        <v>50</v>
      </c>
      <c r="C281" cm="1">
        <f t="array" aca="1" ref="C281" ca="1">INDIRECT(ADDRESS($B281+1,1,1,1,"Actively Infected Trend"))</f>
        <v>0</v>
      </c>
      <c r="E281" s="14" t="e" cm="1">
        <f t="array" aca="1" ref="E281" ca="1">IF(INDIRECT(ADDRESS($B281+1,E$230,1,1,"Actively Infected Trend"))=0,#N/A,INDIRECT(ADDRESS($B281+1,E$230,1,1,"Actively Infected Trend")))</f>
        <v>#N/A</v>
      </c>
      <c r="F281" s="14" t="e" cm="1">
        <f t="array" aca="1" ref="F281" ca="1">IF(INDIRECT(ADDRESS($B281+1,F$230,1,1,"Actively Infected Trend"))=0,#N/A,INDIRECT(ADDRESS($B281+1,F$230,1,1,"Actively Infected Trend")))</f>
        <v>#N/A</v>
      </c>
      <c r="G281" s="14" t="e" cm="1">
        <f t="array" aca="1" ref="G281" ca="1">IF(INDIRECT(ADDRESS($B281+1,G$230,1,1,"Actively Infected Trend"))=0,#N/A,INDIRECT(ADDRESS($B281+1,G$230,1,1,"Actively Infected Trend")))</f>
        <v>#N/A</v>
      </c>
      <c r="H281" s="14" t="e" cm="1">
        <f t="array" aca="1" ref="H281" ca="1">IF(INDIRECT(ADDRESS($B281+1,H$230,1,1,"Actively Infected Trend"))=0,#N/A,INDIRECT(ADDRESS($B281+1,H$230,1,1,"Actively Infected Trend")))</f>
        <v>#N/A</v>
      </c>
      <c r="I281" s="14" t="e" cm="1">
        <f t="array" aca="1" ref="I281" ca="1">IF(INDIRECT(ADDRESS($B281+1,I$230,1,1,"Actively Infected Trend"))=0,#N/A,INDIRECT(ADDRESS($B281+1,I$230,1,1,"Actively Infected Trend")))</f>
        <v>#N/A</v>
      </c>
      <c r="J281" s="14" t="e" cm="1">
        <f t="array" aca="1" ref="J281" ca="1">IF(INDIRECT(ADDRESS($B281+1,J$230,1,1,"Actively Infected Trend"))=0,#N/A,INDIRECT(ADDRESS($B281+1,J$230,1,1,"Actively Infected Trend")))</f>
        <v>#N/A</v>
      </c>
      <c r="K281" s="14" t="e" cm="1">
        <f t="array" aca="1" ref="K281" ca="1">IF(INDIRECT(ADDRESS($B281+1,K$230,1,1,"Actively Infected Trend"))=0,#N/A,INDIRECT(ADDRESS($B281+1,K$230,1,1,"Actively Infected Trend")))</f>
        <v>#N/A</v>
      </c>
      <c r="L281" s="14" t="e" cm="1">
        <f t="array" aca="1" ref="L281" ca="1">IF(INDIRECT(ADDRESS($B281+1,L$230,1,1,"Actively Infected Trend"))=0,#N/A,INDIRECT(ADDRESS($B281+1,L$230,1,1,"Actively Infected Trend")))</f>
        <v>#N/A</v>
      </c>
      <c r="M281" s="14" t="e" cm="1">
        <f t="array" aca="1" ref="M281" ca="1">IF(INDIRECT(ADDRESS($B281+1,M$230,1,1,"Actively Infected Trend"))=0,#N/A,INDIRECT(ADDRESS($B281+1,M$230,1,1,"Actively Infected Trend")))</f>
        <v>#N/A</v>
      </c>
      <c r="N281" s="14" t="e" cm="1">
        <f t="array" aca="1" ref="N281" ca="1">IF(INDIRECT(ADDRESS($B281+1,N$230,1,1,"Actively Infected Trend"))=0,#N/A,INDIRECT(ADDRESS($B281+1,N$230,1,1,"Actively Infected Trend")))</f>
        <v>#N/A</v>
      </c>
      <c r="O281" s="14" t="e" cm="1">
        <f t="array" aca="1" ref="O281" ca="1">IF(INDIRECT(ADDRESS($B281+1,O$230,1,1,"Actively Infected Trend"))=0,#N/A,INDIRECT(ADDRESS($B281+1,O$230,1,1,"Actively Infected Trend")))</f>
        <v>#N/A</v>
      </c>
      <c r="P281" s="14" t="e" cm="1">
        <f t="array" aca="1" ref="P281" ca="1">IF(INDIRECT(ADDRESS($B281+1,P$230,1,1,"Actively Infected Trend"))=0,#N/A,INDIRECT(ADDRESS($B281+1,P$230,1,1,"Actively Infected Trend")))</f>
        <v>#N/A</v>
      </c>
      <c r="Q281" s="14" t="e" cm="1">
        <f t="array" aca="1" ref="Q281" ca="1">IF(INDIRECT(ADDRESS($B281+1,Q$230,1,1,"Actively Infected Trend"))=0,#N/A,INDIRECT(ADDRESS($B281+1,Q$230,1,1,"Actively Infected Trend")))</f>
        <v>#N/A</v>
      </c>
      <c r="R281" s="14" t="e" cm="1">
        <f t="array" aca="1" ref="R281" ca="1">IF(INDIRECT(ADDRESS($B281+1,R$230,1,1,"Actively Infected Trend"))=0,#N/A,INDIRECT(ADDRESS($B281+1,R$230,1,1,"Actively Infected Trend")))</f>
        <v>#N/A</v>
      </c>
      <c r="S281" s="14" t="e" cm="1">
        <f t="array" aca="1" ref="S281" ca="1">IF(INDIRECT(ADDRESS($B281+1,S$230,1,1,"Actively Infected Trend"))=0,#N/A,INDIRECT(ADDRESS($B281+1,S$230,1,1,"Actively Infected Trend")))</f>
        <v>#N/A</v>
      </c>
      <c r="T281" s="14" t="e" cm="1">
        <f t="array" aca="1" ref="T281" ca="1">IF(INDIRECT(ADDRESS($B281+1,T$230,1,1,"Actively Infected Trend"))=0,#N/A,INDIRECT(ADDRESS($B281+1,T$230,1,1,"Actively Infected Trend")))</f>
        <v>#N/A</v>
      </c>
      <c r="U281" s="14" t="e" cm="1">
        <f t="array" aca="1" ref="U281" ca="1">IF(INDIRECT(ADDRESS($B281+1,U$230,1,1,"Actively Infected Trend"))=0,#N/A,INDIRECT(ADDRESS($B281+1,U$230,1,1,"Actively Infected Trend")))</f>
        <v>#N/A</v>
      </c>
      <c r="V281" s="14" t="e" cm="1">
        <f t="array" aca="1" ref="V281" ca="1">IF(INDIRECT(ADDRESS($B281+1,V$230,1,1,"Actively Infected Trend"))=0,#N/A,INDIRECT(ADDRESS($B281+1,V$230,1,1,"Actively Infected Trend")))</f>
        <v>#N/A</v>
      </c>
      <c r="W281" s="14" t="e" cm="1">
        <f t="array" aca="1" ref="W281" ca="1">IF(INDIRECT(ADDRESS($B281+1,W$230,1,1,"Actively Infected Trend"))=0,#N/A,INDIRECT(ADDRESS($B281+1,W$230,1,1,"Actively Infected Trend")))</f>
        <v>#N/A</v>
      </c>
      <c r="X281" s="14" t="e" cm="1">
        <f t="array" aca="1" ref="X281" ca="1">IF(INDIRECT(ADDRESS($B281+1,X$230,1,1,"Actively Infected Trend"))=0,#N/A,INDIRECT(ADDRESS($B281+1,X$230,1,1,"Actively Infected Trend")))</f>
        <v>#N/A</v>
      </c>
      <c r="Y281" s="14" t="e" cm="1">
        <f t="array" aca="1" ref="Y281" ca="1">IF(INDIRECT(ADDRESS($B281+1,Y$230,1,1,"Actively Infected Trend"))=0,#N/A,INDIRECT(ADDRESS($B281+1,Y$230,1,1,"Actively Infected Trend")))</f>
        <v>#N/A</v>
      </c>
      <c r="Z281" s="14" t="e" cm="1">
        <f t="array" aca="1" ref="Z281" ca="1">IF(INDIRECT(ADDRESS($B281+1,Z$230,1,1,"Actively Infected Trend"))=0,#N/A,INDIRECT(ADDRESS($B281+1,Z$230,1,1,"Actively Infected Trend")))</f>
        <v>#N/A</v>
      </c>
      <c r="AA281" s="14" t="e" cm="1">
        <f t="array" aca="1" ref="AA281" ca="1">IF(INDIRECT(ADDRESS($B281+1,AA$230,1,1,"Actively Infected Trend"))=0,#N/A,INDIRECT(ADDRESS($B281+1,AA$230,1,1,"Actively Infected Trend")))</f>
        <v>#N/A</v>
      </c>
      <c r="AB281" s="14" t="e" cm="1">
        <f t="array" aca="1" ref="AB281" ca="1">IF(INDIRECT(ADDRESS($B281+1,AB$230,1,1,"Actively Infected Trend"))=0,#N/A,INDIRECT(ADDRESS($B281+1,AB$230,1,1,"Actively Infected Trend")))</f>
        <v>#N/A</v>
      </c>
      <c r="AC281" s="14" t="e" cm="1">
        <f t="array" aca="1" ref="AC281" ca="1">IF(INDIRECT(ADDRESS($B281+1,AC$230,1,1,"Actively Infected Trend"))=0,#N/A,INDIRECT(ADDRESS($B281+1,AC$230,1,1,"Actively Infected Trend")))</f>
        <v>#N/A</v>
      </c>
      <c r="AD281" s="14" t="e" cm="1">
        <f t="array" aca="1" ref="AD281" ca="1">IF(INDIRECT(ADDRESS($B281+1,AD$230,1,1,"Actively Infected Trend"))=0,#N/A,INDIRECT(ADDRESS($B281+1,AD$230,1,1,"Actively Infected Trend")))</f>
        <v>#N/A</v>
      </c>
      <c r="AE281" s="14" t="e" cm="1">
        <f t="array" aca="1" ref="AE281" ca="1">IF(INDIRECT(ADDRESS($B281+1,AE$230,1,1,"Actively Infected Trend"))=0,#N/A,INDIRECT(ADDRESS($B281+1,AE$230,1,1,"Actively Infected Trend")))</f>
        <v>#N/A</v>
      </c>
      <c r="AF281" s="14" t="e" cm="1">
        <f t="array" aca="1" ref="AF281" ca="1">IF(INDIRECT(ADDRESS($B281+1,AF$230,1,1,"Actively Infected Trend"))=0,#N/A,INDIRECT(ADDRESS($B281+1,AF$230,1,1,"Actively Infected Trend")))</f>
        <v>#N/A</v>
      </c>
      <c r="AG281" s="14" t="e" cm="1">
        <f t="array" aca="1" ref="AG281" ca="1">IF(INDIRECT(ADDRESS($B281+1,AG$230,1,1,"Actively Infected Trend"))=0,#N/A,INDIRECT(ADDRESS($B281+1,AG$230,1,1,"Actively Infected Trend")))</f>
        <v>#N/A</v>
      </c>
      <c r="AH281" s="14" t="e" cm="1">
        <f t="array" aca="1" ref="AH281" ca="1">IF(INDIRECT(ADDRESS($B281+1,AH$230,1,1,"Actively Infected Trend"))=0,#N/A,INDIRECT(ADDRESS($B281+1,AH$230,1,1,"Actively Infected Trend")))</f>
        <v>#N/A</v>
      </c>
      <c r="AI281" s="14" t="e" cm="1">
        <f t="array" aca="1" ref="AI281" ca="1">IF(INDIRECT(ADDRESS($B281+1,AI$230,1,1,"Actively Infected Trend"))=0,#N/A,INDIRECT(ADDRESS($B281+1,AI$230,1,1,"Actively Infected Trend")))</f>
        <v>#N/A</v>
      </c>
      <c r="AJ281" s="14" t="e" cm="1">
        <f t="array" aca="1" ref="AJ281" ca="1">IF(INDIRECT(ADDRESS($B281+1,AJ$230,1,1,"Actively Infected Trend"))=0,#N/A,INDIRECT(ADDRESS($B281+1,AJ$230,1,1,"Actively Infected Trend")))</f>
        <v>#N/A</v>
      </c>
      <c r="AK281" s="14" t="e" cm="1">
        <f t="array" aca="1" ref="AK281" ca="1">IF(INDIRECT(ADDRESS($B281+1,AK$230,1,1,"Actively Infected Trend"))=0,#N/A,INDIRECT(ADDRESS($B281+1,AK$230,1,1,"Actively Infected Trend")))</f>
        <v>#N/A</v>
      </c>
      <c r="AL281" s="14" t="e" cm="1">
        <f t="array" aca="1" ref="AL281" ca="1">IF(INDIRECT(ADDRESS($B281+1,AL$230,1,1,"Actively Infected Trend"))=0,#N/A,INDIRECT(ADDRESS($B281+1,AL$230,1,1,"Actively Infected Trend")))</f>
        <v>#N/A</v>
      </c>
      <c r="AM281" s="14" t="e" cm="1">
        <f t="array" aca="1" ref="AM281" ca="1">IF(INDIRECT(ADDRESS($B281+1,AM$230,1,1,"Actively Infected Trend"))=0,#N/A,INDIRECT(ADDRESS($B281+1,AM$230,1,1,"Actively Infected Trend")))</f>
        <v>#N/A</v>
      </c>
      <c r="AN281" s="14" t="e" cm="1">
        <f t="array" aca="1" ref="AN281" ca="1">IF(INDIRECT(ADDRESS($B281+1,AN$230,1,1,"Actively Infected Trend"))=0,#N/A,INDIRECT(ADDRESS($B281+1,AN$230,1,1,"Actively Infected Trend")))</f>
        <v>#N/A</v>
      </c>
      <c r="AO281" s="14" t="e" cm="1">
        <f t="array" aca="1" ref="AO281" ca="1">IF(INDIRECT(ADDRESS($B281+1,AO$230,1,1,"Actively Infected Trend"))=0,#N/A,INDIRECT(ADDRESS($B281+1,AO$230,1,1,"Actively Infected Trend")))</f>
        <v>#N/A</v>
      </c>
      <c r="AP281" s="14" t="e" cm="1">
        <f t="array" aca="1" ref="AP281" ca="1">IF(INDIRECT(ADDRESS($B281+1,AP$230,1,1,"Actively Infected Trend"))=0,#N/A,INDIRECT(ADDRESS($B281+1,AP$230,1,1,"Actively Infected Trend")))</f>
        <v>#N/A</v>
      </c>
      <c r="AQ281" s="14" t="e" cm="1">
        <f t="array" aca="1" ref="AQ281" ca="1">IF(INDIRECT(ADDRESS($B281+1,AQ$230,1,1,"Actively Infected Trend"))=0,#N/A,INDIRECT(ADDRESS($B281+1,AQ$230,1,1,"Actively Infected Trend")))</f>
        <v>#N/A</v>
      </c>
      <c r="AR281" s="14" t="e" cm="1">
        <f t="array" aca="1" ref="AR281" ca="1">IF(INDIRECT(ADDRESS($B281+1,AR$230,1,1,"Actively Infected Trend"))=0,#N/A,INDIRECT(ADDRESS($B281+1,AR$230,1,1,"Actively Infected Trend")))</f>
        <v>#N/A</v>
      </c>
      <c r="AS281" s="14" t="e" cm="1">
        <f t="array" aca="1" ref="AS281" ca="1">IF(INDIRECT(ADDRESS($B281+1,AS$230,1,1,"Actively Infected Trend"))=0,#N/A,INDIRECT(ADDRESS($B281+1,AS$230,1,1,"Actively Infected Trend")))</f>
        <v>#N/A</v>
      </c>
      <c r="AT281" s="14" t="e" cm="1">
        <f t="array" aca="1" ref="AT281" ca="1">IF(INDIRECT(ADDRESS($B281+1,AT$230,1,1,"Actively Infected Trend"))=0,#N/A,INDIRECT(ADDRESS($B281+1,AT$230,1,1,"Actively Infected Trend")))</f>
        <v>#N/A</v>
      </c>
      <c r="AU281" s="14" t="e" cm="1">
        <f t="array" aca="1" ref="AU281" ca="1">IF(INDIRECT(ADDRESS($B281+1,AU$230,1,1,"Actively Infected Trend"))=0,#N/A,INDIRECT(ADDRESS($B281+1,AU$230,1,1,"Actively Infected Trend")))</f>
        <v>#N/A</v>
      </c>
      <c r="AV281" s="14" t="e" cm="1">
        <f t="array" aca="1" ref="AV281" ca="1">IF(INDIRECT(ADDRESS($B281+1,AV$230,1,1,"Actively Infected Trend"))=0,#N/A,INDIRECT(ADDRESS($B281+1,AV$230,1,1,"Actively Infected Trend")))</f>
        <v>#N/A</v>
      </c>
      <c r="AW281" s="14" t="e" cm="1">
        <f t="array" aca="1" ref="AW281" ca="1">IF(INDIRECT(ADDRESS($B281+1,AW$230,1,1,"Actively Infected Trend"))=0,#N/A,INDIRECT(ADDRESS($B281+1,AW$230,1,1,"Actively Infected Trend")))</f>
        <v>#N/A</v>
      </c>
      <c r="AX281" s="14" t="e" cm="1">
        <f t="array" aca="1" ref="AX281" ca="1">IF(INDIRECT(ADDRESS($B281+1,AX$230,1,1,"Actively Infected Trend"))=0,#N/A,INDIRECT(ADDRESS($B281+1,AX$230,1,1,"Actively Infected Trend")))</f>
        <v>#N/A</v>
      </c>
      <c r="AY281" s="14" t="e" cm="1">
        <f t="array" aca="1" ref="AY281" ca="1">IF(INDIRECT(ADDRESS($B281+1,AY$230,1,1,"Actively Infected Trend"))=0,#N/A,INDIRECT(ADDRESS($B281+1,AY$230,1,1,"Actively Infected Trend")))</f>
        <v>#N/A</v>
      </c>
      <c r="AZ281" s="14" t="e" cm="1">
        <f t="array" aca="1" ref="AZ281" ca="1">IF(INDIRECT(ADDRESS($B281+1,AZ$230,1,1,"Actively Infected Trend"))=0,#N/A,INDIRECT(ADDRESS($B281+1,AZ$230,1,1,"Actively Infected Trend")))</f>
        <v>#N/A</v>
      </c>
      <c r="BA281" s="14" t="e" cm="1">
        <f t="array" aca="1" ref="BA281" ca="1">IF(INDIRECT(ADDRESS($B281+1,BA$230,1,1,"Actively Infected Trend"))=0,#N/A,INDIRECT(ADDRESS($B281+1,BA$230,1,1,"Actively Infected Trend")))</f>
        <v>#N/A</v>
      </c>
      <c r="BB281" s="14" t="e" cm="1">
        <f t="array" aca="1" ref="BB281" ca="1">IF(INDIRECT(ADDRESS($B281+1,BB$230,1,1,"Actively Infected Trend"))=0,#N/A,INDIRECT(ADDRESS($B281+1,BB$230,1,1,"Actively Infected Trend")))</f>
        <v>#N/A</v>
      </c>
      <c r="BC281" s="14" t="e" cm="1">
        <f t="array" aca="1" ref="BC281" ca="1">IF(INDIRECT(ADDRESS($B281+1,BC$230,1,1,"Actively Infected Trend"))=0,#N/A,INDIRECT(ADDRESS($B281+1,BC$230,1,1,"Actively Infected Trend")))</f>
        <v>#N/A</v>
      </c>
      <c r="BD281" s="14" t="e" cm="1">
        <f t="array" aca="1" ref="BD281" ca="1">IF(INDIRECT(ADDRESS($B281+1,BD$230,1,1,"Actively Infected Trend"))=0,#N/A,INDIRECT(ADDRESS($B281+1,BD$230,1,1,"Actively Infected Trend")))</f>
        <v>#N/A</v>
      </c>
      <c r="BE281" s="14" t="e" cm="1">
        <f t="array" aca="1" ref="BE281" ca="1">IF(INDIRECT(ADDRESS($B281+1,BE$230,1,1,"Actively Infected Trend"))=0,#N/A,INDIRECT(ADDRESS($B281+1,BE$230,1,1,"Actively Infected Trend")))</f>
        <v>#N/A</v>
      </c>
      <c r="BF281" s="14" t="e" cm="1">
        <f t="array" aca="1" ref="BF281" ca="1">IF(INDIRECT(ADDRESS($B281+1,BF$230,1,1,"Actively Infected Trend"))=0,#N/A,INDIRECT(ADDRESS($B281+1,BF$230,1,1,"Actively Infected Trend")))</f>
        <v>#N/A</v>
      </c>
      <c r="BG281" s="14" t="e" cm="1">
        <f t="array" aca="1" ref="BG281" ca="1">IF(INDIRECT(ADDRESS($B281+1,BG$230,1,1,"Actively Infected Trend"))=0,#N/A,INDIRECT(ADDRESS($B281+1,BG$230,1,1,"Actively Infected Trend")))</f>
        <v>#N/A</v>
      </c>
      <c r="BH281" s="14" t="e" cm="1">
        <f t="array" aca="1" ref="BH281" ca="1">IF(INDIRECT(ADDRESS($B281+1,BH$230,1,1,"Actively Infected Trend"))=0,#N/A,INDIRECT(ADDRESS($B281+1,BH$230,1,1,"Actively Infected Trend")))</f>
        <v>#N/A</v>
      </c>
      <c r="BI281" s="14" t="e" cm="1">
        <f t="array" aca="1" ref="BI281" ca="1">IF(INDIRECT(ADDRESS($B281+1,BI$230,1,1,"Actively Infected Trend"))=0,#N/A,INDIRECT(ADDRESS($B281+1,BI$230,1,1,"Actively Infected Trend")))</f>
        <v>#N/A</v>
      </c>
      <c r="BJ281" s="14" t="e" cm="1">
        <f t="array" aca="1" ref="BJ281" ca="1">IF(INDIRECT(ADDRESS($B281+1,BJ$230,1,1,"Actively Infected Trend"))=0,#N/A,INDIRECT(ADDRESS($B281+1,BJ$230,1,1,"Actively Infected Trend")))</f>
        <v>#N/A</v>
      </c>
      <c r="BK281" s="14" t="e" cm="1">
        <f t="array" aca="1" ref="BK281" ca="1">IF(INDIRECT(ADDRESS($B281+1,BK$230,1,1,"Actively Infected Trend"))=0,#N/A,INDIRECT(ADDRESS($B281+1,BK$230,1,1,"Actively Infected Trend")))</f>
        <v>#N/A</v>
      </c>
      <c r="BL281" s="14" t="e" cm="1">
        <f t="array" aca="1" ref="BL281" ca="1">IF(INDIRECT(ADDRESS($B281+1,BL$230,1,1,"Actively Infected Trend"))=0,#N/A,INDIRECT(ADDRESS($B281+1,BL$230,1,1,"Actively Infected Trend")))</f>
        <v>#N/A</v>
      </c>
      <c r="BM281" s="14" t="e" cm="1">
        <f t="array" aca="1" ref="BM281" ca="1">IF(INDIRECT(ADDRESS($B281+1,BM$230,1,1,"Actively Infected Trend"))=0,#N/A,INDIRECT(ADDRESS($B281+1,BM$230,1,1,"Actively Infected Trend")))</f>
        <v>#N/A</v>
      </c>
      <c r="BN281" s="14" t="e" cm="1">
        <f t="array" aca="1" ref="BN281" ca="1">IF(INDIRECT(ADDRESS($B281+1,BN$230,1,1,"Actively Infected Trend"))=0,#N/A,INDIRECT(ADDRESS($B281+1,BN$230,1,1,"Actively Infected Trend")))</f>
        <v>#N/A</v>
      </c>
      <c r="BO281" s="14" t="e" cm="1">
        <f t="array" aca="1" ref="BO281" ca="1">IF(INDIRECT(ADDRESS($B281+1,BO$230,1,1,"Actively Infected Trend"))=0,#N/A,INDIRECT(ADDRESS($B281+1,BO$230,1,1,"Actively Infected Trend")))</f>
        <v>#N/A</v>
      </c>
      <c r="BP281" s="14" t="e" cm="1">
        <f t="array" aca="1" ref="BP281" ca="1">IF(INDIRECT(ADDRESS($B281+1,BP$230,1,1,"Actively Infected Trend"))=0,#N/A,INDIRECT(ADDRESS($B281+1,BP$230,1,1,"Actively Infected Trend")))</f>
        <v>#N/A</v>
      </c>
      <c r="BQ281" s="14" t="e" cm="1">
        <f t="array" aca="1" ref="BQ281" ca="1">IF(INDIRECT(ADDRESS($B281+1,BQ$230,1,1,"Actively Infected Trend"))=0,#N/A,INDIRECT(ADDRESS($B281+1,BQ$230,1,1,"Actively Infected Trend")))</f>
        <v>#N/A</v>
      </c>
      <c r="BR281" s="14" t="e" cm="1">
        <f t="array" aca="1" ref="BR281" ca="1">IF(INDIRECT(ADDRESS($B281+1,BR$230,1,1,"Actively Infected Trend"))=0,#N/A,INDIRECT(ADDRESS($B281+1,BR$230,1,1,"Actively Infected Trend")))</f>
        <v>#N/A</v>
      </c>
      <c r="BS281" s="14" t="e" cm="1">
        <f t="array" aca="1" ref="BS281" ca="1">IF(INDIRECT(ADDRESS($B281+1,BS$230,1,1,"Actively Infected Trend"))=0,#N/A,INDIRECT(ADDRESS($B281+1,BS$230,1,1,"Actively Infected Trend")))</f>
        <v>#N/A</v>
      </c>
      <c r="BT281" s="14" t="e" cm="1">
        <f t="array" aca="1" ref="BT281" ca="1">IF(INDIRECT(ADDRESS($B281+1,BT$230,1,1,"Actively Infected Trend"))=0,#N/A,INDIRECT(ADDRESS($B281+1,BT$230,1,1,"Actively Infected Trend")))</f>
        <v>#N/A</v>
      </c>
      <c r="BU281" s="14" t="e" cm="1">
        <f t="array" aca="1" ref="BU281" ca="1">IF(INDIRECT(ADDRESS($B281+1,BU$230,1,1,"Actively Infected Trend"))=0,#N/A,INDIRECT(ADDRESS($B281+1,BU$230,1,1,"Actively Infected Trend")))</f>
        <v>#N/A</v>
      </c>
      <c r="BV281" s="14" t="e" cm="1">
        <f t="array" aca="1" ref="BV281" ca="1">IF(INDIRECT(ADDRESS($B281+1,BV$230,1,1,"Actively Infected Trend"))=0,#N/A,INDIRECT(ADDRESS($B281+1,BV$230,1,1,"Actively Infected Trend")))</f>
        <v>#N/A</v>
      </c>
      <c r="BW281" s="14" t="e" cm="1">
        <f t="array" aca="1" ref="BW281" ca="1">IF(INDIRECT(ADDRESS($B281+1,BW$230,1,1,"Actively Infected Trend"))=0,#N/A,INDIRECT(ADDRESS($B281+1,BW$230,1,1,"Actively Infected Trend")))</f>
        <v>#N/A</v>
      </c>
      <c r="BX281" s="14" t="e" cm="1">
        <f t="array" aca="1" ref="BX281" ca="1">IF(INDIRECT(ADDRESS($B281+1,BX$230,1,1,"Actively Infected Trend"))=0,#N/A,INDIRECT(ADDRESS($B281+1,BX$230,1,1,"Actively Infected Trend")))</f>
        <v>#N/A</v>
      </c>
      <c r="BY281" s="14" t="e" cm="1">
        <f t="array" aca="1" ref="BY281" ca="1">IF(INDIRECT(ADDRESS($B281+1,BY$230,1,1,"Actively Infected Trend"))=0,#N/A,INDIRECT(ADDRESS($B281+1,BY$230,1,1,"Actively Infected Trend")))</f>
        <v>#N/A</v>
      </c>
      <c r="BZ281" s="14" t="e" cm="1">
        <f t="array" aca="1" ref="BZ281" ca="1">IF(INDIRECT(ADDRESS($B281+1,BZ$230,1,1,"Actively Infected Trend"))=0,#N/A,INDIRECT(ADDRESS($B281+1,BZ$230,1,1,"Actively Infected Trend")))</f>
        <v>#N/A</v>
      </c>
      <c r="CA281" s="14" t="e" cm="1">
        <f t="array" aca="1" ref="CA281" ca="1">IF(INDIRECT(ADDRESS($B281+1,CA$230,1,1,"Actively Infected Trend"))=0,#N/A,INDIRECT(ADDRESS($B281+1,CA$230,1,1,"Actively Infected Trend")))</f>
        <v>#N/A</v>
      </c>
      <c r="CB281" s="14" t="e" cm="1">
        <f t="array" aca="1" ref="CB281" ca="1">IF(INDIRECT(ADDRESS($B281+1,CB$230,1,1,"Actively Infected Trend"))=0,#N/A,INDIRECT(ADDRESS($B281+1,CB$230,1,1,"Actively Infected Trend")))</f>
        <v>#N/A</v>
      </c>
      <c r="CC281" s="14" t="e" cm="1">
        <f t="array" aca="1" ref="CC281" ca="1">IF(INDIRECT(ADDRESS($B281+1,CC$230,1,1,"Actively Infected Trend"))=0,#N/A,INDIRECT(ADDRESS($B281+1,CC$230,1,1,"Actively Infected Trend")))</f>
        <v>#N/A</v>
      </c>
      <c r="CD281" s="14" t="e" cm="1">
        <f t="array" aca="1" ref="CD281" ca="1">IF(INDIRECT(ADDRESS($B281+1,CD$230,1,1,"Actively Infected Trend"))=0,#N/A,INDIRECT(ADDRESS($B281+1,CD$230,1,1,"Actively Infected Trend")))</f>
        <v>#N/A</v>
      </c>
      <c r="CE281" s="14" t="e" cm="1">
        <f t="array" aca="1" ref="CE281" ca="1">IF(INDIRECT(ADDRESS($B281+1,CE$230,1,1,"Actively Infected Trend"))=0,#N/A,INDIRECT(ADDRESS($B281+1,CE$230,1,1,"Actively Infected Trend")))</f>
        <v>#N/A</v>
      </c>
      <c r="CF281" s="14" t="e" cm="1">
        <f t="array" aca="1" ref="CF281" ca="1">IF(INDIRECT(ADDRESS($B281+1,CF$230,1,1,"Actively Infected Trend"))=0,#N/A,INDIRECT(ADDRESS($B281+1,CF$230,1,1,"Actively Infected Trend")))</f>
        <v>#N/A</v>
      </c>
      <c r="CG281" s="14" t="e" cm="1">
        <f t="array" aca="1" ref="CG281" ca="1">IF(INDIRECT(ADDRESS($B281+1,CG$230,1,1,"Actively Infected Trend"))=0,#N/A,INDIRECT(ADDRESS($B281+1,CG$230,1,1,"Actively Infected Trend")))</f>
        <v>#N/A</v>
      </c>
      <c r="CH281" s="14" t="e" cm="1">
        <f t="array" aca="1" ref="CH281" ca="1">IF(INDIRECT(ADDRESS($B281+1,CH$230,1,1,"Actively Infected Trend"))=0,#N/A,INDIRECT(ADDRESS($B281+1,CH$230,1,1,"Actively Infected Trend")))</f>
        <v>#N/A</v>
      </c>
      <c r="CI281" s="14" t="e" cm="1">
        <f t="array" aca="1" ref="CI281" ca="1">IF(INDIRECT(ADDRESS($B281+1,CI$230,1,1,"Actively Infected Trend"))=0,#N/A,INDIRECT(ADDRESS($B281+1,CI$230,1,1,"Actively Infected Trend")))</f>
        <v>#N/A</v>
      </c>
      <c r="CJ281" s="14" t="e" cm="1">
        <f t="array" aca="1" ref="CJ281" ca="1">IF(INDIRECT(ADDRESS($B281+1,CJ$230,1,1,"Actively Infected Trend"))=0,#N/A,INDIRECT(ADDRESS($B281+1,CJ$230,1,1,"Actively Infected Trend")))</f>
        <v>#N/A</v>
      </c>
      <c r="CK281" s="14" t="e" cm="1">
        <f t="array" aca="1" ref="CK281" ca="1">IF(INDIRECT(ADDRESS($B281+1,CK$230,1,1,"Actively Infected Trend"))=0,#N/A,INDIRECT(ADDRESS($B281+1,CK$230,1,1,"Actively Infected Trend")))</f>
        <v>#N/A</v>
      </c>
      <c r="CL281" s="14" t="e" cm="1">
        <f t="array" aca="1" ref="CL281" ca="1">IF(INDIRECT(ADDRESS($B281+1,CL$230,1,1,"Actively Infected Trend"))=0,#N/A,INDIRECT(ADDRESS($B281+1,CL$230,1,1,"Actively Infected Trend")))</f>
        <v>#N/A</v>
      </c>
      <c r="CM281" s="14" t="e" cm="1">
        <f t="array" aca="1" ref="CM281" ca="1">IF(INDIRECT(ADDRESS($B281+1,CM$230,1,1,"Actively Infected Trend"))=0,#N/A,INDIRECT(ADDRESS($B281+1,CM$230,1,1,"Actively Infected Trend")))</f>
        <v>#N/A</v>
      </c>
      <c r="CN281" s="14" t="e" cm="1">
        <f t="array" aca="1" ref="CN281" ca="1">IF(INDIRECT(ADDRESS($B281+1,CN$230,1,1,"Actively Infected Trend"))=0,#N/A,INDIRECT(ADDRESS($B281+1,CN$230,1,1,"Actively Infected Trend")))</f>
        <v>#N/A</v>
      </c>
      <c r="CO281" s="14" t="e" cm="1">
        <f t="array" aca="1" ref="CO281" ca="1">IF(INDIRECT(ADDRESS($B281+1,CO$230,1,1,"Actively Infected Trend"))=0,#N/A,INDIRECT(ADDRESS($B281+1,CO$230,1,1,"Actively Infected Trend")))</f>
        <v>#N/A</v>
      </c>
      <c r="CP281" s="14" t="e" cm="1">
        <f t="array" aca="1" ref="CP281" ca="1">IF(INDIRECT(ADDRESS($B281+1,CP$230,1,1,"Actively Infected Trend"))=0,#N/A,INDIRECT(ADDRESS($B281+1,CP$230,1,1,"Actively Infected Trend")))</f>
        <v>#N/A</v>
      </c>
      <c r="CQ281" s="14" t="e" cm="1">
        <f t="array" aca="1" ref="CQ281" ca="1">IF(INDIRECT(ADDRESS($B281+1,CQ$230,1,1,"Actively Infected Trend"))=0,#N/A,INDIRECT(ADDRESS($B281+1,CQ$230,1,1,"Actively Infected Trend")))</f>
        <v>#N/A</v>
      </c>
      <c r="CR281" s="14" t="e" cm="1">
        <f t="array" aca="1" ref="CR281" ca="1">IF(INDIRECT(ADDRESS($B281+1,CR$230,1,1,"Actively Infected Trend"))=0,#N/A,INDIRECT(ADDRESS($B281+1,CR$230,1,1,"Actively Infected Trend")))</f>
        <v>#N/A</v>
      </c>
    </row>
    <row r="282" spans="2:96" x14ac:dyDescent="0.25">
      <c r="B282">
        <f t="shared" si="349"/>
        <v>51</v>
      </c>
      <c r="C282" cm="1">
        <f t="array" aca="1" ref="C282" ca="1">INDIRECT(ADDRESS($B282+1,1,1,1,"Actively Infected Trend"))</f>
        <v>0</v>
      </c>
      <c r="E282" s="14" t="e" cm="1">
        <f t="array" aca="1" ref="E282" ca="1">IF(INDIRECT(ADDRESS($B282+1,E$230,1,1,"Actively Infected Trend"))=0,#N/A,INDIRECT(ADDRESS($B282+1,E$230,1,1,"Actively Infected Trend")))</f>
        <v>#N/A</v>
      </c>
      <c r="F282" s="14" t="e" cm="1">
        <f t="array" aca="1" ref="F282" ca="1">IF(INDIRECT(ADDRESS($B282+1,F$230,1,1,"Actively Infected Trend"))=0,#N/A,INDIRECT(ADDRESS($B282+1,F$230,1,1,"Actively Infected Trend")))</f>
        <v>#N/A</v>
      </c>
      <c r="G282" s="14" t="e" cm="1">
        <f t="array" aca="1" ref="G282" ca="1">IF(INDIRECT(ADDRESS($B282+1,G$230,1,1,"Actively Infected Trend"))=0,#N/A,INDIRECT(ADDRESS($B282+1,G$230,1,1,"Actively Infected Trend")))</f>
        <v>#N/A</v>
      </c>
      <c r="H282" s="14" t="e" cm="1">
        <f t="array" aca="1" ref="H282" ca="1">IF(INDIRECT(ADDRESS($B282+1,H$230,1,1,"Actively Infected Trend"))=0,#N/A,INDIRECT(ADDRESS($B282+1,H$230,1,1,"Actively Infected Trend")))</f>
        <v>#N/A</v>
      </c>
      <c r="I282" s="14" t="e" cm="1">
        <f t="array" aca="1" ref="I282" ca="1">IF(INDIRECT(ADDRESS($B282+1,I$230,1,1,"Actively Infected Trend"))=0,#N/A,INDIRECT(ADDRESS($B282+1,I$230,1,1,"Actively Infected Trend")))</f>
        <v>#N/A</v>
      </c>
      <c r="J282" s="14" t="e" cm="1">
        <f t="array" aca="1" ref="J282" ca="1">IF(INDIRECT(ADDRESS($B282+1,J$230,1,1,"Actively Infected Trend"))=0,#N/A,INDIRECT(ADDRESS($B282+1,J$230,1,1,"Actively Infected Trend")))</f>
        <v>#N/A</v>
      </c>
      <c r="K282" s="14" t="e" cm="1">
        <f t="array" aca="1" ref="K282" ca="1">IF(INDIRECT(ADDRESS($B282+1,K$230,1,1,"Actively Infected Trend"))=0,#N/A,INDIRECT(ADDRESS($B282+1,K$230,1,1,"Actively Infected Trend")))</f>
        <v>#N/A</v>
      </c>
      <c r="L282" s="14" t="e" cm="1">
        <f t="array" aca="1" ref="L282" ca="1">IF(INDIRECT(ADDRESS($B282+1,L$230,1,1,"Actively Infected Trend"))=0,#N/A,INDIRECT(ADDRESS($B282+1,L$230,1,1,"Actively Infected Trend")))</f>
        <v>#N/A</v>
      </c>
      <c r="M282" s="14" t="e" cm="1">
        <f t="array" aca="1" ref="M282" ca="1">IF(INDIRECT(ADDRESS($B282+1,M$230,1,1,"Actively Infected Trend"))=0,#N/A,INDIRECT(ADDRESS($B282+1,M$230,1,1,"Actively Infected Trend")))</f>
        <v>#N/A</v>
      </c>
      <c r="N282" s="14" t="e" cm="1">
        <f t="array" aca="1" ref="N282" ca="1">IF(INDIRECT(ADDRESS($B282+1,N$230,1,1,"Actively Infected Trend"))=0,#N/A,INDIRECT(ADDRESS($B282+1,N$230,1,1,"Actively Infected Trend")))</f>
        <v>#N/A</v>
      </c>
      <c r="O282" s="14" t="e" cm="1">
        <f t="array" aca="1" ref="O282" ca="1">IF(INDIRECT(ADDRESS($B282+1,O$230,1,1,"Actively Infected Trend"))=0,#N/A,INDIRECT(ADDRESS($B282+1,O$230,1,1,"Actively Infected Trend")))</f>
        <v>#N/A</v>
      </c>
      <c r="P282" s="14" t="e" cm="1">
        <f t="array" aca="1" ref="P282" ca="1">IF(INDIRECT(ADDRESS($B282+1,P$230,1,1,"Actively Infected Trend"))=0,#N/A,INDIRECT(ADDRESS($B282+1,P$230,1,1,"Actively Infected Trend")))</f>
        <v>#N/A</v>
      </c>
      <c r="Q282" s="14" t="e" cm="1">
        <f t="array" aca="1" ref="Q282" ca="1">IF(INDIRECT(ADDRESS($B282+1,Q$230,1,1,"Actively Infected Trend"))=0,#N/A,INDIRECT(ADDRESS($B282+1,Q$230,1,1,"Actively Infected Trend")))</f>
        <v>#N/A</v>
      </c>
      <c r="R282" s="14" t="e" cm="1">
        <f t="array" aca="1" ref="R282" ca="1">IF(INDIRECT(ADDRESS($B282+1,R$230,1,1,"Actively Infected Trend"))=0,#N/A,INDIRECT(ADDRESS($B282+1,R$230,1,1,"Actively Infected Trend")))</f>
        <v>#N/A</v>
      </c>
      <c r="S282" s="14" t="e" cm="1">
        <f t="array" aca="1" ref="S282" ca="1">IF(INDIRECT(ADDRESS($B282+1,S$230,1,1,"Actively Infected Trend"))=0,#N/A,INDIRECT(ADDRESS($B282+1,S$230,1,1,"Actively Infected Trend")))</f>
        <v>#N/A</v>
      </c>
      <c r="T282" s="14" t="e" cm="1">
        <f t="array" aca="1" ref="T282" ca="1">IF(INDIRECT(ADDRESS($B282+1,T$230,1,1,"Actively Infected Trend"))=0,#N/A,INDIRECT(ADDRESS($B282+1,T$230,1,1,"Actively Infected Trend")))</f>
        <v>#N/A</v>
      </c>
      <c r="U282" s="14" t="e" cm="1">
        <f t="array" aca="1" ref="U282" ca="1">IF(INDIRECT(ADDRESS($B282+1,U$230,1,1,"Actively Infected Trend"))=0,#N/A,INDIRECT(ADDRESS($B282+1,U$230,1,1,"Actively Infected Trend")))</f>
        <v>#N/A</v>
      </c>
      <c r="V282" s="14" t="e" cm="1">
        <f t="array" aca="1" ref="V282" ca="1">IF(INDIRECT(ADDRESS($B282+1,V$230,1,1,"Actively Infected Trend"))=0,#N/A,INDIRECT(ADDRESS($B282+1,V$230,1,1,"Actively Infected Trend")))</f>
        <v>#N/A</v>
      </c>
      <c r="W282" s="14" t="e" cm="1">
        <f t="array" aca="1" ref="W282" ca="1">IF(INDIRECT(ADDRESS($B282+1,W$230,1,1,"Actively Infected Trend"))=0,#N/A,INDIRECT(ADDRESS($B282+1,W$230,1,1,"Actively Infected Trend")))</f>
        <v>#N/A</v>
      </c>
      <c r="X282" s="14" t="e" cm="1">
        <f t="array" aca="1" ref="X282" ca="1">IF(INDIRECT(ADDRESS($B282+1,X$230,1,1,"Actively Infected Trend"))=0,#N/A,INDIRECT(ADDRESS($B282+1,X$230,1,1,"Actively Infected Trend")))</f>
        <v>#N/A</v>
      </c>
      <c r="Y282" s="14" t="e" cm="1">
        <f t="array" aca="1" ref="Y282" ca="1">IF(INDIRECT(ADDRESS($B282+1,Y$230,1,1,"Actively Infected Trend"))=0,#N/A,INDIRECT(ADDRESS($B282+1,Y$230,1,1,"Actively Infected Trend")))</f>
        <v>#N/A</v>
      </c>
      <c r="Z282" s="14" t="e" cm="1">
        <f t="array" aca="1" ref="Z282" ca="1">IF(INDIRECT(ADDRESS($B282+1,Z$230,1,1,"Actively Infected Trend"))=0,#N/A,INDIRECT(ADDRESS($B282+1,Z$230,1,1,"Actively Infected Trend")))</f>
        <v>#N/A</v>
      </c>
      <c r="AA282" s="14" t="e" cm="1">
        <f t="array" aca="1" ref="AA282" ca="1">IF(INDIRECT(ADDRESS($B282+1,AA$230,1,1,"Actively Infected Trend"))=0,#N/A,INDIRECT(ADDRESS($B282+1,AA$230,1,1,"Actively Infected Trend")))</f>
        <v>#N/A</v>
      </c>
      <c r="AB282" s="14" t="e" cm="1">
        <f t="array" aca="1" ref="AB282" ca="1">IF(INDIRECT(ADDRESS($B282+1,AB$230,1,1,"Actively Infected Trend"))=0,#N/A,INDIRECT(ADDRESS($B282+1,AB$230,1,1,"Actively Infected Trend")))</f>
        <v>#N/A</v>
      </c>
      <c r="AC282" s="14" t="e" cm="1">
        <f t="array" aca="1" ref="AC282" ca="1">IF(INDIRECT(ADDRESS($B282+1,AC$230,1,1,"Actively Infected Trend"))=0,#N/A,INDIRECT(ADDRESS($B282+1,AC$230,1,1,"Actively Infected Trend")))</f>
        <v>#N/A</v>
      </c>
      <c r="AD282" s="14" t="e" cm="1">
        <f t="array" aca="1" ref="AD282" ca="1">IF(INDIRECT(ADDRESS($B282+1,AD$230,1,1,"Actively Infected Trend"))=0,#N/A,INDIRECT(ADDRESS($B282+1,AD$230,1,1,"Actively Infected Trend")))</f>
        <v>#N/A</v>
      </c>
      <c r="AE282" s="14" t="e" cm="1">
        <f t="array" aca="1" ref="AE282" ca="1">IF(INDIRECT(ADDRESS($B282+1,AE$230,1,1,"Actively Infected Trend"))=0,#N/A,INDIRECT(ADDRESS($B282+1,AE$230,1,1,"Actively Infected Trend")))</f>
        <v>#N/A</v>
      </c>
      <c r="AF282" s="14" t="e" cm="1">
        <f t="array" aca="1" ref="AF282" ca="1">IF(INDIRECT(ADDRESS($B282+1,AF$230,1,1,"Actively Infected Trend"))=0,#N/A,INDIRECT(ADDRESS($B282+1,AF$230,1,1,"Actively Infected Trend")))</f>
        <v>#N/A</v>
      </c>
      <c r="AG282" s="14" t="e" cm="1">
        <f t="array" aca="1" ref="AG282" ca="1">IF(INDIRECT(ADDRESS($B282+1,AG$230,1,1,"Actively Infected Trend"))=0,#N/A,INDIRECT(ADDRESS($B282+1,AG$230,1,1,"Actively Infected Trend")))</f>
        <v>#N/A</v>
      </c>
      <c r="AH282" s="14" t="e" cm="1">
        <f t="array" aca="1" ref="AH282" ca="1">IF(INDIRECT(ADDRESS($B282+1,AH$230,1,1,"Actively Infected Trend"))=0,#N/A,INDIRECT(ADDRESS($B282+1,AH$230,1,1,"Actively Infected Trend")))</f>
        <v>#N/A</v>
      </c>
      <c r="AI282" s="14" t="e" cm="1">
        <f t="array" aca="1" ref="AI282" ca="1">IF(INDIRECT(ADDRESS($B282+1,AI$230,1,1,"Actively Infected Trend"))=0,#N/A,INDIRECT(ADDRESS($B282+1,AI$230,1,1,"Actively Infected Trend")))</f>
        <v>#N/A</v>
      </c>
      <c r="AJ282" s="14" t="e" cm="1">
        <f t="array" aca="1" ref="AJ282" ca="1">IF(INDIRECT(ADDRESS($B282+1,AJ$230,1,1,"Actively Infected Trend"))=0,#N/A,INDIRECT(ADDRESS($B282+1,AJ$230,1,1,"Actively Infected Trend")))</f>
        <v>#N/A</v>
      </c>
      <c r="AK282" s="14" t="e" cm="1">
        <f t="array" aca="1" ref="AK282" ca="1">IF(INDIRECT(ADDRESS($B282+1,AK$230,1,1,"Actively Infected Trend"))=0,#N/A,INDIRECT(ADDRESS($B282+1,AK$230,1,1,"Actively Infected Trend")))</f>
        <v>#N/A</v>
      </c>
      <c r="AL282" s="14" t="e" cm="1">
        <f t="array" aca="1" ref="AL282" ca="1">IF(INDIRECT(ADDRESS($B282+1,AL$230,1,1,"Actively Infected Trend"))=0,#N/A,INDIRECT(ADDRESS($B282+1,AL$230,1,1,"Actively Infected Trend")))</f>
        <v>#N/A</v>
      </c>
      <c r="AM282" s="14" t="e" cm="1">
        <f t="array" aca="1" ref="AM282" ca="1">IF(INDIRECT(ADDRESS($B282+1,AM$230,1,1,"Actively Infected Trend"))=0,#N/A,INDIRECT(ADDRESS($B282+1,AM$230,1,1,"Actively Infected Trend")))</f>
        <v>#N/A</v>
      </c>
      <c r="AN282" s="14" t="e" cm="1">
        <f t="array" aca="1" ref="AN282" ca="1">IF(INDIRECT(ADDRESS($B282+1,AN$230,1,1,"Actively Infected Trend"))=0,#N/A,INDIRECT(ADDRESS($B282+1,AN$230,1,1,"Actively Infected Trend")))</f>
        <v>#N/A</v>
      </c>
      <c r="AO282" s="14" t="e" cm="1">
        <f t="array" aca="1" ref="AO282" ca="1">IF(INDIRECT(ADDRESS($B282+1,AO$230,1,1,"Actively Infected Trend"))=0,#N/A,INDIRECT(ADDRESS($B282+1,AO$230,1,1,"Actively Infected Trend")))</f>
        <v>#N/A</v>
      </c>
      <c r="AP282" s="14" t="e" cm="1">
        <f t="array" aca="1" ref="AP282" ca="1">IF(INDIRECT(ADDRESS($B282+1,AP$230,1,1,"Actively Infected Trend"))=0,#N/A,INDIRECT(ADDRESS($B282+1,AP$230,1,1,"Actively Infected Trend")))</f>
        <v>#N/A</v>
      </c>
      <c r="AQ282" s="14" t="e" cm="1">
        <f t="array" aca="1" ref="AQ282" ca="1">IF(INDIRECT(ADDRESS($B282+1,AQ$230,1,1,"Actively Infected Trend"))=0,#N/A,INDIRECT(ADDRESS($B282+1,AQ$230,1,1,"Actively Infected Trend")))</f>
        <v>#N/A</v>
      </c>
      <c r="AR282" s="14" t="e" cm="1">
        <f t="array" aca="1" ref="AR282" ca="1">IF(INDIRECT(ADDRESS($B282+1,AR$230,1,1,"Actively Infected Trend"))=0,#N/A,INDIRECT(ADDRESS($B282+1,AR$230,1,1,"Actively Infected Trend")))</f>
        <v>#N/A</v>
      </c>
      <c r="AS282" s="14" t="e" cm="1">
        <f t="array" aca="1" ref="AS282" ca="1">IF(INDIRECT(ADDRESS($B282+1,AS$230,1,1,"Actively Infected Trend"))=0,#N/A,INDIRECT(ADDRESS($B282+1,AS$230,1,1,"Actively Infected Trend")))</f>
        <v>#N/A</v>
      </c>
      <c r="AT282" s="14" t="e" cm="1">
        <f t="array" aca="1" ref="AT282" ca="1">IF(INDIRECT(ADDRESS($B282+1,AT$230,1,1,"Actively Infected Trend"))=0,#N/A,INDIRECT(ADDRESS($B282+1,AT$230,1,1,"Actively Infected Trend")))</f>
        <v>#N/A</v>
      </c>
      <c r="AU282" s="14" t="e" cm="1">
        <f t="array" aca="1" ref="AU282" ca="1">IF(INDIRECT(ADDRESS($B282+1,AU$230,1,1,"Actively Infected Trend"))=0,#N/A,INDIRECT(ADDRESS($B282+1,AU$230,1,1,"Actively Infected Trend")))</f>
        <v>#N/A</v>
      </c>
      <c r="AV282" s="14" t="e" cm="1">
        <f t="array" aca="1" ref="AV282" ca="1">IF(INDIRECT(ADDRESS($B282+1,AV$230,1,1,"Actively Infected Trend"))=0,#N/A,INDIRECT(ADDRESS($B282+1,AV$230,1,1,"Actively Infected Trend")))</f>
        <v>#N/A</v>
      </c>
      <c r="AW282" s="14" t="e" cm="1">
        <f t="array" aca="1" ref="AW282" ca="1">IF(INDIRECT(ADDRESS($B282+1,AW$230,1,1,"Actively Infected Trend"))=0,#N/A,INDIRECT(ADDRESS($B282+1,AW$230,1,1,"Actively Infected Trend")))</f>
        <v>#N/A</v>
      </c>
      <c r="AX282" s="14" t="e" cm="1">
        <f t="array" aca="1" ref="AX282" ca="1">IF(INDIRECT(ADDRESS($B282+1,AX$230,1,1,"Actively Infected Trend"))=0,#N/A,INDIRECT(ADDRESS($B282+1,AX$230,1,1,"Actively Infected Trend")))</f>
        <v>#N/A</v>
      </c>
      <c r="AY282" s="14" t="e" cm="1">
        <f t="array" aca="1" ref="AY282" ca="1">IF(INDIRECT(ADDRESS($B282+1,AY$230,1,1,"Actively Infected Trend"))=0,#N/A,INDIRECT(ADDRESS($B282+1,AY$230,1,1,"Actively Infected Trend")))</f>
        <v>#N/A</v>
      </c>
      <c r="AZ282" s="14" t="e" cm="1">
        <f t="array" aca="1" ref="AZ282" ca="1">IF(INDIRECT(ADDRESS($B282+1,AZ$230,1,1,"Actively Infected Trend"))=0,#N/A,INDIRECT(ADDRESS($B282+1,AZ$230,1,1,"Actively Infected Trend")))</f>
        <v>#N/A</v>
      </c>
      <c r="BA282" s="14" t="e" cm="1">
        <f t="array" aca="1" ref="BA282" ca="1">IF(INDIRECT(ADDRESS($B282+1,BA$230,1,1,"Actively Infected Trend"))=0,#N/A,INDIRECT(ADDRESS($B282+1,BA$230,1,1,"Actively Infected Trend")))</f>
        <v>#N/A</v>
      </c>
      <c r="BB282" s="14" t="e" cm="1">
        <f t="array" aca="1" ref="BB282" ca="1">IF(INDIRECT(ADDRESS($B282+1,BB$230,1,1,"Actively Infected Trend"))=0,#N/A,INDIRECT(ADDRESS($B282+1,BB$230,1,1,"Actively Infected Trend")))</f>
        <v>#N/A</v>
      </c>
      <c r="BC282" s="14" t="e" cm="1">
        <f t="array" aca="1" ref="BC282" ca="1">IF(INDIRECT(ADDRESS($B282+1,BC$230,1,1,"Actively Infected Trend"))=0,#N/A,INDIRECT(ADDRESS($B282+1,BC$230,1,1,"Actively Infected Trend")))</f>
        <v>#N/A</v>
      </c>
      <c r="BD282" s="14" t="e" cm="1">
        <f t="array" aca="1" ref="BD282" ca="1">IF(INDIRECT(ADDRESS($B282+1,BD$230,1,1,"Actively Infected Trend"))=0,#N/A,INDIRECT(ADDRESS($B282+1,BD$230,1,1,"Actively Infected Trend")))</f>
        <v>#N/A</v>
      </c>
      <c r="BE282" s="14" t="e" cm="1">
        <f t="array" aca="1" ref="BE282" ca="1">IF(INDIRECT(ADDRESS($B282+1,BE$230,1,1,"Actively Infected Trend"))=0,#N/A,INDIRECT(ADDRESS($B282+1,BE$230,1,1,"Actively Infected Trend")))</f>
        <v>#N/A</v>
      </c>
      <c r="BF282" s="14" t="e" cm="1">
        <f t="array" aca="1" ref="BF282" ca="1">IF(INDIRECT(ADDRESS($B282+1,BF$230,1,1,"Actively Infected Trend"))=0,#N/A,INDIRECT(ADDRESS($B282+1,BF$230,1,1,"Actively Infected Trend")))</f>
        <v>#N/A</v>
      </c>
      <c r="BG282" s="14" t="e" cm="1">
        <f t="array" aca="1" ref="BG282" ca="1">IF(INDIRECT(ADDRESS($B282+1,BG$230,1,1,"Actively Infected Trend"))=0,#N/A,INDIRECT(ADDRESS($B282+1,BG$230,1,1,"Actively Infected Trend")))</f>
        <v>#N/A</v>
      </c>
      <c r="BH282" s="14" t="e" cm="1">
        <f t="array" aca="1" ref="BH282" ca="1">IF(INDIRECT(ADDRESS($B282+1,BH$230,1,1,"Actively Infected Trend"))=0,#N/A,INDIRECT(ADDRESS($B282+1,BH$230,1,1,"Actively Infected Trend")))</f>
        <v>#N/A</v>
      </c>
      <c r="BI282" s="14" t="e" cm="1">
        <f t="array" aca="1" ref="BI282" ca="1">IF(INDIRECT(ADDRESS($B282+1,BI$230,1,1,"Actively Infected Trend"))=0,#N/A,INDIRECT(ADDRESS($B282+1,BI$230,1,1,"Actively Infected Trend")))</f>
        <v>#N/A</v>
      </c>
      <c r="BJ282" s="14" t="e" cm="1">
        <f t="array" aca="1" ref="BJ282" ca="1">IF(INDIRECT(ADDRESS($B282+1,BJ$230,1,1,"Actively Infected Trend"))=0,#N/A,INDIRECT(ADDRESS($B282+1,BJ$230,1,1,"Actively Infected Trend")))</f>
        <v>#N/A</v>
      </c>
      <c r="BK282" s="14" t="e" cm="1">
        <f t="array" aca="1" ref="BK282" ca="1">IF(INDIRECT(ADDRESS($B282+1,BK$230,1,1,"Actively Infected Trend"))=0,#N/A,INDIRECT(ADDRESS($B282+1,BK$230,1,1,"Actively Infected Trend")))</f>
        <v>#N/A</v>
      </c>
      <c r="BL282" s="14" t="e" cm="1">
        <f t="array" aca="1" ref="BL282" ca="1">IF(INDIRECT(ADDRESS($B282+1,BL$230,1,1,"Actively Infected Trend"))=0,#N/A,INDIRECT(ADDRESS($B282+1,BL$230,1,1,"Actively Infected Trend")))</f>
        <v>#N/A</v>
      </c>
      <c r="BM282" s="14" t="e" cm="1">
        <f t="array" aca="1" ref="BM282" ca="1">IF(INDIRECT(ADDRESS($B282+1,BM$230,1,1,"Actively Infected Trend"))=0,#N/A,INDIRECT(ADDRESS($B282+1,BM$230,1,1,"Actively Infected Trend")))</f>
        <v>#N/A</v>
      </c>
      <c r="BN282" s="14" t="e" cm="1">
        <f t="array" aca="1" ref="BN282" ca="1">IF(INDIRECT(ADDRESS($B282+1,BN$230,1,1,"Actively Infected Trend"))=0,#N/A,INDIRECT(ADDRESS($B282+1,BN$230,1,1,"Actively Infected Trend")))</f>
        <v>#N/A</v>
      </c>
      <c r="BO282" s="14" t="e" cm="1">
        <f t="array" aca="1" ref="BO282" ca="1">IF(INDIRECT(ADDRESS($B282+1,BO$230,1,1,"Actively Infected Trend"))=0,#N/A,INDIRECT(ADDRESS($B282+1,BO$230,1,1,"Actively Infected Trend")))</f>
        <v>#N/A</v>
      </c>
      <c r="BP282" s="14" t="e" cm="1">
        <f t="array" aca="1" ref="BP282" ca="1">IF(INDIRECT(ADDRESS($B282+1,BP$230,1,1,"Actively Infected Trend"))=0,#N/A,INDIRECT(ADDRESS($B282+1,BP$230,1,1,"Actively Infected Trend")))</f>
        <v>#N/A</v>
      </c>
      <c r="BQ282" s="14" t="e" cm="1">
        <f t="array" aca="1" ref="BQ282" ca="1">IF(INDIRECT(ADDRESS($B282+1,BQ$230,1,1,"Actively Infected Trend"))=0,#N/A,INDIRECT(ADDRESS($B282+1,BQ$230,1,1,"Actively Infected Trend")))</f>
        <v>#N/A</v>
      </c>
      <c r="BR282" s="14" t="e" cm="1">
        <f t="array" aca="1" ref="BR282" ca="1">IF(INDIRECT(ADDRESS($B282+1,BR$230,1,1,"Actively Infected Trend"))=0,#N/A,INDIRECT(ADDRESS($B282+1,BR$230,1,1,"Actively Infected Trend")))</f>
        <v>#N/A</v>
      </c>
      <c r="BS282" s="14" t="e" cm="1">
        <f t="array" aca="1" ref="BS282" ca="1">IF(INDIRECT(ADDRESS($B282+1,BS$230,1,1,"Actively Infected Trend"))=0,#N/A,INDIRECT(ADDRESS($B282+1,BS$230,1,1,"Actively Infected Trend")))</f>
        <v>#N/A</v>
      </c>
      <c r="BT282" s="14" t="e" cm="1">
        <f t="array" aca="1" ref="BT282" ca="1">IF(INDIRECT(ADDRESS($B282+1,BT$230,1,1,"Actively Infected Trend"))=0,#N/A,INDIRECT(ADDRESS($B282+1,BT$230,1,1,"Actively Infected Trend")))</f>
        <v>#N/A</v>
      </c>
      <c r="BU282" s="14" t="e" cm="1">
        <f t="array" aca="1" ref="BU282" ca="1">IF(INDIRECT(ADDRESS($B282+1,BU$230,1,1,"Actively Infected Trend"))=0,#N/A,INDIRECT(ADDRESS($B282+1,BU$230,1,1,"Actively Infected Trend")))</f>
        <v>#N/A</v>
      </c>
      <c r="BV282" s="14" t="e" cm="1">
        <f t="array" aca="1" ref="BV282" ca="1">IF(INDIRECT(ADDRESS($B282+1,BV$230,1,1,"Actively Infected Trend"))=0,#N/A,INDIRECT(ADDRESS($B282+1,BV$230,1,1,"Actively Infected Trend")))</f>
        <v>#N/A</v>
      </c>
      <c r="BW282" s="14" t="e" cm="1">
        <f t="array" aca="1" ref="BW282" ca="1">IF(INDIRECT(ADDRESS($B282+1,BW$230,1,1,"Actively Infected Trend"))=0,#N/A,INDIRECT(ADDRESS($B282+1,BW$230,1,1,"Actively Infected Trend")))</f>
        <v>#N/A</v>
      </c>
      <c r="BX282" s="14" t="e" cm="1">
        <f t="array" aca="1" ref="BX282" ca="1">IF(INDIRECT(ADDRESS($B282+1,BX$230,1,1,"Actively Infected Trend"))=0,#N/A,INDIRECT(ADDRESS($B282+1,BX$230,1,1,"Actively Infected Trend")))</f>
        <v>#N/A</v>
      </c>
      <c r="BY282" s="14" t="e" cm="1">
        <f t="array" aca="1" ref="BY282" ca="1">IF(INDIRECT(ADDRESS($B282+1,BY$230,1,1,"Actively Infected Trend"))=0,#N/A,INDIRECT(ADDRESS($B282+1,BY$230,1,1,"Actively Infected Trend")))</f>
        <v>#N/A</v>
      </c>
      <c r="BZ282" s="14" t="e" cm="1">
        <f t="array" aca="1" ref="BZ282" ca="1">IF(INDIRECT(ADDRESS($B282+1,BZ$230,1,1,"Actively Infected Trend"))=0,#N/A,INDIRECT(ADDRESS($B282+1,BZ$230,1,1,"Actively Infected Trend")))</f>
        <v>#N/A</v>
      </c>
      <c r="CA282" s="14" t="e" cm="1">
        <f t="array" aca="1" ref="CA282" ca="1">IF(INDIRECT(ADDRESS($B282+1,CA$230,1,1,"Actively Infected Trend"))=0,#N/A,INDIRECT(ADDRESS($B282+1,CA$230,1,1,"Actively Infected Trend")))</f>
        <v>#N/A</v>
      </c>
      <c r="CB282" s="14" t="e" cm="1">
        <f t="array" aca="1" ref="CB282" ca="1">IF(INDIRECT(ADDRESS($B282+1,CB$230,1,1,"Actively Infected Trend"))=0,#N/A,INDIRECT(ADDRESS($B282+1,CB$230,1,1,"Actively Infected Trend")))</f>
        <v>#N/A</v>
      </c>
      <c r="CC282" s="14" t="e" cm="1">
        <f t="array" aca="1" ref="CC282" ca="1">IF(INDIRECT(ADDRESS($B282+1,CC$230,1,1,"Actively Infected Trend"))=0,#N/A,INDIRECT(ADDRESS($B282+1,CC$230,1,1,"Actively Infected Trend")))</f>
        <v>#N/A</v>
      </c>
      <c r="CD282" s="14" t="e" cm="1">
        <f t="array" aca="1" ref="CD282" ca="1">IF(INDIRECT(ADDRESS($B282+1,CD$230,1,1,"Actively Infected Trend"))=0,#N/A,INDIRECT(ADDRESS($B282+1,CD$230,1,1,"Actively Infected Trend")))</f>
        <v>#N/A</v>
      </c>
      <c r="CE282" s="14" t="e" cm="1">
        <f t="array" aca="1" ref="CE282" ca="1">IF(INDIRECT(ADDRESS($B282+1,CE$230,1,1,"Actively Infected Trend"))=0,#N/A,INDIRECT(ADDRESS($B282+1,CE$230,1,1,"Actively Infected Trend")))</f>
        <v>#N/A</v>
      </c>
      <c r="CF282" s="14" t="e" cm="1">
        <f t="array" aca="1" ref="CF282" ca="1">IF(INDIRECT(ADDRESS($B282+1,CF$230,1,1,"Actively Infected Trend"))=0,#N/A,INDIRECT(ADDRESS($B282+1,CF$230,1,1,"Actively Infected Trend")))</f>
        <v>#N/A</v>
      </c>
      <c r="CG282" s="14" t="e" cm="1">
        <f t="array" aca="1" ref="CG282" ca="1">IF(INDIRECT(ADDRESS($B282+1,CG$230,1,1,"Actively Infected Trend"))=0,#N/A,INDIRECT(ADDRESS($B282+1,CG$230,1,1,"Actively Infected Trend")))</f>
        <v>#N/A</v>
      </c>
      <c r="CH282" s="14" t="e" cm="1">
        <f t="array" aca="1" ref="CH282" ca="1">IF(INDIRECT(ADDRESS($B282+1,CH$230,1,1,"Actively Infected Trend"))=0,#N/A,INDIRECT(ADDRESS($B282+1,CH$230,1,1,"Actively Infected Trend")))</f>
        <v>#N/A</v>
      </c>
      <c r="CI282" s="14" t="e" cm="1">
        <f t="array" aca="1" ref="CI282" ca="1">IF(INDIRECT(ADDRESS($B282+1,CI$230,1,1,"Actively Infected Trend"))=0,#N/A,INDIRECT(ADDRESS($B282+1,CI$230,1,1,"Actively Infected Trend")))</f>
        <v>#N/A</v>
      </c>
      <c r="CJ282" s="14" t="e" cm="1">
        <f t="array" aca="1" ref="CJ282" ca="1">IF(INDIRECT(ADDRESS($B282+1,CJ$230,1,1,"Actively Infected Trend"))=0,#N/A,INDIRECT(ADDRESS($B282+1,CJ$230,1,1,"Actively Infected Trend")))</f>
        <v>#N/A</v>
      </c>
      <c r="CK282" s="14" t="e" cm="1">
        <f t="array" aca="1" ref="CK282" ca="1">IF(INDIRECT(ADDRESS($B282+1,CK$230,1,1,"Actively Infected Trend"))=0,#N/A,INDIRECT(ADDRESS($B282+1,CK$230,1,1,"Actively Infected Trend")))</f>
        <v>#N/A</v>
      </c>
      <c r="CL282" s="14" t="e" cm="1">
        <f t="array" aca="1" ref="CL282" ca="1">IF(INDIRECT(ADDRESS($B282+1,CL$230,1,1,"Actively Infected Trend"))=0,#N/A,INDIRECT(ADDRESS($B282+1,CL$230,1,1,"Actively Infected Trend")))</f>
        <v>#N/A</v>
      </c>
      <c r="CM282" s="14" t="e" cm="1">
        <f t="array" aca="1" ref="CM282" ca="1">IF(INDIRECT(ADDRESS($B282+1,CM$230,1,1,"Actively Infected Trend"))=0,#N/A,INDIRECT(ADDRESS($B282+1,CM$230,1,1,"Actively Infected Trend")))</f>
        <v>#N/A</v>
      </c>
      <c r="CN282" s="14" t="e" cm="1">
        <f t="array" aca="1" ref="CN282" ca="1">IF(INDIRECT(ADDRESS($B282+1,CN$230,1,1,"Actively Infected Trend"))=0,#N/A,INDIRECT(ADDRESS($B282+1,CN$230,1,1,"Actively Infected Trend")))</f>
        <v>#N/A</v>
      </c>
      <c r="CO282" s="14" t="e" cm="1">
        <f t="array" aca="1" ref="CO282" ca="1">IF(INDIRECT(ADDRESS($B282+1,CO$230,1,1,"Actively Infected Trend"))=0,#N/A,INDIRECT(ADDRESS($B282+1,CO$230,1,1,"Actively Infected Trend")))</f>
        <v>#N/A</v>
      </c>
      <c r="CP282" s="14" t="e" cm="1">
        <f t="array" aca="1" ref="CP282" ca="1">IF(INDIRECT(ADDRESS($B282+1,CP$230,1,1,"Actively Infected Trend"))=0,#N/A,INDIRECT(ADDRESS($B282+1,CP$230,1,1,"Actively Infected Trend")))</f>
        <v>#N/A</v>
      </c>
      <c r="CQ282" s="14" t="e" cm="1">
        <f t="array" aca="1" ref="CQ282" ca="1">IF(INDIRECT(ADDRESS($B282+1,CQ$230,1,1,"Actively Infected Trend"))=0,#N/A,INDIRECT(ADDRESS($B282+1,CQ$230,1,1,"Actively Infected Trend")))</f>
        <v>#N/A</v>
      </c>
      <c r="CR282" s="14" t="e" cm="1">
        <f t="array" aca="1" ref="CR282" ca="1">IF(INDIRECT(ADDRESS($B282+1,CR$230,1,1,"Actively Infected Trend"))=0,#N/A,INDIRECT(ADDRESS($B282+1,CR$230,1,1,"Actively Infected Trend")))</f>
        <v>#N/A</v>
      </c>
    </row>
    <row r="283" spans="2:96" x14ac:dyDescent="0.25">
      <c r="B283">
        <f t="shared" si="349"/>
        <v>52</v>
      </c>
      <c r="C283" cm="1">
        <f t="array" aca="1" ref="C283" ca="1">INDIRECT(ADDRESS($B283+1,1,1,1,"Actively Infected Trend"))</f>
        <v>0</v>
      </c>
      <c r="E283" s="14" t="e" cm="1">
        <f t="array" aca="1" ref="E283" ca="1">IF(INDIRECT(ADDRESS($B283+1,E$230,1,1,"Actively Infected Trend"))=0,#N/A,INDIRECT(ADDRESS($B283+1,E$230,1,1,"Actively Infected Trend")))</f>
        <v>#N/A</v>
      </c>
      <c r="F283" s="14" t="e" cm="1">
        <f t="array" aca="1" ref="F283" ca="1">IF(INDIRECT(ADDRESS($B283+1,F$230,1,1,"Actively Infected Trend"))=0,#N/A,INDIRECT(ADDRESS($B283+1,F$230,1,1,"Actively Infected Trend")))</f>
        <v>#N/A</v>
      </c>
      <c r="G283" s="14" t="e" cm="1">
        <f t="array" aca="1" ref="G283" ca="1">IF(INDIRECT(ADDRESS($B283+1,G$230,1,1,"Actively Infected Trend"))=0,#N/A,INDIRECT(ADDRESS($B283+1,G$230,1,1,"Actively Infected Trend")))</f>
        <v>#N/A</v>
      </c>
      <c r="H283" s="14" t="e" cm="1">
        <f t="array" aca="1" ref="H283" ca="1">IF(INDIRECT(ADDRESS($B283+1,H$230,1,1,"Actively Infected Trend"))=0,#N/A,INDIRECT(ADDRESS($B283+1,H$230,1,1,"Actively Infected Trend")))</f>
        <v>#N/A</v>
      </c>
      <c r="I283" s="14" t="e" cm="1">
        <f t="array" aca="1" ref="I283" ca="1">IF(INDIRECT(ADDRESS($B283+1,I$230,1,1,"Actively Infected Trend"))=0,#N/A,INDIRECT(ADDRESS($B283+1,I$230,1,1,"Actively Infected Trend")))</f>
        <v>#N/A</v>
      </c>
      <c r="J283" s="14" t="e" cm="1">
        <f t="array" aca="1" ref="J283" ca="1">IF(INDIRECT(ADDRESS($B283+1,J$230,1,1,"Actively Infected Trend"))=0,#N/A,INDIRECT(ADDRESS($B283+1,J$230,1,1,"Actively Infected Trend")))</f>
        <v>#N/A</v>
      </c>
      <c r="K283" s="14" t="e" cm="1">
        <f t="array" aca="1" ref="K283" ca="1">IF(INDIRECT(ADDRESS($B283+1,K$230,1,1,"Actively Infected Trend"))=0,#N/A,INDIRECT(ADDRESS($B283+1,K$230,1,1,"Actively Infected Trend")))</f>
        <v>#N/A</v>
      </c>
      <c r="L283" s="14" t="e" cm="1">
        <f t="array" aca="1" ref="L283" ca="1">IF(INDIRECT(ADDRESS($B283+1,L$230,1,1,"Actively Infected Trend"))=0,#N/A,INDIRECT(ADDRESS($B283+1,L$230,1,1,"Actively Infected Trend")))</f>
        <v>#N/A</v>
      </c>
      <c r="M283" s="14" t="e" cm="1">
        <f t="array" aca="1" ref="M283" ca="1">IF(INDIRECT(ADDRESS($B283+1,M$230,1,1,"Actively Infected Trend"))=0,#N/A,INDIRECT(ADDRESS($B283+1,M$230,1,1,"Actively Infected Trend")))</f>
        <v>#N/A</v>
      </c>
      <c r="N283" s="14" t="e" cm="1">
        <f t="array" aca="1" ref="N283" ca="1">IF(INDIRECT(ADDRESS($B283+1,N$230,1,1,"Actively Infected Trend"))=0,#N/A,INDIRECT(ADDRESS($B283+1,N$230,1,1,"Actively Infected Trend")))</f>
        <v>#N/A</v>
      </c>
      <c r="O283" s="14" t="e" cm="1">
        <f t="array" aca="1" ref="O283" ca="1">IF(INDIRECT(ADDRESS($B283+1,O$230,1,1,"Actively Infected Trend"))=0,#N/A,INDIRECT(ADDRESS($B283+1,O$230,1,1,"Actively Infected Trend")))</f>
        <v>#N/A</v>
      </c>
      <c r="P283" s="14" t="e" cm="1">
        <f t="array" aca="1" ref="P283" ca="1">IF(INDIRECT(ADDRESS($B283+1,P$230,1,1,"Actively Infected Trend"))=0,#N/A,INDIRECT(ADDRESS($B283+1,P$230,1,1,"Actively Infected Trend")))</f>
        <v>#N/A</v>
      </c>
      <c r="Q283" s="14" t="e" cm="1">
        <f t="array" aca="1" ref="Q283" ca="1">IF(INDIRECT(ADDRESS($B283+1,Q$230,1,1,"Actively Infected Trend"))=0,#N/A,INDIRECT(ADDRESS($B283+1,Q$230,1,1,"Actively Infected Trend")))</f>
        <v>#N/A</v>
      </c>
      <c r="R283" s="14" t="e" cm="1">
        <f t="array" aca="1" ref="R283" ca="1">IF(INDIRECT(ADDRESS($B283+1,R$230,1,1,"Actively Infected Trend"))=0,#N/A,INDIRECT(ADDRESS($B283+1,R$230,1,1,"Actively Infected Trend")))</f>
        <v>#N/A</v>
      </c>
      <c r="S283" s="14" t="e" cm="1">
        <f t="array" aca="1" ref="S283" ca="1">IF(INDIRECT(ADDRESS($B283+1,S$230,1,1,"Actively Infected Trend"))=0,#N/A,INDIRECT(ADDRESS($B283+1,S$230,1,1,"Actively Infected Trend")))</f>
        <v>#N/A</v>
      </c>
      <c r="T283" s="14" t="e" cm="1">
        <f t="array" aca="1" ref="T283" ca="1">IF(INDIRECT(ADDRESS($B283+1,T$230,1,1,"Actively Infected Trend"))=0,#N/A,INDIRECT(ADDRESS($B283+1,T$230,1,1,"Actively Infected Trend")))</f>
        <v>#N/A</v>
      </c>
      <c r="U283" s="14" t="e" cm="1">
        <f t="array" aca="1" ref="U283" ca="1">IF(INDIRECT(ADDRESS($B283+1,U$230,1,1,"Actively Infected Trend"))=0,#N/A,INDIRECT(ADDRESS($B283+1,U$230,1,1,"Actively Infected Trend")))</f>
        <v>#N/A</v>
      </c>
      <c r="V283" s="14" t="e" cm="1">
        <f t="array" aca="1" ref="V283" ca="1">IF(INDIRECT(ADDRESS($B283+1,V$230,1,1,"Actively Infected Trend"))=0,#N/A,INDIRECT(ADDRESS($B283+1,V$230,1,1,"Actively Infected Trend")))</f>
        <v>#N/A</v>
      </c>
      <c r="W283" s="14" t="e" cm="1">
        <f t="array" aca="1" ref="W283" ca="1">IF(INDIRECT(ADDRESS($B283+1,W$230,1,1,"Actively Infected Trend"))=0,#N/A,INDIRECT(ADDRESS($B283+1,W$230,1,1,"Actively Infected Trend")))</f>
        <v>#N/A</v>
      </c>
      <c r="X283" s="14" t="e" cm="1">
        <f t="array" aca="1" ref="X283" ca="1">IF(INDIRECT(ADDRESS($B283+1,X$230,1,1,"Actively Infected Trend"))=0,#N/A,INDIRECT(ADDRESS($B283+1,X$230,1,1,"Actively Infected Trend")))</f>
        <v>#N/A</v>
      </c>
      <c r="Y283" s="14" t="e" cm="1">
        <f t="array" aca="1" ref="Y283" ca="1">IF(INDIRECT(ADDRESS($B283+1,Y$230,1,1,"Actively Infected Trend"))=0,#N/A,INDIRECT(ADDRESS($B283+1,Y$230,1,1,"Actively Infected Trend")))</f>
        <v>#N/A</v>
      </c>
      <c r="Z283" s="14" t="e" cm="1">
        <f t="array" aca="1" ref="Z283" ca="1">IF(INDIRECT(ADDRESS($B283+1,Z$230,1,1,"Actively Infected Trend"))=0,#N/A,INDIRECT(ADDRESS($B283+1,Z$230,1,1,"Actively Infected Trend")))</f>
        <v>#N/A</v>
      </c>
      <c r="AA283" s="14" t="e" cm="1">
        <f t="array" aca="1" ref="AA283" ca="1">IF(INDIRECT(ADDRESS($B283+1,AA$230,1,1,"Actively Infected Trend"))=0,#N/A,INDIRECT(ADDRESS($B283+1,AA$230,1,1,"Actively Infected Trend")))</f>
        <v>#N/A</v>
      </c>
      <c r="AB283" s="14" t="e" cm="1">
        <f t="array" aca="1" ref="AB283" ca="1">IF(INDIRECT(ADDRESS($B283+1,AB$230,1,1,"Actively Infected Trend"))=0,#N/A,INDIRECT(ADDRESS($B283+1,AB$230,1,1,"Actively Infected Trend")))</f>
        <v>#N/A</v>
      </c>
      <c r="AC283" s="14" t="e" cm="1">
        <f t="array" aca="1" ref="AC283" ca="1">IF(INDIRECT(ADDRESS($B283+1,AC$230,1,1,"Actively Infected Trend"))=0,#N/A,INDIRECT(ADDRESS($B283+1,AC$230,1,1,"Actively Infected Trend")))</f>
        <v>#N/A</v>
      </c>
      <c r="AD283" s="14" t="e" cm="1">
        <f t="array" aca="1" ref="AD283" ca="1">IF(INDIRECT(ADDRESS($B283+1,AD$230,1,1,"Actively Infected Trend"))=0,#N/A,INDIRECT(ADDRESS($B283+1,AD$230,1,1,"Actively Infected Trend")))</f>
        <v>#N/A</v>
      </c>
      <c r="AE283" s="14" t="e" cm="1">
        <f t="array" aca="1" ref="AE283" ca="1">IF(INDIRECT(ADDRESS($B283+1,AE$230,1,1,"Actively Infected Trend"))=0,#N/A,INDIRECT(ADDRESS($B283+1,AE$230,1,1,"Actively Infected Trend")))</f>
        <v>#N/A</v>
      </c>
      <c r="AF283" s="14" t="e" cm="1">
        <f t="array" aca="1" ref="AF283" ca="1">IF(INDIRECT(ADDRESS($B283+1,AF$230,1,1,"Actively Infected Trend"))=0,#N/A,INDIRECT(ADDRESS($B283+1,AF$230,1,1,"Actively Infected Trend")))</f>
        <v>#N/A</v>
      </c>
      <c r="AG283" s="14" t="e" cm="1">
        <f t="array" aca="1" ref="AG283" ca="1">IF(INDIRECT(ADDRESS($B283+1,AG$230,1,1,"Actively Infected Trend"))=0,#N/A,INDIRECT(ADDRESS($B283+1,AG$230,1,1,"Actively Infected Trend")))</f>
        <v>#N/A</v>
      </c>
      <c r="AH283" s="14" t="e" cm="1">
        <f t="array" aca="1" ref="AH283" ca="1">IF(INDIRECT(ADDRESS($B283+1,AH$230,1,1,"Actively Infected Trend"))=0,#N/A,INDIRECT(ADDRESS($B283+1,AH$230,1,1,"Actively Infected Trend")))</f>
        <v>#N/A</v>
      </c>
      <c r="AI283" s="14" t="e" cm="1">
        <f t="array" aca="1" ref="AI283" ca="1">IF(INDIRECT(ADDRESS($B283+1,AI$230,1,1,"Actively Infected Trend"))=0,#N/A,INDIRECT(ADDRESS($B283+1,AI$230,1,1,"Actively Infected Trend")))</f>
        <v>#N/A</v>
      </c>
      <c r="AJ283" s="14" t="e" cm="1">
        <f t="array" aca="1" ref="AJ283" ca="1">IF(INDIRECT(ADDRESS($B283+1,AJ$230,1,1,"Actively Infected Trend"))=0,#N/A,INDIRECT(ADDRESS($B283+1,AJ$230,1,1,"Actively Infected Trend")))</f>
        <v>#N/A</v>
      </c>
      <c r="AK283" s="14" t="e" cm="1">
        <f t="array" aca="1" ref="AK283" ca="1">IF(INDIRECT(ADDRESS($B283+1,AK$230,1,1,"Actively Infected Trend"))=0,#N/A,INDIRECT(ADDRESS($B283+1,AK$230,1,1,"Actively Infected Trend")))</f>
        <v>#N/A</v>
      </c>
      <c r="AL283" s="14" t="e" cm="1">
        <f t="array" aca="1" ref="AL283" ca="1">IF(INDIRECT(ADDRESS($B283+1,AL$230,1,1,"Actively Infected Trend"))=0,#N/A,INDIRECT(ADDRESS($B283+1,AL$230,1,1,"Actively Infected Trend")))</f>
        <v>#N/A</v>
      </c>
      <c r="AM283" s="14" t="e" cm="1">
        <f t="array" aca="1" ref="AM283" ca="1">IF(INDIRECT(ADDRESS($B283+1,AM$230,1,1,"Actively Infected Trend"))=0,#N/A,INDIRECT(ADDRESS($B283+1,AM$230,1,1,"Actively Infected Trend")))</f>
        <v>#N/A</v>
      </c>
      <c r="AN283" s="14" t="e" cm="1">
        <f t="array" aca="1" ref="AN283" ca="1">IF(INDIRECT(ADDRESS($B283+1,AN$230,1,1,"Actively Infected Trend"))=0,#N/A,INDIRECT(ADDRESS($B283+1,AN$230,1,1,"Actively Infected Trend")))</f>
        <v>#N/A</v>
      </c>
      <c r="AO283" s="14" t="e" cm="1">
        <f t="array" aca="1" ref="AO283" ca="1">IF(INDIRECT(ADDRESS($B283+1,AO$230,1,1,"Actively Infected Trend"))=0,#N/A,INDIRECT(ADDRESS($B283+1,AO$230,1,1,"Actively Infected Trend")))</f>
        <v>#N/A</v>
      </c>
      <c r="AP283" s="14" t="e" cm="1">
        <f t="array" aca="1" ref="AP283" ca="1">IF(INDIRECT(ADDRESS($B283+1,AP$230,1,1,"Actively Infected Trend"))=0,#N/A,INDIRECT(ADDRESS($B283+1,AP$230,1,1,"Actively Infected Trend")))</f>
        <v>#N/A</v>
      </c>
      <c r="AQ283" s="14" t="e" cm="1">
        <f t="array" aca="1" ref="AQ283" ca="1">IF(INDIRECT(ADDRESS($B283+1,AQ$230,1,1,"Actively Infected Trend"))=0,#N/A,INDIRECT(ADDRESS($B283+1,AQ$230,1,1,"Actively Infected Trend")))</f>
        <v>#N/A</v>
      </c>
      <c r="AR283" s="14" t="e" cm="1">
        <f t="array" aca="1" ref="AR283" ca="1">IF(INDIRECT(ADDRESS($B283+1,AR$230,1,1,"Actively Infected Trend"))=0,#N/A,INDIRECT(ADDRESS($B283+1,AR$230,1,1,"Actively Infected Trend")))</f>
        <v>#N/A</v>
      </c>
      <c r="AS283" s="14" t="e" cm="1">
        <f t="array" aca="1" ref="AS283" ca="1">IF(INDIRECT(ADDRESS($B283+1,AS$230,1,1,"Actively Infected Trend"))=0,#N/A,INDIRECT(ADDRESS($B283+1,AS$230,1,1,"Actively Infected Trend")))</f>
        <v>#N/A</v>
      </c>
      <c r="AT283" s="14" t="e" cm="1">
        <f t="array" aca="1" ref="AT283" ca="1">IF(INDIRECT(ADDRESS($B283+1,AT$230,1,1,"Actively Infected Trend"))=0,#N/A,INDIRECT(ADDRESS($B283+1,AT$230,1,1,"Actively Infected Trend")))</f>
        <v>#N/A</v>
      </c>
      <c r="AU283" s="14" t="e" cm="1">
        <f t="array" aca="1" ref="AU283" ca="1">IF(INDIRECT(ADDRESS($B283+1,AU$230,1,1,"Actively Infected Trend"))=0,#N/A,INDIRECT(ADDRESS($B283+1,AU$230,1,1,"Actively Infected Trend")))</f>
        <v>#N/A</v>
      </c>
      <c r="AV283" s="14" t="e" cm="1">
        <f t="array" aca="1" ref="AV283" ca="1">IF(INDIRECT(ADDRESS($B283+1,AV$230,1,1,"Actively Infected Trend"))=0,#N/A,INDIRECT(ADDRESS($B283+1,AV$230,1,1,"Actively Infected Trend")))</f>
        <v>#N/A</v>
      </c>
      <c r="AW283" s="14" t="e" cm="1">
        <f t="array" aca="1" ref="AW283" ca="1">IF(INDIRECT(ADDRESS($B283+1,AW$230,1,1,"Actively Infected Trend"))=0,#N/A,INDIRECT(ADDRESS($B283+1,AW$230,1,1,"Actively Infected Trend")))</f>
        <v>#N/A</v>
      </c>
      <c r="AX283" s="14" t="e" cm="1">
        <f t="array" aca="1" ref="AX283" ca="1">IF(INDIRECT(ADDRESS($B283+1,AX$230,1,1,"Actively Infected Trend"))=0,#N/A,INDIRECT(ADDRESS($B283+1,AX$230,1,1,"Actively Infected Trend")))</f>
        <v>#N/A</v>
      </c>
      <c r="AY283" s="14" t="e" cm="1">
        <f t="array" aca="1" ref="AY283" ca="1">IF(INDIRECT(ADDRESS($B283+1,AY$230,1,1,"Actively Infected Trend"))=0,#N/A,INDIRECT(ADDRESS($B283+1,AY$230,1,1,"Actively Infected Trend")))</f>
        <v>#N/A</v>
      </c>
      <c r="AZ283" s="14" t="e" cm="1">
        <f t="array" aca="1" ref="AZ283" ca="1">IF(INDIRECT(ADDRESS($B283+1,AZ$230,1,1,"Actively Infected Trend"))=0,#N/A,INDIRECT(ADDRESS($B283+1,AZ$230,1,1,"Actively Infected Trend")))</f>
        <v>#N/A</v>
      </c>
      <c r="BA283" s="14" t="e" cm="1">
        <f t="array" aca="1" ref="BA283" ca="1">IF(INDIRECT(ADDRESS($B283+1,BA$230,1,1,"Actively Infected Trend"))=0,#N/A,INDIRECT(ADDRESS($B283+1,BA$230,1,1,"Actively Infected Trend")))</f>
        <v>#N/A</v>
      </c>
      <c r="BB283" s="14" t="e" cm="1">
        <f t="array" aca="1" ref="BB283" ca="1">IF(INDIRECT(ADDRESS($B283+1,BB$230,1,1,"Actively Infected Trend"))=0,#N/A,INDIRECT(ADDRESS($B283+1,BB$230,1,1,"Actively Infected Trend")))</f>
        <v>#N/A</v>
      </c>
      <c r="BC283" s="14" t="e" cm="1">
        <f t="array" aca="1" ref="BC283" ca="1">IF(INDIRECT(ADDRESS($B283+1,BC$230,1,1,"Actively Infected Trend"))=0,#N/A,INDIRECT(ADDRESS($B283+1,BC$230,1,1,"Actively Infected Trend")))</f>
        <v>#N/A</v>
      </c>
      <c r="BD283" s="14" t="e" cm="1">
        <f t="array" aca="1" ref="BD283" ca="1">IF(INDIRECT(ADDRESS($B283+1,BD$230,1,1,"Actively Infected Trend"))=0,#N/A,INDIRECT(ADDRESS($B283+1,BD$230,1,1,"Actively Infected Trend")))</f>
        <v>#N/A</v>
      </c>
      <c r="BE283" s="14" t="e" cm="1">
        <f t="array" aca="1" ref="BE283" ca="1">IF(INDIRECT(ADDRESS($B283+1,BE$230,1,1,"Actively Infected Trend"))=0,#N/A,INDIRECT(ADDRESS($B283+1,BE$230,1,1,"Actively Infected Trend")))</f>
        <v>#N/A</v>
      </c>
      <c r="BF283" s="14" t="e" cm="1">
        <f t="array" aca="1" ref="BF283" ca="1">IF(INDIRECT(ADDRESS($B283+1,BF$230,1,1,"Actively Infected Trend"))=0,#N/A,INDIRECT(ADDRESS($B283+1,BF$230,1,1,"Actively Infected Trend")))</f>
        <v>#N/A</v>
      </c>
      <c r="BG283" s="14" t="e" cm="1">
        <f t="array" aca="1" ref="BG283" ca="1">IF(INDIRECT(ADDRESS($B283+1,BG$230,1,1,"Actively Infected Trend"))=0,#N/A,INDIRECT(ADDRESS($B283+1,BG$230,1,1,"Actively Infected Trend")))</f>
        <v>#N/A</v>
      </c>
      <c r="BH283" s="14" t="e" cm="1">
        <f t="array" aca="1" ref="BH283" ca="1">IF(INDIRECT(ADDRESS($B283+1,BH$230,1,1,"Actively Infected Trend"))=0,#N/A,INDIRECT(ADDRESS($B283+1,BH$230,1,1,"Actively Infected Trend")))</f>
        <v>#N/A</v>
      </c>
      <c r="BI283" s="14" t="e" cm="1">
        <f t="array" aca="1" ref="BI283" ca="1">IF(INDIRECT(ADDRESS($B283+1,BI$230,1,1,"Actively Infected Trend"))=0,#N/A,INDIRECT(ADDRESS($B283+1,BI$230,1,1,"Actively Infected Trend")))</f>
        <v>#N/A</v>
      </c>
      <c r="BJ283" s="14" t="e" cm="1">
        <f t="array" aca="1" ref="BJ283" ca="1">IF(INDIRECT(ADDRESS($B283+1,BJ$230,1,1,"Actively Infected Trend"))=0,#N/A,INDIRECT(ADDRESS($B283+1,BJ$230,1,1,"Actively Infected Trend")))</f>
        <v>#N/A</v>
      </c>
      <c r="BK283" s="14" t="e" cm="1">
        <f t="array" aca="1" ref="BK283" ca="1">IF(INDIRECT(ADDRESS($B283+1,BK$230,1,1,"Actively Infected Trend"))=0,#N/A,INDIRECT(ADDRESS($B283+1,BK$230,1,1,"Actively Infected Trend")))</f>
        <v>#N/A</v>
      </c>
      <c r="BL283" s="14" t="e" cm="1">
        <f t="array" aca="1" ref="BL283" ca="1">IF(INDIRECT(ADDRESS($B283+1,BL$230,1,1,"Actively Infected Trend"))=0,#N/A,INDIRECT(ADDRESS($B283+1,BL$230,1,1,"Actively Infected Trend")))</f>
        <v>#N/A</v>
      </c>
      <c r="BM283" s="14" t="e" cm="1">
        <f t="array" aca="1" ref="BM283" ca="1">IF(INDIRECT(ADDRESS($B283+1,BM$230,1,1,"Actively Infected Trend"))=0,#N/A,INDIRECT(ADDRESS($B283+1,BM$230,1,1,"Actively Infected Trend")))</f>
        <v>#N/A</v>
      </c>
      <c r="BN283" s="14" t="e" cm="1">
        <f t="array" aca="1" ref="BN283" ca="1">IF(INDIRECT(ADDRESS($B283+1,BN$230,1,1,"Actively Infected Trend"))=0,#N/A,INDIRECT(ADDRESS($B283+1,BN$230,1,1,"Actively Infected Trend")))</f>
        <v>#N/A</v>
      </c>
      <c r="BO283" s="14" t="e" cm="1">
        <f t="array" aca="1" ref="BO283" ca="1">IF(INDIRECT(ADDRESS($B283+1,BO$230,1,1,"Actively Infected Trend"))=0,#N/A,INDIRECT(ADDRESS($B283+1,BO$230,1,1,"Actively Infected Trend")))</f>
        <v>#N/A</v>
      </c>
      <c r="BP283" s="14" t="e" cm="1">
        <f t="array" aca="1" ref="BP283" ca="1">IF(INDIRECT(ADDRESS($B283+1,BP$230,1,1,"Actively Infected Trend"))=0,#N/A,INDIRECT(ADDRESS($B283+1,BP$230,1,1,"Actively Infected Trend")))</f>
        <v>#N/A</v>
      </c>
      <c r="BQ283" s="14" t="e" cm="1">
        <f t="array" aca="1" ref="BQ283" ca="1">IF(INDIRECT(ADDRESS($B283+1,BQ$230,1,1,"Actively Infected Trend"))=0,#N/A,INDIRECT(ADDRESS($B283+1,BQ$230,1,1,"Actively Infected Trend")))</f>
        <v>#N/A</v>
      </c>
      <c r="BR283" s="14" t="e" cm="1">
        <f t="array" aca="1" ref="BR283" ca="1">IF(INDIRECT(ADDRESS($B283+1,BR$230,1,1,"Actively Infected Trend"))=0,#N/A,INDIRECT(ADDRESS($B283+1,BR$230,1,1,"Actively Infected Trend")))</f>
        <v>#N/A</v>
      </c>
      <c r="BS283" s="14" t="e" cm="1">
        <f t="array" aca="1" ref="BS283" ca="1">IF(INDIRECT(ADDRESS($B283+1,BS$230,1,1,"Actively Infected Trend"))=0,#N/A,INDIRECT(ADDRESS($B283+1,BS$230,1,1,"Actively Infected Trend")))</f>
        <v>#N/A</v>
      </c>
      <c r="BT283" s="14" t="e" cm="1">
        <f t="array" aca="1" ref="BT283" ca="1">IF(INDIRECT(ADDRESS($B283+1,BT$230,1,1,"Actively Infected Trend"))=0,#N/A,INDIRECT(ADDRESS($B283+1,BT$230,1,1,"Actively Infected Trend")))</f>
        <v>#N/A</v>
      </c>
      <c r="BU283" s="14" t="e" cm="1">
        <f t="array" aca="1" ref="BU283" ca="1">IF(INDIRECT(ADDRESS($B283+1,BU$230,1,1,"Actively Infected Trend"))=0,#N/A,INDIRECT(ADDRESS($B283+1,BU$230,1,1,"Actively Infected Trend")))</f>
        <v>#N/A</v>
      </c>
      <c r="BV283" s="14" t="e" cm="1">
        <f t="array" aca="1" ref="BV283" ca="1">IF(INDIRECT(ADDRESS($B283+1,BV$230,1,1,"Actively Infected Trend"))=0,#N/A,INDIRECT(ADDRESS($B283+1,BV$230,1,1,"Actively Infected Trend")))</f>
        <v>#N/A</v>
      </c>
      <c r="BW283" s="14" t="e" cm="1">
        <f t="array" aca="1" ref="BW283" ca="1">IF(INDIRECT(ADDRESS($B283+1,BW$230,1,1,"Actively Infected Trend"))=0,#N/A,INDIRECT(ADDRESS($B283+1,BW$230,1,1,"Actively Infected Trend")))</f>
        <v>#N/A</v>
      </c>
      <c r="BX283" s="14" t="e" cm="1">
        <f t="array" aca="1" ref="BX283" ca="1">IF(INDIRECT(ADDRESS($B283+1,BX$230,1,1,"Actively Infected Trend"))=0,#N/A,INDIRECT(ADDRESS($B283+1,BX$230,1,1,"Actively Infected Trend")))</f>
        <v>#N/A</v>
      </c>
      <c r="BY283" s="14" t="e" cm="1">
        <f t="array" aca="1" ref="BY283" ca="1">IF(INDIRECT(ADDRESS($B283+1,BY$230,1,1,"Actively Infected Trend"))=0,#N/A,INDIRECT(ADDRESS($B283+1,BY$230,1,1,"Actively Infected Trend")))</f>
        <v>#N/A</v>
      </c>
      <c r="BZ283" s="14" t="e" cm="1">
        <f t="array" aca="1" ref="BZ283" ca="1">IF(INDIRECT(ADDRESS($B283+1,BZ$230,1,1,"Actively Infected Trend"))=0,#N/A,INDIRECT(ADDRESS($B283+1,BZ$230,1,1,"Actively Infected Trend")))</f>
        <v>#N/A</v>
      </c>
      <c r="CA283" s="14" t="e" cm="1">
        <f t="array" aca="1" ref="CA283" ca="1">IF(INDIRECT(ADDRESS($B283+1,CA$230,1,1,"Actively Infected Trend"))=0,#N/A,INDIRECT(ADDRESS($B283+1,CA$230,1,1,"Actively Infected Trend")))</f>
        <v>#N/A</v>
      </c>
      <c r="CB283" s="14" t="e" cm="1">
        <f t="array" aca="1" ref="CB283" ca="1">IF(INDIRECT(ADDRESS($B283+1,CB$230,1,1,"Actively Infected Trend"))=0,#N/A,INDIRECT(ADDRESS($B283+1,CB$230,1,1,"Actively Infected Trend")))</f>
        <v>#N/A</v>
      </c>
      <c r="CC283" s="14" t="e" cm="1">
        <f t="array" aca="1" ref="CC283" ca="1">IF(INDIRECT(ADDRESS($B283+1,CC$230,1,1,"Actively Infected Trend"))=0,#N/A,INDIRECT(ADDRESS($B283+1,CC$230,1,1,"Actively Infected Trend")))</f>
        <v>#N/A</v>
      </c>
      <c r="CD283" s="14" t="e" cm="1">
        <f t="array" aca="1" ref="CD283" ca="1">IF(INDIRECT(ADDRESS($B283+1,CD$230,1,1,"Actively Infected Trend"))=0,#N/A,INDIRECT(ADDRESS($B283+1,CD$230,1,1,"Actively Infected Trend")))</f>
        <v>#N/A</v>
      </c>
      <c r="CE283" s="14" t="e" cm="1">
        <f t="array" aca="1" ref="CE283" ca="1">IF(INDIRECT(ADDRESS($B283+1,CE$230,1,1,"Actively Infected Trend"))=0,#N/A,INDIRECT(ADDRESS($B283+1,CE$230,1,1,"Actively Infected Trend")))</f>
        <v>#N/A</v>
      </c>
      <c r="CF283" s="14" t="e" cm="1">
        <f t="array" aca="1" ref="CF283" ca="1">IF(INDIRECT(ADDRESS($B283+1,CF$230,1,1,"Actively Infected Trend"))=0,#N/A,INDIRECT(ADDRESS($B283+1,CF$230,1,1,"Actively Infected Trend")))</f>
        <v>#N/A</v>
      </c>
      <c r="CG283" s="14" t="e" cm="1">
        <f t="array" aca="1" ref="CG283" ca="1">IF(INDIRECT(ADDRESS($B283+1,CG$230,1,1,"Actively Infected Trend"))=0,#N/A,INDIRECT(ADDRESS($B283+1,CG$230,1,1,"Actively Infected Trend")))</f>
        <v>#N/A</v>
      </c>
      <c r="CH283" s="14" t="e" cm="1">
        <f t="array" aca="1" ref="CH283" ca="1">IF(INDIRECT(ADDRESS($B283+1,CH$230,1,1,"Actively Infected Trend"))=0,#N/A,INDIRECT(ADDRESS($B283+1,CH$230,1,1,"Actively Infected Trend")))</f>
        <v>#N/A</v>
      </c>
      <c r="CI283" s="14" t="e" cm="1">
        <f t="array" aca="1" ref="CI283" ca="1">IF(INDIRECT(ADDRESS($B283+1,CI$230,1,1,"Actively Infected Trend"))=0,#N/A,INDIRECT(ADDRESS($B283+1,CI$230,1,1,"Actively Infected Trend")))</f>
        <v>#N/A</v>
      </c>
      <c r="CJ283" s="14" t="e" cm="1">
        <f t="array" aca="1" ref="CJ283" ca="1">IF(INDIRECT(ADDRESS($B283+1,CJ$230,1,1,"Actively Infected Trend"))=0,#N/A,INDIRECT(ADDRESS($B283+1,CJ$230,1,1,"Actively Infected Trend")))</f>
        <v>#N/A</v>
      </c>
      <c r="CK283" s="14" t="e" cm="1">
        <f t="array" aca="1" ref="CK283" ca="1">IF(INDIRECT(ADDRESS($B283+1,CK$230,1,1,"Actively Infected Trend"))=0,#N/A,INDIRECT(ADDRESS($B283+1,CK$230,1,1,"Actively Infected Trend")))</f>
        <v>#N/A</v>
      </c>
      <c r="CL283" s="14" t="e" cm="1">
        <f t="array" aca="1" ref="CL283" ca="1">IF(INDIRECT(ADDRESS($B283+1,CL$230,1,1,"Actively Infected Trend"))=0,#N/A,INDIRECT(ADDRESS($B283+1,CL$230,1,1,"Actively Infected Trend")))</f>
        <v>#N/A</v>
      </c>
      <c r="CM283" s="14" t="e" cm="1">
        <f t="array" aca="1" ref="CM283" ca="1">IF(INDIRECT(ADDRESS($B283+1,CM$230,1,1,"Actively Infected Trend"))=0,#N/A,INDIRECT(ADDRESS($B283+1,CM$230,1,1,"Actively Infected Trend")))</f>
        <v>#N/A</v>
      </c>
      <c r="CN283" s="14" t="e" cm="1">
        <f t="array" aca="1" ref="CN283" ca="1">IF(INDIRECT(ADDRESS($B283+1,CN$230,1,1,"Actively Infected Trend"))=0,#N/A,INDIRECT(ADDRESS($B283+1,CN$230,1,1,"Actively Infected Trend")))</f>
        <v>#N/A</v>
      </c>
      <c r="CO283" s="14" t="e" cm="1">
        <f t="array" aca="1" ref="CO283" ca="1">IF(INDIRECT(ADDRESS($B283+1,CO$230,1,1,"Actively Infected Trend"))=0,#N/A,INDIRECT(ADDRESS($B283+1,CO$230,1,1,"Actively Infected Trend")))</f>
        <v>#N/A</v>
      </c>
      <c r="CP283" s="14" t="e" cm="1">
        <f t="array" aca="1" ref="CP283" ca="1">IF(INDIRECT(ADDRESS($B283+1,CP$230,1,1,"Actively Infected Trend"))=0,#N/A,INDIRECT(ADDRESS($B283+1,CP$230,1,1,"Actively Infected Trend")))</f>
        <v>#N/A</v>
      </c>
      <c r="CQ283" s="14" t="e" cm="1">
        <f t="array" aca="1" ref="CQ283" ca="1">IF(INDIRECT(ADDRESS($B283+1,CQ$230,1,1,"Actively Infected Trend"))=0,#N/A,INDIRECT(ADDRESS($B283+1,CQ$230,1,1,"Actively Infected Trend")))</f>
        <v>#N/A</v>
      </c>
      <c r="CR283" s="14" t="e" cm="1">
        <f t="array" aca="1" ref="CR283" ca="1">IF(INDIRECT(ADDRESS($B283+1,CR$230,1,1,"Actively Infected Trend"))=0,#N/A,INDIRECT(ADDRESS($B283+1,CR$230,1,1,"Actively Infected Trend")))</f>
        <v>#N/A</v>
      </c>
    </row>
    <row r="284" spans="2:96" x14ac:dyDescent="0.25">
      <c r="B284">
        <f t="shared" si="349"/>
        <v>53</v>
      </c>
      <c r="C284" cm="1">
        <f t="array" aca="1" ref="C284" ca="1">INDIRECT(ADDRESS($B284+1,1,1,1,"Actively Infected Trend"))</f>
        <v>0</v>
      </c>
      <c r="E284" s="14" t="e" cm="1">
        <f t="array" aca="1" ref="E284" ca="1">IF(INDIRECT(ADDRESS($B284+1,E$230,1,1,"Actively Infected Trend"))=0,#N/A,INDIRECT(ADDRESS($B284+1,E$230,1,1,"Actively Infected Trend")))</f>
        <v>#N/A</v>
      </c>
      <c r="F284" s="14" t="e" cm="1">
        <f t="array" aca="1" ref="F284" ca="1">IF(INDIRECT(ADDRESS($B284+1,F$230,1,1,"Actively Infected Trend"))=0,#N/A,INDIRECT(ADDRESS($B284+1,F$230,1,1,"Actively Infected Trend")))</f>
        <v>#N/A</v>
      </c>
      <c r="G284" s="14" t="e" cm="1">
        <f t="array" aca="1" ref="G284" ca="1">IF(INDIRECT(ADDRESS($B284+1,G$230,1,1,"Actively Infected Trend"))=0,#N/A,INDIRECT(ADDRESS($B284+1,G$230,1,1,"Actively Infected Trend")))</f>
        <v>#N/A</v>
      </c>
      <c r="H284" s="14" t="e" cm="1">
        <f t="array" aca="1" ref="H284" ca="1">IF(INDIRECT(ADDRESS($B284+1,H$230,1,1,"Actively Infected Trend"))=0,#N/A,INDIRECT(ADDRESS($B284+1,H$230,1,1,"Actively Infected Trend")))</f>
        <v>#N/A</v>
      </c>
      <c r="I284" s="14" t="e" cm="1">
        <f t="array" aca="1" ref="I284" ca="1">IF(INDIRECT(ADDRESS($B284+1,I$230,1,1,"Actively Infected Trend"))=0,#N/A,INDIRECT(ADDRESS($B284+1,I$230,1,1,"Actively Infected Trend")))</f>
        <v>#N/A</v>
      </c>
      <c r="J284" s="14" t="e" cm="1">
        <f t="array" aca="1" ref="J284" ca="1">IF(INDIRECT(ADDRESS($B284+1,J$230,1,1,"Actively Infected Trend"))=0,#N/A,INDIRECT(ADDRESS($B284+1,J$230,1,1,"Actively Infected Trend")))</f>
        <v>#N/A</v>
      </c>
      <c r="K284" s="14" t="e" cm="1">
        <f t="array" aca="1" ref="K284" ca="1">IF(INDIRECT(ADDRESS($B284+1,K$230,1,1,"Actively Infected Trend"))=0,#N/A,INDIRECT(ADDRESS($B284+1,K$230,1,1,"Actively Infected Trend")))</f>
        <v>#N/A</v>
      </c>
      <c r="L284" s="14" t="e" cm="1">
        <f t="array" aca="1" ref="L284" ca="1">IF(INDIRECT(ADDRESS($B284+1,L$230,1,1,"Actively Infected Trend"))=0,#N/A,INDIRECT(ADDRESS($B284+1,L$230,1,1,"Actively Infected Trend")))</f>
        <v>#N/A</v>
      </c>
      <c r="M284" s="14" t="e" cm="1">
        <f t="array" aca="1" ref="M284" ca="1">IF(INDIRECT(ADDRESS($B284+1,M$230,1,1,"Actively Infected Trend"))=0,#N/A,INDIRECT(ADDRESS($B284+1,M$230,1,1,"Actively Infected Trend")))</f>
        <v>#N/A</v>
      </c>
      <c r="N284" s="14" t="e" cm="1">
        <f t="array" aca="1" ref="N284" ca="1">IF(INDIRECT(ADDRESS($B284+1,N$230,1,1,"Actively Infected Trend"))=0,#N/A,INDIRECT(ADDRESS($B284+1,N$230,1,1,"Actively Infected Trend")))</f>
        <v>#N/A</v>
      </c>
      <c r="O284" s="14" t="e" cm="1">
        <f t="array" aca="1" ref="O284" ca="1">IF(INDIRECT(ADDRESS($B284+1,O$230,1,1,"Actively Infected Trend"))=0,#N/A,INDIRECT(ADDRESS($B284+1,O$230,1,1,"Actively Infected Trend")))</f>
        <v>#N/A</v>
      </c>
      <c r="P284" s="14" t="e" cm="1">
        <f t="array" aca="1" ref="P284" ca="1">IF(INDIRECT(ADDRESS($B284+1,P$230,1,1,"Actively Infected Trend"))=0,#N/A,INDIRECT(ADDRESS($B284+1,P$230,1,1,"Actively Infected Trend")))</f>
        <v>#N/A</v>
      </c>
      <c r="Q284" s="14" t="e" cm="1">
        <f t="array" aca="1" ref="Q284" ca="1">IF(INDIRECT(ADDRESS($B284+1,Q$230,1,1,"Actively Infected Trend"))=0,#N/A,INDIRECT(ADDRESS($B284+1,Q$230,1,1,"Actively Infected Trend")))</f>
        <v>#N/A</v>
      </c>
      <c r="R284" s="14" t="e" cm="1">
        <f t="array" aca="1" ref="R284" ca="1">IF(INDIRECT(ADDRESS($B284+1,R$230,1,1,"Actively Infected Trend"))=0,#N/A,INDIRECT(ADDRESS($B284+1,R$230,1,1,"Actively Infected Trend")))</f>
        <v>#N/A</v>
      </c>
      <c r="S284" s="14" t="e" cm="1">
        <f t="array" aca="1" ref="S284" ca="1">IF(INDIRECT(ADDRESS($B284+1,S$230,1,1,"Actively Infected Trend"))=0,#N/A,INDIRECT(ADDRESS($B284+1,S$230,1,1,"Actively Infected Trend")))</f>
        <v>#N/A</v>
      </c>
      <c r="T284" s="14" t="e" cm="1">
        <f t="array" aca="1" ref="T284" ca="1">IF(INDIRECT(ADDRESS($B284+1,T$230,1,1,"Actively Infected Trend"))=0,#N/A,INDIRECT(ADDRESS($B284+1,T$230,1,1,"Actively Infected Trend")))</f>
        <v>#N/A</v>
      </c>
      <c r="U284" s="14" t="e" cm="1">
        <f t="array" aca="1" ref="U284" ca="1">IF(INDIRECT(ADDRESS($B284+1,U$230,1,1,"Actively Infected Trend"))=0,#N/A,INDIRECT(ADDRESS($B284+1,U$230,1,1,"Actively Infected Trend")))</f>
        <v>#N/A</v>
      </c>
      <c r="V284" s="14" t="e" cm="1">
        <f t="array" aca="1" ref="V284" ca="1">IF(INDIRECT(ADDRESS($B284+1,V$230,1,1,"Actively Infected Trend"))=0,#N/A,INDIRECT(ADDRESS($B284+1,V$230,1,1,"Actively Infected Trend")))</f>
        <v>#N/A</v>
      </c>
      <c r="W284" s="14" t="e" cm="1">
        <f t="array" aca="1" ref="W284" ca="1">IF(INDIRECT(ADDRESS($B284+1,W$230,1,1,"Actively Infected Trend"))=0,#N/A,INDIRECT(ADDRESS($B284+1,W$230,1,1,"Actively Infected Trend")))</f>
        <v>#N/A</v>
      </c>
      <c r="X284" s="14" t="e" cm="1">
        <f t="array" aca="1" ref="X284" ca="1">IF(INDIRECT(ADDRESS($B284+1,X$230,1,1,"Actively Infected Trend"))=0,#N/A,INDIRECT(ADDRESS($B284+1,X$230,1,1,"Actively Infected Trend")))</f>
        <v>#N/A</v>
      </c>
      <c r="Y284" s="14" t="e" cm="1">
        <f t="array" aca="1" ref="Y284" ca="1">IF(INDIRECT(ADDRESS($B284+1,Y$230,1,1,"Actively Infected Trend"))=0,#N/A,INDIRECT(ADDRESS($B284+1,Y$230,1,1,"Actively Infected Trend")))</f>
        <v>#N/A</v>
      </c>
      <c r="Z284" s="14" t="e" cm="1">
        <f t="array" aca="1" ref="Z284" ca="1">IF(INDIRECT(ADDRESS($B284+1,Z$230,1,1,"Actively Infected Trend"))=0,#N/A,INDIRECT(ADDRESS($B284+1,Z$230,1,1,"Actively Infected Trend")))</f>
        <v>#N/A</v>
      </c>
      <c r="AA284" s="14" t="e" cm="1">
        <f t="array" aca="1" ref="AA284" ca="1">IF(INDIRECT(ADDRESS($B284+1,AA$230,1,1,"Actively Infected Trend"))=0,#N/A,INDIRECT(ADDRESS($B284+1,AA$230,1,1,"Actively Infected Trend")))</f>
        <v>#N/A</v>
      </c>
      <c r="AB284" s="14" t="e" cm="1">
        <f t="array" aca="1" ref="AB284" ca="1">IF(INDIRECT(ADDRESS($B284+1,AB$230,1,1,"Actively Infected Trend"))=0,#N/A,INDIRECT(ADDRESS($B284+1,AB$230,1,1,"Actively Infected Trend")))</f>
        <v>#N/A</v>
      </c>
      <c r="AC284" s="14" t="e" cm="1">
        <f t="array" aca="1" ref="AC284" ca="1">IF(INDIRECT(ADDRESS($B284+1,AC$230,1,1,"Actively Infected Trend"))=0,#N/A,INDIRECT(ADDRESS($B284+1,AC$230,1,1,"Actively Infected Trend")))</f>
        <v>#N/A</v>
      </c>
      <c r="AD284" s="14" t="e" cm="1">
        <f t="array" aca="1" ref="AD284" ca="1">IF(INDIRECT(ADDRESS($B284+1,AD$230,1,1,"Actively Infected Trend"))=0,#N/A,INDIRECT(ADDRESS($B284+1,AD$230,1,1,"Actively Infected Trend")))</f>
        <v>#N/A</v>
      </c>
      <c r="AE284" s="14" t="e" cm="1">
        <f t="array" aca="1" ref="AE284" ca="1">IF(INDIRECT(ADDRESS($B284+1,AE$230,1,1,"Actively Infected Trend"))=0,#N/A,INDIRECT(ADDRESS($B284+1,AE$230,1,1,"Actively Infected Trend")))</f>
        <v>#N/A</v>
      </c>
      <c r="AF284" s="14" t="e" cm="1">
        <f t="array" aca="1" ref="AF284" ca="1">IF(INDIRECT(ADDRESS($B284+1,AF$230,1,1,"Actively Infected Trend"))=0,#N/A,INDIRECT(ADDRESS($B284+1,AF$230,1,1,"Actively Infected Trend")))</f>
        <v>#N/A</v>
      </c>
      <c r="AG284" s="14" t="e" cm="1">
        <f t="array" aca="1" ref="AG284" ca="1">IF(INDIRECT(ADDRESS($B284+1,AG$230,1,1,"Actively Infected Trend"))=0,#N/A,INDIRECT(ADDRESS($B284+1,AG$230,1,1,"Actively Infected Trend")))</f>
        <v>#N/A</v>
      </c>
      <c r="AH284" s="14" t="e" cm="1">
        <f t="array" aca="1" ref="AH284" ca="1">IF(INDIRECT(ADDRESS($B284+1,AH$230,1,1,"Actively Infected Trend"))=0,#N/A,INDIRECT(ADDRESS($B284+1,AH$230,1,1,"Actively Infected Trend")))</f>
        <v>#N/A</v>
      </c>
      <c r="AI284" s="14" t="e" cm="1">
        <f t="array" aca="1" ref="AI284" ca="1">IF(INDIRECT(ADDRESS($B284+1,AI$230,1,1,"Actively Infected Trend"))=0,#N/A,INDIRECT(ADDRESS($B284+1,AI$230,1,1,"Actively Infected Trend")))</f>
        <v>#N/A</v>
      </c>
      <c r="AJ284" s="14" t="e" cm="1">
        <f t="array" aca="1" ref="AJ284" ca="1">IF(INDIRECT(ADDRESS($B284+1,AJ$230,1,1,"Actively Infected Trend"))=0,#N/A,INDIRECT(ADDRESS($B284+1,AJ$230,1,1,"Actively Infected Trend")))</f>
        <v>#N/A</v>
      </c>
      <c r="AK284" s="14" t="e" cm="1">
        <f t="array" aca="1" ref="AK284" ca="1">IF(INDIRECT(ADDRESS($B284+1,AK$230,1,1,"Actively Infected Trend"))=0,#N/A,INDIRECT(ADDRESS($B284+1,AK$230,1,1,"Actively Infected Trend")))</f>
        <v>#N/A</v>
      </c>
      <c r="AL284" s="14" t="e" cm="1">
        <f t="array" aca="1" ref="AL284" ca="1">IF(INDIRECT(ADDRESS($B284+1,AL$230,1,1,"Actively Infected Trend"))=0,#N/A,INDIRECT(ADDRESS($B284+1,AL$230,1,1,"Actively Infected Trend")))</f>
        <v>#N/A</v>
      </c>
      <c r="AM284" s="14" t="e" cm="1">
        <f t="array" aca="1" ref="AM284" ca="1">IF(INDIRECT(ADDRESS($B284+1,AM$230,1,1,"Actively Infected Trend"))=0,#N/A,INDIRECT(ADDRESS($B284+1,AM$230,1,1,"Actively Infected Trend")))</f>
        <v>#N/A</v>
      </c>
      <c r="AN284" s="14" t="e" cm="1">
        <f t="array" aca="1" ref="AN284" ca="1">IF(INDIRECT(ADDRESS($B284+1,AN$230,1,1,"Actively Infected Trend"))=0,#N/A,INDIRECT(ADDRESS($B284+1,AN$230,1,1,"Actively Infected Trend")))</f>
        <v>#N/A</v>
      </c>
      <c r="AO284" s="14" t="e" cm="1">
        <f t="array" aca="1" ref="AO284" ca="1">IF(INDIRECT(ADDRESS($B284+1,AO$230,1,1,"Actively Infected Trend"))=0,#N/A,INDIRECT(ADDRESS($B284+1,AO$230,1,1,"Actively Infected Trend")))</f>
        <v>#N/A</v>
      </c>
      <c r="AP284" s="14" t="e" cm="1">
        <f t="array" aca="1" ref="AP284" ca="1">IF(INDIRECT(ADDRESS($B284+1,AP$230,1,1,"Actively Infected Trend"))=0,#N/A,INDIRECT(ADDRESS($B284+1,AP$230,1,1,"Actively Infected Trend")))</f>
        <v>#N/A</v>
      </c>
      <c r="AQ284" s="14" t="e" cm="1">
        <f t="array" aca="1" ref="AQ284" ca="1">IF(INDIRECT(ADDRESS($B284+1,AQ$230,1,1,"Actively Infected Trend"))=0,#N/A,INDIRECT(ADDRESS($B284+1,AQ$230,1,1,"Actively Infected Trend")))</f>
        <v>#N/A</v>
      </c>
      <c r="AR284" s="14" t="e" cm="1">
        <f t="array" aca="1" ref="AR284" ca="1">IF(INDIRECT(ADDRESS($B284+1,AR$230,1,1,"Actively Infected Trend"))=0,#N/A,INDIRECT(ADDRESS($B284+1,AR$230,1,1,"Actively Infected Trend")))</f>
        <v>#N/A</v>
      </c>
      <c r="AS284" s="14" t="e" cm="1">
        <f t="array" aca="1" ref="AS284" ca="1">IF(INDIRECT(ADDRESS($B284+1,AS$230,1,1,"Actively Infected Trend"))=0,#N/A,INDIRECT(ADDRESS($B284+1,AS$230,1,1,"Actively Infected Trend")))</f>
        <v>#N/A</v>
      </c>
      <c r="AT284" s="14" t="e" cm="1">
        <f t="array" aca="1" ref="AT284" ca="1">IF(INDIRECT(ADDRESS($B284+1,AT$230,1,1,"Actively Infected Trend"))=0,#N/A,INDIRECT(ADDRESS($B284+1,AT$230,1,1,"Actively Infected Trend")))</f>
        <v>#N/A</v>
      </c>
      <c r="AU284" s="14" t="e" cm="1">
        <f t="array" aca="1" ref="AU284" ca="1">IF(INDIRECT(ADDRESS($B284+1,AU$230,1,1,"Actively Infected Trend"))=0,#N/A,INDIRECT(ADDRESS($B284+1,AU$230,1,1,"Actively Infected Trend")))</f>
        <v>#N/A</v>
      </c>
      <c r="AV284" s="14" t="e" cm="1">
        <f t="array" aca="1" ref="AV284" ca="1">IF(INDIRECT(ADDRESS($B284+1,AV$230,1,1,"Actively Infected Trend"))=0,#N/A,INDIRECT(ADDRESS($B284+1,AV$230,1,1,"Actively Infected Trend")))</f>
        <v>#N/A</v>
      </c>
      <c r="AW284" s="14" t="e" cm="1">
        <f t="array" aca="1" ref="AW284" ca="1">IF(INDIRECT(ADDRESS($B284+1,AW$230,1,1,"Actively Infected Trend"))=0,#N/A,INDIRECT(ADDRESS($B284+1,AW$230,1,1,"Actively Infected Trend")))</f>
        <v>#N/A</v>
      </c>
      <c r="AX284" s="14" t="e" cm="1">
        <f t="array" aca="1" ref="AX284" ca="1">IF(INDIRECT(ADDRESS($B284+1,AX$230,1,1,"Actively Infected Trend"))=0,#N/A,INDIRECT(ADDRESS($B284+1,AX$230,1,1,"Actively Infected Trend")))</f>
        <v>#N/A</v>
      </c>
      <c r="AY284" s="14" t="e" cm="1">
        <f t="array" aca="1" ref="AY284" ca="1">IF(INDIRECT(ADDRESS($B284+1,AY$230,1,1,"Actively Infected Trend"))=0,#N/A,INDIRECT(ADDRESS($B284+1,AY$230,1,1,"Actively Infected Trend")))</f>
        <v>#N/A</v>
      </c>
      <c r="AZ284" s="14" t="e" cm="1">
        <f t="array" aca="1" ref="AZ284" ca="1">IF(INDIRECT(ADDRESS($B284+1,AZ$230,1,1,"Actively Infected Trend"))=0,#N/A,INDIRECT(ADDRESS($B284+1,AZ$230,1,1,"Actively Infected Trend")))</f>
        <v>#N/A</v>
      </c>
      <c r="BA284" s="14" t="e" cm="1">
        <f t="array" aca="1" ref="BA284" ca="1">IF(INDIRECT(ADDRESS($B284+1,BA$230,1,1,"Actively Infected Trend"))=0,#N/A,INDIRECT(ADDRESS($B284+1,BA$230,1,1,"Actively Infected Trend")))</f>
        <v>#N/A</v>
      </c>
      <c r="BB284" s="14" t="e" cm="1">
        <f t="array" aca="1" ref="BB284" ca="1">IF(INDIRECT(ADDRESS($B284+1,BB$230,1,1,"Actively Infected Trend"))=0,#N/A,INDIRECT(ADDRESS($B284+1,BB$230,1,1,"Actively Infected Trend")))</f>
        <v>#N/A</v>
      </c>
      <c r="BC284" s="14" t="e" cm="1">
        <f t="array" aca="1" ref="BC284" ca="1">IF(INDIRECT(ADDRESS($B284+1,BC$230,1,1,"Actively Infected Trend"))=0,#N/A,INDIRECT(ADDRESS($B284+1,BC$230,1,1,"Actively Infected Trend")))</f>
        <v>#N/A</v>
      </c>
      <c r="BD284" s="14" t="e" cm="1">
        <f t="array" aca="1" ref="BD284" ca="1">IF(INDIRECT(ADDRESS($B284+1,BD$230,1,1,"Actively Infected Trend"))=0,#N/A,INDIRECT(ADDRESS($B284+1,BD$230,1,1,"Actively Infected Trend")))</f>
        <v>#N/A</v>
      </c>
      <c r="BE284" s="14" t="e" cm="1">
        <f t="array" aca="1" ref="BE284" ca="1">IF(INDIRECT(ADDRESS($B284+1,BE$230,1,1,"Actively Infected Trend"))=0,#N/A,INDIRECT(ADDRESS($B284+1,BE$230,1,1,"Actively Infected Trend")))</f>
        <v>#N/A</v>
      </c>
      <c r="BF284" s="14" t="e" cm="1">
        <f t="array" aca="1" ref="BF284" ca="1">IF(INDIRECT(ADDRESS($B284+1,BF$230,1,1,"Actively Infected Trend"))=0,#N/A,INDIRECT(ADDRESS($B284+1,BF$230,1,1,"Actively Infected Trend")))</f>
        <v>#N/A</v>
      </c>
      <c r="BG284" s="14" t="e" cm="1">
        <f t="array" aca="1" ref="BG284" ca="1">IF(INDIRECT(ADDRESS($B284+1,BG$230,1,1,"Actively Infected Trend"))=0,#N/A,INDIRECT(ADDRESS($B284+1,BG$230,1,1,"Actively Infected Trend")))</f>
        <v>#N/A</v>
      </c>
      <c r="BH284" s="14" t="e" cm="1">
        <f t="array" aca="1" ref="BH284" ca="1">IF(INDIRECT(ADDRESS($B284+1,BH$230,1,1,"Actively Infected Trend"))=0,#N/A,INDIRECT(ADDRESS($B284+1,BH$230,1,1,"Actively Infected Trend")))</f>
        <v>#N/A</v>
      </c>
      <c r="BI284" s="14" t="e" cm="1">
        <f t="array" aca="1" ref="BI284" ca="1">IF(INDIRECT(ADDRESS($B284+1,BI$230,1,1,"Actively Infected Trend"))=0,#N/A,INDIRECT(ADDRESS($B284+1,BI$230,1,1,"Actively Infected Trend")))</f>
        <v>#N/A</v>
      </c>
      <c r="BJ284" s="14" t="e" cm="1">
        <f t="array" aca="1" ref="BJ284" ca="1">IF(INDIRECT(ADDRESS($B284+1,BJ$230,1,1,"Actively Infected Trend"))=0,#N/A,INDIRECT(ADDRESS($B284+1,BJ$230,1,1,"Actively Infected Trend")))</f>
        <v>#N/A</v>
      </c>
      <c r="BK284" s="14" t="e" cm="1">
        <f t="array" aca="1" ref="BK284" ca="1">IF(INDIRECT(ADDRESS($B284+1,BK$230,1,1,"Actively Infected Trend"))=0,#N/A,INDIRECT(ADDRESS($B284+1,BK$230,1,1,"Actively Infected Trend")))</f>
        <v>#N/A</v>
      </c>
      <c r="BL284" s="14" t="e" cm="1">
        <f t="array" aca="1" ref="BL284" ca="1">IF(INDIRECT(ADDRESS($B284+1,BL$230,1,1,"Actively Infected Trend"))=0,#N/A,INDIRECT(ADDRESS($B284+1,BL$230,1,1,"Actively Infected Trend")))</f>
        <v>#N/A</v>
      </c>
      <c r="BM284" s="14" t="e" cm="1">
        <f t="array" aca="1" ref="BM284" ca="1">IF(INDIRECT(ADDRESS($B284+1,BM$230,1,1,"Actively Infected Trend"))=0,#N/A,INDIRECT(ADDRESS($B284+1,BM$230,1,1,"Actively Infected Trend")))</f>
        <v>#N/A</v>
      </c>
      <c r="BN284" s="14" t="e" cm="1">
        <f t="array" aca="1" ref="BN284" ca="1">IF(INDIRECT(ADDRESS($B284+1,BN$230,1,1,"Actively Infected Trend"))=0,#N/A,INDIRECT(ADDRESS($B284+1,BN$230,1,1,"Actively Infected Trend")))</f>
        <v>#N/A</v>
      </c>
      <c r="BO284" s="14" t="e" cm="1">
        <f t="array" aca="1" ref="BO284" ca="1">IF(INDIRECT(ADDRESS($B284+1,BO$230,1,1,"Actively Infected Trend"))=0,#N/A,INDIRECT(ADDRESS($B284+1,BO$230,1,1,"Actively Infected Trend")))</f>
        <v>#N/A</v>
      </c>
      <c r="BP284" s="14" t="e" cm="1">
        <f t="array" aca="1" ref="BP284" ca="1">IF(INDIRECT(ADDRESS($B284+1,BP$230,1,1,"Actively Infected Trend"))=0,#N/A,INDIRECT(ADDRESS($B284+1,BP$230,1,1,"Actively Infected Trend")))</f>
        <v>#N/A</v>
      </c>
      <c r="BQ284" s="14" t="e" cm="1">
        <f t="array" aca="1" ref="BQ284" ca="1">IF(INDIRECT(ADDRESS($B284+1,BQ$230,1,1,"Actively Infected Trend"))=0,#N/A,INDIRECT(ADDRESS($B284+1,BQ$230,1,1,"Actively Infected Trend")))</f>
        <v>#N/A</v>
      </c>
      <c r="BR284" s="14" t="e" cm="1">
        <f t="array" aca="1" ref="BR284" ca="1">IF(INDIRECT(ADDRESS($B284+1,BR$230,1,1,"Actively Infected Trend"))=0,#N/A,INDIRECT(ADDRESS($B284+1,BR$230,1,1,"Actively Infected Trend")))</f>
        <v>#N/A</v>
      </c>
      <c r="BS284" s="14" t="e" cm="1">
        <f t="array" aca="1" ref="BS284" ca="1">IF(INDIRECT(ADDRESS($B284+1,BS$230,1,1,"Actively Infected Trend"))=0,#N/A,INDIRECT(ADDRESS($B284+1,BS$230,1,1,"Actively Infected Trend")))</f>
        <v>#N/A</v>
      </c>
      <c r="BT284" s="14" t="e" cm="1">
        <f t="array" aca="1" ref="BT284" ca="1">IF(INDIRECT(ADDRESS($B284+1,BT$230,1,1,"Actively Infected Trend"))=0,#N/A,INDIRECT(ADDRESS($B284+1,BT$230,1,1,"Actively Infected Trend")))</f>
        <v>#N/A</v>
      </c>
      <c r="BU284" s="14" t="e" cm="1">
        <f t="array" aca="1" ref="BU284" ca="1">IF(INDIRECT(ADDRESS($B284+1,BU$230,1,1,"Actively Infected Trend"))=0,#N/A,INDIRECT(ADDRESS($B284+1,BU$230,1,1,"Actively Infected Trend")))</f>
        <v>#N/A</v>
      </c>
      <c r="BV284" s="14" t="e" cm="1">
        <f t="array" aca="1" ref="BV284" ca="1">IF(INDIRECT(ADDRESS($B284+1,BV$230,1,1,"Actively Infected Trend"))=0,#N/A,INDIRECT(ADDRESS($B284+1,BV$230,1,1,"Actively Infected Trend")))</f>
        <v>#N/A</v>
      </c>
      <c r="BW284" s="14" t="e" cm="1">
        <f t="array" aca="1" ref="BW284" ca="1">IF(INDIRECT(ADDRESS($B284+1,BW$230,1,1,"Actively Infected Trend"))=0,#N/A,INDIRECT(ADDRESS($B284+1,BW$230,1,1,"Actively Infected Trend")))</f>
        <v>#N/A</v>
      </c>
      <c r="BX284" s="14" t="e" cm="1">
        <f t="array" aca="1" ref="BX284" ca="1">IF(INDIRECT(ADDRESS($B284+1,BX$230,1,1,"Actively Infected Trend"))=0,#N/A,INDIRECT(ADDRESS($B284+1,BX$230,1,1,"Actively Infected Trend")))</f>
        <v>#N/A</v>
      </c>
      <c r="BY284" s="14" t="e" cm="1">
        <f t="array" aca="1" ref="BY284" ca="1">IF(INDIRECT(ADDRESS($B284+1,BY$230,1,1,"Actively Infected Trend"))=0,#N/A,INDIRECT(ADDRESS($B284+1,BY$230,1,1,"Actively Infected Trend")))</f>
        <v>#N/A</v>
      </c>
      <c r="BZ284" s="14" t="e" cm="1">
        <f t="array" aca="1" ref="BZ284" ca="1">IF(INDIRECT(ADDRESS($B284+1,BZ$230,1,1,"Actively Infected Trend"))=0,#N/A,INDIRECT(ADDRESS($B284+1,BZ$230,1,1,"Actively Infected Trend")))</f>
        <v>#N/A</v>
      </c>
      <c r="CA284" s="14" t="e" cm="1">
        <f t="array" aca="1" ref="CA284" ca="1">IF(INDIRECT(ADDRESS($B284+1,CA$230,1,1,"Actively Infected Trend"))=0,#N/A,INDIRECT(ADDRESS($B284+1,CA$230,1,1,"Actively Infected Trend")))</f>
        <v>#N/A</v>
      </c>
      <c r="CB284" s="14" t="e" cm="1">
        <f t="array" aca="1" ref="CB284" ca="1">IF(INDIRECT(ADDRESS($B284+1,CB$230,1,1,"Actively Infected Trend"))=0,#N/A,INDIRECT(ADDRESS($B284+1,CB$230,1,1,"Actively Infected Trend")))</f>
        <v>#N/A</v>
      </c>
      <c r="CC284" s="14" t="e" cm="1">
        <f t="array" aca="1" ref="CC284" ca="1">IF(INDIRECT(ADDRESS($B284+1,CC$230,1,1,"Actively Infected Trend"))=0,#N/A,INDIRECT(ADDRESS($B284+1,CC$230,1,1,"Actively Infected Trend")))</f>
        <v>#N/A</v>
      </c>
      <c r="CD284" s="14" t="e" cm="1">
        <f t="array" aca="1" ref="CD284" ca="1">IF(INDIRECT(ADDRESS($B284+1,CD$230,1,1,"Actively Infected Trend"))=0,#N/A,INDIRECT(ADDRESS($B284+1,CD$230,1,1,"Actively Infected Trend")))</f>
        <v>#N/A</v>
      </c>
      <c r="CE284" s="14" t="e" cm="1">
        <f t="array" aca="1" ref="CE284" ca="1">IF(INDIRECT(ADDRESS($B284+1,CE$230,1,1,"Actively Infected Trend"))=0,#N/A,INDIRECT(ADDRESS($B284+1,CE$230,1,1,"Actively Infected Trend")))</f>
        <v>#N/A</v>
      </c>
      <c r="CF284" s="14" t="e" cm="1">
        <f t="array" aca="1" ref="CF284" ca="1">IF(INDIRECT(ADDRESS($B284+1,CF$230,1,1,"Actively Infected Trend"))=0,#N/A,INDIRECT(ADDRESS($B284+1,CF$230,1,1,"Actively Infected Trend")))</f>
        <v>#N/A</v>
      </c>
      <c r="CG284" s="14" t="e" cm="1">
        <f t="array" aca="1" ref="CG284" ca="1">IF(INDIRECT(ADDRESS($B284+1,CG$230,1,1,"Actively Infected Trend"))=0,#N/A,INDIRECT(ADDRESS($B284+1,CG$230,1,1,"Actively Infected Trend")))</f>
        <v>#N/A</v>
      </c>
      <c r="CH284" s="14" t="e" cm="1">
        <f t="array" aca="1" ref="CH284" ca="1">IF(INDIRECT(ADDRESS($B284+1,CH$230,1,1,"Actively Infected Trend"))=0,#N/A,INDIRECT(ADDRESS($B284+1,CH$230,1,1,"Actively Infected Trend")))</f>
        <v>#N/A</v>
      </c>
      <c r="CI284" s="14" t="e" cm="1">
        <f t="array" aca="1" ref="CI284" ca="1">IF(INDIRECT(ADDRESS($B284+1,CI$230,1,1,"Actively Infected Trend"))=0,#N/A,INDIRECT(ADDRESS($B284+1,CI$230,1,1,"Actively Infected Trend")))</f>
        <v>#N/A</v>
      </c>
      <c r="CJ284" s="14" t="e" cm="1">
        <f t="array" aca="1" ref="CJ284" ca="1">IF(INDIRECT(ADDRESS($B284+1,CJ$230,1,1,"Actively Infected Trend"))=0,#N/A,INDIRECT(ADDRESS($B284+1,CJ$230,1,1,"Actively Infected Trend")))</f>
        <v>#N/A</v>
      </c>
      <c r="CK284" s="14" t="e" cm="1">
        <f t="array" aca="1" ref="CK284" ca="1">IF(INDIRECT(ADDRESS($B284+1,CK$230,1,1,"Actively Infected Trend"))=0,#N/A,INDIRECT(ADDRESS($B284+1,CK$230,1,1,"Actively Infected Trend")))</f>
        <v>#N/A</v>
      </c>
      <c r="CL284" s="14" t="e" cm="1">
        <f t="array" aca="1" ref="CL284" ca="1">IF(INDIRECT(ADDRESS($B284+1,CL$230,1,1,"Actively Infected Trend"))=0,#N/A,INDIRECT(ADDRESS($B284+1,CL$230,1,1,"Actively Infected Trend")))</f>
        <v>#N/A</v>
      </c>
      <c r="CM284" s="14" t="e" cm="1">
        <f t="array" aca="1" ref="CM284" ca="1">IF(INDIRECT(ADDRESS($B284+1,CM$230,1,1,"Actively Infected Trend"))=0,#N/A,INDIRECT(ADDRESS($B284+1,CM$230,1,1,"Actively Infected Trend")))</f>
        <v>#N/A</v>
      </c>
      <c r="CN284" s="14" t="e" cm="1">
        <f t="array" aca="1" ref="CN284" ca="1">IF(INDIRECT(ADDRESS($B284+1,CN$230,1,1,"Actively Infected Trend"))=0,#N/A,INDIRECT(ADDRESS($B284+1,CN$230,1,1,"Actively Infected Trend")))</f>
        <v>#N/A</v>
      </c>
      <c r="CO284" s="14" t="e" cm="1">
        <f t="array" aca="1" ref="CO284" ca="1">IF(INDIRECT(ADDRESS($B284+1,CO$230,1,1,"Actively Infected Trend"))=0,#N/A,INDIRECT(ADDRESS($B284+1,CO$230,1,1,"Actively Infected Trend")))</f>
        <v>#N/A</v>
      </c>
      <c r="CP284" s="14" t="e" cm="1">
        <f t="array" aca="1" ref="CP284" ca="1">IF(INDIRECT(ADDRESS($B284+1,CP$230,1,1,"Actively Infected Trend"))=0,#N/A,INDIRECT(ADDRESS($B284+1,CP$230,1,1,"Actively Infected Trend")))</f>
        <v>#N/A</v>
      </c>
      <c r="CQ284" s="14" t="e" cm="1">
        <f t="array" aca="1" ref="CQ284" ca="1">IF(INDIRECT(ADDRESS($B284+1,CQ$230,1,1,"Actively Infected Trend"))=0,#N/A,INDIRECT(ADDRESS($B284+1,CQ$230,1,1,"Actively Infected Trend")))</f>
        <v>#N/A</v>
      </c>
      <c r="CR284" s="14" t="e" cm="1">
        <f t="array" aca="1" ref="CR284" ca="1">IF(INDIRECT(ADDRESS($B284+1,CR$230,1,1,"Actively Infected Trend"))=0,#N/A,INDIRECT(ADDRESS($B284+1,CR$230,1,1,"Actively Infected Trend")))</f>
        <v>#N/A</v>
      </c>
    </row>
    <row r="285" spans="2:96" x14ac:dyDescent="0.25">
      <c r="B285">
        <f t="shared" si="349"/>
        <v>54</v>
      </c>
      <c r="C285" cm="1">
        <f t="array" aca="1" ref="C285" ca="1">INDIRECT(ADDRESS($B285+1,1,1,1,"Actively Infected Trend"))</f>
        <v>0</v>
      </c>
      <c r="E285" s="14" t="e" cm="1">
        <f t="array" aca="1" ref="E285" ca="1">IF(INDIRECT(ADDRESS($B285+1,E$230,1,1,"Actively Infected Trend"))=0,#N/A,INDIRECT(ADDRESS($B285+1,E$230,1,1,"Actively Infected Trend")))</f>
        <v>#N/A</v>
      </c>
      <c r="F285" s="14" t="e" cm="1">
        <f t="array" aca="1" ref="F285" ca="1">IF(INDIRECT(ADDRESS($B285+1,F$230,1,1,"Actively Infected Trend"))=0,#N/A,INDIRECT(ADDRESS($B285+1,F$230,1,1,"Actively Infected Trend")))</f>
        <v>#N/A</v>
      </c>
      <c r="G285" s="14" t="e" cm="1">
        <f t="array" aca="1" ref="G285" ca="1">IF(INDIRECT(ADDRESS($B285+1,G$230,1,1,"Actively Infected Trend"))=0,#N/A,INDIRECT(ADDRESS($B285+1,G$230,1,1,"Actively Infected Trend")))</f>
        <v>#N/A</v>
      </c>
      <c r="H285" s="14" t="e" cm="1">
        <f t="array" aca="1" ref="H285" ca="1">IF(INDIRECT(ADDRESS($B285+1,H$230,1,1,"Actively Infected Trend"))=0,#N/A,INDIRECT(ADDRESS($B285+1,H$230,1,1,"Actively Infected Trend")))</f>
        <v>#N/A</v>
      </c>
      <c r="I285" s="14" t="e" cm="1">
        <f t="array" aca="1" ref="I285" ca="1">IF(INDIRECT(ADDRESS($B285+1,I$230,1,1,"Actively Infected Trend"))=0,#N/A,INDIRECT(ADDRESS($B285+1,I$230,1,1,"Actively Infected Trend")))</f>
        <v>#N/A</v>
      </c>
      <c r="J285" s="14" t="e" cm="1">
        <f t="array" aca="1" ref="J285" ca="1">IF(INDIRECT(ADDRESS($B285+1,J$230,1,1,"Actively Infected Trend"))=0,#N/A,INDIRECT(ADDRESS($B285+1,J$230,1,1,"Actively Infected Trend")))</f>
        <v>#N/A</v>
      </c>
      <c r="K285" s="14" t="e" cm="1">
        <f t="array" aca="1" ref="K285" ca="1">IF(INDIRECT(ADDRESS($B285+1,K$230,1,1,"Actively Infected Trend"))=0,#N/A,INDIRECT(ADDRESS($B285+1,K$230,1,1,"Actively Infected Trend")))</f>
        <v>#N/A</v>
      </c>
      <c r="L285" s="14" t="e" cm="1">
        <f t="array" aca="1" ref="L285" ca="1">IF(INDIRECT(ADDRESS($B285+1,L$230,1,1,"Actively Infected Trend"))=0,#N/A,INDIRECT(ADDRESS($B285+1,L$230,1,1,"Actively Infected Trend")))</f>
        <v>#N/A</v>
      </c>
      <c r="M285" s="14" t="e" cm="1">
        <f t="array" aca="1" ref="M285" ca="1">IF(INDIRECT(ADDRESS($B285+1,M$230,1,1,"Actively Infected Trend"))=0,#N/A,INDIRECT(ADDRESS($B285+1,M$230,1,1,"Actively Infected Trend")))</f>
        <v>#N/A</v>
      </c>
      <c r="N285" s="14" t="e" cm="1">
        <f t="array" aca="1" ref="N285" ca="1">IF(INDIRECT(ADDRESS($B285+1,N$230,1,1,"Actively Infected Trend"))=0,#N/A,INDIRECT(ADDRESS($B285+1,N$230,1,1,"Actively Infected Trend")))</f>
        <v>#N/A</v>
      </c>
      <c r="O285" s="14" t="e" cm="1">
        <f t="array" aca="1" ref="O285" ca="1">IF(INDIRECT(ADDRESS($B285+1,O$230,1,1,"Actively Infected Trend"))=0,#N/A,INDIRECT(ADDRESS($B285+1,O$230,1,1,"Actively Infected Trend")))</f>
        <v>#N/A</v>
      </c>
      <c r="P285" s="14" t="e" cm="1">
        <f t="array" aca="1" ref="P285" ca="1">IF(INDIRECT(ADDRESS($B285+1,P$230,1,1,"Actively Infected Trend"))=0,#N/A,INDIRECT(ADDRESS($B285+1,P$230,1,1,"Actively Infected Trend")))</f>
        <v>#N/A</v>
      </c>
      <c r="Q285" s="14" t="e" cm="1">
        <f t="array" aca="1" ref="Q285" ca="1">IF(INDIRECT(ADDRESS($B285+1,Q$230,1,1,"Actively Infected Trend"))=0,#N/A,INDIRECT(ADDRESS($B285+1,Q$230,1,1,"Actively Infected Trend")))</f>
        <v>#N/A</v>
      </c>
      <c r="R285" s="14" t="e" cm="1">
        <f t="array" aca="1" ref="R285" ca="1">IF(INDIRECT(ADDRESS($B285+1,R$230,1,1,"Actively Infected Trend"))=0,#N/A,INDIRECT(ADDRESS($B285+1,R$230,1,1,"Actively Infected Trend")))</f>
        <v>#N/A</v>
      </c>
      <c r="S285" s="14" t="e" cm="1">
        <f t="array" aca="1" ref="S285" ca="1">IF(INDIRECT(ADDRESS($B285+1,S$230,1,1,"Actively Infected Trend"))=0,#N/A,INDIRECT(ADDRESS($B285+1,S$230,1,1,"Actively Infected Trend")))</f>
        <v>#N/A</v>
      </c>
      <c r="T285" s="14" t="e" cm="1">
        <f t="array" aca="1" ref="T285" ca="1">IF(INDIRECT(ADDRESS($B285+1,T$230,1,1,"Actively Infected Trend"))=0,#N/A,INDIRECT(ADDRESS($B285+1,T$230,1,1,"Actively Infected Trend")))</f>
        <v>#N/A</v>
      </c>
      <c r="U285" s="14" t="e" cm="1">
        <f t="array" aca="1" ref="U285" ca="1">IF(INDIRECT(ADDRESS($B285+1,U$230,1,1,"Actively Infected Trend"))=0,#N/A,INDIRECT(ADDRESS($B285+1,U$230,1,1,"Actively Infected Trend")))</f>
        <v>#N/A</v>
      </c>
      <c r="V285" s="14" t="e" cm="1">
        <f t="array" aca="1" ref="V285" ca="1">IF(INDIRECT(ADDRESS($B285+1,V$230,1,1,"Actively Infected Trend"))=0,#N/A,INDIRECT(ADDRESS($B285+1,V$230,1,1,"Actively Infected Trend")))</f>
        <v>#N/A</v>
      </c>
      <c r="W285" s="14" t="e" cm="1">
        <f t="array" aca="1" ref="W285" ca="1">IF(INDIRECT(ADDRESS($B285+1,W$230,1,1,"Actively Infected Trend"))=0,#N/A,INDIRECT(ADDRESS($B285+1,W$230,1,1,"Actively Infected Trend")))</f>
        <v>#N/A</v>
      </c>
      <c r="X285" s="14" t="e" cm="1">
        <f t="array" aca="1" ref="X285" ca="1">IF(INDIRECT(ADDRESS($B285+1,X$230,1,1,"Actively Infected Trend"))=0,#N/A,INDIRECT(ADDRESS($B285+1,X$230,1,1,"Actively Infected Trend")))</f>
        <v>#N/A</v>
      </c>
      <c r="Y285" s="14" t="e" cm="1">
        <f t="array" aca="1" ref="Y285" ca="1">IF(INDIRECT(ADDRESS($B285+1,Y$230,1,1,"Actively Infected Trend"))=0,#N/A,INDIRECT(ADDRESS($B285+1,Y$230,1,1,"Actively Infected Trend")))</f>
        <v>#N/A</v>
      </c>
      <c r="Z285" s="14" t="e" cm="1">
        <f t="array" aca="1" ref="Z285" ca="1">IF(INDIRECT(ADDRESS($B285+1,Z$230,1,1,"Actively Infected Trend"))=0,#N/A,INDIRECT(ADDRESS($B285+1,Z$230,1,1,"Actively Infected Trend")))</f>
        <v>#N/A</v>
      </c>
      <c r="AA285" s="14" t="e" cm="1">
        <f t="array" aca="1" ref="AA285" ca="1">IF(INDIRECT(ADDRESS($B285+1,AA$230,1,1,"Actively Infected Trend"))=0,#N/A,INDIRECT(ADDRESS($B285+1,AA$230,1,1,"Actively Infected Trend")))</f>
        <v>#N/A</v>
      </c>
      <c r="AB285" s="14" t="e" cm="1">
        <f t="array" aca="1" ref="AB285" ca="1">IF(INDIRECT(ADDRESS($B285+1,AB$230,1,1,"Actively Infected Trend"))=0,#N/A,INDIRECT(ADDRESS($B285+1,AB$230,1,1,"Actively Infected Trend")))</f>
        <v>#N/A</v>
      </c>
      <c r="AC285" s="14" t="e" cm="1">
        <f t="array" aca="1" ref="AC285" ca="1">IF(INDIRECT(ADDRESS($B285+1,AC$230,1,1,"Actively Infected Trend"))=0,#N/A,INDIRECT(ADDRESS($B285+1,AC$230,1,1,"Actively Infected Trend")))</f>
        <v>#N/A</v>
      </c>
      <c r="AD285" s="14" t="e" cm="1">
        <f t="array" aca="1" ref="AD285" ca="1">IF(INDIRECT(ADDRESS($B285+1,AD$230,1,1,"Actively Infected Trend"))=0,#N/A,INDIRECT(ADDRESS($B285+1,AD$230,1,1,"Actively Infected Trend")))</f>
        <v>#N/A</v>
      </c>
      <c r="AE285" s="14" t="e" cm="1">
        <f t="array" aca="1" ref="AE285" ca="1">IF(INDIRECT(ADDRESS($B285+1,AE$230,1,1,"Actively Infected Trend"))=0,#N/A,INDIRECT(ADDRESS($B285+1,AE$230,1,1,"Actively Infected Trend")))</f>
        <v>#N/A</v>
      </c>
      <c r="AF285" s="14" t="e" cm="1">
        <f t="array" aca="1" ref="AF285" ca="1">IF(INDIRECT(ADDRESS($B285+1,AF$230,1,1,"Actively Infected Trend"))=0,#N/A,INDIRECT(ADDRESS($B285+1,AF$230,1,1,"Actively Infected Trend")))</f>
        <v>#N/A</v>
      </c>
      <c r="AG285" s="14" t="e" cm="1">
        <f t="array" aca="1" ref="AG285" ca="1">IF(INDIRECT(ADDRESS($B285+1,AG$230,1,1,"Actively Infected Trend"))=0,#N/A,INDIRECT(ADDRESS($B285+1,AG$230,1,1,"Actively Infected Trend")))</f>
        <v>#N/A</v>
      </c>
      <c r="AH285" s="14" t="e" cm="1">
        <f t="array" aca="1" ref="AH285" ca="1">IF(INDIRECT(ADDRESS($B285+1,AH$230,1,1,"Actively Infected Trend"))=0,#N/A,INDIRECT(ADDRESS($B285+1,AH$230,1,1,"Actively Infected Trend")))</f>
        <v>#N/A</v>
      </c>
      <c r="AI285" s="14" t="e" cm="1">
        <f t="array" aca="1" ref="AI285" ca="1">IF(INDIRECT(ADDRESS($B285+1,AI$230,1,1,"Actively Infected Trend"))=0,#N/A,INDIRECT(ADDRESS($B285+1,AI$230,1,1,"Actively Infected Trend")))</f>
        <v>#N/A</v>
      </c>
      <c r="AJ285" s="14" t="e" cm="1">
        <f t="array" aca="1" ref="AJ285" ca="1">IF(INDIRECT(ADDRESS($B285+1,AJ$230,1,1,"Actively Infected Trend"))=0,#N/A,INDIRECT(ADDRESS($B285+1,AJ$230,1,1,"Actively Infected Trend")))</f>
        <v>#N/A</v>
      </c>
      <c r="AK285" s="14" t="e" cm="1">
        <f t="array" aca="1" ref="AK285" ca="1">IF(INDIRECT(ADDRESS($B285+1,AK$230,1,1,"Actively Infected Trend"))=0,#N/A,INDIRECT(ADDRESS($B285+1,AK$230,1,1,"Actively Infected Trend")))</f>
        <v>#N/A</v>
      </c>
      <c r="AL285" s="14" t="e" cm="1">
        <f t="array" aca="1" ref="AL285" ca="1">IF(INDIRECT(ADDRESS($B285+1,AL$230,1,1,"Actively Infected Trend"))=0,#N/A,INDIRECT(ADDRESS($B285+1,AL$230,1,1,"Actively Infected Trend")))</f>
        <v>#N/A</v>
      </c>
      <c r="AM285" s="14" t="e" cm="1">
        <f t="array" aca="1" ref="AM285" ca="1">IF(INDIRECT(ADDRESS($B285+1,AM$230,1,1,"Actively Infected Trend"))=0,#N/A,INDIRECT(ADDRESS($B285+1,AM$230,1,1,"Actively Infected Trend")))</f>
        <v>#N/A</v>
      </c>
      <c r="AN285" s="14" t="e" cm="1">
        <f t="array" aca="1" ref="AN285" ca="1">IF(INDIRECT(ADDRESS($B285+1,AN$230,1,1,"Actively Infected Trend"))=0,#N/A,INDIRECT(ADDRESS($B285+1,AN$230,1,1,"Actively Infected Trend")))</f>
        <v>#N/A</v>
      </c>
      <c r="AO285" s="14" t="e" cm="1">
        <f t="array" aca="1" ref="AO285" ca="1">IF(INDIRECT(ADDRESS($B285+1,AO$230,1,1,"Actively Infected Trend"))=0,#N/A,INDIRECT(ADDRESS($B285+1,AO$230,1,1,"Actively Infected Trend")))</f>
        <v>#N/A</v>
      </c>
      <c r="AP285" s="14" t="e" cm="1">
        <f t="array" aca="1" ref="AP285" ca="1">IF(INDIRECT(ADDRESS($B285+1,AP$230,1,1,"Actively Infected Trend"))=0,#N/A,INDIRECT(ADDRESS($B285+1,AP$230,1,1,"Actively Infected Trend")))</f>
        <v>#N/A</v>
      </c>
      <c r="AQ285" s="14" t="e" cm="1">
        <f t="array" aca="1" ref="AQ285" ca="1">IF(INDIRECT(ADDRESS($B285+1,AQ$230,1,1,"Actively Infected Trend"))=0,#N/A,INDIRECT(ADDRESS($B285+1,AQ$230,1,1,"Actively Infected Trend")))</f>
        <v>#N/A</v>
      </c>
      <c r="AR285" s="14" t="e" cm="1">
        <f t="array" aca="1" ref="AR285" ca="1">IF(INDIRECT(ADDRESS($B285+1,AR$230,1,1,"Actively Infected Trend"))=0,#N/A,INDIRECT(ADDRESS($B285+1,AR$230,1,1,"Actively Infected Trend")))</f>
        <v>#N/A</v>
      </c>
      <c r="AS285" s="14" t="e" cm="1">
        <f t="array" aca="1" ref="AS285" ca="1">IF(INDIRECT(ADDRESS($B285+1,AS$230,1,1,"Actively Infected Trend"))=0,#N/A,INDIRECT(ADDRESS($B285+1,AS$230,1,1,"Actively Infected Trend")))</f>
        <v>#N/A</v>
      </c>
      <c r="AT285" s="14" t="e" cm="1">
        <f t="array" aca="1" ref="AT285" ca="1">IF(INDIRECT(ADDRESS($B285+1,AT$230,1,1,"Actively Infected Trend"))=0,#N/A,INDIRECT(ADDRESS($B285+1,AT$230,1,1,"Actively Infected Trend")))</f>
        <v>#N/A</v>
      </c>
      <c r="AU285" s="14" t="e" cm="1">
        <f t="array" aca="1" ref="AU285" ca="1">IF(INDIRECT(ADDRESS($B285+1,AU$230,1,1,"Actively Infected Trend"))=0,#N/A,INDIRECT(ADDRESS($B285+1,AU$230,1,1,"Actively Infected Trend")))</f>
        <v>#N/A</v>
      </c>
      <c r="AV285" s="14" t="e" cm="1">
        <f t="array" aca="1" ref="AV285" ca="1">IF(INDIRECT(ADDRESS($B285+1,AV$230,1,1,"Actively Infected Trend"))=0,#N/A,INDIRECT(ADDRESS($B285+1,AV$230,1,1,"Actively Infected Trend")))</f>
        <v>#N/A</v>
      </c>
      <c r="AW285" s="14" t="e" cm="1">
        <f t="array" aca="1" ref="AW285" ca="1">IF(INDIRECT(ADDRESS($B285+1,AW$230,1,1,"Actively Infected Trend"))=0,#N/A,INDIRECT(ADDRESS($B285+1,AW$230,1,1,"Actively Infected Trend")))</f>
        <v>#N/A</v>
      </c>
      <c r="AX285" s="14" t="e" cm="1">
        <f t="array" aca="1" ref="AX285" ca="1">IF(INDIRECT(ADDRESS($B285+1,AX$230,1,1,"Actively Infected Trend"))=0,#N/A,INDIRECT(ADDRESS($B285+1,AX$230,1,1,"Actively Infected Trend")))</f>
        <v>#N/A</v>
      </c>
      <c r="AY285" s="14" t="e" cm="1">
        <f t="array" aca="1" ref="AY285" ca="1">IF(INDIRECT(ADDRESS($B285+1,AY$230,1,1,"Actively Infected Trend"))=0,#N/A,INDIRECT(ADDRESS($B285+1,AY$230,1,1,"Actively Infected Trend")))</f>
        <v>#N/A</v>
      </c>
      <c r="AZ285" s="14" t="e" cm="1">
        <f t="array" aca="1" ref="AZ285" ca="1">IF(INDIRECT(ADDRESS($B285+1,AZ$230,1,1,"Actively Infected Trend"))=0,#N/A,INDIRECT(ADDRESS($B285+1,AZ$230,1,1,"Actively Infected Trend")))</f>
        <v>#N/A</v>
      </c>
      <c r="BA285" s="14" t="e" cm="1">
        <f t="array" aca="1" ref="BA285" ca="1">IF(INDIRECT(ADDRESS($B285+1,BA$230,1,1,"Actively Infected Trend"))=0,#N/A,INDIRECT(ADDRESS($B285+1,BA$230,1,1,"Actively Infected Trend")))</f>
        <v>#N/A</v>
      </c>
      <c r="BB285" s="14" t="e" cm="1">
        <f t="array" aca="1" ref="BB285" ca="1">IF(INDIRECT(ADDRESS($B285+1,BB$230,1,1,"Actively Infected Trend"))=0,#N/A,INDIRECT(ADDRESS($B285+1,BB$230,1,1,"Actively Infected Trend")))</f>
        <v>#N/A</v>
      </c>
      <c r="BC285" s="14" t="e" cm="1">
        <f t="array" aca="1" ref="BC285" ca="1">IF(INDIRECT(ADDRESS($B285+1,BC$230,1,1,"Actively Infected Trend"))=0,#N/A,INDIRECT(ADDRESS($B285+1,BC$230,1,1,"Actively Infected Trend")))</f>
        <v>#N/A</v>
      </c>
      <c r="BD285" s="14" t="e" cm="1">
        <f t="array" aca="1" ref="BD285" ca="1">IF(INDIRECT(ADDRESS($B285+1,BD$230,1,1,"Actively Infected Trend"))=0,#N/A,INDIRECT(ADDRESS($B285+1,BD$230,1,1,"Actively Infected Trend")))</f>
        <v>#N/A</v>
      </c>
      <c r="BE285" s="14" t="e" cm="1">
        <f t="array" aca="1" ref="BE285" ca="1">IF(INDIRECT(ADDRESS($B285+1,BE$230,1,1,"Actively Infected Trend"))=0,#N/A,INDIRECT(ADDRESS($B285+1,BE$230,1,1,"Actively Infected Trend")))</f>
        <v>#N/A</v>
      </c>
      <c r="BF285" s="14" t="e" cm="1">
        <f t="array" aca="1" ref="BF285" ca="1">IF(INDIRECT(ADDRESS($B285+1,BF$230,1,1,"Actively Infected Trend"))=0,#N/A,INDIRECT(ADDRESS($B285+1,BF$230,1,1,"Actively Infected Trend")))</f>
        <v>#N/A</v>
      </c>
      <c r="BG285" s="14" t="e" cm="1">
        <f t="array" aca="1" ref="BG285" ca="1">IF(INDIRECT(ADDRESS($B285+1,BG$230,1,1,"Actively Infected Trend"))=0,#N/A,INDIRECT(ADDRESS($B285+1,BG$230,1,1,"Actively Infected Trend")))</f>
        <v>#N/A</v>
      </c>
      <c r="BH285" s="14" t="e" cm="1">
        <f t="array" aca="1" ref="BH285" ca="1">IF(INDIRECT(ADDRESS($B285+1,BH$230,1,1,"Actively Infected Trend"))=0,#N/A,INDIRECT(ADDRESS($B285+1,BH$230,1,1,"Actively Infected Trend")))</f>
        <v>#N/A</v>
      </c>
      <c r="BI285" s="14" t="e" cm="1">
        <f t="array" aca="1" ref="BI285" ca="1">IF(INDIRECT(ADDRESS($B285+1,BI$230,1,1,"Actively Infected Trend"))=0,#N/A,INDIRECT(ADDRESS($B285+1,BI$230,1,1,"Actively Infected Trend")))</f>
        <v>#N/A</v>
      </c>
      <c r="BJ285" s="14" t="e" cm="1">
        <f t="array" aca="1" ref="BJ285" ca="1">IF(INDIRECT(ADDRESS($B285+1,BJ$230,1,1,"Actively Infected Trend"))=0,#N/A,INDIRECT(ADDRESS($B285+1,BJ$230,1,1,"Actively Infected Trend")))</f>
        <v>#N/A</v>
      </c>
      <c r="BK285" s="14" t="e" cm="1">
        <f t="array" aca="1" ref="BK285" ca="1">IF(INDIRECT(ADDRESS($B285+1,BK$230,1,1,"Actively Infected Trend"))=0,#N/A,INDIRECT(ADDRESS($B285+1,BK$230,1,1,"Actively Infected Trend")))</f>
        <v>#N/A</v>
      </c>
      <c r="BL285" s="14" t="e" cm="1">
        <f t="array" aca="1" ref="BL285" ca="1">IF(INDIRECT(ADDRESS($B285+1,BL$230,1,1,"Actively Infected Trend"))=0,#N/A,INDIRECT(ADDRESS($B285+1,BL$230,1,1,"Actively Infected Trend")))</f>
        <v>#N/A</v>
      </c>
      <c r="BM285" s="14" t="e" cm="1">
        <f t="array" aca="1" ref="BM285" ca="1">IF(INDIRECT(ADDRESS($B285+1,BM$230,1,1,"Actively Infected Trend"))=0,#N/A,INDIRECT(ADDRESS($B285+1,BM$230,1,1,"Actively Infected Trend")))</f>
        <v>#N/A</v>
      </c>
      <c r="BN285" s="14" t="e" cm="1">
        <f t="array" aca="1" ref="BN285" ca="1">IF(INDIRECT(ADDRESS($B285+1,BN$230,1,1,"Actively Infected Trend"))=0,#N/A,INDIRECT(ADDRESS($B285+1,BN$230,1,1,"Actively Infected Trend")))</f>
        <v>#N/A</v>
      </c>
      <c r="BO285" s="14" t="e" cm="1">
        <f t="array" aca="1" ref="BO285" ca="1">IF(INDIRECT(ADDRESS($B285+1,BO$230,1,1,"Actively Infected Trend"))=0,#N/A,INDIRECT(ADDRESS($B285+1,BO$230,1,1,"Actively Infected Trend")))</f>
        <v>#N/A</v>
      </c>
      <c r="BP285" s="14" t="e" cm="1">
        <f t="array" aca="1" ref="BP285" ca="1">IF(INDIRECT(ADDRESS($B285+1,BP$230,1,1,"Actively Infected Trend"))=0,#N/A,INDIRECT(ADDRESS($B285+1,BP$230,1,1,"Actively Infected Trend")))</f>
        <v>#N/A</v>
      </c>
      <c r="BQ285" s="14" t="e" cm="1">
        <f t="array" aca="1" ref="BQ285" ca="1">IF(INDIRECT(ADDRESS($B285+1,BQ$230,1,1,"Actively Infected Trend"))=0,#N/A,INDIRECT(ADDRESS($B285+1,BQ$230,1,1,"Actively Infected Trend")))</f>
        <v>#N/A</v>
      </c>
      <c r="BR285" s="14" t="e" cm="1">
        <f t="array" aca="1" ref="BR285" ca="1">IF(INDIRECT(ADDRESS($B285+1,BR$230,1,1,"Actively Infected Trend"))=0,#N/A,INDIRECT(ADDRESS($B285+1,BR$230,1,1,"Actively Infected Trend")))</f>
        <v>#N/A</v>
      </c>
      <c r="BS285" s="14" t="e" cm="1">
        <f t="array" aca="1" ref="BS285" ca="1">IF(INDIRECT(ADDRESS($B285+1,BS$230,1,1,"Actively Infected Trend"))=0,#N/A,INDIRECT(ADDRESS($B285+1,BS$230,1,1,"Actively Infected Trend")))</f>
        <v>#N/A</v>
      </c>
      <c r="BT285" s="14" t="e" cm="1">
        <f t="array" aca="1" ref="BT285" ca="1">IF(INDIRECT(ADDRESS($B285+1,BT$230,1,1,"Actively Infected Trend"))=0,#N/A,INDIRECT(ADDRESS($B285+1,BT$230,1,1,"Actively Infected Trend")))</f>
        <v>#N/A</v>
      </c>
      <c r="BU285" s="14" t="e" cm="1">
        <f t="array" aca="1" ref="BU285" ca="1">IF(INDIRECT(ADDRESS($B285+1,BU$230,1,1,"Actively Infected Trend"))=0,#N/A,INDIRECT(ADDRESS($B285+1,BU$230,1,1,"Actively Infected Trend")))</f>
        <v>#N/A</v>
      </c>
      <c r="BV285" s="14" t="e" cm="1">
        <f t="array" aca="1" ref="BV285" ca="1">IF(INDIRECT(ADDRESS($B285+1,BV$230,1,1,"Actively Infected Trend"))=0,#N/A,INDIRECT(ADDRESS($B285+1,BV$230,1,1,"Actively Infected Trend")))</f>
        <v>#N/A</v>
      </c>
      <c r="BW285" s="14" t="e" cm="1">
        <f t="array" aca="1" ref="BW285" ca="1">IF(INDIRECT(ADDRESS($B285+1,BW$230,1,1,"Actively Infected Trend"))=0,#N/A,INDIRECT(ADDRESS($B285+1,BW$230,1,1,"Actively Infected Trend")))</f>
        <v>#N/A</v>
      </c>
      <c r="BX285" s="14" t="e" cm="1">
        <f t="array" aca="1" ref="BX285" ca="1">IF(INDIRECT(ADDRESS($B285+1,BX$230,1,1,"Actively Infected Trend"))=0,#N/A,INDIRECT(ADDRESS($B285+1,BX$230,1,1,"Actively Infected Trend")))</f>
        <v>#N/A</v>
      </c>
      <c r="BY285" s="14" t="e" cm="1">
        <f t="array" aca="1" ref="BY285" ca="1">IF(INDIRECT(ADDRESS($B285+1,BY$230,1,1,"Actively Infected Trend"))=0,#N/A,INDIRECT(ADDRESS($B285+1,BY$230,1,1,"Actively Infected Trend")))</f>
        <v>#N/A</v>
      </c>
      <c r="BZ285" s="14" t="e" cm="1">
        <f t="array" aca="1" ref="BZ285" ca="1">IF(INDIRECT(ADDRESS($B285+1,BZ$230,1,1,"Actively Infected Trend"))=0,#N/A,INDIRECT(ADDRESS($B285+1,BZ$230,1,1,"Actively Infected Trend")))</f>
        <v>#N/A</v>
      </c>
      <c r="CA285" s="14" t="e" cm="1">
        <f t="array" aca="1" ref="CA285" ca="1">IF(INDIRECT(ADDRESS($B285+1,CA$230,1,1,"Actively Infected Trend"))=0,#N/A,INDIRECT(ADDRESS($B285+1,CA$230,1,1,"Actively Infected Trend")))</f>
        <v>#N/A</v>
      </c>
      <c r="CB285" s="14" t="e" cm="1">
        <f t="array" aca="1" ref="CB285" ca="1">IF(INDIRECT(ADDRESS($B285+1,CB$230,1,1,"Actively Infected Trend"))=0,#N/A,INDIRECT(ADDRESS($B285+1,CB$230,1,1,"Actively Infected Trend")))</f>
        <v>#N/A</v>
      </c>
      <c r="CC285" s="14" t="e" cm="1">
        <f t="array" aca="1" ref="CC285" ca="1">IF(INDIRECT(ADDRESS($B285+1,CC$230,1,1,"Actively Infected Trend"))=0,#N/A,INDIRECT(ADDRESS($B285+1,CC$230,1,1,"Actively Infected Trend")))</f>
        <v>#N/A</v>
      </c>
      <c r="CD285" s="14" t="e" cm="1">
        <f t="array" aca="1" ref="CD285" ca="1">IF(INDIRECT(ADDRESS($B285+1,CD$230,1,1,"Actively Infected Trend"))=0,#N/A,INDIRECT(ADDRESS($B285+1,CD$230,1,1,"Actively Infected Trend")))</f>
        <v>#N/A</v>
      </c>
      <c r="CE285" s="14" t="e" cm="1">
        <f t="array" aca="1" ref="CE285" ca="1">IF(INDIRECT(ADDRESS($B285+1,CE$230,1,1,"Actively Infected Trend"))=0,#N/A,INDIRECT(ADDRESS($B285+1,CE$230,1,1,"Actively Infected Trend")))</f>
        <v>#N/A</v>
      </c>
      <c r="CF285" s="14" t="e" cm="1">
        <f t="array" aca="1" ref="CF285" ca="1">IF(INDIRECT(ADDRESS($B285+1,CF$230,1,1,"Actively Infected Trend"))=0,#N/A,INDIRECT(ADDRESS($B285+1,CF$230,1,1,"Actively Infected Trend")))</f>
        <v>#N/A</v>
      </c>
      <c r="CG285" s="14" t="e" cm="1">
        <f t="array" aca="1" ref="CG285" ca="1">IF(INDIRECT(ADDRESS($B285+1,CG$230,1,1,"Actively Infected Trend"))=0,#N/A,INDIRECT(ADDRESS($B285+1,CG$230,1,1,"Actively Infected Trend")))</f>
        <v>#N/A</v>
      </c>
      <c r="CH285" s="14" t="e" cm="1">
        <f t="array" aca="1" ref="CH285" ca="1">IF(INDIRECT(ADDRESS($B285+1,CH$230,1,1,"Actively Infected Trend"))=0,#N/A,INDIRECT(ADDRESS($B285+1,CH$230,1,1,"Actively Infected Trend")))</f>
        <v>#N/A</v>
      </c>
      <c r="CI285" s="14" t="e" cm="1">
        <f t="array" aca="1" ref="CI285" ca="1">IF(INDIRECT(ADDRESS($B285+1,CI$230,1,1,"Actively Infected Trend"))=0,#N/A,INDIRECT(ADDRESS($B285+1,CI$230,1,1,"Actively Infected Trend")))</f>
        <v>#N/A</v>
      </c>
      <c r="CJ285" s="14" t="e" cm="1">
        <f t="array" aca="1" ref="CJ285" ca="1">IF(INDIRECT(ADDRESS($B285+1,CJ$230,1,1,"Actively Infected Trend"))=0,#N/A,INDIRECT(ADDRESS($B285+1,CJ$230,1,1,"Actively Infected Trend")))</f>
        <v>#N/A</v>
      </c>
      <c r="CK285" s="14" t="e" cm="1">
        <f t="array" aca="1" ref="CK285" ca="1">IF(INDIRECT(ADDRESS($B285+1,CK$230,1,1,"Actively Infected Trend"))=0,#N/A,INDIRECT(ADDRESS($B285+1,CK$230,1,1,"Actively Infected Trend")))</f>
        <v>#N/A</v>
      </c>
      <c r="CL285" s="14" t="e" cm="1">
        <f t="array" aca="1" ref="CL285" ca="1">IF(INDIRECT(ADDRESS($B285+1,CL$230,1,1,"Actively Infected Trend"))=0,#N/A,INDIRECT(ADDRESS($B285+1,CL$230,1,1,"Actively Infected Trend")))</f>
        <v>#N/A</v>
      </c>
      <c r="CM285" s="14" t="e" cm="1">
        <f t="array" aca="1" ref="CM285" ca="1">IF(INDIRECT(ADDRESS($B285+1,CM$230,1,1,"Actively Infected Trend"))=0,#N/A,INDIRECT(ADDRESS($B285+1,CM$230,1,1,"Actively Infected Trend")))</f>
        <v>#N/A</v>
      </c>
      <c r="CN285" s="14" t="e" cm="1">
        <f t="array" aca="1" ref="CN285" ca="1">IF(INDIRECT(ADDRESS($B285+1,CN$230,1,1,"Actively Infected Trend"))=0,#N/A,INDIRECT(ADDRESS($B285+1,CN$230,1,1,"Actively Infected Trend")))</f>
        <v>#N/A</v>
      </c>
      <c r="CO285" s="14" t="e" cm="1">
        <f t="array" aca="1" ref="CO285" ca="1">IF(INDIRECT(ADDRESS($B285+1,CO$230,1,1,"Actively Infected Trend"))=0,#N/A,INDIRECT(ADDRESS($B285+1,CO$230,1,1,"Actively Infected Trend")))</f>
        <v>#N/A</v>
      </c>
      <c r="CP285" s="14" t="e" cm="1">
        <f t="array" aca="1" ref="CP285" ca="1">IF(INDIRECT(ADDRESS($B285+1,CP$230,1,1,"Actively Infected Trend"))=0,#N/A,INDIRECT(ADDRESS($B285+1,CP$230,1,1,"Actively Infected Trend")))</f>
        <v>#N/A</v>
      </c>
      <c r="CQ285" s="14" t="e" cm="1">
        <f t="array" aca="1" ref="CQ285" ca="1">IF(INDIRECT(ADDRESS($B285+1,CQ$230,1,1,"Actively Infected Trend"))=0,#N/A,INDIRECT(ADDRESS($B285+1,CQ$230,1,1,"Actively Infected Trend")))</f>
        <v>#N/A</v>
      </c>
      <c r="CR285" s="14" t="e" cm="1">
        <f t="array" aca="1" ref="CR285" ca="1">IF(INDIRECT(ADDRESS($B285+1,CR$230,1,1,"Actively Infected Trend"))=0,#N/A,INDIRECT(ADDRESS($B285+1,CR$230,1,1,"Actively Infected Trend")))</f>
        <v>#N/A</v>
      </c>
    </row>
    <row r="286" spans="2:96" x14ac:dyDescent="0.25">
      <c r="B286">
        <f t="shared" si="349"/>
        <v>55</v>
      </c>
      <c r="C286" cm="1">
        <f t="array" aca="1" ref="C286" ca="1">INDIRECT(ADDRESS($B286+1,1,1,1,"Actively Infected Trend"))</f>
        <v>0</v>
      </c>
      <c r="E286" s="14" t="e" cm="1">
        <f t="array" aca="1" ref="E286" ca="1">IF(INDIRECT(ADDRESS($B286+1,E$230,1,1,"Actively Infected Trend"))=0,#N/A,INDIRECT(ADDRESS($B286+1,E$230,1,1,"Actively Infected Trend")))</f>
        <v>#N/A</v>
      </c>
      <c r="F286" s="14" t="e" cm="1">
        <f t="array" aca="1" ref="F286" ca="1">IF(INDIRECT(ADDRESS($B286+1,F$230,1,1,"Actively Infected Trend"))=0,#N/A,INDIRECT(ADDRESS($B286+1,F$230,1,1,"Actively Infected Trend")))</f>
        <v>#N/A</v>
      </c>
      <c r="G286" s="14" t="e" cm="1">
        <f t="array" aca="1" ref="G286" ca="1">IF(INDIRECT(ADDRESS($B286+1,G$230,1,1,"Actively Infected Trend"))=0,#N/A,INDIRECT(ADDRESS($B286+1,G$230,1,1,"Actively Infected Trend")))</f>
        <v>#N/A</v>
      </c>
      <c r="H286" s="14" t="e" cm="1">
        <f t="array" aca="1" ref="H286" ca="1">IF(INDIRECT(ADDRESS($B286+1,H$230,1,1,"Actively Infected Trend"))=0,#N/A,INDIRECT(ADDRESS($B286+1,H$230,1,1,"Actively Infected Trend")))</f>
        <v>#N/A</v>
      </c>
      <c r="I286" s="14" t="e" cm="1">
        <f t="array" aca="1" ref="I286" ca="1">IF(INDIRECT(ADDRESS($B286+1,I$230,1,1,"Actively Infected Trend"))=0,#N/A,INDIRECT(ADDRESS($B286+1,I$230,1,1,"Actively Infected Trend")))</f>
        <v>#N/A</v>
      </c>
      <c r="J286" s="14" t="e" cm="1">
        <f t="array" aca="1" ref="J286" ca="1">IF(INDIRECT(ADDRESS($B286+1,J$230,1,1,"Actively Infected Trend"))=0,#N/A,INDIRECT(ADDRESS($B286+1,J$230,1,1,"Actively Infected Trend")))</f>
        <v>#N/A</v>
      </c>
      <c r="K286" s="14" t="e" cm="1">
        <f t="array" aca="1" ref="K286" ca="1">IF(INDIRECT(ADDRESS($B286+1,K$230,1,1,"Actively Infected Trend"))=0,#N/A,INDIRECT(ADDRESS($B286+1,K$230,1,1,"Actively Infected Trend")))</f>
        <v>#N/A</v>
      </c>
      <c r="L286" s="14" t="e" cm="1">
        <f t="array" aca="1" ref="L286" ca="1">IF(INDIRECT(ADDRESS($B286+1,L$230,1,1,"Actively Infected Trend"))=0,#N/A,INDIRECT(ADDRESS($B286+1,L$230,1,1,"Actively Infected Trend")))</f>
        <v>#N/A</v>
      </c>
      <c r="M286" s="14" t="e" cm="1">
        <f t="array" aca="1" ref="M286" ca="1">IF(INDIRECT(ADDRESS($B286+1,M$230,1,1,"Actively Infected Trend"))=0,#N/A,INDIRECT(ADDRESS($B286+1,M$230,1,1,"Actively Infected Trend")))</f>
        <v>#N/A</v>
      </c>
      <c r="N286" s="14" t="e" cm="1">
        <f t="array" aca="1" ref="N286" ca="1">IF(INDIRECT(ADDRESS($B286+1,N$230,1,1,"Actively Infected Trend"))=0,#N/A,INDIRECT(ADDRESS($B286+1,N$230,1,1,"Actively Infected Trend")))</f>
        <v>#N/A</v>
      </c>
      <c r="O286" s="14" t="e" cm="1">
        <f t="array" aca="1" ref="O286" ca="1">IF(INDIRECT(ADDRESS($B286+1,O$230,1,1,"Actively Infected Trend"))=0,#N/A,INDIRECT(ADDRESS($B286+1,O$230,1,1,"Actively Infected Trend")))</f>
        <v>#N/A</v>
      </c>
      <c r="P286" s="14" t="e" cm="1">
        <f t="array" aca="1" ref="P286" ca="1">IF(INDIRECT(ADDRESS($B286+1,P$230,1,1,"Actively Infected Trend"))=0,#N/A,INDIRECT(ADDRESS($B286+1,P$230,1,1,"Actively Infected Trend")))</f>
        <v>#N/A</v>
      </c>
      <c r="Q286" s="14" t="e" cm="1">
        <f t="array" aca="1" ref="Q286" ca="1">IF(INDIRECT(ADDRESS($B286+1,Q$230,1,1,"Actively Infected Trend"))=0,#N/A,INDIRECT(ADDRESS($B286+1,Q$230,1,1,"Actively Infected Trend")))</f>
        <v>#N/A</v>
      </c>
      <c r="R286" s="14" t="e" cm="1">
        <f t="array" aca="1" ref="R286" ca="1">IF(INDIRECT(ADDRESS($B286+1,R$230,1,1,"Actively Infected Trend"))=0,#N/A,INDIRECT(ADDRESS($B286+1,R$230,1,1,"Actively Infected Trend")))</f>
        <v>#N/A</v>
      </c>
      <c r="S286" s="14" t="e" cm="1">
        <f t="array" aca="1" ref="S286" ca="1">IF(INDIRECT(ADDRESS($B286+1,S$230,1,1,"Actively Infected Trend"))=0,#N/A,INDIRECT(ADDRESS($B286+1,S$230,1,1,"Actively Infected Trend")))</f>
        <v>#N/A</v>
      </c>
      <c r="T286" s="14" t="e" cm="1">
        <f t="array" aca="1" ref="T286" ca="1">IF(INDIRECT(ADDRESS($B286+1,T$230,1,1,"Actively Infected Trend"))=0,#N/A,INDIRECT(ADDRESS($B286+1,T$230,1,1,"Actively Infected Trend")))</f>
        <v>#N/A</v>
      </c>
      <c r="U286" s="14" t="e" cm="1">
        <f t="array" aca="1" ref="U286" ca="1">IF(INDIRECT(ADDRESS($B286+1,U$230,1,1,"Actively Infected Trend"))=0,#N/A,INDIRECT(ADDRESS($B286+1,U$230,1,1,"Actively Infected Trend")))</f>
        <v>#N/A</v>
      </c>
      <c r="V286" s="14" t="e" cm="1">
        <f t="array" aca="1" ref="V286" ca="1">IF(INDIRECT(ADDRESS($B286+1,V$230,1,1,"Actively Infected Trend"))=0,#N/A,INDIRECT(ADDRESS($B286+1,V$230,1,1,"Actively Infected Trend")))</f>
        <v>#N/A</v>
      </c>
      <c r="W286" s="14" t="e" cm="1">
        <f t="array" aca="1" ref="W286" ca="1">IF(INDIRECT(ADDRESS($B286+1,W$230,1,1,"Actively Infected Trend"))=0,#N/A,INDIRECT(ADDRESS($B286+1,W$230,1,1,"Actively Infected Trend")))</f>
        <v>#N/A</v>
      </c>
      <c r="X286" s="14" t="e" cm="1">
        <f t="array" aca="1" ref="X286" ca="1">IF(INDIRECT(ADDRESS($B286+1,X$230,1,1,"Actively Infected Trend"))=0,#N/A,INDIRECT(ADDRESS($B286+1,X$230,1,1,"Actively Infected Trend")))</f>
        <v>#N/A</v>
      </c>
      <c r="Y286" s="14" t="e" cm="1">
        <f t="array" aca="1" ref="Y286" ca="1">IF(INDIRECT(ADDRESS($B286+1,Y$230,1,1,"Actively Infected Trend"))=0,#N/A,INDIRECT(ADDRESS($B286+1,Y$230,1,1,"Actively Infected Trend")))</f>
        <v>#N/A</v>
      </c>
      <c r="Z286" s="14" t="e" cm="1">
        <f t="array" aca="1" ref="Z286" ca="1">IF(INDIRECT(ADDRESS($B286+1,Z$230,1,1,"Actively Infected Trend"))=0,#N/A,INDIRECT(ADDRESS($B286+1,Z$230,1,1,"Actively Infected Trend")))</f>
        <v>#N/A</v>
      </c>
      <c r="AA286" s="14" t="e" cm="1">
        <f t="array" aca="1" ref="AA286" ca="1">IF(INDIRECT(ADDRESS($B286+1,AA$230,1,1,"Actively Infected Trend"))=0,#N/A,INDIRECT(ADDRESS($B286+1,AA$230,1,1,"Actively Infected Trend")))</f>
        <v>#N/A</v>
      </c>
      <c r="AB286" s="14" t="e" cm="1">
        <f t="array" aca="1" ref="AB286" ca="1">IF(INDIRECT(ADDRESS($B286+1,AB$230,1,1,"Actively Infected Trend"))=0,#N/A,INDIRECT(ADDRESS($B286+1,AB$230,1,1,"Actively Infected Trend")))</f>
        <v>#N/A</v>
      </c>
      <c r="AC286" s="14" t="e" cm="1">
        <f t="array" aca="1" ref="AC286" ca="1">IF(INDIRECT(ADDRESS($B286+1,AC$230,1,1,"Actively Infected Trend"))=0,#N/A,INDIRECT(ADDRESS($B286+1,AC$230,1,1,"Actively Infected Trend")))</f>
        <v>#N/A</v>
      </c>
      <c r="AD286" s="14" t="e" cm="1">
        <f t="array" aca="1" ref="AD286" ca="1">IF(INDIRECT(ADDRESS($B286+1,AD$230,1,1,"Actively Infected Trend"))=0,#N/A,INDIRECT(ADDRESS($B286+1,AD$230,1,1,"Actively Infected Trend")))</f>
        <v>#N/A</v>
      </c>
      <c r="AE286" s="14" t="e" cm="1">
        <f t="array" aca="1" ref="AE286" ca="1">IF(INDIRECT(ADDRESS($B286+1,AE$230,1,1,"Actively Infected Trend"))=0,#N/A,INDIRECT(ADDRESS($B286+1,AE$230,1,1,"Actively Infected Trend")))</f>
        <v>#N/A</v>
      </c>
      <c r="AF286" s="14" t="e" cm="1">
        <f t="array" aca="1" ref="AF286" ca="1">IF(INDIRECT(ADDRESS($B286+1,AF$230,1,1,"Actively Infected Trend"))=0,#N/A,INDIRECT(ADDRESS($B286+1,AF$230,1,1,"Actively Infected Trend")))</f>
        <v>#N/A</v>
      </c>
      <c r="AG286" s="14" t="e" cm="1">
        <f t="array" aca="1" ref="AG286" ca="1">IF(INDIRECT(ADDRESS($B286+1,AG$230,1,1,"Actively Infected Trend"))=0,#N/A,INDIRECT(ADDRESS($B286+1,AG$230,1,1,"Actively Infected Trend")))</f>
        <v>#N/A</v>
      </c>
      <c r="AH286" s="14" t="e" cm="1">
        <f t="array" aca="1" ref="AH286" ca="1">IF(INDIRECT(ADDRESS($B286+1,AH$230,1,1,"Actively Infected Trend"))=0,#N/A,INDIRECT(ADDRESS($B286+1,AH$230,1,1,"Actively Infected Trend")))</f>
        <v>#N/A</v>
      </c>
      <c r="AI286" s="14" t="e" cm="1">
        <f t="array" aca="1" ref="AI286" ca="1">IF(INDIRECT(ADDRESS($B286+1,AI$230,1,1,"Actively Infected Trend"))=0,#N/A,INDIRECT(ADDRESS($B286+1,AI$230,1,1,"Actively Infected Trend")))</f>
        <v>#N/A</v>
      </c>
      <c r="AJ286" s="14" t="e" cm="1">
        <f t="array" aca="1" ref="AJ286" ca="1">IF(INDIRECT(ADDRESS($B286+1,AJ$230,1,1,"Actively Infected Trend"))=0,#N/A,INDIRECT(ADDRESS($B286+1,AJ$230,1,1,"Actively Infected Trend")))</f>
        <v>#N/A</v>
      </c>
      <c r="AK286" s="14" t="e" cm="1">
        <f t="array" aca="1" ref="AK286" ca="1">IF(INDIRECT(ADDRESS($B286+1,AK$230,1,1,"Actively Infected Trend"))=0,#N/A,INDIRECT(ADDRESS($B286+1,AK$230,1,1,"Actively Infected Trend")))</f>
        <v>#N/A</v>
      </c>
      <c r="AL286" s="14" t="e" cm="1">
        <f t="array" aca="1" ref="AL286" ca="1">IF(INDIRECT(ADDRESS($B286+1,AL$230,1,1,"Actively Infected Trend"))=0,#N/A,INDIRECT(ADDRESS($B286+1,AL$230,1,1,"Actively Infected Trend")))</f>
        <v>#N/A</v>
      </c>
      <c r="AM286" s="14" t="e" cm="1">
        <f t="array" aca="1" ref="AM286" ca="1">IF(INDIRECT(ADDRESS($B286+1,AM$230,1,1,"Actively Infected Trend"))=0,#N/A,INDIRECT(ADDRESS($B286+1,AM$230,1,1,"Actively Infected Trend")))</f>
        <v>#N/A</v>
      </c>
      <c r="AN286" s="14" t="e" cm="1">
        <f t="array" aca="1" ref="AN286" ca="1">IF(INDIRECT(ADDRESS($B286+1,AN$230,1,1,"Actively Infected Trend"))=0,#N/A,INDIRECT(ADDRESS($B286+1,AN$230,1,1,"Actively Infected Trend")))</f>
        <v>#N/A</v>
      </c>
      <c r="AO286" s="14" t="e" cm="1">
        <f t="array" aca="1" ref="AO286" ca="1">IF(INDIRECT(ADDRESS($B286+1,AO$230,1,1,"Actively Infected Trend"))=0,#N/A,INDIRECT(ADDRESS($B286+1,AO$230,1,1,"Actively Infected Trend")))</f>
        <v>#N/A</v>
      </c>
      <c r="AP286" s="14" t="e" cm="1">
        <f t="array" aca="1" ref="AP286" ca="1">IF(INDIRECT(ADDRESS($B286+1,AP$230,1,1,"Actively Infected Trend"))=0,#N/A,INDIRECT(ADDRESS($B286+1,AP$230,1,1,"Actively Infected Trend")))</f>
        <v>#N/A</v>
      </c>
      <c r="AQ286" s="14" t="e" cm="1">
        <f t="array" aca="1" ref="AQ286" ca="1">IF(INDIRECT(ADDRESS($B286+1,AQ$230,1,1,"Actively Infected Trend"))=0,#N/A,INDIRECT(ADDRESS($B286+1,AQ$230,1,1,"Actively Infected Trend")))</f>
        <v>#N/A</v>
      </c>
      <c r="AR286" s="14" t="e" cm="1">
        <f t="array" aca="1" ref="AR286" ca="1">IF(INDIRECT(ADDRESS($B286+1,AR$230,1,1,"Actively Infected Trend"))=0,#N/A,INDIRECT(ADDRESS($B286+1,AR$230,1,1,"Actively Infected Trend")))</f>
        <v>#N/A</v>
      </c>
      <c r="AS286" s="14" t="e" cm="1">
        <f t="array" aca="1" ref="AS286" ca="1">IF(INDIRECT(ADDRESS($B286+1,AS$230,1,1,"Actively Infected Trend"))=0,#N/A,INDIRECT(ADDRESS($B286+1,AS$230,1,1,"Actively Infected Trend")))</f>
        <v>#N/A</v>
      </c>
      <c r="AT286" s="14" t="e" cm="1">
        <f t="array" aca="1" ref="AT286" ca="1">IF(INDIRECT(ADDRESS($B286+1,AT$230,1,1,"Actively Infected Trend"))=0,#N/A,INDIRECT(ADDRESS($B286+1,AT$230,1,1,"Actively Infected Trend")))</f>
        <v>#N/A</v>
      </c>
      <c r="AU286" s="14" t="e" cm="1">
        <f t="array" aca="1" ref="AU286" ca="1">IF(INDIRECT(ADDRESS($B286+1,AU$230,1,1,"Actively Infected Trend"))=0,#N/A,INDIRECT(ADDRESS($B286+1,AU$230,1,1,"Actively Infected Trend")))</f>
        <v>#N/A</v>
      </c>
      <c r="AV286" s="14" t="e" cm="1">
        <f t="array" aca="1" ref="AV286" ca="1">IF(INDIRECT(ADDRESS($B286+1,AV$230,1,1,"Actively Infected Trend"))=0,#N/A,INDIRECT(ADDRESS($B286+1,AV$230,1,1,"Actively Infected Trend")))</f>
        <v>#N/A</v>
      </c>
      <c r="AW286" s="14" t="e" cm="1">
        <f t="array" aca="1" ref="AW286" ca="1">IF(INDIRECT(ADDRESS($B286+1,AW$230,1,1,"Actively Infected Trend"))=0,#N/A,INDIRECT(ADDRESS($B286+1,AW$230,1,1,"Actively Infected Trend")))</f>
        <v>#N/A</v>
      </c>
      <c r="AX286" s="14" t="e" cm="1">
        <f t="array" aca="1" ref="AX286" ca="1">IF(INDIRECT(ADDRESS($B286+1,AX$230,1,1,"Actively Infected Trend"))=0,#N/A,INDIRECT(ADDRESS($B286+1,AX$230,1,1,"Actively Infected Trend")))</f>
        <v>#N/A</v>
      </c>
      <c r="AY286" s="14" t="e" cm="1">
        <f t="array" aca="1" ref="AY286" ca="1">IF(INDIRECT(ADDRESS($B286+1,AY$230,1,1,"Actively Infected Trend"))=0,#N/A,INDIRECT(ADDRESS($B286+1,AY$230,1,1,"Actively Infected Trend")))</f>
        <v>#N/A</v>
      </c>
      <c r="AZ286" s="14" t="e" cm="1">
        <f t="array" aca="1" ref="AZ286" ca="1">IF(INDIRECT(ADDRESS($B286+1,AZ$230,1,1,"Actively Infected Trend"))=0,#N/A,INDIRECT(ADDRESS($B286+1,AZ$230,1,1,"Actively Infected Trend")))</f>
        <v>#N/A</v>
      </c>
      <c r="BA286" s="14" t="e" cm="1">
        <f t="array" aca="1" ref="BA286" ca="1">IF(INDIRECT(ADDRESS($B286+1,BA$230,1,1,"Actively Infected Trend"))=0,#N/A,INDIRECT(ADDRESS($B286+1,BA$230,1,1,"Actively Infected Trend")))</f>
        <v>#N/A</v>
      </c>
      <c r="BB286" s="14" t="e" cm="1">
        <f t="array" aca="1" ref="BB286" ca="1">IF(INDIRECT(ADDRESS($B286+1,BB$230,1,1,"Actively Infected Trend"))=0,#N/A,INDIRECT(ADDRESS($B286+1,BB$230,1,1,"Actively Infected Trend")))</f>
        <v>#N/A</v>
      </c>
      <c r="BC286" s="14" t="e" cm="1">
        <f t="array" aca="1" ref="BC286" ca="1">IF(INDIRECT(ADDRESS($B286+1,BC$230,1,1,"Actively Infected Trend"))=0,#N/A,INDIRECT(ADDRESS($B286+1,BC$230,1,1,"Actively Infected Trend")))</f>
        <v>#N/A</v>
      </c>
      <c r="BD286" s="14" t="e" cm="1">
        <f t="array" aca="1" ref="BD286" ca="1">IF(INDIRECT(ADDRESS($B286+1,BD$230,1,1,"Actively Infected Trend"))=0,#N/A,INDIRECT(ADDRESS($B286+1,BD$230,1,1,"Actively Infected Trend")))</f>
        <v>#N/A</v>
      </c>
      <c r="BE286" s="14" t="e" cm="1">
        <f t="array" aca="1" ref="BE286" ca="1">IF(INDIRECT(ADDRESS($B286+1,BE$230,1,1,"Actively Infected Trend"))=0,#N/A,INDIRECT(ADDRESS($B286+1,BE$230,1,1,"Actively Infected Trend")))</f>
        <v>#N/A</v>
      </c>
      <c r="BF286" s="14" t="e" cm="1">
        <f t="array" aca="1" ref="BF286" ca="1">IF(INDIRECT(ADDRESS($B286+1,BF$230,1,1,"Actively Infected Trend"))=0,#N/A,INDIRECT(ADDRESS($B286+1,BF$230,1,1,"Actively Infected Trend")))</f>
        <v>#N/A</v>
      </c>
      <c r="BG286" s="14" t="e" cm="1">
        <f t="array" aca="1" ref="BG286" ca="1">IF(INDIRECT(ADDRESS($B286+1,BG$230,1,1,"Actively Infected Trend"))=0,#N/A,INDIRECT(ADDRESS($B286+1,BG$230,1,1,"Actively Infected Trend")))</f>
        <v>#N/A</v>
      </c>
      <c r="BH286" s="14" t="e" cm="1">
        <f t="array" aca="1" ref="BH286" ca="1">IF(INDIRECT(ADDRESS($B286+1,BH$230,1,1,"Actively Infected Trend"))=0,#N/A,INDIRECT(ADDRESS($B286+1,BH$230,1,1,"Actively Infected Trend")))</f>
        <v>#N/A</v>
      </c>
      <c r="BI286" s="14" t="e" cm="1">
        <f t="array" aca="1" ref="BI286" ca="1">IF(INDIRECT(ADDRESS($B286+1,BI$230,1,1,"Actively Infected Trend"))=0,#N/A,INDIRECT(ADDRESS($B286+1,BI$230,1,1,"Actively Infected Trend")))</f>
        <v>#N/A</v>
      </c>
      <c r="BJ286" s="14" t="e" cm="1">
        <f t="array" aca="1" ref="BJ286" ca="1">IF(INDIRECT(ADDRESS($B286+1,BJ$230,1,1,"Actively Infected Trend"))=0,#N/A,INDIRECT(ADDRESS($B286+1,BJ$230,1,1,"Actively Infected Trend")))</f>
        <v>#N/A</v>
      </c>
      <c r="BK286" s="14" t="e" cm="1">
        <f t="array" aca="1" ref="BK286" ca="1">IF(INDIRECT(ADDRESS($B286+1,BK$230,1,1,"Actively Infected Trend"))=0,#N/A,INDIRECT(ADDRESS($B286+1,BK$230,1,1,"Actively Infected Trend")))</f>
        <v>#N/A</v>
      </c>
      <c r="BL286" s="14" t="e" cm="1">
        <f t="array" aca="1" ref="BL286" ca="1">IF(INDIRECT(ADDRESS($B286+1,BL$230,1,1,"Actively Infected Trend"))=0,#N/A,INDIRECT(ADDRESS($B286+1,BL$230,1,1,"Actively Infected Trend")))</f>
        <v>#N/A</v>
      </c>
      <c r="BM286" s="14" t="e" cm="1">
        <f t="array" aca="1" ref="BM286" ca="1">IF(INDIRECT(ADDRESS($B286+1,BM$230,1,1,"Actively Infected Trend"))=0,#N/A,INDIRECT(ADDRESS($B286+1,BM$230,1,1,"Actively Infected Trend")))</f>
        <v>#N/A</v>
      </c>
      <c r="BN286" s="14" t="e" cm="1">
        <f t="array" aca="1" ref="BN286" ca="1">IF(INDIRECT(ADDRESS($B286+1,BN$230,1,1,"Actively Infected Trend"))=0,#N/A,INDIRECT(ADDRESS($B286+1,BN$230,1,1,"Actively Infected Trend")))</f>
        <v>#N/A</v>
      </c>
      <c r="BO286" s="14" t="e" cm="1">
        <f t="array" aca="1" ref="BO286" ca="1">IF(INDIRECT(ADDRESS($B286+1,BO$230,1,1,"Actively Infected Trend"))=0,#N/A,INDIRECT(ADDRESS($B286+1,BO$230,1,1,"Actively Infected Trend")))</f>
        <v>#N/A</v>
      </c>
      <c r="BP286" s="14" t="e" cm="1">
        <f t="array" aca="1" ref="BP286" ca="1">IF(INDIRECT(ADDRESS($B286+1,BP$230,1,1,"Actively Infected Trend"))=0,#N/A,INDIRECT(ADDRESS($B286+1,BP$230,1,1,"Actively Infected Trend")))</f>
        <v>#N/A</v>
      </c>
      <c r="BQ286" s="14" t="e" cm="1">
        <f t="array" aca="1" ref="BQ286" ca="1">IF(INDIRECT(ADDRESS($B286+1,BQ$230,1,1,"Actively Infected Trend"))=0,#N/A,INDIRECT(ADDRESS($B286+1,BQ$230,1,1,"Actively Infected Trend")))</f>
        <v>#N/A</v>
      </c>
      <c r="BR286" s="14" t="e" cm="1">
        <f t="array" aca="1" ref="BR286" ca="1">IF(INDIRECT(ADDRESS($B286+1,BR$230,1,1,"Actively Infected Trend"))=0,#N/A,INDIRECT(ADDRESS($B286+1,BR$230,1,1,"Actively Infected Trend")))</f>
        <v>#N/A</v>
      </c>
      <c r="BS286" s="14" t="e" cm="1">
        <f t="array" aca="1" ref="BS286" ca="1">IF(INDIRECT(ADDRESS($B286+1,BS$230,1,1,"Actively Infected Trend"))=0,#N/A,INDIRECT(ADDRESS($B286+1,BS$230,1,1,"Actively Infected Trend")))</f>
        <v>#N/A</v>
      </c>
      <c r="BT286" s="14" t="e" cm="1">
        <f t="array" aca="1" ref="BT286" ca="1">IF(INDIRECT(ADDRESS($B286+1,BT$230,1,1,"Actively Infected Trend"))=0,#N/A,INDIRECT(ADDRESS($B286+1,BT$230,1,1,"Actively Infected Trend")))</f>
        <v>#N/A</v>
      </c>
      <c r="BU286" s="14" t="e" cm="1">
        <f t="array" aca="1" ref="BU286" ca="1">IF(INDIRECT(ADDRESS($B286+1,BU$230,1,1,"Actively Infected Trend"))=0,#N/A,INDIRECT(ADDRESS($B286+1,BU$230,1,1,"Actively Infected Trend")))</f>
        <v>#N/A</v>
      </c>
      <c r="BV286" s="14" t="e" cm="1">
        <f t="array" aca="1" ref="BV286" ca="1">IF(INDIRECT(ADDRESS($B286+1,BV$230,1,1,"Actively Infected Trend"))=0,#N/A,INDIRECT(ADDRESS($B286+1,BV$230,1,1,"Actively Infected Trend")))</f>
        <v>#N/A</v>
      </c>
      <c r="BW286" s="14" t="e" cm="1">
        <f t="array" aca="1" ref="BW286" ca="1">IF(INDIRECT(ADDRESS($B286+1,BW$230,1,1,"Actively Infected Trend"))=0,#N/A,INDIRECT(ADDRESS($B286+1,BW$230,1,1,"Actively Infected Trend")))</f>
        <v>#N/A</v>
      </c>
      <c r="BX286" s="14" t="e" cm="1">
        <f t="array" aca="1" ref="BX286" ca="1">IF(INDIRECT(ADDRESS($B286+1,BX$230,1,1,"Actively Infected Trend"))=0,#N/A,INDIRECT(ADDRESS($B286+1,BX$230,1,1,"Actively Infected Trend")))</f>
        <v>#N/A</v>
      </c>
      <c r="BY286" s="14" t="e" cm="1">
        <f t="array" aca="1" ref="BY286" ca="1">IF(INDIRECT(ADDRESS($B286+1,BY$230,1,1,"Actively Infected Trend"))=0,#N/A,INDIRECT(ADDRESS($B286+1,BY$230,1,1,"Actively Infected Trend")))</f>
        <v>#N/A</v>
      </c>
      <c r="BZ286" s="14" t="e" cm="1">
        <f t="array" aca="1" ref="BZ286" ca="1">IF(INDIRECT(ADDRESS($B286+1,BZ$230,1,1,"Actively Infected Trend"))=0,#N/A,INDIRECT(ADDRESS($B286+1,BZ$230,1,1,"Actively Infected Trend")))</f>
        <v>#N/A</v>
      </c>
      <c r="CA286" s="14" t="e" cm="1">
        <f t="array" aca="1" ref="CA286" ca="1">IF(INDIRECT(ADDRESS($B286+1,CA$230,1,1,"Actively Infected Trend"))=0,#N/A,INDIRECT(ADDRESS($B286+1,CA$230,1,1,"Actively Infected Trend")))</f>
        <v>#N/A</v>
      </c>
      <c r="CB286" s="14" t="e" cm="1">
        <f t="array" aca="1" ref="CB286" ca="1">IF(INDIRECT(ADDRESS($B286+1,CB$230,1,1,"Actively Infected Trend"))=0,#N/A,INDIRECT(ADDRESS($B286+1,CB$230,1,1,"Actively Infected Trend")))</f>
        <v>#N/A</v>
      </c>
      <c r="CC286" s="14" t="e" cm="1">
        <f t="array" aca="1" ref="CC286" ca="1">IF(INDIRECT(ADDRESS($B286+1,CC$230,1,1,"Actively Infected Trend"))=0,#N/A,INDIRECT(ADDRESS($B286+1,CC$230,1,1,"Actively Infected Trend")))</f>
        <v>#N/A</v>
      </c>
      <c r="CD286" s="14" t="e" cm="1">
        <f t="array" aca="1" ref="CD286" ca="1">IF(INDIRECT(ADDRESS($B286+1,CD$230,1,1,"Actively Infected Trend"))=0,#N/A,INDIRECT(ADDRESS($B286+1,CD$230,1,1,"Actively Infected Trend")))</f>
        <v>#N/A</v>
      </c>
      <c r="CE286" s="14" t="e" cm="1">
        <f t="array" aca="1" ref="CE286" ca="1">IF(INDIRECT(ADDRESS($B286+1,CE$230,1,1,"Actively Infected Trend"))=0,#N/A,INDIRECT(ADDRESS($B286+1,CE$230,1,1,"Actively Infected Trend")))</f>
        <v>#N/A</v>
      </c>
      <c r="CF286" s="14" t="e" cm="1">
        <f t="array" aca="1" ref="CF286" ca="1">IF(INDIRECT(ADDRESS($B286+1,CF$230,1,1,"Actively Infected Trend"))=0,#N/A,INDIRECT(ADDRESS($B286+1,CF$230,1,1,"Actively Infected Trend")))</f>
        <v>#N/A</v>
      </c>
      <c r="CG286" s="14" t="e" cm="1">
        <f t="array" aca="1" ref="CG286" ca="1">IF(INDIRECT(ADDRESS($B286+1,CG$230,1,1,"Actively Infected Trend"))=0,#N/A,INDIRECT(ADDRESS($B286+1,CG$230,1,1,"Actively Infected Trend")))</f>
        <v>#N/A</v>
      </c>
      <c r="CH286" s="14" t="e" cm="1">
        <f t="array" aca="1" ref="CH286" ca="1">IF(INDIRECT(ADDRESS($B286+1,CH$230,1,1,"Actively Infected Trend"))=0,#N/A,INDIRECT(ADDRESS($B286+1,CH$230,1,1,"Actively Infected Trend")))</f>
        <v>#N/A</v>
      </c>
      <c r="CI286" s="14" t="e" cm="1">
        <f t="array" aca="1" ref="CI286" ca="1">IF(INDIRECT(ADDRESS($B286+1,CI$230,1,1,"Actively Infected Trend"))=0,#N/A,INDIRECT(ADDRESS($B286+1,CI$230,1,1,"Actively Infected Trend")))</f>
        <v>#N/A</v>
      </c>
      <c r="CJ286" s="14" t="e" cm="1">
        <f t="array" aca="1" ref="CJ286" ca="1">IF(INDIRECT(ADDRESS($B286+1,CJ$230,1,1,"Actively Infected Trend"))=0,#N/A,INDIRECT(ADDRESS($B286+1,CJ$230,1,1,"Actively Infected Trend")))</f>
        <v>#N/A</v>
      </c>
      <c r="CK286" s="14" t="e" cm="1">
        <f t="array" aca="1" ref="CK286" ca="1">IF(INDIRECT(ADDRESS($B286+1,CK$230,1,1,"Actively Infected Trend"))=0,#N/A,INDIRECT(ADDRESS($B286+1,CK$230,1,1,"Actively Infected Trend")))</f>
        <v>#N/A</v>
      </c>
      <c r="CL286" s="14" t="e" cm="1">
        <f t="array" aca="1" ref="CL286" ca="1">IF(INDIRECT(ADDRESS($B286+1,CL$230,1,1,"Actively Infected Trend"))=0,#N/A,INDIRECT(ADDRESS($B286+1,CL$230,1,1,"Actively Infected Trend")))</f>
        <v>#N/A</v>
      </c>
      <c r="CM286" s="14" t="e" cm="1">
        <f t="array" aca="1" ref="CM286" ca="1">IF(INDIRECT(ADDRESS($B286+1,CM$230,1,1,"Actively Infected Trend"))=0,#N/A,INDIRECT(ADDRESS($B286+1,CM$230,1,1,"Actively Infected Trend")))</f>
        <v>#N/A</v>
      </c>
      <c r="CN286" s="14" t="e" cm="1">
        <f t="array" aca="1" ref="CN286" ca="1">IF(INDIRECT(ADDRESS($B286+1,CN$230,1,1,"Actively Infected Trend"))=0,#N/A,INDIRECT(ADDRESS($B286+1,CN$230,1,1,"Actively Infected Trend")))</f>
        <v>#N/A</v>
      </c>
      <c r="CO286" s="14" t="e" cm="1">
        <f t="array" aca="1" ref="CO286" ca="1">IF(INDIRECT(ADDRESS($B286+1,CO$230,1,1,"Actively Infected Trend"))=0,#N/A,INDIRECT(ADDRESS($B286+1,CO$230,1,1,"Actively Infected Trend")))</f>
        <v>#N/A</v>
      </c>
      <c r="CP286" s="14" t="e" cm="1">
        <f t="array" aca="1" ref="CP286" ca="1">IF(INDIRECT(ADDRESS($B286+1,CP$230,1,1,"Actively Infected Trend"))=0,#N/A,INDIRECT(ADDRESS($B286+1,CP$230,1,1,"Actively Infected Trend")))</f>
        <v>#N/A</v>
      </c>
      <c r="CQ286" s="14" t="e" cm="1">
        <f t="array" aca="1" ref="CQ286" ca="1">IF(INDIRECT(ADDRESS($B286+1,CQ$230,1,1,"Actively Infected Trend"))=0,#N/A,INDIRECT(ADDRESS($B286+1,CQ$230,1,1,"Actively Infected Trend")))</f>
        <v>#N/A</v>
      </c>
      <c r="CR286" s="14" t="e" cm="1">
        <f t="array" aca="1" ref="CR286" ca="1">IF(INDIRECT(ADDRESS($B286+1,CR$230,1,1,"Actively Infected Trend"))=0,#N/A,INDIRECT(ADDRESS($B286+1,CR$230,1,1,"Actively Infected Trend")))</f>
        <v>#N/A</v>
      </c>
    </row>
    <row r="287" spans="2:96" x14ac:dyDescent="0.25">
      <c r="B287">
        <f t="shared" si="349"/>
        <v>56</v>
      </c>
      <c r="C287" cm="1">
        <f t="array" aca="1" ref="C287" ca="1">INDIRECT(ADDRESS($B287+1,1,1,1,"Actively Infected Trend"))</f>
        <v>0</v>
      </c>
      <c r="E287" s="14" t="e" cm="1">
        <f t="array" aca="1" ref="E287" ca="1">IF(INDIRECT(ADDRESS($B287+1,E$230,1,1,"Actively Infected Trend"))=0,#N/A,INDIRECT(ADDRESS($B287+1,E$230,1,1,"Actively Infected Trend")))</f>
        <v>#N/A</v>
      </c>
      <c r="F287" s="14" t="e" cm="1">
        <f t="array" aca="1" ref="F287" ca="1">IF(INDIRECT(ADDRESS($B287+1,F$230,1,1,"Actively Infected Trend"))=0,#N/A,INDIRECT(ADDRESS($B287+1,F$230,1,1,"Actively Infected Trend")))</f>
        <v>#N/A</v>
      </c>
      <c r="G287" s="14" t="e" cm="1">
        <f t="array" aca="1" ref="G287" ca="1">IF(INDIRECT(ADDRESS($B287+1,G$230,1,1,"Actively Infected Trend"))=0,#N/A,INDIRECT(ADDRESS($B287+1,G$230,1,1,"Actively Infected Trend")))</f>
        <v>#N/A</v>
      </c>
      <c r="H287" s="14" t="e" cm="1">
        <f t="array" aca="1" ref="H287" ca="1">IF(INDIRECT(ADDRESS($B287+1,H$230,1,1,"Actively Infected Trend"))=0,#N/A,INDIRECT(ADDRESS($B287+1,H$230,1,1,"Actively Infected Trend")))</f>
        <v>#N/A</v>
      </c>
      <c r="I287" s="14" t="e" cm="1">
        <f t="array" aca="1" ref="I287" ca="1">IF(INDIRECT(ADDRESS($B287+1,I$230,1,1,"Actively Infected Trend"))=0,#N/A,INDIRECT(ADDRESS($B287+1,I$230,1,1,"Actively Infected Trend")))</f>
        <v>#N/A</v>
      </c>
      <c r="J287" s="14" t="e" cm="1">
        <f t="array" aca="1" ref="J287" ca="1">IF(INDIRECT(ADDRESS($B287+1,J$230,1,1,"Actively Infected Trend"))=0,#N/A,INDIRECT(ADDRESS($B287+1,J$230,1,1,"Actively Infected Trend")))</f>
        <v>#N/A</v>
      </c>
      <c r="K287" s="14" t="e" cm="1">
        <f t="array" aca="1" ref="K287" ca="1">IF(INDIRECT(ADDRESS($B287+1,K$230,1,1,"Actively Infected Trend"))=0,#N/A,INDIRECT(ADDRESS($B287+1,K$230,1,1,"Actively Infected Trend")))</f>
        <v>#N/A</v>
      </c>
      <c r="L287" s="14" t="e" cm="1">
        <f t="array" aca="1" ref="L287" ca="1">IF(INDIRECT(ADDRESS($B287+1,L$230,1,1,"Actively Infected Trend"))=0,#N/A,INDIRECT(ADDRESS($B287+1,L$230,1,1,"Actively Infected Trend")))</f>
        <v>#N/A</v>
      </c>
      <c r="M287" s="14" t="e" cm="1">
        <f t="array" aca="1" ref="M287" ca="1">IF(INDIRECT(ADDRESS($B287+1,M$230,1,1,"Actively Infected Trend"))=0,#N/A,INDIRECT(ADDRESS($B287+1,M$230,1,1,"Actively Infected Trend")))</f>
        <v>#N/A</v>
      </c>
      <c r="N287" s="14" t="e" cm="1">
        <f t="array" aca="1" ref="N287" ca="1">IF(INDIRECT(ADDRESS($B287+1,N$230,1,1,"Actively Infected Trend"))=0,#N/A,INDIRECT(ADDRESS($B287+1,N$230,1,1,"Actively Infected Trend")))</f>
        <v>#N/A</v>
      </c>
      <c r="O287" s="14" t="e" cm="1">
        <f t="array" aca="1" ref="O287" ca="1">IF(INDIRECT(ADDRESS($B287+1,O$230,1,1,"Actively Infected Trend"))=0,#N/A,INDIRECT(ADDRESS($B287+1,O$230,1,1,"Actively Infected Trend")))</f>
        <v>#N/A</v>
      </c>
      <c r="P287" s="14" t="e" cm="1">
        <f t="array" aca="1" ref="P287" ca="1">IF(INDIRECT(ADDRESS($B287+1,P$230,1,1,"Actively Infected Trend"))=0,#N/A,INDIRECT(ADDRESS($B287+1,P$230,1,1,"Actively Infected Trend")))</f>
        <v>#N/A</v>
      </c>
      <c r="Q287" s="14" t="e" cm="1">
        <f t="array" aca="1" ref="Q287" ca="1">IF(INDIRECT(ADDRESS($B287+1,Q$230,1,1,"Actively Infected Trend"))=0,#N/A,INDIRECT(ADDRESS($B287+1,Q$230,1,1,"Actively Infected Trend")))</f>
        <v>#N/A</v>
      </c>
      <c r="R287" s="14" t="e" cm="1">
        <f t="array" aca="1" ref="R287" ca="1">IF(INDIRECT(ADDRESS($B287+1,R$230,1,1,"Actively Infected Trend"))=0,#N/A,INDIRECT(ADDRESS($B287+1,R$230,1,1,"Actively Infected Trend")))</f>
        <v>#N/A</v>
      </c>
      <c r="S287" s="14" t="e" cm="1">
        <f t="array" aca="1" ref="S287" ca="1">IF(INDIRECT(ADDRESS($B287+1,S$230,1,1,"Actively Infected Trend"))=0,#N/A,INDIRECT(ADDRESS($B287+1,S$230,1,1,"Actively Infected Trend")))</f>
        <v>#N/A</v>
      </c>
      <c r="T287" s="14" t="e" cm="1">
        <f t="array" aca="1" ref="T287" ca="1">IF(INDIRECT(ADDRESS($B287+1,T$230,1,1,"Actively Infected Trend"))=0,#N/A,INDIRECT(ADDRESS($B287+1,T$230,1,1,"Actively Infected Trend")))</f>
        <v>#N/A</v>
      </c>
      <c r="U287" s="14" t="e" cm="1">
        <f t="array" aca="1" ref="U287" ca="1">IF(INDIRECT(ADDRESS($B287+1,U$230,1,1,"Actively Infected Trend"))=0,#N/A,INDIRECT(ADDRESS($B287+1,U$230,1,1,"Actively Infected Trend")))</f>
        <v>#N/A</v>
      </c>
      <c r="V287" s="14" t="e" cm="1">
        <f t="array" aca="1" ref="V287" ca="1">IF(INDIRECT(ADDRESS($B287+1,V$230,1,1,"Actively Infected Trend"))=0,#N/A,INDIRECT(ADDRESS($B287+1,V$230,1,1,"Actively Infected Trend")))</f>
        <v>#N/A</v>
      </c>
      <c r="W287" s="14" t="e" cm="1">
        <f t="array" aca="1" ref="W287" ca="1">IF(INDIRECT(ADDRESS($B287+1,W$230,1,1,"Actively Infected Trend"))=0,#N/A,INDIRECT(ADDRESS($B287+1,W$230,1,1,"Actively Infected Trend")))</f>
        <v>#N/A</v>
      </c>
      <c r="X287" s="14" t="e" cm="1">
        <f t="array" aca="1" ref="X287" ca="1">IF(INDIRECT(ADDRESS($B287+1,X$230,1,1,"Actively Infected Trend"))=0,#N/A,INDIRECT(ADDRESS($B287+1,X$230,1,1,"Actively Infected Trend")))</f>
        <v>#N/A</v>
      </c>
      <c r="Y287" s="14" t="e" cm="1">
        <f t="array" aca="1" ref="Y287" ca="1">IF(INDIRECT(ADDRESS($B287+1,Y$230,1,1,"Actively Infected Trend"))=0,#N/A,INDIRECT(ADDRESS($B287+1,Y$230,1,1,"Actively Infected Trend")))</f>
        <v>#N/A</v>
      </c>
      <c r="Z287" s="14" t="e" cm="1">
        <f t="array" aca="1" ref="Z287" ca="1">IF(INDIRECT(ADDRESS($B287+1,Z$230,1,1,"Actively Infected Trend"))=0,#N/A,INDIRECT(ADDRESS($B287+1,Z$230,1,1,"Actively Infected Trend")))</f>
        <v>#N/A</v>
      </c>
      <c r="AA287" s="14" t="e" cm="1">
        <f t="array" aca="1" ref="AA287" ca="1">IF(INDIRECT(ADDRESS($B287+1,AA$230,1,1,"Actively Infected Trend"))=0,#N/A,INDIRECT(ADDRESS($B287+1,AA$230,1,1,"Actively Infected Trend")))</f>
        <v>#N/A</v>
      </c>
      <c r="AB287" s="14" t="e" cm="1">
        <f t="array" aca="1" ref="AB287" ca="1">IF(INDIRECT(ADDRESS($B287+1,AB$230,1,1,"Actively Infected Trend"))=0,#N/A,INDIRECT(ADDRESS($B287+1,AB$230,1,1,"Actively Infected Trend")))</f>
        <v>#N/A</v>
      </c>
      <c r="AC287" s="14" t="e" cm="1">
        <f t="array" aca="1" ref="AC287" ca="1">IF(INDIRECT(ADDRESS($B287+1,AC$230,1,1,"Actively Infected Trend"))=0,#N/A,INDIRECT(ADDRESS($B287+1,AC$230,1,1,"Actively Infected Trend")))</f>
        <v>#N/A</v>
      </c>
      <c r="AD287" s="14" t="e" cm="1">
        <f t="array" aca="1" ref="AD287" ca="1">IF(INDIRECT(ADDRESS($B287+1,AD$230,1,1,"Actively Infected Trend"))=0,#N/A,INDIRECT(ADDRESS($B287+1,AD$230,1,1,"Actively Infected Trend")))</f>
        <v>#N/A</v>
      </c>
      <c r="AE287" s="14" t="e" cm="1">
        <f t="array" aca="1" ref="AE287" ca="1">IF(INDIRECT(ADDRESS($B287+1,AE$230,1,1,"Actively Infected Trend"))=0,#N/A,INDIRECT(ADDRESS($B287+1,AE$230,1,1,"Actively Infected Trend")))</f>
        <v>#N/A</v>
      </c>
      <c r="AF287" s="14" t="e" cm="1">
        <f t="array" aca="1" ref="AF287" ca="1">IF(INDIRECT(ADDRESS($B287+1,AF$230,1,1,"Actively Infected Trend"))=0,#N/A,INDIRECT(ADDRESS($B287+1,AF$230,1,1,"Actively Infected Trend")))</f>
        <v>#N/A</v>
      </c>
      <c r="AG287" s="14" t="e" cm="1">
        <f t="array" aca="1" ref="AG287" ca="1">IF(INDIRECT(ADDRESS($B287+1,AG$230,1,1,"Actively Infected Trend"))=0,#N/A,INDIRECT(ADDRESS($B287+1,AG$230,1,1,"Actively Infected Trend")))</f>
        <v>#N/A</v>
      </c>
      <c r="AH287" s="14" t="e" cm="1">
        <f t="array" aca="1" ref="AH287" ca="1">IF(INDIRECT(ADDRESS($B287+1,AH$230,1,1,"Actively Infected Trend"))=0,#N/A,INDIRECT(ADDRESS($B287+1,AH$230,1,1,"Actively Infected Trend")))</f>
        <v>#N/A</v>
      </c>
      <c r="AI287" s="14" t="e" cm="1">
        <f t="array" aca="1" ref="AI287" ca="1">IF(INDIRECT(ADDRESS($B287+1,AI$230,1,1,"Actively Infected Trend"))=0,#N/A,INDIRECT(ADDRESS($B287+1,AI$230,1,1,"Actively Infected Trend")))</f>
        <v>#N/A</v>
      </c>
      <c r="AJ287" s="14" t="e" cm="1">
        <f t="array" aca="1" ref="AJ287" ca="1">IF(INDIRECT(ADDRESS($B287+1,AJ$230,1,1,"Actively Infected Trend"))=0,#N/A,INDIRECT(ADDRESS($B287+1,AJ$230,1,1,"Actively Infected Trend")))</f>
        <v>#N/A</v>
      </c>
      <c r="AK287" s="14" t="e" cm="1">
        <f t="array" aca="1" ref="AK287" ca="1">IF(INDIRECT(ADDRESS($B287+1,AK$230,1,1,"Actively Infected Trend"))=0,#N/A,INDIRECT(ADDRESS($B287+1,AK$230,1,1,"Actively Infected Trend")))</f>
        <v>#N/A</v>
      </c>
      <c r="AL287" s="14" t="e" cm="1">
        <f t="array" aca="1" ref="AL287" ca="1">IF(INDIRECT(ADDRESS($B287+1,AL$230,1,1,"Actively Infected Trend"))=0,#N/A,INDIRECT(ADDRESS($B287+1,AL$230,1,1,"Actively Infected Trend")))</f>
        <v>#N/A</v>
      </c>
      <c r="AM287" s="14" t="e" cm="1">
        <f t="array" aca="1" ref="AM287" ca="1">IF(INDIRECT(ADDRESS($B287+1,AM$230,1,1,"Actively Infected Trend"))=0,#N/A,INDIRECT(ADDRESS($B287+1,AM$230,1,1,"Actively Infected Trend")))</f>
        <v>#N/A</v>
      </c>
      <c r="AN287" s="14" t="e" cm="1">
        <f t="array" aca="1" ref="AN287" ca="1">IF(INDIRECT(ADDRESS($B287+1,AN$230,1,1,"Actively Infected Trend"))=0,#N/A,INDIRECT(ADDRESS($B287+1,AN$230,1,1,"Actively Infected Trend")))</f>
        <v>#N/A</v>
      </c>
      <c r="AO287" s="14" t="e" cm="1">
        <f t="array" aca="1" ref="AO287" ca="1">IF(INDIRECT(ADDRESS($B287+1,AO$230,1,1,"Actively Infected Trend"))=0,#N/A,INDIRECT(ADDRESS($B287+1,AO$230,1,1,"Actively Infected Trend")))</f>
        <v>#N/A</v>
      </c>
      <c r="AP287" s="14" t="e" cm="1">
        <f t="array" aca="1" ref="AP287" ca="1">IF(INDIRECT(ADDRESS($B287+1,AP$230,1,1,"Actively Infected Trend"))=0,#N/A,INDIRECT(ADDRESS($B287+1,AP$230,1,1,"Actively Infected Trend")))</f>
        <v>#N/A</v>
      </c>
      <c r="AQ287" s="14" t="e" cm="1">
        <f t="array" aca="1" ref="AQ287" ca="1">IF(INDIRECT(ADDRESS($B287+1,AQ$230,1,1,"Actively Infected Trend"))=0,#N/A,INDIRECT(ADDRESS($B287+1,AQ$230,1,1,"Actively Infected Trend")))</f>
        <v>#N/A</v>
      </c>
      <c r="AR287" s="14" t="e" cm="1">
        <f t="array" aca="1" ref="AR287" ca="1">IF(INDIRECT(ADDRESS($B287+1,AR$230,1,1,"Actively Infected Trend"))=0,#N/A,INDIRECT(ADDRESS($B287+1,AR$230,1,1,"Actively Infected Trend")))</f>
        <v>#N/A</v>
      </c>
      <c r="AS287" s="14" t="e" cm="1">
        <f t="array" aca="1" ref="AS287" ca="1">IF(INDIRECT(ADDRESS($B287+1,AS$230,1,1,"Actively Infected Trend"))=0,#N/A,INDIRECT(ADDRESS($B287+1,AS$230,1,1,"Actively Infected Trend")))</f>
        <v>#N/A</v>
      </c>
      <c r="AT287" s="14" t="e" cm="1">
        <f t="array" aca="1" ref="AT287" ca="1">IF(INDIRECT(ADDRESS($B287+1,AT$230,1,1,"Actively Infected Trend"))=0,#N/A,INDIRECT(ADDRESS($B287+1,AT$230,1,1,"Actively Infected Trend")))</f>
        <v>#N/A</v>
      </c>
      <c r="AU287" s="14" t="e" cm="1">
        <f t="array" aca="1" ref="AU287" ca="1">IF(INDIRECT(ADDRESS($B287+1,AU$230,1,1,"Actively Infected Trend"))=0,#N/A,INDIRECT(ADDRESS($B287+1,AU$230,1,1,"Actively Infected Trend")))</f>
        <v>#N/A</v>
      </c>
      <c r="AV287" s="14" t="e" cm="1">
        <f t="array" aca="1" ref="AV287" ca="1">IF(INDIRECT(ADDRESS($B287+1,AV$230,1,1,"Actively Infected Trend"))=0,#N/A,INDIRECT(ADDRESS($B287+1,AV$230,1,1,"Actively Infected Trend")))</f>
        <v>#N/A</v>
      </c>
      <c r="AW287" s="14" t="e" cm="1">
        <f t="array" aca="1" ref="AW287" ca="1">IF(INDIRECT(ADDRESS($B287+1,AW$230,1,1,"Actively Infected Trend"))=0,#N/A,INDIRECT(ADDRESS($B287+1,AW$230,1,1,"Actively Infected Trend")))</f>
        <v>#N/A</v>
      </c>
      <c r="AX287" s="14" t="e" cm="1">
        <f t="array" aca="1" ref="AX287" ca="1">IF(INDIRECT(ADDRESS($B287+1,AX$230,1,1,"Actively Infected Trend"))=0,#N/A,INDIRECT(ADDRESS($B287+1,AX$230,1,1,"Actively Infected Trend")))</f>
        <v>#N/A</v>
      </c>
      <c r="AY287" s="14" t="e" cm="1">
        <f t="array" aca="1" ref="AY287" ca="1">IF(INDIRECT(ADDRESS($B287+1,AY$230,1,1,"Actively Infected Trend"))=0,#N/A,INDIRECT(ADDRESS($B287+1,AY$230,1,1,"Actively Infected Trend")))</f>
        <v>#N/A</v>
      </c>
      <c r="AZ287" s="14" t="e" cm="1">
        <f t="array" aca="1" ref="AZ287" ca="1">IF(INDIRECT(ADDRESS($B287+1,AZ$230,1,1,"Actively Infected Trend"))=0,#N/A,INDIRECT(ADDRESS($B287+1,AZ$230,1,1,"Actively Infected Trend")))</f>
        <v>#N/A</v>
      </c>
      <c r="BA287" s="14" t="e" cm="1">
        <f t="array" aca="1" ref="BA287" ca="1">IF(INDIRECT(ADDRESS($B287+1,BA$230,1,1,"Actively Infected Trend"))=0,#N/A,INDIRECT(ADDRESS($B287+1,BA$230,1,1,"Actively Infected Trend")))</f>
        <v>#N/A</v>
      </c>
      <c r="BB287" s="14" t="e" cm="1">
        <f t="array" aca="1" ref="BB287" ca="1">IF(INDIRECT(ADDRESS($B287+1,BB$230,1,1,"Actively Infected Trend"))=0,#N/A,INDIRECT(ADDRESS($B287+1,BB$230,1,1,"Actively Infected Trend")))</f>
        <v>#N/A</v>
      </c>
      <c r="BC287" s="14" t="e" cm="1">
        <f t="array" aca="1" ref="BC287" ca="1">IF(INDIRECT(ADDRESS($B287+1,BC$230,1,1,"Actively Infected Trend"))=0,#N/A,INDIRECT(ADDRESS($B287+1,BC$230,1,1,"Actively Infected Trend")))</f>
        <v>#N/A</v>
      </c>
      <c r="BD287" s="14" t="e" cm="1">
        <f t="array" aca="1" ref="BD287" ca="1">IF(INDIRECT(ADDRESS($B287+1,BD$230,1,1,"Actively Infected Trend"))=0,#N/A,INDIRECT(ADDRESS($B287+1,BD$230,1,1,"Actively Infected Trend")))</f>
        <v>#N/A</v>
      </c>
      <c r="BE287" s="14" t="e" cm="1">
        <f t="array" aca="1" ref="BE287" ca="1">IF(INDIRECT(ADDRESS($B287+1,BE$230,1,1,"Actively Infected Trend"))=0,#N/A,INDIRECT(ADDRESS($B287+1,BE$230,1,1,"Actively Infected Trend")))</f>
        <v>#N/A</v>
      </c>
      <c r="BF287" s="14" t="e" cm="1">
        <f t="array" aca="1" ref="BF287" ca="1">IF(INDIRECT(ADDRESS($B287+1,BF$230,1,1,"Actively Infected Trend"))=0,#N/A,INDIRECT(ADDRESS($B287+1,BF$230,1,1,"Actively Infected Trend")))</f>
        <v>#N/A</v>
      </c>
      <c r="BG287" s="14" t="e" cm="1">
        <f t="array" aca="1" ref="BG287" ca="1">IF(INDIRECT(ADDRESS($B287+1,BG$230,1,1,"Actively Infected Trend"))=0,#N/A,INDIRECT(ADDRESS($B287+1,BG$230,1,1,"Actively Infected Trend")))</f>
        <v>#N/A</v>
      </c>
      <c r="BH287" s="14" t="e" cm="1">
        <f t="array" aca="1" ref="BH287" ca="1">IF(INDIRECT(ADDRESS($B287+1,BH$230,1,1,"Actively Infected Trend"))=0,#N/A,INDIRECT(ADDRESS($B287+1,BH$230,1,1,"Actively Infected Trend")))</f>
        <v>#N/A</v>
      </c>
      <c r="BI287" s="14" t="e" cm="1">
        <f t="array" aca="1" ref="BI287" ca="1">IF(INDIRECT(ADDRESS($B287+1,BI$230,1,1,"Actively Infected Trend"))=0,#N/A,INDIRECT(ADDRESS($B287+1,BI$230,1,1,"Actively Infected Trend")))</f>
        <v>#N/A</v>
      </c>
      <c r="BJ287" s="14" t="e" cm="1">
        <f t="array" aca="1" ref="BJ287" ca="1">IF(INDIRECT(ADDRESS($B287+1,BJ$230,1,1,"Actively Infected Trend"))=0,#N/A,INDIRECT(ADDRESS($B287+1,BJ$230,1,1,"Actively Infected Trend")))</f>
        <v>#N/A</v>
      </c>
      <c r="BK287" s="14" t="e" cm="1">
        <f t="array" aca="1" ref="BK287" ca="1">IF(INDIRECT(ADDRESS($B287+1,BK$230,1,1,"Actively Infected Trend"))=0,#N/A,INDIRECT(ADDRESS($B287+1,BK$230,1,1,"Actively Infected Trend")))</f>
        <v>#N/A</v>
      </c>
      <c r="BL287" s="14" t="e" cm="1">
        <f t="array" aca="1" ref="BL287" ca="1">IF(INDIRECT(ADDRESS($B287+1,BL$230,1,1,"Actively Infected Trend"))=0,#N/A,INDIRECT(ADDRESS($B287+1,BL$230,1,1,"Actively Infected Trend")))</f>
        <v>#N/A</v>
      </c>
      <c r="BM287" s="14" t="e" cm="1">
        <f t="array" aca="1" ref="BM287" ca="1">IF(INDIRECT(ADDRESS($B287+1,BM$230,1,1,"Actively Infected Trend"))=0,#N/A,INDIRECT(ADDRESS($B287+1,BM$230,1,1,"Actively Infected Trend")))</f>
        <v>#N/A</v>
      </c>
      <c r="BN287" s="14" t="e" cm="1">
        <f t="array" aca="1" ref="BN287" ca="1">IF(INDIRECT(ADDRESS($B287+1,BN$230,1,1,"Actively Infected Trend"))=0,#N/A,INDIRECT(ADDRESS($B287+1,BN$230,1,1,"Actively Infected Trend")))</f>
        <v>#N/A</v>
      </c>
      <c r="BO287" s="14" t="e" cm="1">
        <f t="array" aca="1" ref="BO287" ca="1">IF(INDIRECT(ADDRESS($B287+1,BO$230,1,1,"Actively Infected Trend"))=0,#N/A,INDIRECT(ADDRESS($B287+1,BO$230,1,1,"Actively Infected Trend")))</f>
        <v>#N/A</v>
      </c>
      <c r="BP287" s="14" t="e" cm="1">
        <f t="array" aca="1" ref="BP287" ca="1">IF(INDIRECT(ADDRESS($B287+1,BP$230,1,1,"Actively Infected Trend"))=0,#N/A,INDIRECT(ADDRESS($B287+1,BP$230,1,1,"Actively Infected Trend")))</f>
        <v>#N/A</v>
      </c>
      <c r="BQ287" s="14" t="e" cm="1">
        <f t="array" aca="1" ref="BQ287" ca="1">IF(INDIRECT(ADDRESS($B287+1,BQ$230,1,1,"Actively Infected Trend"))=0,#N/A,INDIRECT(ADDRESS($B287+1,BQ$230,1,1,"Actively Infected Trend")))</f>
        <v>#N/A</v>
      </c>
      <c r="BR287" s="14" t="e" cm="1">
        <f t="array" aca="1" ref="BR287" ca="1">IF(INDIRECT(ADDRESS($B287+1,BR$230,1,1,"Actively Infected Trend"))=0,#N/A,INDIRECT(ADDRESS($B287+1,BR$230,1,1,"Actively Infected Trend")))</f>
        <v>#N/A</v>
      </c>
      <c r="BS287" s="14" t="e" cm="1">
        <f t="array" aca="1" ref="BS287" ca="1">IF(INDIRECT(ADDRESS($B287+1,BS$230,1,1,"Actively Infected Trend"))=0,#N/A,INDIRECT(ADDRESS($B287+1,BS$230,1,1,"Actively Infected Trend")))</f>
        <v>#N/A</v>
      </c>
      <c r="BT287" s="14" t="e" cm="1">
        <f t="array" aca="1" ref="BT287" ca="1">IF(INDIRECT(ADDRESS($B287+1,BT$230,1,1,"Actively Infected Trend"))=0,#N/A,INDIRECT(ADDRESS($B287+1,BT$230,1,1,"Actively Infected Trend")))</f>
        <v>#N/A</v>
      </c>
      <c r="BU287" s="14" t="e" cm="1">
        <f t="array" aca="1" ref="BU287" ca="1">IF(INDIRECT(ADDRESS($B287+1,BU$230,1,1,"Actively Infected Trend"))=0,#N/A,INDIRECT(ADDRESS($B287+1,BU$230,1,1,"Actively Infected Trend")))</f>
        <v>#N/A</v>
      </c>
      <c r="BV287" s="14" t="e" cm="1">
        <f t="array" aca="1" ref="BV287" ca="1">IF(INDIRECT(ADDRESS($B287+1,BV$230,1,1,"Actively Infected Trend"))=0,#N/A,INDIRECT(ADDRESS($B287+1,BV$230,1,1,"Actively Infected Trend")))</f>
        <v>#N/A</v>
      </c>
      <c r="BW287" s="14" t="e" cm="1">
        <f t="array" aca="1" ref="BW287" ca="1">IF(INDIRECT(ADDRESS($B287+1,BW$230,1,1,"Actively Infected Trend"))=0,#N/A,INDIRECT(ADDRESS($B287+1,BW$230,1,1,"Actively Infected Trend")))</f>
        <v>#N/A</v>
      </c>
      <c r="BX287" s="14" t="e" cm="1">
        <f t="array" aca="1" ref="BX287" ca="1">IF(INDIRECT(ADDRESS($B287+1,BX$230,1,1,"Actively Infected Trend"))=0,#N/A,INDIRECT(ADDRESS($B287+1,BX$230,1,1,"Actively Infected Trend")))</f>
        <v>#N/A</v>
      </c>
      <c r="BY287" s="14" t="e" cm="1">
        <f t="array" aca="1" ref="BY287" ca="1">IF(INDIRECT(ADDRESS($B287+1,BY$230,1,1,"Actively Infected Trend"))=0,#N/A,INDIRECT(ADDRESS($B287+1,BY$230,1,1,"Actively Infected Trend")))</f>
        <v>#N/A</v>
      </c>
      <c r="BZ287" s="14" t="e" cm="1">
        <f t="array" aca="1" ref="BZ287" ca="1">IF(INDIRECT(ADDRESS($B287+1,BZ$230,1,1,"Actively Infected Trend"))=0,#N/A,INDIRECT(ADDRESS($B287+1,BZ$230,1,1,"Actively Infected Trend")))</f>
        <v>#N/A</v>
      </c>
      <c r="CA287" s="14" t="e" cm="1">
        <f t="array" aca="1" ref="CA287" ca="1">IF(INDIRECT(ADDRESS($B287+1,CA$230,1,1,"Actively Infected Trend"))=0,#N/A,INDIRECT(ADDRESS($B287+1,CA$230,1,1,"Actively Infected Trend")))</f>
        <v>#N/A</v>
      </c>
      <c r="CB287" s="14" t="e" cm="1">
        <f t="array" aca="1" ref="CB287" ca="1">IF(INDIRECT(ADDRESS($B287+1,CB$230,1,1,"Actively Infected Trend"))=0,#N/A,INDIRECT(ADDRESS($B287+1,CB$230,1,1,"Actively Infected Trend")))</f>
        <v>#N/A</v>
      </c>
      <c r="CC287" s="14" t="e" cm="1">
        <f t="array" aca="1" ref="CC287" ca="1">IF(INDIRECT(ADDRESS($B287+1,CC$230,1,1,"Actively Infected Trend"))=0,#N/A,INDIRECT(ADDRESS($B287+1,CC$230,1,1,"Actively Infected Trend")))</f>
        <v>#N/A</v>
      </c>
      <c r="CD287" s="14" t="e" cm="1">
        <f t="array" aca="1" ref="CD287" ca="1">IF(INDIRECT(ADDRESS($B287+1,CD$230,1,1,"Actively Infected Trend"))=0,#N/A,INDIRECT(ADDRESS($B287+1,CD$230,1,1,"Actively Infected Trend")))</f>
        <v>#N/A</v>
      </c>
      <c r="CE287" s="14" t="e" cm="1">
        <f t="array" aca="1" ref="CE287" ca="1">IF(INDIRECT(ADDRESS($B287+1,CE$230,1,1,"Actively Infected Trend"))=0,#N/A,INDIRECT(ADDRESS($B287+1,CE$230,1,1,"Actively Infected Trend")))</f>
        <v>#N/A</v>
      </c>
      <c r="CF287" s="14" t="e" cm="1">
        <f t="array" aca="1" ref="CF287" ca="1">IF(INDIRECT(ADDRESS($B287+1,CF$230,1,1,"Actively Infected Trend"))=0,#N/A,INDIRECT(ADDRESS($B287+1,CF$230,1,1,"Actively Infected Trend")))</f>
        <v>#N/A</v>
      </c>
      <c r="CG287" s="14" t="e" cm="1">
        <f t="array" aca="1" ref="CG287" ca="1">IF(INDIRECT(ADDRESS($B287+1,CG$230,1,1,"Actively Infected Trend"))=0,#N/A,INDIRECT(ADDRESS($B287+1,CG$230,1,1,"Actively Infected Trend")))</f>
        <v>#N/A</v>
      </c>
      <c r="CH287" s="14" t="e" cm="1">
        <f t="array" aca="1" ref="CH287" ca="1">IF(INDIRECT(ADDRESS($B287+1,CH$230,1,1,"Actively Infected Trend"))=0,#N/A,INDIRECT(ADDRESS($B287+1,CH$230,1,1,"Actively Infected Trend")))</f>
        <v>#N/A</v>
      </c>
      <c r="CI287" s="14" t="e" cm="1">
        <f t="array" aca="1" ref="CI287" ca="1">IF(INDIRECT(ADDRESS($B287+1,CI$230,1,1,"Actively Infected Trend"))=0,#N/A,INDIRECT(ADDRESS($B287+1,CI$230,1,1,"Actively Infected Trend")))</f>
        <v>#N/A</v>
      </c>
      <c r="CJ287" s="14" t="e" cm="1">
        <f t="array" aca="1" ref="CJ287" ca="1">IF(INDIRECT(ADDRESS($B287+1,CJ$230,1,1,"Actively Infected Trend"))=0,#N/A,INDIRECT(ADDRESS($B287+1,CJ$230,1,1,"Actively Infected Trend")))</f>
        <v>#N/A</v>
      </c>
      <c r="CK287" s="14" t="e" cm="1">
        <f t="array" aca="1" ref="CK287" ca="1">IF(INDIRECT(ADDRESS($B287+1,CK$230,1,1,"Actively Infected Trend"))=0,#N/A,INDIRECT(ADDRESS($B287+1,CK$230,1,1,"Actively Infected Trend")))</f>
        <v>#N/A</v>
      </c>
      <c r="CL287" s="14" t="e" cm="1">
        <f t="array" aca="1" ref="CL287" ca="1">IF(INDIRECT(ADDRESS($B287+1,CL$230,1,1,"Actively Infected Trend"))=0,#N/A,INDIRECT(ADDRESS($B287+1,CL$230,1,1,"Actively Infected Trend")))</f>
        <v>#N/A</v>
      </c>
      <c r="CM287" s="14" t="e" cm="1">
        <f t="array" aca="1" ref="CM287" ca="1">IF(INDIRECT(ADDRESS($B287+1,CM$230,1,1,"Actively Infected Trend"))=0,#N/A,INDIRECT(ADDRESS($B287+1,CM$230,1,1,"Actively Infected Trend")))</f>
        <v>#N/A</v>
      </c>
      <c r="CN287" s="14" t="e" cm="1">
        <f t="array" aca="1" ref="CN287" ca="1">IF(INDIRECT(ADDRESS($B287+1,CN$230,1,1,"Actively Infected Trend"))=0,#N/A,INDIRECT(ADDRESS($B287+1,CN$230,1,1,"Actively Infected Trend")))</f>
        <v>#N/A</v>
      </c>
      <c r="CO287" s="14" t="e" cm="1">
        <f t="array" aca="1" ref="CO287" ca="1">IF(INDIRECT(ADDRESS($B287+1,CO$230,1,1,"Actively Infected Trend"))=0,#N/A,INDIRECT(ADDRESS($B287+1,CO$230,1,1,"Actively Infected Trend")))</f>
        <v>#N/A</v>
      </c>
      <c r="CP287" s="14" t="e" cm="1">
        <f t="array" aca="1" ref="CP287" ca="1">IF(INDIRECT(ADDRESS($B287+1,CP$230,1,1,"Actively Infected Trend"))=0,#N/A,INDIRECT(ADDRESS($B287+1,CP$230,1,1,"Actively Infected Trend")))</f>
        <v>#N/A</v>
      </c>
      <c r="CQ287" s="14" t="e" cm="1">
        <f t="array" aca="1" ref="CQ287" ca="1">IF(INDIRECT(ADDRESS($B287+1,CQ$230,1,1,"Actively Infected Trend"))=0,#N/A,INDIRECT(ADDRESS($B287+1,CQ$230,1,1,"Actively Infected Trend")))</f>
        <v>#N/A</v>
      </c>
      <c r="CR287" s="14" t="e" cm="1">
        <f t="array" aca="1" ref="CR287" ca="1">IF(INDIRECT(ADDRESS($B287+1,CR$230,1,1,"Actively Infected Trend"))=0,#N/A,INDIRECT(ADDRESS($B287+1,CR$230,1,1,"Actively Infected Trend")))</f>
        <v>#N/A</v>
      </c>
    </row>
    <row r="288" spans="2:96" x14ac:dyDescent="0.25">
      <c r="B288">
        <f t="shared" si="349"/>
        <v>57</v>
      </c>
      <c r="C288" cm="1">
        <f t="array" aca="1" ref="C288" ca="1">INDIRECT(ADDRESS($B288+1,1,1,1,"Actively Infected Trend"))</f>
        <v>0</v>
      </c>
      <c r="E288" s="14" t="e" cm="1">
        <f t="array" aca="1" ref="E288" ca="1">IF(INDIRECT(ADDRESS($B288+1,E$230,1,1,"Actively Infected Trend"))=0,#N/A,INDIRECT(ADDRESS($B288+1,E$230,1,1,"Actively Infected Trend")))</f>
        <v>#N/A</v>
      </c>
      <c r="F288" s="14" t="e" cm="1">
        <f t="array" aca="1" ref="F288" ca="1">IF(INDIRECT(ADDRESS($B288+1,F$230,1,1,"Actively Infected Trend"))=0,#N/A,INDIRECT(ADDRESS($B288+1,F$230,1,1,"Actively Infected Trend")))</f>
        <v>#N/A</v>
      </c>
      <c r="G288" s="14" t="e" cm="1">
        <f t="array" aca="1" ref="G288" ca="1">IF(INDIRECT(ADDRESS($B288+1,G$230,1,1,"Actively Infected Trend"))=0,#N/A,INDIRECT(ADDRESS($B288+1,G$230,1,1,"Actively Infected Trend")))</f>
        <v>#N/A</v>
      </c>
      <c r="H288" s="14" t="e" cm="1">
        <f t="array" aca="1" ref="H288" ca="1">IF(INDIRECT(ADDRESS($B288+1,H$230,1,1,"Actively Infected Trend"))=0,#N/A,INDIRECT(ADDRESS($B288+1,H$230,1,1,"Actively Infected Trend")))</f>
        <v>#N/A</v>
      </c>
      <c r="I288" s="14" t="e" cm="1">
        <f t="array" aca="1" ref="I288" ca="1">IF(INDIRECT(ADDRESS($B288+1,I$230,1,1,"Actively Infected Trend"))=0,#N/A,INDIRECT(ADDRESS($B288+1,I$230,1,1,"Actively Infected Trend")))</f>
        <v>#N/A</v>
      </c>
      <c r="J288" s="14" t="e" cm="1">
        <f t="array" aca="1" ref="J288" ca="1">IF(INDIRECT(ADDRESS($B288+1,J$230,1,1,"Actively Infected Trend"))=0,#N/A,INDIRECT(ADDRESS($B288+1,J$230,1,1,"Actively Infected Trend")))</f>
        <v>#N/A</v>
      </c>
      <c r="K288" s="14" t="e" cm="1">
        <f t="array" aca="1" ref="K288" ca="1">IF(INDIRECT(ADDRESS($B288+1,K$230,1,1,"Actively Infected Trend"))=0,#N/A,INDIRECT(ADDRESS($B288+1,K$230,1,1,"Actively Infected Trend")))</f>
        <v>#N/A</v>
      </c>
      <c r="L288" s="14" t="e" cm="1">
        <f t="array" aca="1" ref="L288" ca="1">IF(INDIRECT(ADDRESS($B288+1,L$230,1,1,"Actively Infected Trend"))=0,#N/A,INDIRECT(ADDRESS($B288+1,L$230,1,1,"Actively Infected Trend")))</f>
        <v>#N/A</v>
      </c>
      <c r="M288" s="14" t="e" cm="1">
        <f t="array" aca="1" ref="M288" ca="1">IF(INDIRECT(ADDRESS($B288+1,M$230,1,1,"Actively Infected Trend"))=0,#N/A,INDIRECT(ADDRESS($B288+1,M$230,1,1,"Actively Infected Trend")))</f>
        <v>#N/A</v>
      </c>
      <c r="N288" s="14" t="e" cm="1">
        <f t="array" aca="1" ref="N288" ca="1">IF(INDIRECT(ADDRESS($B288+1,N$230,1,1,"Actively Infected Trend"))=0,#N/A,INDIRECT(ADDRESS($B288+1,N$230,1,1,"Actively Infected Trend")))</f>
        <v>#N/A</v>
      </c>
      <c r="O288" s="14" t="e" cm="1">
        <f t="array" aca="1" ref="O288" ca="1">IF(INDIRECT(ADDRESS($B288+1,O$230,1,1,"Actively Infected Trend"))=0,#N/A,INDIRECT(ADDRESS($B288+1,O$230,1,1,"Actively Infected Trend")))</f>
        <v>#N/A</v>
      </c>
      <c r="P288" s="14" t="e" cm="1">
        <f t="array" aca="1" ref="P288" ca="1">IF(INDIRECT(ADDRESS($B288+1,P$230,1,1,"Actively Infected Trend"))=0,#N/A,INDIRECT(ADDRESS($B288+1,P$230,1,1,"Actively Infected Trend")))</f>
        <v>#N/A</v>
      </c>
      <c r="Q288" s="14" t="e" cm="1">
        <f t="array" aca="1" ref="Q288" ca="1">IF(INDIRECT(ADDRESS($B288+1,Q$230,1,1,"Actively Infected Trend"))=0,#N/A,INDIRECT(ADDRESS($B288+1,Q$230,1,1,"Actively Infected Trend")))</f>
        <v>#N/A</v>
      </c>
      <c r="R288" s="14" t="e" cm="1">
        <f t="array" aca="1" ref="R288" ca="1">IF(INDIRECT(ADDRESS($B288+1,R$230,1,1,"Actively Infected Trend"))=0,#N/A,INDIRECT(ADDRESS($B288+1,R$230,1,1,"Actively Infected Trend")))</f>
        <v>#N/A</v>
      </c>
      <c r="S288" s="14" t="e" cm="1">
        <f t="array" aca="1" ref="S288" ca="1">IF(INDIRECT(ADDRESS($B288+1,S$230,1,1,"Actively Infected Trend"))=0,#N/A,INDIRECT(ADDRESS($B288+1,S$230,1,1,"Actively Infected Trend")))</f>
        <v>#N/A</v>
      </c>
      <c r="T288" s="14" t="e" cm="1">
        <f t="array" aca="1" ref="T288" ca="1">IF(INDIRECT(ADDRESS($B288+1,T$230,1,1,"Actively Infected Trend"))=0,#N/A,INDIRECT(ADDRESS($B288+1,T$230,1,1,"Actively Infected Trend")))</f>
        <v>#N/A</v>
      </c>
      <c r="U288" s="14" t="e" cm="1">
        <f t="array" aca="1" ref="U288" ca="1">IF(INDIRECT(ADDRESS($B288+1,U$230,1,1,"Actively Infected Trend"))=0,#N/A,INDIRECT(ADDRESS($B288+1,U$230,1,1,"Actively Infected Trend")))</f>
        <v>#N/A</v>
      </c>
      <c r="V288" s="14" t="e" cm="1">
        <f t="array" aca="1" ref="V288" ca="1">IF(INDIRECT(ADDRESS($B288+1,V$230,1,1,"Actively Infected Trend"))=0,#N/A,INDIRECT(ADDRESS($B288+1,V$230,1,1,"Actively Infected Trend")))</f>
        <v>#N/A</v>
      </c>
      <c r="W288" s="14" t="e" cm="1">
        <f t="array" aca="1" ref="W288" ca="1">IF(INDIRECT(ADDRESS($B288+1,W$230,1,1,"Actively Infected Trend"))=0,#N/A,INDIRECT(ADDRESS($B288+1,W$230,1,1,"Actively Infected Trend")))</f>
        <v>#N/A</v>
      </c>
      <c r="X288" s="14" t="e" cm="1">
        <f t="array" aca="1" ref="X288" ca="1">IF(INDIRECT(ADDRESS($B288+1,X$230,1,1,"Actively Infected Trend"))=0,#N/A,INDIRECT(ADDRESS($B288+1,X$230,1,1,"Actively Infected Trend")))</f>
        <v>#N/A</v>
      </c>
      <c r="Y288" s="14" t="e" cm="1">
        <f t="array" aca="1" ref="Y288" ca="1">IF(INDIRECT(ADDRESS($B288+1,Y$230,1,1,"Actively Infected Trend"))=0,#N/A,INDIRECT(ADDRESS($B288+1,Y$230,1,1,"Actively Infected Trend")))</f>
        <v>#N/A</v>
      </c>
      <c r="Z288" s="14" t="e" cm="1">
        <f t="array" aca="1" ref="Z288" ca="1">IF(INDIRECT(ADDRESS($B288+1,Z$230,1,1,"Actively Infected Trend"))=0,#N/A,INDIRECT(ADDRESS($B288+1,Z$230,1,1,"Actively Infected Trend")))</f>
        <v>#N/A</v>
      </c>
      <c r="AA288" s="14" t="e" cm="1">
        <f t="array" aca="1" ref="AA288" ca="1">IF(INDIRECT(ADDRESS($B288+1,AA$230,1,1,"Actively Infected Trend"))=0,#N/A,INDIRECT(ADDRESS($B288+1,AA$230,1,1,"Actively Infected Trend")))</f>
        <v>#N/A</v>
      </c>
      <c r="AB288" s="14" t="e" cm="1">
        <f t="array" aca="1" ref="AB288" ca="1">IF(INDIRECT(ADDRESS($B288+1,AB$230,1,1,"Actively Infected Trend"))=0,#N/A,INDIRECT(ADDRESS($B288+1,AB$230,1,1,"Actively Infected Trend")))</f>
        <v>#N/A</v>
      </c>
      <c r="AC288" s="14" t="e" cm="1">
        <f t="array" aca="1" ref="AC288" ca="1">IF(INDIRECT(ADDRESS($B288+1,AC$230,1,1,"Actively Infected Trend"))=0,#N/A,INDIRECT(ADDRESS($B288+1,AC$230,1,1,"Actively Infected Trend")))</f>
        <v>#N/A</v>
      </c>
      <c r="AD288" s="14" t="e" cm="1">
        <f t="array" aca="1" ref="AD288" ca="1">IF(INDIRECT(ADDRESS($B288+1,AD$230,1,1,"Actively Infected Trend"))=0,#N/A,INDIRECT(ADDRESS($B288+1,AD$230,1,1,"Actively Infected Trend")))</f>
        <v>#N/A</v>
      </c>
      <c r="AE288" s="14" t="e" cm="1">
        <f t="array" aca="1" ref="AE288" ca="1">IF(INDIRECT(ADDRESS($B288+1,AE$230,1,1,"Actively Infected Trend"))=0,#N/A,INDIRECT(ADDRESS($B288+1,AE$230,1,1,"Actively Infected Trend")))</f>
        <v>#N/A</v>
      </c>
      <c r="AF288" s="14" t="e" cm="1">
        <f t="array" aca="1" ref="AF288" ca="1">IF(INDIRECT(ADDRESS($B288+1,AF$230,1,1,"Actively Infected Trend"))=0,#N/A,INDIRECT(ADDRESS($B288+1,AF$230,1,1,"Actively Infected Trend")))</f>
        <v>#N/A</v>
      </c>
      <c r="AG288" s="14" t="e" cm="1">
        <f t="array" aca="1" ref="AG288" ca="1">IF(INDIRECT(ADDRESS($B288+1,AG$230,1,1,"Actively Infected Trend"))=0,#N/A,INDIRECT(ADDRESS($B288+1,AG$230,1,1,"Actively Infected Trend")))</f>
        <v>#N/A</v>
      </c>
      <c r="AH288" s="14" t="e" cm="1">
        <f t="array" aca="1" ref="AH288" ca="1">IF(INDIRECT(ADDRESS($B288+1,AH$230,1,1,"Actively Infected Trend"))=0,#N/A,INDIRECT(ADDRESS($B288+1,AH$230,1,1,"Actively Infected Trend")))</f>
        <v>#N/A</v>
      </c>
      <c r="AI288" s="14" t="e" cm="1">
        <f t="array" aca="1" ref="AI288" ca="1">IF(INDIRECT(ADDRESS($B288+1,AI$230,1,1,"Actively Infected Trend"))=0,#N/A,INDIRECT(ADDRESS($B288+1,AI$230,1,1,"Actively Infected Trend")))</f>
        <v>#N/A</v>
      </c>
      <c r="AJ288" s="14" t="e" cm="1">
        <f t="array" aca="1" ref="AJ288" ca="1">IF(INDIRECT(ADDRESS($B288+1,AJ$230,1,1,"Actively Infected Trend"))=0,#N/A,INDIRECT(ADDRESS($B288+1,AJ$230,1,1,"Actively Infected Trend")))</f>
        <v>#N/A</v>
      </c>
      <c r="AK288" s="14" t="e" cm="1">
        <f t="array" aca="1" ref="AK288" ca="1">IF(INDIRECT(ADDRESS($B288+1,AK$230,1,1,"Actively Infected Trend"))=0,#N/A,INDIRECT(ADDRESS($B288+1,AK$230,1,1,"Actively Infected Trend")))</f>
        <v>#N/A</v>
      </c>
      <c r="AL288" s="14" t="e" cm="1">
        <f t="array" aca="1" ref="AL288" ca="1">IF(INDIRECT(ADDRESS($B288+1,AL$230,1,1,"Actively Infected Trend"))=0,#N/A,INDIRECT(ADDRESS($B288+1,AL$230,1,1,"Actively Infected Trend")))</f>
        <v>#N/A</v>
      </c>
      <c r="AM288" s="14" t="e" cm="1">
        <f t="array" aca="1" ref="AM288" ca="1">IF(INDIRECT(ADDRESS($B288+1,AM$230,1,1,"Actively Infected Trend"))=0,#N/A,INDIRECT(ADDRESS($B288+1,AM$230,1,1,"Actively Infected Trend")))</f>
        <v>#N/A</v>
      </c>
      <c r="AN288" s="14" t="e" cm="1">
        <f t="array" aca="1" ref="AN288" ca="1">IF(INDIRECT(ADDRESS($B288+1,AN$230,1,1,"Actively Infected Trend"))=0,#N/A,INDIRECT(ADDRESS($B288+1,AN$230,1,1,"Actively Infected Trend")))</f>
        <v>#N/A</v>
      </c>
      <c r="AO288" s="14" t="e" cm="1">
        <f t="array" aca="1" ref="AO288" ca="1">IF(INDIRECT(ADDRESS($B288+1,AO$230,1,1,"Actively Infected Trend"))=0,#N/A,INDIRECT(ADDRESS($B288+1,AO$230,1,1,"Actively Infected Trend")))</f>
        <v>#N/A</v>
      </c>
      <c r="AP288" s="14" t="e" cm="1">
        <f t="array" aca="1" ref="AP288" ca="1">IF(INDIRECT(ADDRESS($B288+1,AP$230,1,1,"Actively Infected Trend"))=0,#N/A,INDIRECT(ADDRESS($B288+1,AP$230,1,1,"Actively Infected Trend")))</f>
        <v>#N/A</v>
      </c>
      <c r="AQ288" s="14" t="e" cm="1">
        <f t="array" aca="1" ref="AQ288" ca="1">IF(INDIRECT(ADDRESS($B288+1,AQ$230,1,1,"Actively Infected Trend"))=0,#N/A,INDIRECT(ADDRESS($B288+1,AQ$230,1,1,"Actively Infected Trend")))</f>
        <v>#N/A</v>
      </c>
      <c r="AR288" s="14" t="e" cm="1">
        <f t="array" aca="1" ref="AR288" ca="1">IF(INDIRECT(ADDRESS($B288+1,AR$230,1,1,"Actively Infected Trend"))=0,#N/A,INDIRECT(ADDRESS($B288+1,AR$230,1,1,"Actively Infected Trend")))</f>
        <v>#N/A</v>
      </c>
      <c r="AS288" s="14" t="e" cm="1">
        <f t="array" aca="1" ref="AS288" ca="1">IF(INDIRECT(ADDRESS($B288+1,AS$230,1,1,"Actively Infected Trend"))=0,#N/A,INDIRECT(ADDRESS($B288+1,AS$230,1,1,"Actively Infected Trend")))</f>
        <v>#N/A</v>
      </c>
      <c r="AT288" s="14" t="e" cm="1">
        <f t="array" aca="1" ref="AT288" ca="1">IF(INDIRECT(ADDRESS($B288+1,AT$230,1,1,"Actively Infected Trend"))=0,#N/A,INDIRECT(ADDRESS($B288+1,AT$230,1,1,"Actively Infected Trend")))</f>
        <v>#N/A</v>
      </c>
      <c r="AU288" s="14" t="e" cm="1">
        <f t="array" aca="1" ref="AU288" ca="1">IF(INDIRECT(ADDRESS($B288+1,AU$230,1,1,"Actively Infected Trend"))=0,#N/A,INDIRECT(ADDRESS($B288+1,AU$230,1,1,"Actively Infected Trend")))</f>
        <v>#N/A</v>
      </c>
      <c r="AV288" s="14" t="e" cm="1">
        <f t="array" aca="1" ref="AV288" ca="1">IF(INDIRECT(ADDRESS($B288+1,AV$230,1,1,"Actively Infected Trend"))=0,#N/A,INDIRECT(ADDRESS($B288+1,AV$230,1,1,"Actively Infected Trend")))</f>
        <v>#N/A</v>
      </c>
      <c r="AW288" s="14" t="e" cm="1">
        <f t="array" aca="1" ref="AW288" ca="1">IF(INDIRECT(ADDRESS($B288+1,AW$230,1,1,"Actively Infected Trend"))=0,#N/A,INDIRECT(ADDRESS($B288+1,AW$230,1,1,"Actively Infected Trend")))</f>
        <v>#N/A</v>
      </c>
      <c r="AX288" s="14" t="e" cm="1">
        <f t="array" aca="1" ref="AX288" ca="1">IF(INDIRECT(ADDRESS($B288+1,AX$230,1,1,"Actively Infected Trend"))=0,#N/A,INDIRECT(ADDRESS($B288+1,AX$230,1,1,"Actively Infected Trend")))</f>
        <v>#N/A</v>
      </c>
      <c r="AY288" s="14" t="e" cm="1">
        <f t="array" aca="1" ref="AY288" ca="1">IF(INDIRECT(ADDRESS($B288+1,AY$230,1,1,"Actively Infected Trend"))=0,#N/A,INDIRECT(ADDRESS($B288+1,AY$230,1,1,"Actively Infected Trend")))</f>
        <v>#N/A</v>
      </c>
      <c r="AZ288" s="14" t="e" cm="1">
        <f t="array" aca="1" ref="AZ288" ca="1">IF(INDIRECT(ADDRESS($B288+1,AZ$230,1,1,"Actively Infected Trend"))=0,#N/A,INDIRECT(ADDRESS($B288+1,AZ$230,1,1,"Actively Infected Trend")))</f>
        <v>#N/A</v>
      </c>
      <c r="BA288" s="14" t="e" cm="1">
        <f t="array" aca="1" ref="BA288" ca="1">IF(INDIRECT(ADDRESS($B288+1,BA$230,1,1,"Actively Infected Trend"))=0,#N/A,INDIRECT(ADDRESS($B288+1,BA$230,1,1,"Actively Infected Trend")))</f>
        <v>#N/A</v>
      </c>
      <c r="BB288" s="14" t="e" cm="1">
        <f t="array" aca="1" ref="BB288" ca="1">IF(INDIRECT(ADDRESS($B288+1,BB$230,1,1,"Actively Infected Trend"))=0,#N/A,INDIRECT(ADDRESS($B288+1,BB$230,1,1,"Actively Infected Trend")))</f>
        <v>#N/A</v>
      </c>
      <c r="BC288" s="14" t="e" cm="1">
        <f t="array" aca="1" ref="BC288" ca="1">IF(INDIRECT(ADDRESS($B288+1,BC$230,1,1,"Actively Infected Trend"))=0,#N/A,INDIRECT(ADDRESS($B288+1,BC$230,1,1,"Actively Infected Trend")))</f>
        <v>#N/A</v>
      </c>
      <c r="BD288" s="14" t="e" cm="1">
        <f t="array" aca="1" ref="BD288" ca="1">IF(INDIRECT(ADDRESS($B288+1,BD$230,1,1,"Actively Infected Trend"))=0,#N/A,INDIRECT(ADDRESS($B288+1,BD$230,1,1,"Actively Infected Trend")))</f>
        <v>#N/A</v>
      </c>
      <c r="BE288" s="14" t="e" cm="1">
        <f t="array" aca="1" ref="BE288" ca="1">IF(INDIRECT(ADDRESS($B288+1,BE$230,1,1,"Actively Infected Trend"))=0,#N/A,INDIRECT(ADDRESS($B288+1,BE$230,1,1,"Actively Infected Trend")))</f>
        <v>#N/A</v>
      </c>
      <c r="BF288" s="14" t="e" cm="1">
        <f t="array" aca="1" ref="BF288" ca="1">IF(INDIRECT(ADDRESS($B288+1,BF$230,1,1,"Actively Infected Trend"))=0,#N/A,INDIRECT(ADDRESS($B288+1,BF$230,1,1,"Actively Infected Trend")))</f>
        <v>#N/A</v>
      </c>
      <c r="BG288" s="14" t="e" cm="1">
        <f t="array" aca="1" ref="BG288" ca="1">IF(INDIRECT(ADDRESS($B288+1,BG$230,1,1,"Actively Infected Trend"))=0,#N/A,INDIRECT(ADDRESS($B288+1,BG$230,1,1,"Actively Infected Trend")))</f>
        <v>#N/A</v>
      </c>
      <c r="BH288" s="14" t="e" cm="1">
        <f t="array" aca="1" ref="BH288" ca="1">IF(INDIRECT(ADDRESS($B288+1,BH$230,1,1,"Actively Infected Trend"))=0,#N/A,INDIRECT(ADDRESS($B288+1,BH$230,1,1,"Actively Infected Trend")))</f>
        <v>#N/A</v>
      </c>
      <c r="BI288" s="14" t="e" cm="1">
        <f t="array" aca="1" ref="BI288" ca="1">IF(INDIRECT(ADDRESS($B288+1,BI$230,1,1,"Actively Infected Trend"))=0,#N/A,INDIRECT(ADDRESS($B288+1,BI$230,1,1,"Actively Infected Trend")))</f>
        <v>#N/A</v>
      </c>
      <c r="BJ288" s="14" t="e" cm="1">
        <f t="array" aca="1" ref="BJ288" ca="1">IF(INDIRECT(ADDRESS($B288+1,BJ$230,1,1,"Actively Infected Trend"))=0,#N/A,INDIRECT(ADDRESS($B288+1,BJ$230,1,1,"Actively Infected Trend")))</f>
        <v>#N/A</v>
      </c>
      <c r="BK288" s="14" t="e" cm="1">
        <f t="array" aca="1" ref="BK288" ca="1">IF(INDIRECT(ADDRESS($B288+1,BK$230,1,1,"Actively Infected Trend"))=0,#N/A,INDIRECT(ADDRESS($B288+1,BK$230,1,1,"Actively Infected Trend")))</f>
        <v>#N/A</v>
      </c>
      <c r="BL288" s="14" t="e" cm="1">
        <f t="array" aca="1" ref="BL288" ca="1">IF(INDIRECT(ADDRESS($B288+1,BL$230,1,1,"Actively Infected Trend"))=0,#N/A,INDIRECT(ADDRESS($B288+1,BL$230,1,1,"Actively Infected Trend")))</f>
        <v>#N/A</v>
      </c>
      <c r="BM288" s="14" t="e" cm="1">
        <f t="array" aca="1" ref="BM288" ca="1">IF(INDIRECT(ADDRESS($B288+1,BM$230,1,1,"Actively Infected Trend"))=0,#N/A,INDIRECT(ADDRESS($B288+1,BM$230,1,1,"Actively Infected Trend")))</f>
        <v>#N/A</v>
      </c>
      <c r="BN288" s="14" t="e" cm="1">
        <f t="array" aca="1" ref="BN288" ca="1">IF(INDIRECT(ADDRESS($B288+1,BN$230,1,1,"Actively Infected Trend"))=0,#N/A,INDIRECT(ADDRESS($B288+1,BN$230,1,1,"Actively Infected Trend")))</f>
        <v>#N/A</v>
      </c>
      <c r="BO288" s="14" t="e" cm="1">
        <f t="array" aca="1" ref="BO288" ca="1">IF(INDIRECT(ADDRESS($B288+1,BO$230,1,1,"Actively Infected Trend"))=0,#N/A,INDIRECT(ADDRESS($B288+1,BO$230,1,1,"Actively Infected Trend")))</f>
        <v>#N/A</v>
      </c>
      <c r="BP288" s="14" t="e" cm="1">
        <f t="array" aca="1" ref="BP288" ca="1">IF(INDIRECT(ADDRESS($B288+1,BP$230,1,1,"Actively Infected Trend"))=0,#N/A,INDIRECT(ADDRESS($B288+1,BP$230,1,1,"Actively Infected Trend")))</f>
        <v>#N/A</v>
      </c>
      <c r="BQ288" s="14" t="e" cm="1">
        <f t="array" aca="1" ref="BQ288" ca="1">IF(INDIRECT(ADDRESS($B288+1,BQ$230,1,1,"Actively Infected Trend"))=0,#N/A,INDIRECT(ADDRESS($B288+1,BQ$230,1,1,"Actively Infected Trend")))</f>
        <v>#N/A</v>
      </c>
      <c r="BR288" s="14" t="e" cm="1">
        <f t="array" aca="1" ref="BR288" ca="1">IF(INDIRECT(ADDRESS($B288+1,BR$230,1,1,"Actively Infected Trend"))=0,#N/A,INDIRECT(ADDRESS($B288+1,BR$230,1,1,"Actively Infected Trend")))</f>
        <v>#N/A</v>
      </c>
      <c r="BS288" s="14" t="e" cm="1">
        <f t="array" aca="1" ref="BS288" ca="1">IF(INDIRECT(ADDRESS($B288+1,BS$230,1,1,"Actively Infected Trend"))=0,#N/A,INDIRECT(ADDRESS($B288+1,BS$230,1,1,"Actively Infected Trend")))</f>
        <v>#N/A</v>
      </c>
      <c r="BT288" s="14" t="e" cm="1">
        <f t="array" aca="1" ref="BT288" ca="1">IF(INDIRECT(ADDRESS($B288+1,BT$230,1,1,"Actively Infected Trend"))=0,#N/A,INDIRECT(ADDRESS($B288+1,BT$230,1,1,"Actively Infected Trend")))</f>
        <v>#N/A</v>
      </c>
      <c r="BU288" s="14" t="e" cm="1">
        <f t="array" aca="1" ref="BU288" ca="1">IF(INDIRECT(ADDRESS($B288+1,BU$230,1,1,"Actively Infected Trend"))=0,#N/A,INDIRECT(ADDRESS($B288+1,BU$230,1,1,"Actively Infected Trend")))</f>
        <v>#N/A</v>
      </c>
      <c r="BV288" s="14" t="e" cm="1">
        <f t="array" aca="1" ref="BV288" ca="1">IF(INDIRECT(ADDRESS($B288+1,BV$230,1,1,"Actively Infected Trend"))=0,#N/A,INDIRECT(ADDRESS($B288+1,BV$230,1,1,"Actively Infected Trend")))</f>
        <v>#N/A</v>
      </c>
      <c r="BW288" s="14" t="e" cm="1">
        <f t="array" aca="1" ref="BW288" ca="1">IF(INDIRECT(ADDRESS($B288+1,BW$230,1,1,"Actively Infected Trend"))=0,#N/A,INDIRECT(ADDRESS($B288+1,BW$230,1,1,"Actively Infected Trend")))</f>
        <v>#N/A</v>
      </c>
      <c r="BX288" s="14" t="e" cm="1">
        <f t="array" aca="1" ref="BX288" ca="1">IF(INDIRECT(ADDRESS($B288+1,BX$230,1,1,"Actively Infected Trend"))=0,#N/A,INDIRECT(ADDRESS($B288+1,BX$230,1,1,"Actively Infected Trend")))</f>
        <v>#N/A</v>
      </c>
      <c r="BY288" s="14" t="e" cm="1">
        <f t="array" aca="1" ref="BY288" ca="1">IF(INDIRECT(ADDRESS($B288+1,BY$230,1,1,"Actively Infected Trend"))=0,#N/A,INDIRECT(ADDRESS($B288+1,BY$230,1,1,"Actively Infected Trend")))</f>
        <v>#N/A</v>
      </c>
      <c r="BZ288" s="14" t="e" cm="1">
        <f t="array" aca="1" ref="BZ288" ca="1">IF(INDIRECT(ADDRESS($B288+1,BZ$230,1,1,"Actively Infected Trend"))=0,#N/A,INDIRECT(ADDRESS($B288+1,BZ$230,1,1,"Actively Infected Trend")))</f>
        <v>#N/A</v>
      </c>
      <c r="CA288" s="14" t="e" cm="1">
        <f t="array" aca="1" ref="CA288" ca="1">IF(INDIRECT(ADDRESS($B288+1,CA$230,1,1,"Actively Infected Trend"))=0,#N/A,INDIRECT(ADDRESS($B288+1,CA$230,1,1,"Actively Infected Trend")))</f>
        <v>#N/A</v>
      </c>
      <c r="CB288" s="14" t="e" cm="1">
        <f t="array" aca="1" ref="CB288" ca="1">IF(INDIRECT(ADDRESS($B288+1,CB$230,1,1,"Actively Infected Trend"))=0,#N/A,INDIRECT(ADDRESS($B288+1,CB$230,1,1,"Actively Infected Trend")))</f>
        <v>#N/A</v>
      </c>
      <c r="CC288" s="14" t="e" cm="1">
        <f t="array" aca="1" ref="CC288" ca="1">IF(INDIRECT(ADDRESS($B288+1,CC$230,1,1,"Actively Infected Trend"))=0,#N/A,INDIRECT(ADDRESS($B288+1,CC$230,1,1,"Actively Infected Trend")))</f>
        <v>#N/A</v>
      </c>
      <c r="CD288" s="14" t="e" cm="1">
        <f t="array" aca="1" ref="CD288" ca="1">IF(INDIRECT(ADDRESS($B288+1,CD$230,1,1,"Actively Infected Trend"))=0,#N/A,INDIRECT(ADDRESS($B288+1,CD$230,1,1,"Actively Infected Trend")))</f>
        <v>#N/A</v>
      </c>
      <c r="CE288" s="14" t="e" cm="1">
        <f t="array" aca="1" ref="CE288" ca="1">IF(INDIRECT(ADDRESS($B288+1,CE$230,1,1,"Actively Infected Trend"))=0,#N/A,INDIRECT(ADDRESS($B288+1,CE$230,1,1,"Actively Infected Trend")))</f>
        <v>#N/A</v>
      </c>
      <c r="CF288" s="14" t="e" cm="1">
        <f t="array" aca="1" ref="CF288" ca="1">IF(INDIRECT(ADDRESS($B288+1,CF$230,1,1,"Actively Infected Trend"))=0,#N/A,INDIRECT(ADDRESS($B288+1,CF$230,1,1,"Actively Infected Trend")))</f>
        <v>#N/A</v>
      </c>
      <c r="CG288" s="14" t="e" cm="1">
        <f t="array" aca="1" ref="CG288" ca="1">IF(INDIRECT(ADDRESS($B288+1,CG$230,1,1,"Actively Infected Trend"))=0,#N/A,INDIRECT(ADDRESS($B288+1,CG$230,1,1,"Actively Infected Trend")))</f>
        <v>#N/A</v>
      </c>
      <c r="CH288" s="14" t="e" cm="1">
        <f t="array" aca="1" ref="CH288" ca="1">IF(INDIRECT(ADDRESS($B288+1,CH$230,1,1,"Actively Infected Trend"))=0,#N/A,INDIRECT(ADDRESS($B288+1,CH$230,1,1,"Actively Infected Trend")))</f>
        <v>#N/A</v>
      </c>
      <c r="CI288" s="14" t="e" cm="1">
        <f t="array" aca="1" ref="CI288" ca="1">IF(INDIRECT(ADDRESS($B288+1,CI$230,1,1,"Actively Infected Trend"))=0,#N/A,INDIRECT(ADDRESS($B288+1,CI$230,1,1,"Actively Infected Trend")))</f>
        <v>#N/A</v>
      </c>
      <c r="CJ288" s="14" t="e" cm="1">
        <f t="array" aca="1" ref="CJ288" ca="1">IF(INDIRECT(ADDRESS($B288+1,CJ$230,1,1,"Actively Infected Trend"))=0,#N/A,INDIRECT(ADDRESS($B288+1,CJ$230,1,1,"Actively Infected Trend")))</f>
        <v>#N/A</v>
      </c>
      <c r="CK288" s="14" t="e" cm="1">
        <f t="array" aca="1" ref="CK288" ca="1">IF(INDIRECT(ADDRESS($B288+1,CK$230,1,1,"Actively Infected Trend"))=0,#N/A,INDIRECT(ADDRESS($B288+1,CK$230,1,1,"Actively Infected Trend")))</f>
        <v>#N/A</v>
      </c>
      <c r="CL288" s="14" t="e" cm="1">
        <f t="array" aca="1" ref="CL288" ca="1">IF(INDIRECT(ADDRESS($B288+1,CL$230,1,1,"Actively Infected Trend"))=0,#N/A,INDIRECT(ADDRESS($B288+1,CL$230,1,1,"Actively Infected Trend")))</f>
        <v>#N/A</v>
      </c>
      <c r="CM288" s="14" t="e" cm="1">
        <f t="array" aca="1" ref="CM288" ca="1">IF(INDIRECT(ADDRESS($B288+1,CM$230,1,1,"Actively Infected Trend"))=0,#N/A,INDIRECT(ADDRESS($B288+1,CM$230,1,1,"Actively Infected Trend")))</f>
        <v>#N/A</v>
      </c>
      <c r="CN288" s="14" t="e" cm="1">
        <f t="array" aca="1" ref="CN288" ca="1">IF(INDIRECT(ADDRESS($B288+1,CN$230,1,1,"Actively Infected Trend"))=0,#N/A,INDIRECT(ADDRESS($B288+1,CN$230,1,1,"Actively Infected Trend")))</f>
        <v>#N/A</v>
      </c>
      <c r="CO288" s="14" t="e" cm="1">
        <f t="array" aca="1" ref="CO288" ca="1">IF(INDIRECT(ADDRESS($B288+1,CO$230,1,1,"Actively Infected Trend"))=0,#N/A,INDIRECT(ADDRESS($B288+1,CO$230,1,1,"Actively Infected Trend")))</f>
        <v>#N/A</v>
      </c>
      <c r="CP288" s="14" t="e" cm="1">
        <f t="array" aca="1" ref="CP288" ca="1">IF(INDIRECT(ADDRESS($B288+1,CP$230,1,1,"Actively Infected Trend"))=0,#N/A,INDIRECT(ADDRESS($B288+1,CP$230,1,1,"Actively Infected Trend")))</f>
        <v>#N/A</v>
      </c>
      <c r="CQ288" s="14" t="e" cm="1">
        <f t="array" aca="1" ref="CQ288" ca="1">IF(INDIRECT(ADDRESS($B288+1,CQ$230,1,1,"Actively Infected Trend"))=0,#N/A,INDIRECT(ADDRESS($B288+1,CQ$230,1,1,"Actively Infected Trend")))</f>
        <v>#N/A</v>
      </c>
      <c r="CR288" s="14" t="e" cm="1">
        <f t="array" aca="1" ref="CR288" ca="1">IF(INDIRECT(ADDRESS($B288+1,CR$230,1,1,"Actively Infected Trend"))=0,#N/A,INDIRECT(ADDRESS($B288+1,CR$230,1,1,"Actively Infected Trend")))</f>
        <v>#N/A</v>
      </c>
    </row>
    <row r="289" spans="2:96" x14ac:dyDescent="0.25">
      <c r="B289">
        <f t="shared" si="349"/>
        <v>58</v>
      </c>
      <c r="C289" cm="1">
        <f t="array" aca="1" ref="C289" ca="1">INDIRECT(ADDRESS($B289+1,1,1,1,"Actively Infected Trend"))</f>
        <v>0</v>
      </c>
      <c r="E289" s="14" t="e" cm="1">
        <f t="array" aca="1" ref="E289" ca="1">IF(INDIRECT(ADDRESS($B289+1,E$230,1,1,"Actively Infected Trend"))=0,#N/A,INDIRECT(ADDRESS($B289+1,E$230,1,1,"Actively Infected Trend")))</f>
        <v>#N/A</v>
      </c>
      <c r="F289" s="14" t="e" cm="1">
        <f t="array" aca="1" ref="F289" ca="1">IF(INDIRECT(ADDRESS($B289+1,F$230,1,1,"Actively Infected Trend"))=0,#N/A,INDIRECT(ADDRESS($B289+1,F$230,1,1,"Actively Infected Trend")))</f>
        <v>#N/A</v>
      </c>
      <c r="G289" s="14" t="e" cm="1">
        <f t="array" aca="1" ref="G289" ca="1">IF(INDIRECT(ADDRESS($B289+1,G$230,1,1,"Actively Infected Trend"))=0,#N/A,INDIRECT(ADDRESS($B289+1,G$230,1,1,"Actively Infected Trend")))</f>
        <v>#N/A</v>
      </c>
      <c r="H289" s="14" t="e" cm="1">
        <f t="array" aca="1" ref="H289" ca="1">IF(INDIRECT(ADDRESS($B289+1,H$230,1,1,"Actively Infected Trend"))=0,#N/A,INDIRECT(ADDRESS($B289+1,H$230,1,1,"Actively Infected Trend")))</f>
        <v>#N/A</v>
      </c>
      <c r="I289" s="14" t="e" cm="1">
        <f t="array" aca="1" ref="I289" ca="1">IF(INDIRECT(ADDRESS($B289+1,I$230,1,1,"Actively Infected Trend"))=0,#N/A,INDIRECT(ADDRESS($B289+1,I$230,1,1,"Actively Infected Trend")))</f>
        <v>#N/A</v>
      </c>
      <c r="J289" s="14" t="e" cm="1">
        <f t="array" aca="1" ref="J289" ca="1">IF(INDIRECT(ADDRESS($B289+1,J$230,1,1,"Actively Infected Trend"))=0,#N/A,INDIRECT(ADDRESS($B289+1,J$230,1,1,"Actively Infected Trend")))</f>
        <v>#N/A</v>
      </c>
      <c r="K289" s="14" t="e" cm="1">
        <f t="array" aca="1" ref="K289" ca="1">IF(INDIRECT(ADDRESS($B289+1,K$230,1,1,"Actively Infected Trend"))=0,#N/A,INDIRECT(ADDRESS($B289+1,K$230,1,1,"Actively Infected Trend")))</f>
        <v>#N/A</v>
      </c>
      <c r="L289" s="14" t="e" cm="1">
        <f t="array" aca="1" ref="L289" ca="1">IF(INDIRECT(ADDRESS($B289+1,L$230,1,1,"Actively Infected Trend"))=0,#N/A,INDIRECT(ADDRESS($B289+1,L$230,1,1,"Actively Infected Trend")))</f>
        <v>#N/A</v>
      </c>
      <c r="M289" s="14" t="e" cm="1">
        <f t="array" aca="1" ref="M289" ca="1">IF(INDIRECT(ADDRESS($B289+1,M$230,1,1,"Actively Infected Trend"))=0,#N/A,INDIRECT(ADDRESS($B289+1,M$230,1,1,"Actively Infected Trend")))</f>
        <v>#N/A</v>
      </c>
      <c r="N289" s="14" t="e" cm="1">
        <f t="array" aca="1" ref="N289" ca="1">IF(INDIRECT(ADDRESS($B289+1,N$230,1,1,"Actively Infected Trend"))=0,#N/A,INDIRECT(ADDRESS($B289+1,N$230,1,1,"Actively Infected Trend")))</f>
        <v>#N/A</v>
      </c>
      <c r="O289" s="14" t="e" cm="1">
        <f t="array" aca="1" ref="O289" ca="1">IF(INDIRECT(ADDRESS($B289+1,O$230,1,1,"Actively Infected Trend"))=0,#N/A,INDIRECT(ADDRESS($B289+1,O$230,1,1,"Actively Infected Trend")))</f>
        <v>#N/A</v>
      </c>
      <c r="P289" s="14" t="e" cm="1">
        <f t="array" aca="1" ref="P289" ca="1">IF(INDIRECT(ADDRESS($B289+1,P$230,1,1,"Actively Infected Trend"))=0,#N/A,INDIRECT(ADDRESS($B289+1,P$230,1,1,"Actively Infected Trend")))</f>
        <v>#N/A</v>
      </c>
      <c r="Q289" s="14" t="e" cm="1">
        <f t="array" aca="1" ref="Q289" ca="1">IF(INDIRECT(ADDRESS($B289+1,Q$230,1,1,"Actively Infected Trend"))=0,#N/A,INDIRECT(ADDRESS($B289+1,Q$230,1,1,"Actively Infected Trend")))</f>
        <v>#N/A</v>
      </c>
      <c r="R289" s="14" t="e" cm="1">
        <f t="array" aca="1" ref="R289" ca="1">IF(INDIRECT(ADDRESS($B289+1,R$230,1,1,"Actively Infected Trend"))=0,#N/A,INDIRECT(ADDRESS($B289+1,R$230,1,1,"Actively Infected Trend")))</f>
        <v>#N/A</v>
      </c>
      <c r="S289" s="14" t="e" cm="1">
        <f t="array" aca="1" ref="S289" ca="1">IF(INDIRECT(ADDRESS($B289+1,S$230,1,1,"Actively Infected Trend"))=0,#N/A,INDIRECT(ADDRESS($B289+1,S$230,1,1,"Actively Infected Trend")))</f>
        <v>#N/A</v>
      </c>
      <c r="T289" s="14" t="e" cm="1">
        <f t="array" aca="1" ref="T289" ca="1">IF(INDIRECT(ADDRESS($B289+1,T$230,1,1,"Actively Infected Trend"))=0,#N/A,INDIRECT(ADDRESS($B289+1,T$230,1,1,"Actively Infected Trend")))</f>
        <v>#N/A</v>
      </c>
      <c r="U289" s="14" t="e" cm="1">
        <f t="array" aca="1" ref="U289" ca="1">IF(INDIRECT(ADDRESS($B289+1,U$230,1,1,"Actively Infected Trend"))=0,#N/A,INDIRECT(ADDRESS($B289+1,U$230,1,1,"Actively Infected Trend")))</f>
        <v>#N/A</v>
      </c>
      <c r="V289" s="14" t="e" cm="1">
        <f t="array" aca="1" ref="V289" ca="1">IF(INDIRECT(ADDRESS($B289+1,V$230,1,1,"Actively Infected Trend"))=0,#N/A,INDIRECT(ADDRESS($B289+1,V$230,1,1,"Actively Infected Trend")))</f>
        <v>#N/A</v>
      </c>
      <c r="W289" s="14" t="e" cm="1">
        <f t="array" aca="1" ref="W289" ca="1">IF(INDIRECT(ADDRESS($B289+1,W$230,1,1,"Actively Infected Trend"))=0,#N/A,INDIRECT(ADDRESS($B289+1,W$230,1,1,"Actively Infected Trend")))</f>
        <v>#N/A</v>
      </c>
      <c r="X289" s="14" t="e" cm="1">
        <f t="array" aca="1" ref="X289" ca="1">IF(INDIRECT(ADDRESS($B289+1,X$230,1,1,"Actively Infected Trend"))=0,#N/A,INDIRECT(ADDRESS($B289+1,X$230,1,1,"Actively Infected Trend")))</f>
        <v>#N/A</v>
      </c>
      <c r="Y289" s="14" t="e" cm="1">
        <f t="array" aca="1" ref="Y289" ca="1">IF(INDIRECT(ADDRESS($B289+1,Y$230,1,1,"Actively Infected Trend"))=0,#N/A,INDIRECT(ADDRESS($B289+1,Y$230,1,1,"Actively Infected Trend")))</f>
        <v>#N/A</v>
      </c>
      <c r="Z289" s="14" t="e" cm="1">
        <f t="array" aca="1" ref="Z289" ca="1">IF(INDIRECT(ADDRESS($B289+1,Z$230,1,1,"Actively Infected Trend"))=0,#N/A,INDIRECT(ADDRESS($B289+1,Z$230,1,1,"Actively Infected Trend")))</f>
        <v>#N/A</v>
      </c>
      <c r="AA289" s="14" t="e" cm="1">
        <f t="array" aca="1" ref="AA289" ca="1">IF(INDIRECT(ADDRESS($B289+1,AA$230,1,1,"Actively Infected Trend"))=0,#N/A,INDIRECT(ADDRESS($B289+1,AA$230,1,1,"Actively Infected Trend")))</f>
        <v>#N/A</v>
      </c>
      <c r="AB289" s="14" t="e" cm="1">
        <f t="array" aca="1" ref="AB289" ca="1">IF(INDIRECT(ADDRESS($B289+1,AB$230,1,1,"Actively Infected Trend"))=0,#N/A,INDIRECT(ADDRESS($B289+1,AB$230,1,1,"Actively Infected Trend")))</f>
        <v>#N/A</v>
      </c>
      <c r="AC289" s="14" t="e" cm="1">
        <f t="array" aca="1" ref="AC289" ca="1">IF(INDIRECT(ADDRESS($B289+1,AC$230,1,1,"Actively Infected Trend"))=0,#N/A,INDIRECT(ADDRESS($B289+1,AC$230,1,1,"Actively Infected Trend")))</f>
        <v>#N/A</v>
      </c>
      <c r="AD289" s="14" t="e" cm="1">
        <f t="array" aca="1" ref="AD289" ca="1">IF(INDIRECT(ADDRESS($B289+1,AD$230,1,1,"Actively Infected Trend"))=0,#N/A,INDIRECT(ADDRESS($B289+1,AD$230,1,1,"Actively Infected Trend")))</f>
        <v>#N/A</v>
      </c>
      <c r="AE289" s="14" t="e" cm="1">
        <f t="array" aca="1" ref="AE289" ca="1">IF(INDIRECT(ADDRESS($B289+1,AE$230,1,1,"Actively Infected Trend"))=0,#N/A,INDIRECT(ADDRESS($B289+1,AE$230,1,1,"Actively Infected Trend")))</f>
        <v>#N/A</v>
      </c>
      <c r="AF289" s="14" t="e" cm="1">
        <f t="array" aca="1" ref="AF289" ca="1">IF(INDIRECT(ADDRESS($B289+1,AF$230,1,1,"Actively Infected Trend"))=0,#N/A,INDIRECT(ADDRESS($B289+1,AF$230,1,1,"Actively Infected Trend")))</f>
        <v>#N/A</v>
      </c>
      <c r="AG289" s="14" t="e" cm="1">
        <f t="array" aca="1" ref="AG289" ca="1">IF(INDIRECT(ADDRESS($B289+1,AG$230,1,1,"Actively Infected Trend"))=0,#N/A,INDIRECT(ADDRESS($B289+1,AG$230,1,1,"Actively Infected Trend")))</f>
        <v>#N/A</v>
      </c>
      <c r="AH289" s="14" t="e" cm="1">
        <f t="array" aca="1" ref="AH289" ca="1">IF(INDIRECT(ADDRESS($B289+1,AH$230,1,1,"Actively Infected Trend"))=0,#N/A,INDIRECT(ADDRESS($B289+1,AH$230,1,1,"Actively Infected Trend")))</f>
        <v>#N/A</v>
      </c>
      <c r="AI289" s="14" t="e" cm="1">
        <f t="array" aca="1" ref="AI289" ca="1">IF(INDIRECT(ADDRESS($B289+1,AI$230,1,1,"Actively Infected Trend"))=0,#N/A,INDIRECT(ADDRESS($B289+1,AI$230,1,1,"Actively Infected Trend")))</f>
        <v>#N/A</v>
      </c>
      <c r="AJ289" s="14" t="e" cm="1">
        <f t="array" aca="1" ref="AJ289" ca="1">IF(INDIRECT(ADDRESS($B289+1,AJ$230,1,1,"Actively Infected Trend"))=0,#N/A,INDIRECT(ADDRESS($B289+1,AJ$230,1,1,"Actively Infected Trend")))</f>
        <v>#N/A</v>
      </c>
      <c r="AK289" s="14" t="e" cm="1">
        <f t="array" aca="1" ref="AK289" ca="1">IF(INDIRECT(ADDRESS($B289+1,AK$230,1,1,"Actively Infected Trend"))=0,#N/A,INDIRECT(ADDRESS($B289+1,AK$230,1,1,"Actively Infected Trend")))</f>
        <v>#N/A</v>
      </c>
      <c r="AL289" s="14" t="e" cm="1">
        <f t="array" aca="1" ref="AL289" ca="1">IF(INDIRECT(ADDRESS($B289+1,AL$230,1,1,"Actively Infected Trend"))=0,#N/A,INDIRECT(ADDRESS($B289+1,AL$230,1,1,"Actively Infected Trend")))</f>
        <v>#N/A</v>
      </c>
      <c r="AM289" s="14" t="e" cm="1">
        <f t="array" aca="1" ref="AM289" ca="1">IF(INDIRECT(ADDRESS($B289+1,AM$230,1,1,"Actively Infected Trend"))=0,#N/A,INDIRECT(ADDRESS($B289+1,AM$230,1,1,"Actively Infected Trend")))</f>
        <v>#N/A</v>
      </c>
      <c r="AN289" s="14" t="e" cm="1">
        <f t="array" aca="1" ref="AN289" ca="1">IF(INDIRECT(ADDRESS($B289+1,AN$230,1,1,"Actively Infected Trend"))=0,#N/A,INDIRECT(ADDRESS($B289+1,AN$230,1,1,"Actively Infected Trend")))</f>
        <v>#N/A</v>
      </c>
      <c r="AO289" s="14" t="e" cm="1">
        <f t="array" aca="1" ref="AO289" ca="1">IF(INDIRECT(ADDRESS($B289+1,AO$230,1,1,"Actively Infected Trend"))=0,#N/A,INDIRECT(ADDRESS($B289+1,AO$230,1,1,"Actively Infected Trend")))</f>
        <v>#N/A</v>
      </c>
      <c r="AP289" s="14" t="e" cm="1">
        <f t="array" aca="1" ref="AP289" ca="1">IF(INDIRECT(ADDRESS($B289+1,AP$230,1,1,"Actively Infected Trend"))=0,#N/A,INDIRECT(ADDRESS($B289+1,AP$230,1,1,"Actively Infected Trend")))</f>
        <v>#N/A</v>
      </c>
      <c r="AQ289" s="14" t="e" cm="1">
        <f t="array" aca="1" ref="AQ289" ca="1">IF(INDIRECT(ADDRESS($B289+1,AQ$230,1,1,"Actively Infected Trend"))=0,#N/A,INDIRECT(ADDRESS($B289+1,AQ$230,1,1,"Actively Infected Trend")))</f>
        <v>#N/A</v>
      </c>
      <c r="AR289" s="14" t="e" cm="1">
        <f t="array" aca="1" ref="AR289" ca="1">IF(INDIRECT(ADDRESS($B289+1,AR$230,1,1,"Actively Infected Trend"))=0,#N/A,INDIRECT(ADDRESS($B289+1,AR$230,1,1,"Actively Infected Trend")))</f>
        <v>#N/A</v>
      </c>
      <c r="AS289" s="14" t="e" cm="1">
        <f t="array" aca="1" ref="AS289" ca="1">IF(INDIRECT(ADDRESS($B289+1,AS$230,1,1,"Actively Infected Trend"))=0,#N/A,INDIRECT(ADDRESS($B289+1,AS$230,1,1,"Actively Infected Trend")))</f>
        <v>#N/A</v>
      </c>
      <c r="AT289" s="14" t="e" cm="1">
        <f t="array" aca="1" ref="AT289" ca="1">IF(INDIRECT(ADDRESS($B289+1,AT$230,1,1,"Actively Infected Trend"))=0,#N/A,INDIRECT(ADDRESS($B289+1,AT$230,1,1,"Actively Infected Trend")))</f>
        <v>#N/A</v>
      </c>
      <c r="AU289" s="14" t="e" cm="1">
        <f t="array" aca="1" ref="AU289" ca="1">IF(INDIRECT(ADDRESS($B289+1,AU$230,1,1,"Actively Infected Trend"))=0,#N/A,INDIRECT(ADDRESS($B289+1,AU$230,1,1,"Actively Infected Trend")))</f>
        <v>#N/A</v>
      </c>
      <c r="AV289" s="14" t="e" cm="1">
        <f t="array" aca="1" ref="AV289" ca="1">IF(INDIRECT(ADDRESS($B289+1,AV$230,1,1,"Actively Infected Trend"))=0,#N/A,INDIRECT(ADDRESS($B289+1,AV$230,1,1,"Actively Infected Trend")))</f>
        <v>#N/A</v>
      </c>
      <c r="AW289" s="14" t="e" cm="1">
        <f t="array" aca="1" ref="AW289" ca="1">IF(INDIRECT(ADDRESS($B289+1,AW$230,1,1,"Actively Infected Trend"))=0,#N/A,INDIRECT(ADDRESS($B289+1,AW$230,1,1,"Actively Infected Trend")))</f>
        <v>#N/A</v>
      </c>
      <c r="AX289" s="14" t="e" cm="1">
        <f t="array" aca="1" ref="AX289" ca="1">IF(INDIRECT(ADDRESS($B289+1,AX$230,1,1,"Actively Infected Trend"))=0,#N/A,INDIRECT(ADDRESS($B289+1,AX$230,1,1,"Actively Infected Trend")))</f>
        <v>#N/A</v>
      </c>
      <c r="AY289" s="14" t="e" cm="1">
        <f t="array" aca="1" ref="AY289" ca="1">IF(INDIRECT(ADDRESS($B289+1,AY$230,1,1,"Actively Infected Trend"))=0,#N/A,INDIRECT(ADDRESS($B289+1,AY$230,1,1,"Actively Infected Trend")))</f>
        <v>#N/A</v>
      </c>
      <c r="AZ289" s="14" t="e" cm="1">
        <f t="array" aca="1" ref="AZ289" ca="1">IF(INDIRECT(ADDRESS($B289+1,AZ$230,1,1,"Actively Infected Trend"))=0,#N/A,INDIRECT(ADDRESS($B289+1,AZ$230,1,1,"Actively Infected Trend")))</f>
        <v>#N/A</v>
      </c>
      <c r="BA289" s="14" t="e" cm="1">
        <f t="array" aca="1" ref="BA289" ca="1">IF(INDIRECT(ADDRESS($B289+1,BA$230,1,1,"Actively Infected Trend"))=0,#N/A,INDIRECT(ADDRESS($B289+1,BA$230,1,1,"Actively Infected Trend")))</f>
        <v>#N/A</v>
      </c>
      <c r="BB289" s="14" t="e" cm="1">
        <f t="array" aca="1" ref="BB289" ca="1">IF(INDIRECT(ADDRESS($B289+1,BB$230,1,1,"Actively Infected Trend"))=0,#N/A,INDIRECT(ADDRESS($B289+1,BB$230,1,1,"Actively Infected Trend")))</f>
        <v>#N/A</v>
      </c>
      <c r="BC289" s="14" t="e" cm="1">
        <f t="array" aca="1" ref="BC289" ca="1">IF(INDIRECT(ADDRESS($B289+1,BC$230,1,1,"Actively Infected Trend"))=0,#N/A,INDIRECT(ADDRESS($B289+1,BC$230,1,1,"Actively Infected Trend")))</f>
        <v>#N/A</v>
      </c>
      <c r="BD289" s="14" t="e" cm="1">
        <f t="array" aca="1" ref="BD289" ca="1">IF(INDIRECT(ADDRESS($B289+1,BD$230,1,1,"Actively Infected Trend"))=0,#N/A,INDIRECT(ADDRESS($B289+1,BD$230,1,1,"Actively Infected Trend")))</f>
        <v>#N/A</v>
      </c>
      <c r="BE289" s="14" t="e" cm="1">
        <f t="array" aca="1" ref="BE289" ca="1">IF(INDIRECT(ADDRESS($B289+1,BE$230,1,1,"Actively Infected Trend"))=0,#N/A,INDIRECT(ADDRESS($B289+1,BE$230,1,1,"Actively Infected Trend")))</f>
        <v>#N/A</v>
      </c>
      <c r="BF289" s="14" t="e" cm="1">
        <f t="array" aca="1" ref="BF289" ca="1">IF(INDIRECT(ADDRESS($B289+1,BF$230,1,1,"Actively Infected Trend"))=0,#N/A,INDIRECT(ADDRESS($B289+1,BF$230,1,1,"Actively Infected Trend")))</f>
        <v>#N/A</v>
      </c>
      <c r="BG289" s="14" t="e" cm="1">
        <f t="array" aca="1" ref="BG289" ca="1">IF(INDIRECT(ADDRESS($B289+1,BG$230,1,1,"Actively Infected Trend"))=0,#N/A,INDIRECT(ADDRESS($B289+1,BG$230,1,1,"Actively Infected Trend")))</f>
        <v>#N/A</v>
      </c>
      <c r="BH289" s="14" t="e" cm="1">
        <f t="array" aca="1" ref="BH289" ca="1">IF(INDIRECT(ADDRESS($B289+1,BH$230,1,1,"Actively Infected Trend"))=0,#N/A,INDIRECT(ADDRESS($B289+1,BH$230,1,1,"Actively Infected Trend")))</f>
        <v>#N/A</v>
      </c>
      <c r="BI289" s="14" t="e" cm="1">
        <f t="array" aca="1" ref="BI289" ca="1">IF(INDIRECT(ADDRESS($B289+1,BI$230,1,1,"Actively Infected Trend"))=0,#N/A,INDIRECT(ADDRESS($B289+1,BI$230,1,1,"Actively Infected Trend")))</f>
        <v>#N/A</v>
      </c>
      <c r="BJ289" s="14" t="e" cm="1">
        <f t="array" aca="1" ref="BJ289" ca="1">IF(INDIRECT(ADDRESS($B289+1,BJ$230,1,1,"Actively Infected Trend"))=0,#N/A,INDIRECT(ADDRESS($B289+1,BJ$230,1,1,"Actively Infected Trend")))</f>
        <v>#N/A</v>
      </c>
      <c r="BK289" s="14" t="e" cm="1">
        <f t="array" aca="1" ref="BK289" ca="1">IF(INDIRECT(ADDRESS($B289+1,BK$230,1,1,"Actively Infected Trend"))=0,#N/A,INDIRECT(ADDRESS($B289+1,BK$230,1,1,"Actively Infected Trend")))</f>
        <v>#N/A</v>
      </c>
      <c r="BL289" s="14" t="e" cm="1">
        <f t="array" aca="1" ref="BL289" ca="1">IF(INDIRECT(ADDRESS($B289+1,BL$230,1,1,"Actively Infected Trend"))=0,#N/A,INDIRECT(ADDRESS($B289+1,BL$230,1,1,"Actively Infected Trend")))</f>
        <v>#N/A</v>
      </c>
      <c r="BM289" s="14" t="e" cm="1">
        <f t="array" aca="1" ref="BM289" ca="1">IF(INDIRECT(ADDRESS($B289+1,BM$230,1,1,"Actively Infected Trend"))=0,#N/A,INDIRECT(ADDRESS($B289+1,BM$230,1,1,"Actively Infected Trend")))</f>
        <v>#N/A</v>
      </c>
      <c r="BN289" s="14" t="e" cm="1">
        <f t="array" aca="1" ref="BN289" ca="1">IF(INDIRECT(ADDRESS($B289+1,BN$230,1,1,"Actively Infected Trend"))=0,#N/A,INDIRECT(ADDRESS($B289+1,BN$230,1,1,"Actively Infected Trend")))</f>
        <v>#N/A</v>
      </c>
      <c r="BO289" s="14" t="e" cm="1">
        <f t="array" aca="1" ref="BO289" ca="1">IF(INDIRECT(ADDRESS($B289+1,BO$230,1,1,"Actively Infected Trend"))=0,#N/A,INDIRECT(ADDRESS($B289+1,BO$230,1,1,"Actively Infected Trend")))</f>
        <v>#N/A</v>
      </c>
      <c r="BP289" s="14" t="e" cm="1">
        <f t="array" aca="1" ref="BP289" ca="1">IF(INDIRECT(ADDRESS($B289+1,BP$230,1,1,"Actively Infected Trend"))=0,#N/A,INDIRECT(ADDRESS($B289+1,BP$230,1,1,"Actively Infected Trend")))</f>
        <v>#N/A</v>
      </c>
      <c r="BQ289" s="14" t="e" cm="1">
        <f t="array" aca="1" ref="BQ289" ca="1">IF(INDIRECT(ADDRESS($B289+1,BQ$230,1,1,"Actively Infected Trend"))=0,#N/A,INDIRECT(ADDRESS($B289+1,BQ$230,1,1,"Actively Infected Trend")))</f>
        <v>#N/A</v>
      </c>
      <c r="BR289" s="14" t="e" cm="1">
        <f t="array" aca="1" ref="BR289" ca="1">IF(INDIRECT(ADDRESS($B289+1,BR$230,1,1,"Actively Infected Trend"))=0,#N/A,INDIRECT(ADDRESS($B289+1,BR$230,1,1,"Actively Infected Trend")))</f>
        <v>#N/A</v>
      </c>
      <c r="BS289" s="14" t="e" cm="1">
        <f t="array" aca="1" ref="BS289" ca="1">IF(INDIRECT(ADDRESS($B289+1,BS$230,1,1,"Actively Infected Trend"))=0,#N/A,INDIRECT(ADDRESS($B289+1,BS$230,1,1,"Actively Infected Trend")))</f>
        <v>#N/A</v>
      </c>
      <c r="BT289" s="14" t="e" cm="1">
        <f t="array" aca="1" ref="BT289" ca="1">IF(INDIRECT(ADDRESS($B289+1,BT$230,1,1,"Actively Infected Trend"))=0,#N/A,INDIRECT(ADDRESS($B289+1,BT$230,1,1,"Actively Infected Trend")))</f>
        <v>#N/A</v>
      </c>
      <c r="BU289" s="14" t="e" cm="1">
        <f t="array" aca="1" ref="BU289" ca="1">IF(INDIRECT(ADDRESS($B289+1,BU$230,1,1,"Actively Infected Trend"))=0,#N/A,INDIRECT(ADDRESS($B289+1,BU$230,1,1,"Actively Infected Trend")))</f>
        <v>#N/A</v>
      </c>
      <c r="BV289" s="14" t="e" cm="1">
        <f t="array" aca="1" ref="BV289" ca="1">IF(INDIRECT(ADDRESS($B289+1,BV$230,1,1,"Actively Infected Trend"))=0,#N/A,INDIRECT(ADDRESS($B289+1,BV$230,1,1,"Actively Infected Trend")))</f>
        <v>#N/A</v>
      </c>
      <c r="BW289" s="14" t="e" cm="1">
        <f t="array" aca="1" ref="BW289" ca="1">IF(INDIRECT(ADDRESS($B289+1,BW$230,1,1,"Actively Infected Trend"))=0,#N/A,INDIRECT(ADDRESS($B289+1,BW$230,1,1,"Actively Infected Trend")))</f>
        <v>#N/A</v>
      </c>
      <c r="BX289" s="14" t="e" cm="1">
        <f t="array" aca="1" ref="BX289" ca="1">IF(INDIRECT(ADDRESS($B289+1,BX$230,1,1,"Actively Infected Trend"))=0,#N/A,INDIRECT(ADDRESS($B289+1,BX$230,1,1,"Actively Infected Trend")))</f>
        <v>#N/A</v>
      </c>
      <c r="BY289" s="14" t="e" cm="1">
        <f t="array" aca="1" ref="BY289" ca="1">IF(INDIRECT(ADDRESS($B289+1,BY$230,1,1,"Actively Infected Trend"))=0,#N/A,INDIRECT(ADDRESS($B289+1,BY$230,1,1,"Actively Infected Trend")))</f>
        <v>#N/A</v>
      </c>
      <c r="BZ289" s="14" t="e" cm="1">
        <f t="array" aca="1" ref="BZ289" ca="1">IF(INDIRECT(ADDRESS($B289+1,BZ$230,1,1,"Actively Infected Trend"))=0,#N/A,INDIRECT(ADDRESS($B289+1,BZ$230,1,1,"Actively Infected Trend")))</f>
        <v>#N/A</v>
      </c>
      <c r="CA289" s="14" t="e" cm="1">
        <f t="array" aca="1" ref="CA289" ca="1">IF(INDIRECT(ADDRESS($B289+1,CA$230,1,1,"Actively Infected Trend"))=0,#N/A,INDIRECT(ADDRESS($B289+1,CA$230,1,1,"Actively Infected Trend")))</f>
        <v>#N/A</v>
      </c>
      <c r="CB289" s="14" t="e" cm="1">
        <f t="array" aca="1" ref="CB289" ca="1">IF(INDIRECT(ADDRESS($B289+1,CB$230,1,1,"Actively Infected Trend"))=0,#N/A,INDIRECT(ADDRESS($B289+1,CB$230,1,1,"Actively Infected Trend")))</f>
        <v>#N/A</v>
      </c>
      <c r="CC289" s="14" t="e" cm="1">
        <f t="array" aca="1" ref="CC289" ca="1">IF(INDIRECT(ADDRESS($B289+1,CC$230,1,1,"Actively Infected Trend"))=0,#N/A,INDIRECT(ADDRESS($B289+1,CC$230,1,1,"Actively Infected Trend")))</f>
        <v>#N/A</v>
      </c>
      <c r="CD289" s="14" t="e" cm="1">
        <f t="array" aca="1" ref="CD289" ca="1">IF(INDIRECT(ADDRESS($B289+1,CD$230,1,1,"Actively Infected Trend"))=0,#N/A,INDIRECT(ADDRESS($B289+1,CD$230,1,1,"Actively Infected Trend")))</f>
        <v>#N/A</v>
      </c>
      <c r="CE289" s="14" t="e" cm="1">
        <f t="array" aca="1" ref="CE289" ca="1">IF(INDIRECT(ADDRESS($B289+1,CE$230,1,1,"Actively Infected Trend"))=0,#N/A,INDIRECT(ADDRESS($B289+1,CE$230,1,1,"Actively Infected Trend")))</f>
        <v>#N/A</v>
      </c>
      <c r="CF289" s="14" t="e" cm="1">
        <f t="array" aca="1" ref="CF289" ca="1">IF(INDIRECT(ADDRESS($B289+1,CF$230,1,1,"Actively Infected Trend"))=0,#N/A,INDIRECT(ADDRESS($B289+1,CF$230,1,1,"Actively Infected Trend")))</f>
        <v>#N/A</v>
      </c>
      <c r="CG289" s="14" t="e" cm="1">
        <f t="array" aca="1" ref="CG289" ca="1">IF(INDIRECT(ADDRESS($B289+1,CG$230,1,1,"Actively Infected Trend"))=0,#N/A,INDIRECT(ADDRESS($B289+1,CG$230,1,1,"Actively Infected Trend")))</f>
        <v>#N/A</v>
      </c>
      <c r="CH289" s="14" t="e" cm="1">
        <f t="array" aca="1" ref="CH289" ca="1">IF(INDIRECT(ADDRESS($B289+1,CH$230,1,1,"Actively Infected Trend"))=0,#N/A,INDIRECT(ADDRESS($B289+1,CH$230,1,1,"Actively Infected Trend")))</f>
        <v>#N/A</v>
      </c>
      <c r="CI289" s="14" t="e" cm="1">
        <f t="array" aca="1" ref="CI289" ca="1">IF(INDIRECT(ADDRESS($B289+1,CI$230,1,1,"Actively Infected Trend"))=0,#N/A,INDIRECT(ADDRESS($B289+1,CI$230,1,1,"Actively Infected Trend")))</f>
        <v>#N/A</v>
      </c>
      <c r="CJ289" s="14" t="e" cm="1">
        <f t="array" aca="1" ref="CJ289" ca="1">IF(INDIRECT(ADDRESS($B289+1,CJ$230,1,1,"Actively Infected Trend"))=0,#N/A,INDIRECT(ADDRESS($B289+1,CJ$230,1,1,"Actively Infected Trend")))</f>
        <v>#N/A</v>
      </c>
      <c r="CK289" s="14" t="e" cm="1">
        <f t="array" aca="1" ref="CK289" ca="1">IF(INDIRECT(ADDRESS($B289+1,CK$230,1,1,"Actively Infected Trend"))=0,#N/A,INDIRECT(ADDRESS($B289+1,CK$230,1,1,"Actively Infected Trend")))</f>
        <v>#N/A</v>
      </c>
      <c r="CL289" s="14" t="e" cm="1">
        <f t="array" aca="1" ref="CL289" ca="1">IF(INDIRECT(ADDRESS($B289+1,CL$230,1,1,"Actively Infected Trend"))=0,#N/A,INDIRECT(ADDRESS($B289+1,CL$230,1,1,"Actively Infected Trend")))</f>
        <v>#N/A</v>
      </c>
      <c r="CM289" s="14" t="e" cm="1">
        <f t="array" aca="1" ref="CM289" ca="1">IF(INDIRECT(ADDRESS($B289+1,CM$230,1,1,"Actively Infected Trend"))=0,#N/A,INDIRECT(ADDRESS($B289+1,CM$230,1,1,"Actively Infected Trend")))</f>
        <v>#N/A</v>
      </c>
      <c r="CN289" s="14" t="e" cm="1">
        <f t="array" aca="1" ref="CN289" ca="1">IF(INDIRECT(ADDRESS($B289+1,CN$230,1,1,"Actively Infected Trend"))=0,#N/A,INDIRECT(ADDRESS($B289+1,CN$230,1,1,"Actively Infected Trend")))</f>
        <v>#N/A</v>
      </c>
      <c r="CO289" s="14" t="e" cm="1">
        <f t="array" aca="1" ref="CO289" ca="1">IF(INDIRECT(ADDRESS($B289+1,CO$230,1,1,"Actively Infected Trend"))=0,#N/A,INDIRECT(ADDRESS($B289+1,CO$230,1,1,"Actively Infected Trend")))</f>
        <v>#N/A</v>
      </c>
      <c r="CP289" s="14" t="e" cm="1">
        <f t="array" aca="1" ref="CP289" ca="1">IF(INDIRECT(ADDRESS($B289+1,CP$230,1,1,"Actively Infected Trend"))=0,#N/A,INDIRECT(ADDRESS($B289+1,CP$230,1,1,"Actively Infected Trend")))</f>
        <v>#N/A</v>
      </c>
      <c r="CQ289" s="14" t="e" cm="1">
        <f t="array" aca="1" ref="CQ289" ca="1">IF(INDIRECT(ADDRESS($B289+1,CQ$230,1,1,"Actively Infected Trend"))=0,#N/A,INDIRECT(ADDRESS($B289+1,CQ$230,1,1,"Actively Infected Trend")))</f>
        <v>#N/A</v>
      </c>
      <c r="CR289" s="14" t="e" cm="1">
        <f t="array" aca="1" ref="CR289" ca="1">IF(INDIRECT(ADDRESS($B289+1,CR$230,1,1,"Actively Infected Trend"))=0,#N/A,INDIRECT(ADDRESS($B289+1,CR$230,1,1,"Actively Infected Trend")))</f>
        <v>#N/A</v>
      </c>
    </row>
    <row r="290" spans="2:96" x14ac:dyDescent="0.25">
      <c r="B290">
        <f t="shared" si="349"/>
        <v>59</v>
      </c>
      <c r="C290" cm="1">
        <f t="array" aca="1" ref="C290" ca="1">INDIRECT(ADDRESS($B290+1,1,1,1,"Actively Infected Trend"))</f>
        <v>0</v>
      </c>
      <c r="E290" s="14" t="e" cm="1">
        <f t="array" aca="1" ref="E290" ca="1">IF(INDIRECT(ADDRESS($B290+1,E$230,1,1,"Actively Infected Trend"))=0,#N/A,INDIRECT(ADDRESS($B290+1,E$230,1,1,"Actively Infected Trend")))</f>
        <v>#N/A</v>
      </c>
      <c r="F290" s="14" t="e" cm="1">
        <f t="array" aca="1" ref="F290" ca="1">IF(INDIRECT(ADDRESS($B290+1,F$230,1,1,"Actively Infected Trend"))=0,#N/A,INDIRECT(ADDRESS($B290+1,F$230,1,1,"Actively Infected Trend")))</f>
        <v>#N/A</v>
      </c>
      <c r="G290" s="14" t="e" cm="1">
        <f t="array" aca="1" ref="G290" ca="1">IF(INDIRECT(ADDRESS($B290+1,G$230,1,1,"Actively Infected Trend"))=0,#N/A,INDIRECT(ADDRESS($B290+1,G$230,1,1,"Actively Infected Trend")))</f>
        <v>#N/A</v>
      </c>
      <c r="H290" s="14" t="e" cm="1">
        <f t="array" aca="1" ref="H290" ca="1">IF(INDIRECT(ADDRESS($B290+1,H$230,1,1,"Actively Infected Trend"))=0,#N/A,INDIRECT(ADDRESS($B290+1,H$230,1,1,"Actively Infected Trend")))</f>
        <v>#N/A</v>
      </c>
      <c r="I290" s="14" t="e" cm="1">
        <f t="array" aca="1" ref="I290" ca="1">IF(INDIRECT(ADDRESS($B290+1,I$230,1,1,"Actively Infected Trend"))=0,#N/A,INDIRECT(ADDRESS($B290+1,I$230,1,1,"Actively Infected Trend")))</f>
        <v>#N/A</v>
      </c>
      <c r="J290" s="14" t="e" cm="1">
        <f t="array" aca="1" ref="J290" ca="1">IF(INDIRECT(ADDRESS($B290+1,J$230,1,1,"Actively Infected Trend"))=0,#N/A,INDIRECT(ADDRESS($B290+1,J$230,1,1,"Actively Infected Trend")))</f>
        <v>#N/A</v>
      </c>
      <c r="K290" s="14" t="e" cm="1">
        <f t="array" aca="1" ref="K290" ca="1">IF(INDIRECT(ADDRESS($B290+1,K$230,1,1,"Actively Infected Trend"))=0,#N/A,INDIRECT(ADDRESS($B290+1,K$230,1,1,"Actively Infected Trend")))</f>
        <v>#N/A</v>
      </c>
      <c r="L290" s="14" t="e" cm="1">
        <f t="array" aca="1" ref="L290" ca="1">IF(INDIRECT(ADDRESS($B290+1,L$230,1,1,"Actively Infected Trend"))=0,#N/A,INDIRECT(ADDRESS($B290+1,L$230,1,1,"Actively Infected Trend")))</f>
        <v>#N/A</v>
      </c>
      <c r="M290" s="14" t="e" cm="1">
        <f t="array" aca="1" ref="M290" ca="1">IF(INDIRECT(ADDRESS($B290+1,M$230,1,1,"Actively Infected Trend"))=0,#N/A,INDIRECT(ADDRESS($B290+1,M$230,1,1,"Actively Infected Trend")))</f>
        <v>#N/A</v>
      </c>
      <c r="N290" s="14" t="e" cm="1">
        <f t="array" aca="1" ref="N290" ca="1">IF(INDIRECT(ADDRESS($B290+1,N$230,1,1,"Actively Infected Trend"))=0,#N/A,INDIRECT(ADDRESS($B290+1,N$230,1,1,"Actively Infected Trend")))</f>
        <v>#N/A</v>
      </c>
      <c r="O290" s="14" t="e" cm="1">
        <f t="array" aca="1" ref="O290" ca="1">IF(INDIRECT(ADDRESS($B290+1,O$230,1,1,"Actively Infected Trend"))=0,#N/A,INDIRECT(ADDRESS($B290+1,O$230,1,1,"Actively Infected Trend")))</f>
        <v>#N/A</v>
      </c>
      <c r="P290" s="14" t="e" cm="1">
        <f t="array" aca="1" ref="P290" ca="1">IF(INDIRECT(ADDRESS($B290+1,P$230,1,1,"Actively Infected Trend"))=0,#N/A,INDIRECT(ADDRESS($B290+1,P$230,1,1,"Actively Infected Trend")))</f>
        <v>#N/A</v>
      </c>
      <c r="Q290" s="14" t="e" cm="1">
        <f t="array" aca="1" ref="Q290" ca="1">IF(INDIRECT(ADDRESS($B290+1,Q$230,1,1,"Actively Infected Trend"))=0,#N/A,INDIRECT(ADDRESS($B290+1,Q$230,1,1,"Actively Infected Trend")))</f>
        <v>#N/A</v>
      </c>
      <c r="R290" s="14" t="e" cm="1">
        <f t="array" aca="1" ref="R290" ca="1">IF(INDIRECT(ADDRESS($B290+1,R$230,1,1,"Actively Infected Trend"))=0,#N/A,INDIRECT(ADDRESS($B290+1,R$230,1,1,"Actively Infected Trend")))</f>
        <v>#N/A</v>
      </c>
      <c r="S290" s="14" t="e" cm="1">
        <f t="array" aca="1" ref="S290" ca="1">IF(INDIRECT(ADDRESS($B290+1,S$230,1,1,"Actively Infected Trend"))=0,#N/A,INDIRECT(ADDRESS($B290+1,S$230,1,1,"Actively Infected Trend")))</f>
        <v>#N/A</v>
      </c>
      <c r="T290" s="14" t="e" cm="1">
        <f t="array" aca="1" ref="T290" ca="1">IF(INDIRECT(ADDRESS($B290+1,T$230,1,1,"Actively Infected Trend"))=0,#N/A,INDIRECT(ADDRESS($B290+1,T$230,1,1,"Actively Infected Trend")))</f>
        <v>#N/A</v>
      </c>
      <c r="U290" s="14" t="e" cm="1">
        <f t="array" aca="1" ref="U290" ca="1">IF(INDIRECT(ADDRESS($B290+1,U$230,1,1,"Actively Infected Trend"))=0,#N/A,INDIRECT(ADDRESS($B290+1,U$230,1,1,"Actively Infected Trend")))</f>
        <v>#N/A</v>
      </c>
      <c r="V290" s="14" t="e" cm="1">
        <f t="array" aca="1" ref="V290" ca="1">IF(INDIRECT(ADDRESS($B290+1,V$230,1,1,"Actively Infected Trend"))=0,#N/A,INDIRECT(ADDRESS($B290+1,V$230,1,1,"Actively Infected Trend")))</f>
        <v>#N/A</v>
      </c>
      <c r="W290" s="14" t="e" cm="1">
        <f t="array" aca="1" ref="W290" ca="1">IF(INDIRECT(ADDRESS($B290+1,W$230,1,1,"Actively Infected Trend"))=0,#N/A,INDIRECT(ADDRESS($B290+1,W$230,1,1,"Actively Infected Trend")))</f>
        <v>#N/A</v>
      </c>
      <c r="X290" s="14" t="e" cm="1">
        <f t="array" aca="1" ref="X290" ca="1">IF(INDIRECT(ADDRESS($B290+1,X$230,1,1,"Actively Infected Trend"))=0,#N/A,INDIRECT(ADDRESS($B290+1,X$230,1,1,"Actively Infected Trend")))</f>
        <v>#N/A</v>
      </c>
      <c r="Y290" s="14" t="e" cm="1">
        <f t="array" aca="1" ref="Y290" ca="1">IF(INDIRECT(ADDRESS($B290+1,Y$230,1,1,"Actively Infected Trend"))=0,#N/A,INDIRECT(ADDRESS($B290+1,Y$230,1,1,"Actively Infected Trend")))</f>
        <v>#N/A</v>
      </c>
      <c r="Z290" s="14" t="e" cm="1">
        <f t="array" aca="1" ref="Z290" ca="1">IF(INDIRECT(ADDRESS($B290+1,Z$230,1,1,"Actively Infected Trend"))=0,#N/A,INDIRECT(ADDRESS($B290+1,Z$230,1,1,"Actively Infected Trend")))</f>
        <v>#N/A</v>
      </c>
      <c r="AA290" s="14" t="e" cm="1">
        <f t="array" aca="1" ref="AA290" ca="1">IF(INDIRECT(ADDRESS($B290+1,AA$230,1,1,"Actively Infected Trend"))=0,#N/A,INDIRECT(ADDRESS($B290+1,AA$230,1,1,"Actively Infected Trend")))</f>
        <v>#N/A</v>
      </c>
      <c r="AB290" s="14" t="e" cm="1">
        <f t="array" aca="1" ref="AB290" ca="1">IF(INDIRECT(ADDRESS($B290+1,AB$230,1,1,"Actively Infected Trend"))=0,#N/A,INDIRECT(ADDRESS($B290+1,AB$230,1,1,"Actively Infected Trend")))</f>
        <v>#N/A</v>
      </c>
      <c r="AC290" s="14" t="e" cm="1">
        <f t="array" aca="1" ref="AC290" ca="1">IF(INDIRECT(ADDRESS($B290+1,AC$230,1,1,"Actively Infected Trend"))=0,#N/A,INDIRECT(ADDRESS($B290+1,AC$230,1,1,"Actively Infected Trend")))</f>
        <v>#N/A</v>
      </c>
      <c r="AD290" s="14" t="e" cm="1">
        <f t="array" aca="1" ref="AD290" ca="1">IF(INDIRECT(ADDRESS($B290+1,AD$230,1,1,"Actively Infected Trend"))=0,#N/A,INDIRECT(ADDRESS($B290+1,AD$230,1,1,"Actively Infected Trend")))</f>
        <v>#N/A</v>
      </c>
      <c r="AE290" s="14" t="e" cm="1">
        <f t="array" aca="1" ref="AE290" ca="1">IF(INDIRECT(ADDRESS($B290+1,AE$230,1,1,"Actively Infected Trend"))=0,#N/A,INDIRECT(ADDRESS($B290+1,AE$230,1,1,"Actively Infected Trend")))</f>
        <v>#N/A</v>
      </c>
      <c r="AF290" s="14" t="e" cm="1">
        <f t="array" aca="1" ref="AF290" ca="1">IF(INDIRECT(ADDRESS($B290+1,AF$230,1,1,"Actively Infected Trend"))=0,#N/A,INDIRECT(ADDRESS($B290+1,AF$230,1,1,"Actively Infected Trend")))</f>
        <v>#N/A</v>
      </c>
      <c r="AG290" s="14" t="e" cm="1">
        <f t="array" aca="1" ref="AG290" ca="1">IF(INDIRECT(ADDRESS($B290+1,AG$230,1,1,"Actively Infected Trend"))=0,#N/A,INDIRECT(ADDRESS($B290+1,AG$230,1,1,"Actively Infected Trend")))</f>
        <v>#N/A</v>
      </c>
      <c r="AH290" s="14" t="e" cm="1">
        <f t="array" aca="1" ref="AH290" ca="1">IF(INDIRECT(ADDRESS($B290+1,AH$230,1,1,"Actively Infected Trend"))=0,#N/A,INDIRECT(ADDRESS($B290+1,AH$230,1,1,"Actively Infected Trend")))</f>
        <v>#N/A</v>
      </c>
      <c r="AI290" s="14" t="e" cm="1">
        <f t="array" aca="1" ref="AI290" ca="1">IF(INDIRECT(ADDRESS($B290+1,AI$230,1,1,"Actively Infected Trend"))=0,#N/A,INDIRECT(ADDRESS($B290+1,AI$230,1,1,"Actively Infected Trend")))</f>
        <v>#N/A</v>
      </c>
      <c r="AJ290" s="14" t="e" cm="1">
        <f t="array" aca="1" ref="AJ290" ca="1">IF(INDIRECT(ADDRESS($B290+1,AJ$230,1,1,"Actively Infected Trend"))=0,#N/A,INDIRECT(ADDRESS($B290+1,AJ$230,1,1,"Actively Infected Trend")))</f>
        <v>#N/A</v>
      </c>
      <c r="AK290" s="14" t="e" cm="1">
        <f t="array" aca="1" ref="AK290" ca="1">IF(INDIRECT(ADDRESS($B290+1,AK$230,1,1,"Actively Infected Trend"))=0,#N/A,INDIRECT(ADDRESS($B290+1,AK$230,1,1,"Actively Infected Trend")))</f>
        <v>#N/A</v>
      </c>
      <c r="AL290" s="14" t="e" cm="1">
        <f t="array" aca="1" ref="AL290" ca="1">IF(INDIRECT(ADDRESS($B290+1,AL$230,1,1,"Actively Infected Trend"))=0,#N/A,INDIRECT(ADDRESS($B290+1,AL$230,1,1,"Actively Infected Trend")))</f>
        <v>#N/A</v>
      </c>
      <c r="AM290" s="14" t="e" cm="1">
        <f t="array" aca="1" ref="AM290" ca="1">IF(INDIRECT(ADDRESS($B290+1,AM$230,1,1,"Actively Infected Trend"))=0,#N/A,INDIRECT(ADDRESS($B290+1,AM$230,1,1,"Actively Infected Trend")))</f>
        <v>#N/A</v>
      </c>
      <c r="AN290" s="14" t="e" cm="1">
        <f t="array" aca="1" ref="AN290" ca="1">IF(INDIRECT(ADDRESS($B290+1,AN$230,1,1,"Actively Infected Trend"))=0,#N/A,INDIRECT(ADDRESS($B290+1,AN$230,1,1,"Actively Infected Trend")))</f>
        <v>#N/A</v>
      </c>
      <c r="AO290" s="14" t="e" cm="1">
        <f t="array" aca="1" ref="AO290" ca="1">IF(INDIRECT(ADDRESS($B290+1,AO$230,1,1,"Actively Infected Trend"))=0,#N/A,INDIRECT(ADDRESS($B290+1,AO$230,1,1,"Actively Infected Trend")))</f>
        <v>#N/A</v>
      </c>
      <c r="AP290" s="14" t="e" cm="1">
        <f t="array" aca="1" ref="AP290" ca="1">IF(INDIRECT(ADDRESS($B290+1,AP$230,1,1,"Actively Infected Trend"))=0,#N/A,INDIRECT(ADDRESS($B290+1,AP$230,1,1,"Actively Infected Trend")))</f>
        <v>#N/A</v>
      </c>
      <c r="AQ290" s="14" t="e" cm="1">
        <f t="array" aca="1" ref="AQ290" ca="1">IF(INDIRECT(ADDRESS($B290+1,AQ$230,1,1,"Actively Infected Trend"))=0,#N/A,INDIRECT(ADDRESS($B290+1,AQ$230,1,1,"Actively Infected Trend")))</f>
        <v>#N/A</v>
      </c>
      <c r="AR290" s="14" t="e" cm="1">
        <f t="array" aca="1" ref="AR290" ca="1">IF(INDIRECT(ADDRESS($B290+1,AR$230,1,1,"Actively Infected Trend"))=0,#N/A,INDIRECT(ADDRESS($B290+1,AR$230,1,1,"Actively Infected Trend")))</f>
        <v>#N/A</v>
      </c>
      <c r="AS290" s="14" t="e" cm="1">
        <f t="array" aca="1" ref="AS290" ca="1">IF(INDIRECT(ADDRESS($B290+1,AS$230,1,1,"Actively Infected Trend"))=0,#N/A,INDIRECT(ADDRESS($B290+1,AS$230,1,1,"Actively Infected Trend")))</f>
        <v>#N/A</v>
      </c>
      <c r="AT290" s="14" t="e" cm="1">
        <f t="array" aca="1" ref="AT290" ca="1">IF(INDIRECT(ADDRESS($B290+1,AT$230,1,1,"Actively Infected Trend"))=0,#N/A,INDIRECT(ADDRESS($B290+1,AT$230,1,1,"Actively Infected Trend")))</f>
        <v>#N/A</v>
      </c>
      <c r="AU290" s="14" t="e" cm="1">
        <f t="array" aca="1" ref="AU290" ca="1">IF(INDIRECT(ADDRESS($B290+1,AU$230,1,1,"Actively Infected Trend"))=0,#N/A,INDIRECT(ADDRESS($B290+1,AU$230,1,1,"Actively Infected Trend")))</f>
        <v>#N/A</v>
      </c>
      <c r="AV290" s="14" t="e" cm="1">
        <f t="array" aca="1" ref="AV290" ca="1">IF(INDIRECT(ADDRESS($B290+1,AV$230,1,1,"Actively Infected Trend"))=0,#N/A,INDIRECT(ADDRESS($B290+1,AV$230,1,1,"Actively Infected Trend")))</f>
        <v>#N/A</v>
      </c>
      <c r="AW290" s="14" t="e" cm="1">
        <f t="array" aca="1" ref="AW290" ca="1">IF(INDIRECT(ADDRESS($B290+1,AW$230,1,1,"Actively Infected Trend"))=0,#N/A,INDIRECT(ADDRESS($B290+1,AW$230,1,1,"Actively Infected Trend")))</f>
        <v>#N/A</v>
      </c>
      <c r="AX290" s="14" t="e" cm="1">
        <f t="array" aca="1" ref="AX290" ca="1">IF(INDIRECT(ADDRESS($B290+1,AX$230,1,1,"Actively Infected Trend"))=0,#N/A,INDIRECT(ADDRESS($B290+1,AX$230,1,1,"Actively Infected Trend")))</f>
        <v>#N/A</v>
      </c>
      <c r="AY290" s="14" t="e" cm="1">
        <f t="array" aca="1" ref="AY290" ca="1">IF(INDIRECT(ADDRESS($B290+1,AY$230,1,1,"Actively Infected Trend"))=0,#N/A,INDIRECT(ADDRESS($B290+1,AY$230,1,1,"Actively Infected Trend")))</f>
        <v>#N/A</v>
      </c>
      <c r="AZ290" s="14" t="e" cm="1">
        <f t="array" aca="1" ref="AZ290" ca="1">IF(INDIRECT(ADDRESS($B290+1,AZ$230,1,1,"Actively Infected Trend"))=0,#N/A,INDIRECT(ADDRESS($B290+1,AZ$230,1,1,"Actively Infected Trend")))</f>
        <v>#N/A</v>
      </c>
      <c r="BA290" s="14" t="e" cm="1">
        <f t="array" aca="1" ref="BA290" ca="1">IF(INDIRECT(ADDRESS($B290+1,BA$230,1,1,"Actively Infected Trend"))=0,#N/A,INDIRECT(ADDRESS($B290+1,BA$230,1,1,"Actively Infected Trend")))</f>
        <v>#N/A</v>
      </c>
      <c r="BB290" s="14" t="e" cm="1">
        <f t="array" aca="1" ref="BB290" ca="1">IF(INDIRECT(ADDRESS($B290+1,BB$230,1,1,"Actively Infected Trend"))=0,#N/A,INDIRECT(ADDRESS($B290+1,BB$230,1,1,"Actively Infected Trend")))</f>
        <v>#N/A</v>
      </c>
      <c r="BC290" s="14" t="e" cm="1">
        <f t="array" aca="1" ref="BC290" ca="1">IF(INDIRECT(ADDRESS($B290+1,BC$230,1,1,"Actively Infected Trend"))=0,#N/A,INDIRECT(ADDRESS($B290+1,BC$230,1,1,"Actively Infected Trend")))</f>
        <v>#N/A</v>
      </c>
      <c r="BD290" s="14" t="e" cm="1">
        <f t="array" aca="1" ref="BD290" ca="1">IF(INDIRECT(ADDRESS($B290+1,BD$230,1,1,"Actively Infected Trend"))=0,#N/A,INDIRECT(ADDRESS($B290+1,BD$230,1,1,"Actively Infected Trend")))</f>
        <v>#N/A</v>
      </c>
      <c r="BE290" s="14" t="e" cm="1">
        <f t="array" aca="1" ref="BE290" ca="1">IF(INDIRECT(ADDRESS($B290+1,BE$230,1,1,"Actively Infected Trend"))=0,#N/A,INDIRECT(ADDRESS($B290+1,BE$230,1,1,"Actively Infected Trend")))</f>
        <v>#N/A</v>
      </c>
      <c r="BF290" s="14" t="e" cm="1">
        <f t="array" aca="1" ref="BF290" ca="1">IF(INDIRECT(ADDRESS($B290+1,BF$230,1,1,"Actively Infected Trend"))=0,#N/A,INDIRECT(ADDRESS($B290+1,BF$230,1,1,"Actively Infected Trend")))</f>
        <v>#N/A</v>
      </c>
      <c r="BG290" s="14" t="e" cm="1">
        <f t="array" aca="1" ref="BG290" ca="1">IF(INDIRECT(ADDRESS($B290+1,BG$230,1,1,"Actively Infected Trend"))=0,#N/A,INDIRECT(ADDRESS($B290+1,BG$230,1,1,"Actively Infected Trend")))</f>
        <v>#N/A</v>
      </c>
      <c r="BH290" s="14" t="e" cm="1">
        <f t="array" aca="1" ref="BH290" ca="1">IF(INDIRECT(ADDRESS($B290+1,BH$230,1,1,"Actively Infected Trend"))=0,#N/A,INDIRECT(ADDRESS($B290+1,BH$230,1,1,"Actively Infected Trend")))</f>
        <v>#N/A</v>
      </c>
      <c r="BI290" s="14" t="e" cm="1">
        <f t="array" aca="1" ref="BI290" ca="1">IF(INDIRECT(ADDRESS($B290+1,BI$230,1,1,"Actively Infected Trend"))=0,#N/A,INDIRECT(ADDRESS($B290+1,BI$230,1,1,"Actively Infected Trend")))</f>
        <v>#N/A</v>
      </c>
      <c r="BJ290" s="14" t="e" cm="1">
        <f t="array" aca="1" ref="BJ290" ca="1">IF(INDIRECT(ADDRESS($B290+1,BJ$230,1,1,"Actively Infected Trend"))=0,#N/A,INDIRECT(ADDRESS($B290+1,BJ$230,1,1,"Actively Infected Trend")))</f>
        <v>#N/A</v>
      </c>
      <c r="BK290" s="14" t="e" cm="1">
        <f t="array" aca="1" ref="BK290" ca="1">IF(INDIRECT(ADDRESS($B290+1,BK$230,1,1,"Actively Infected Trend"))=0,#N/A,INDIRECT(ADDRESS($B290+1,BK$230,1,1,"Actively Infected Trend")))</f>
        <v>#N/A</v>
      </c>
      <c r="BL290" s="14" t="e" cm="1">
        <f t="array" aca="1" ref="BL290" ca="1">IF(INDIRECT(ADDRESS($B290+1,BL$230,1,1,"Actively Infected Trend"))=0,#N/A,INDIRECT(ADDRESS($B290+1,BL$230,1,1,"Actively Infected Trend")))</f>
        <v>#N/A</v>
      </c>
      <c r="BM290" s="14" t="e" cm="1">
        <f t="array" aca="1" ref="BM290" ca="1">IF(INDIRECT(ADDRESS($B290+1,BM$230,1,1,"Actively Infected Trend"))=0,#N/A,INDIRECT(ADDRESS($B290+1,BM$230,1,1,"Actively Infected Trend")))</f>
        <v>#N/A</v>
      </c>
      <c r="BN290" s="14" t="e" cm="1">
        <f t="array" aca="1" ref="BN290" ca="1">IF(INDIRECT(ADDRESS($B290+1,BN$230,1,1,"Actively Infected Trend"))=0,#N/A,INDIRECT(ADDRESS($B290+1,BN$230,1,1,"Actively Infected Trend")))</f>
        <v>#N/A</v>
      </c>
      <c r="BO290" s="14" t="e" cm="1">
        <f t="array" aca="1" ref="BO290" ca="1">IF(INDIRECT(ADDRESS($B290+1,BO$230,1,1,"Actively Infected Trend"))=0,#N/A,INDIRECT(ADDRESS($B290+1,BO$230,1,1,"Actively Infected Trend")))</f>
        <v>#N/A</v>
      </c>
      <c r="BP290" s="14" t="e" cm="1">
        <f t="array" aca="1" ref="BP290" ca="1">IF(INDIRECT(ADDRESS($B290+1,BP$230,1,1,"Actively Infected Trend"))=0,#N/A,INDIRECT(ADDRESS($B290+1,BP$230,1,1,"Actively Infected Trend")))</f>
        <v>#N/A</v>
      </c>
      <c r="BQ290" s="14" t="e" cm="1">
        <f t="array" aca="1" ref="BQ290" ca="1">IF(INDIRECT(ADDRESS($B290+1,BQ$230,1,1,"Actively Infected Trend"))=0,#N/A,INDIRECT(ADDRESS($B290+1,BQ$230,1,1,"Actively Infected Trend")))</f>
        <v>#N/A</v>
      </c>
      <c r="BR290" s="14" t="e" cm="1">
        <f t="array" aca="1" ref="BR290" ca="1">IF(INDIRECT(ADDRESS($B290+1,BR$230,1,1,"Actively Infected Trend"))=0,#N/A,INDIRECT(ADDRESS($B290+1,BR$230,1,1,"Actively Infected Trend")))</f>
        <v>#N/A</v>
      </c>
      <c r="BS290" s="14" t="e" cm="1">
        <f t="array" aca="1" ref="BS290" ca="1">IF(INDIRECT(ADDRESS($B290+1,BS$230,1,1,"Actively Infected Trend"))=0,#N/A,INDIRECT(ADDRESS($B290+1,BS$230,1,1,"Actively Infected Trend")))</f>
        <v>#N/A</v>
      </c>
      <c r="BT290" s="14" t="e" cm="1">
        <f t="array" aca="1" ref="BT290" ca="1">IF(INDIRECT(ADDRESS($B290+1,BT$230,1,1,"Actively Infected Trend"))=0,#N/A,INDIRECT(ADDRESS($B290+1,BT$230,1,1,"Actively Infected Trend")))</f>
        <v>#N/A</v>
      </c>
      <c r="BU290" s="14" t="e" cm="1">
        <f t="array" aca="1" ref="BU290" ca="1">IF(INDIRECT(ADDRESS($B290+1,BU$230,1,1,"Actively Infected Trend"))=0,#N/A,INDIRECT(ADDRESS($B290+1,BU$230,1,1,"Actively Infected Trend")))</f>
        <v>#N/A</v>
      </c>
      <c r="BV290" s="14" t="e" cm="1">
        <f t="array" aca="1" ref="BV290" ca="1">IF(INDIRECT(ADDRESS($B290+1,BV$230,1,1,"Actively Infected Trend"))=0,#N/A,INDIRECT(ADDRESS($B290+1,BV$230,1,1,"Actively Infected Trend")))</f>
        <v>#N/A</v>
      </c>
      <c r="BW290" s="14" t="e" cm="1">
        <f t="array" aca="1" ref="BW290" ca="1">IF(INDIRECT(ADDRESS($B290+1,BW$230,1,1,"Actively Infected Trend"))=0,#N/A,INDIRECT(ADDRESS($B290+1,BW$230,1,1,"Actively Infected Trend")))</f>
        <v>#N/A</v>
      </c>
      <c r="BX290" s="14" t="e" cm="1">
        <f t="array" aca="1" ref="BX290" ca="1">IF(INDIRECT(ADDRESS($B290+1,BX$230,1,1,"Actively Infected Trend"))=0,#N/A,INDIRECT(ADDRESS($B290+1,BX$230,1,1,"Actively Infected Trend")))</f>
        <v>#N/A</v>
      </c>
      <c r="BY290" s="14" t="e" cm="1">
        <f t="array" aca="1" ref="BY290" ca="1">IF(INDIRECT(ADDRESS($B290+1,BY$230,1,1,"Actively Infected Trend"))=0,#N/A,INDIRECT(ADDRESS($B290+1,BY$230,1,1,"Actively Infected Trend")))</f>
        <v>#N/A</v>
      </c>
      <c r="BZ290" s="14" t="e" cm="1">
        <f t="array" aca="1" ref="BZ290" ca="1">IF(INDIRECT(ADDRESS($B290+1,BZ$230,1,1,"Actively Infected Trend"))=0,#N/A,INDIRECT(ADDRESS($B290+1,BZ$230,1,1,"Actively Infected Trend")))</f>
        <v>#N/A</v>
      </c>
      <c r="CA290" s="14" t="e" cm="1">
        <f t="array" aca="1" ref="CA290" ca="1">IF(INDIRECT(ADDRESS($B290+1,CA$230,1,1,"Actively Infected Trend"))=0,#N/A,INDIRECT(ADDRESS($B290+1,CA$230,1,1,"Actively Infected Trend")))</f>
        <v>#N/A</v>
      </c>
      <c r="CB290" s="14" t="e" cm="1">
        <f t="array" aca="1" ref="CB290" ca="1">IF(INDIRECT(ADDRESS($B290+1,CB$230,1,1,"Actively Infected Trend"))=0,#N/A,INDIRECT(ADDRESS($B290+1,CB$230,1,1,"Actively Infected Trend")))</f>
        <v>#N/A</v>
      </c>
      <c r="CC290" s="14" t="e" cm="1">
        <f t="array" aca="1" ref="CC290" ca="1">IF(INDIRECT(ADDRESS($B290+1,CC$230,1,1,"Actively Infected Trend"))=0,#N/A,INDIRECT(ADDRESS($B290+1,CC$230,1,1,"Actively Infected Trend")))</f>
        <v>#N/A</v>
      </c>
      <c r="CD290" s="14" t="e" cm="1">
        <f t="array" aca="1" ref="CD290" ca="1">IF(INDIRECT(ADDRESS($B290+1,CD$230,1,1,"Actively Infected Trend"))=0,#N/A,INDIRECT(ADDRESS($B290+1,CD$230,1,1,"Actively Infected Trend")))</f>
        <v>#N/A</v>
      </c>
      <c r="CE290" s="14" t="e" cm="1">
        <f t="array" aca="1" ref="CE290" ca="1">IF(INDIRECT(ADDRESS($B290+1,CE$230,1,1,"Actively Infected Trend"))=0,#N/A,INDIRECT(ADDRESS($B290+1,CE$230,1,1,"Actively Infected Trend")))</f>
        <v>#N/A</v>
      </c>
      <c r="CF290" s="14" t="e" cm="1">
        <f t="array" aca="1" ref="CF290" ca="1">IF(INDIRECT(ADDRESS($B290+1,CF$230,1,1,"Actively Infected Trend"))=0,#N/A,INDIRECT(ADDRESS($B290+1,CF$230,1,1,"Actively Infected Trend")))</f>
        <v>#N/A</v>
      </c>
      <c r="CG290" s="14" t="e" cm="1">
        <f t="array" aca="1" ref="CG290" ca="1">IF(INDIRECT(ADDRESS($B290+1,CG$230,1,1,"Actively Infected Trend"))=0,#N/A,INDIRECT(ADDRESS($B290+1,CG$230,1,1,"Actively Infected Trend")))</f>
        <v>#N/A</v>
      </c>
      <c r="CH290" s="14" t="e" cm="1">
        <f t="array" aca="1" ref="CH290" ca="1">IF(INDIRECT(ADDRESS($B290+1,CH$230,1,1,"Actively Infected Trend"))=0,#N/A,INDIRECT(ADDRESS($B290+1,CH$230,1,1,"Actively Infected Trend")))</f>
        <v>#N/A</v>
      </c>
      <c r="CI290" s="14" t="e" cm="1">
        <f t="array" aca="1" ref="CI290" ca="1">IF(INDIRECT(ADDRESS($B290+1,CI$230,1,1,"Actively Infected Trend"))=0,#N/A,INDIRECT(ADDRESS($B290+1,CI$230,1,1,"Actively Infected Trend")))</f>
        <v>#N/A</v>
      </c>
      <c r="CJ290" s="14" t="e" cm="1">
        <f t="array" aca="1" ref="CJ290" ca="1">IF(INDIRECT(ADDRESS($B290+1,CJ$230,1,1,"Actively Infected Trend"))=0,#N/A,INDIRECT(ADDRESS($B290+1,CJ$230,1,1,"Actively Infected Trend")))</f>
        <v>#N/A</v>
      </c>
      <c r="CK290" s="14" t="e" cm="1">
        <f t="array" aca="1" ref="CK290" ca="1">IF(INDIRECT(ADDRESS($B290+1,CK$230,1,1,"Actively Infected Trend"))=0,#N/A,INDIRECT(ADDRESS($B290+1,CK$230,1,1,"Actively Infected Trend")))</f>
        <v>#N/A</v>
      </c>
      <c r="CL290" s="14" t="e" cm="1">
        <f t="array" aca="1" ref="CL290" ca="1">IF(INDIRECT(ADDRESS($B290+1,CL$230,1,1,"Actively Infected Trend"))=0,#N/A,INDIRECT(ADDRESS($B290+1,CL$230,1,1,"Actively Infected Trend")))</f>
        <v>#N/A</v>
      </c>
      <c r="CM290" s="14" t="e" cm="1">
        <f t="array" aca="1" ref="CM290" ca="1">IF(INDIRECT(ADDRESS($B290+1,CM$230,1,1,"Actively Infected Trend"))=0,#N/A,INDIRECT(ADDRESS($B290+1,CM$230,1,1,"Actively Infected Trend")))</f>
        <v>#N/A</v>
      </c>
      <c r="CN290" s="14" t="e" cm="1">
        <f t="array" aca="1" ref="CN290" ca="1">IF(INDIRECT(ADDRESS($B290+1,CN$230,1,1,"Actively Infected Trend"))=0,#N/A,INDIRECT(ADDRESS($B290+1,CN$230,1,1,"Actively Infected Trend")))</f>
        <v>#N/A</v>
      </c>
      <c r="CO290" s="14" t="e" cm="1">
        <f t="array" aca="1" ref="CO290" ca="1">IF(INDIRECT(ADDRESS($B290+1,CO$230,1,1,"Actively Infected Trend"))=0,#N/A,INDIRECT(ADDRESS($B290+1,CO$230,1,1,"Actively Infected Trend")))</f>
        <v>#N/A</v>
      </c>
      <c r="CP290" s="14" t="e" cm="1">
        <f t="array" aca="1" ref="CP290" ca="1">IF(INDIRECT(ADDRESS($B290+1,CP$230,1,1,"Actively Infected Trend"))=0,#N/A,INDIRECT(ADDRESS($B290+1,CP$230,1,1,"Actively Infected Trend")))</f>
        <v>#N/A</v>
      </c>
      <c r="CQ290" s="14" t="e" cm="1">
        <f t="array" aca="1" ref="CQ290" ca="1">IF(INDIRECT(ADDRESS($B290+1,CQ$230,1,1,"Actively Infected Trend"))=0,#N/A,INDIRECT(ADDRESS($B290+1,CQ$230,1,1,"Actively Infected Trend")))</f>
        <v>#N/A</v>
      </c>
      <c r="CR290" s="14" t="e" cm="1">
        <f t="array" aca="1" ref="CR290" ca="1">IF(INDIRECT(ADDRESS($B290+1,CR$230,1,1,"Actively Infected Trend"))=0,#N/A,INDIRECT(ADDRESS($B290+1,CR$230,1,1,"Actively Infected Trend")))</f>
        <v>#N/A</v>
      </c>
    </row>
    <row r="291" spans="2:96" x14ac:dyDescent="0.25">
      <c r="B291">
        <f t="shared" si="349"/>
        <v>60</v>
      </c>
      <c r="C291" cm="1">
        <f t="array" aca="1" ref="C291" ca="1">INDIRECT(ADDRESS($B291+1,1,1,1,"Actively Infected Trend"))</f>
        <v>0</v>
      </c>
      <c r="E291" s="14" t="e" cm="1">
        <f t="array" aca="1" ref="E291" ca="1">IF(INDIRECT(ADDRESS($B291+1,E$230,1,1,"Actively Infected Trend"))=0,#N/A,INDIRECT(ADDRESS($B291+1,E$230,1,1,"Actively Infected Trend")))</f>
        <v>#N/A</v>
      </c>
      <c r="F291" s="14" t="e" cm="1">
        <f t="array" aca="1" ref="F291" ca="1">IF(INDIRECT(ADDRESS($B291+1,F$230,1,1,"Actively Infected Trend"))=0,#N/A,INDIRECT(ADDRESS($B291+1,F$230,1,1,"Actively Infected Trend")))</f>
        <v>#N/A</v>
      </c>
      <c r="G291" s="14" t="e" cm="1">
        <f t="array" aca="1" ref="G291" ca="1">IF(INDIRECT(ADDRESS($B291+1,G$230,1,1,"Actively Infected Trend"))=0,#N/A,INDIRECT(ADDRESS($B291+1,G$230,1,1,"Actively Infected Trend")))</f>
        <v>#N/A</v>
      </c>
      <c r="H291" s="14" t="e" cm="1">
        <f t="array" aca="1" ref="H291" ca="1">IF(INDIRECT(ADDRESS($B291+1,H$230,1,1,"Actively Infected Trend"))=0,#N/A,INDIRECT(ADDRESS($B291+1,H$230,1,1,"Actively Infected Trend")))</f>
        <v>#N/A</v>
      </c>
      <c r="I291" s="14" t="e" cm="1">
        <f t="array" aca="1" ref="I291" ca="1">IF(INDIRECT(ADDRESS($B291+1,I$230,1,1,"Actively Infected Trend"))=0,#N/A,INDIRECT(ADDRESS($B291+1,I$230,1,1,"Actively Infected Trend")))</f>
        <v>#N/A</v>
      </c>
      <c r="J291" s="14" t="e" cm="1">
        <f t="array" aca="1" ref="J291" ca="1">IF(INDIRECT(ADDRESS($B291+1,J$230,1,1,"Actively Infected Trend"))=0,#N/A,INDIRECT(ADDRESS($B291+1,J$230,1,1,"Actively Infected Trend")))</f>
        <v>#N/A</v>
      </c>
      <c r="K291" s="14" t="e" cm="1">
        <f t="array" aca="1" ref="K291" ca="1">IF(INDIRECT(ADDRESS($B291+1,K$230,1,1,"Actively Infected Trend"))=0,#N/A,INDIRECT(ADDRESS($B291+1,K$230,1,1,"Actively Infected Trend")))</f>
        <v>#N/A</v>
      </c>
      <c r="L291" s="14" t="e" cm="1">
        <f t="array" aca="1" ref="L291" ca="1">IF(INDIRECT(ADDRESS($B291+1,L$230,1,1,"Actively Infected Trend"))=0,#N/A,INDIRECT(ADDRESS($B291+1,L$230,1,1,"Actively Infected Trend")))</f>
        <v>#N/A</v>
      </c>
      <c r="M291" s="14" t="e" cm="1">
        <f t="array" aca="1" ref="M291" ca="1">IF(INDIRECT(ADDRESS($B291+1,M$230,1,1,"Actively Infected Trend"))=0,#N/A,INDIRECT(ADDRESS($B291+1,M$230,1,1,"Actively Infected Trend")))</f>
        <v>#N/A</v>
      </c>
      <c r="N291" s="14" t="e" cm="1">
        <f t="array" aca="1" ref="N291" ca="1">IF(INDIRECT(ADDRESS($B291+1,N$230,1,1,"Actively Infected Trend"))=0,#N/A,INDIRECT(ADDRESS($B291+1,N$230,1,1,"Actively Infected Trend")))</f>
        <v>#N/A</v>
      </c>
      <c r="O291" s="14" t="e" cm="1">
        <f t="array" aca="1" ref="O291" ca="1">IF(INDIRECT(ADDRESS($B291+1,O$230,1,1,"Actively Infected Trend"))=0,#N/A,INDIRECT(ADDRESS($B291+1,O$230,1,1,"Actively Infected Trend")))</f>
        <v>#N/A</v>
      </c>
      <c r="P291" s="14" t="e" cm="1">
        <f t="array" aca="1" ref="P291" ca="1">IF(INDIRECT(ADDRESS($B291+1,P$230,1,1,"Actively Infected Trend"))=0,#N/A,INDIRECT(ADDRESS($B291+1,P$230,1,1,"Actively Infected Trend")))</f>
        <v>#N/A</v>
      </c>
      <c r="Q291" s="14" t="e" cm="1">
        <f t="array" aca="1" ref="Q291" ca="1">IF(INDIRECT(ADDRESS($B291+1,Q$230,1,1,"Actively Infected Trend"))=0,#N/A,INDIRECT(ADDRESS($B291+1,Q$230,1,1,"Actively Infected Trend")))</f>
        <v>#N/A</v>
      </c>
      <c r="R291" s="14" t="e" cm="1">
        <f t="array" aca="1" ref="R291" ca="1">IF(INDIRECT(ADDRESS($B291+1,R$230,1,1,"Actively Infected Trend"))=0,#N/A,INDIRECT(ADDRESS($B291+1,R$230,1,1,"Actively Infected Trend")))</f>
        <v>#N/A</v>
      </c>
      <c r="S291" s="14" t="e" cm="1">
        <f t="array" aca="1" ref="S291" ca="1">IF(INDIRECT(ADDRESS($B291+1,S$230,1,1,"Actively Infected Trend"))=0,#N/A,INDIRECT(ADDRESS($B291+1,S$230,1,1,"Actively Infected Trend")))</f>
        <v>#N/A</v>
      </c>
      <c r="T291" s="14" t="e" cm="1">
        <f t="array" aca="1" ref="T291" ca="1">IF(INDIRECT(ADDRESS($B291+1,T$230,1,1,"Actively Infected Trend"))=0,#N/A,INDIRECT(ADDRESS($B291+1,T$230,1,1,"Actively Infected Trend")))</f>
        <v>#N/A</v>
      </c>
      <c r="U291" s="14" t="e" cm="1">
        <f t="array" aca="1" ref="U291" ca="1">IF(INDIRECT(ADDRESS($B291+1,U$230,1,1,"Actively Infected Trend"))=0,#N/A,INDIRECT(ADDRESS($B291+1,U$230,1,1,"Actively Infected Trend")))</f>
        <v>#N/A</v>
      </c>
      <c r="V291" s="14" t="e" cm="1">
        <f t="array" aca="1" ref="V291" ca="1">IF(INDIRECT(ADDRESS($B291+1,V$230,1,1,"Actively Infected Trend"))=0,#N/A,INDIRECT(ADDRESS($B291+1,V$230,1,1,"Actively Infected Trend")))</f>
        <v>#N/A</v>
      </c>
      <c r="W291" s="14" t="e" cm="1">
        <f t="array" aca="1" ref="W291" ca="1">IF(INDIRECT(ADDRESS($B291+1,W$230,1,1,"Actively Infected Trend"))=0,#N/A,INDIRECT(ADDRESS($B291+1,W$230,1,1,"Actively Infected Trend")))</f>
        <v>#N/A</v>
      </c>
      <c r="X291" s="14" t="e" cm="1">
        <f t="array" aca="1" ref="X291" ca="1">IF(INDIRECT(ADDRESS($B291+1,X$230,1,1,"Actively Infected Trend"))=0,#N/A,INDIRECT(ADDRESS($B291+1,X$230,1,1,"Actively Infected Trend")))</f>
        <v>#N/A</v>
      </c>
      <c r="Y291" s="14" t="e" cm="1">
        <f t="array" aca="1" ref="Y291" ca="1">IF(INDIRECT(ADDRESS($B291+1,Y$230,1,1,"Actively Infected Trend"))=0,#N/A,INDIRECT(ADDRESS($B291+1,Y$230,1,1,"Actively Infected Trend")))</f>
        <v>#N/A</v>
      </c>
      <c r="Z291" s="14" t="e" cm="1">
        <f t="array" aca="1" ref="Z291" ca="1">IF(INDIRECT(ADDRESS($B291+1,Z$230,1,1,"Actively Infected Trend"))=0,#N/A,INDIRECT(ADDRESS($B291+1,Z$230,1,1,"Actively Infected Trend")))</f>
        <v>#N/A</v>
      </c>
      <c r="AA291" s="14" t="e" cm="1">
        <f t="array" aca="1" ref="AA291" ca="1">IF(INDIRECT(ADDRESS($B291+1,AA$230,1,1,"Actively Infected Trend"))=0,#N/A,INDIRECT(ADDRESS($B291+1,AA$230,1,1,"Actively Infected Trend")))</f>
        <v>#N/A</v>
      </c>
      <c r="AB291" s="14" t="e" cm="1">
        <f t="array" aca="1" ref="AB291" ca="1">IF(INDIRECT(ADDRESS($B291+1,AB$230,1,1,"Actively Infected Trend"))=0,#N/A,INDIRECT(ADDRESS($B291+1,AB$230,1,1,"Actively Infected Trend")))</f>
        <v>#N/A</v>
      </c>
      <c r="AC291" s="14" t="e" cm="1">
        <f t="array" aca="1" ref="AC291" ca="1">IF(INDIRECT(ADDRESS($B291+1,AC$230,1,1,"Actively Infected Trend"))=0,#N/A,INDIRECT(ADDRESS($B291+1,AC$230,1,1,"Actively Infected Trend")))</f>
        <v>#N/A</v>
      </c>
      <c r="AD291" s="14" t="e" cm="1">
        <f t="array" aca="1" ref="AD291" ca="1">IF(INDIRECT(ADDRESS($B291+1,AD$230,1,1,"Actively Infected Trend"))=0,#N/A,INDIRECT(ADDRESS($B291+1,AD$230,1,1,"Actively Infected Trend")))</f>
        <v>#N/A</v>
      </c>
      <c r="AE291" s="14" t="e" cm="1">
        <f t="array" aca="1" ref="AE291" ca="1">IF(INDIRECT(ADDRESS($B291+1,AE$230,1,1,"Actively Infected Trend"))=0,#N/A,INDIRECT(ADDRESS($B291+1,AE$230,1,1,"Actively Infected Trend")))</f>
        <v>#N/A</v>
      </c>
      <c r="AF291" s="14" t="e" cm="1">
        <f t="array" aca="1" ref="AF291" ca="1">IF(INDIRECT(ADDRESS($B291+1,AF$230,1,1,"Actively Infected Trend"))=0,#N/A,INDIRECT(ADDRESS($B291+1,AF$230,1,1,"Actively Infected Trend")))</f>
        <v>#N/A</v>
      </c>
      <c r="AG291" s="14" t="e" cm="1">
        <f t="array" aca="1" ref="AG291" ca="1">IF(INDIRECT(ADDRESS($B291+1,AG$230,1,1,"Actively Infected Trend"))=0,#N/A,INDIRECT(ADDRESS($B291+1,AG$230,1,1,"Actively Infected Trend")))</f>
        <v>#N/A</v>
      </c>
      <c r="AH291" s="14" t="e" cm="1">
        <f t="array" aca="1" ref="AH291" ca="1">IF(INDIRECT(ADDRESS($B291+1,AH$230,1,1,"Actively Infected Trend"))=0,#N/A,INDIRECT(ADDRESS($B291+1,AH$230,1,1,"Actively Infected Trend")))</f>
        <v>#N/A</v>
      </c>
      <c r="AI291" s="14" t="e" cm="1">
        <f t="array" aca="1" ref="AI291" ca="1">IF(INDIRECT(ADDRESS($B291+1,AI$230,1,1,"Actively Infected Trend"))=0,#N/A,INDIRECT(ADDRESS($B291+1,AI$230,1,1,"Actively Infected Trend")))</f>
        <v>#N/A</v>
      </c>
      <c r="AJ291" s="14" t="e" cm="1">
        <f t="array" aca="1" ref="AJ291" ca="1">IF(INDIRECT(ADDRESS($B291+1,AJ$230,1,1,"Actively Infected Trend"))=0,#N/A,INDIRECT(ADDRESS($B291+1,AJ$230,1,1,"Actively Infected Trend")))</f>
        <v>#N/A</v>
      </c>
      <c r="AK291" s="14" t="e" cm="1">
        <f t="array" aca="1" ref="AK291" ca="1">IF(INDIRECT(ADDRESS($B291+1,AK$230,1,1,"Actively Infected Trend"))=0,#N/A,INDIRECT(ADDRESS($B291+1,AK$230,1,1,"Actively Infected Trend")))</f>
        <v>#N/A</v>
      </c>
      <c r="AL291" s="14" t="e" cm="1">
        <f t="array" aca="1" ref="AL291" ca="1">IF(INDIRECT(ADDRESS($B291+1,AL$230,1,1,"Actively Infected Trend"))=0,#N/A,INDIRECT(ADDRESS($B291+1,AL$230,1,1,"Actively Infected Trend")))</f>
        <v>#N/A</v>
      </c>
      <c r="AM291" s="14" t="e" cm="1">
        <f t="array" aca="1" ref="AM291" ca="1">IF(INDIRECT(ADDRESS($B291+1,AM$230,1,1,"Actively Infected Trend"))=0,#N/A,INDIRECT(ADDRESS($B291+1,AM$230,1,1,"Actively Infected Trend")))</f>
        <v>#N/A</v>
      </c>
      <c r="AN291" s="14" t="e" cm="1">
        <f t="array" aca="1" ref="AN291" ca="1">IF(INDIRECT(ADDRESS($B291+1,AN$230,1,1,"Actively Infected Trend"))=0,#N/A,INDIRECT(ADDRESS($B291+1,AN$230,1,1,"Actively Infected Trend")))</f>
        <v>#N/A</v>
      </c>
      <c r="AO291" s="14" t="e" cm="1">
        <f t="array" aca="1" ref="AO291" ca="1">IF(INDIRECT(ADDRESS($B291+1,AO$230,1,1,"Actively Infected Trend"))=0,#N/A,INDIRECT(ADDRESS($B291+1,AO$230,1,1,"Actively Infected Trend")))</f>
        <v>#N/A</v>
      </c>
      <c r="AP291" s="14" t="e" cm="1">
        <f t="array" aca="1" ref="AP291" ca="1">IF(INDIRECT(ADDRESS($B291+1,AP$230,1,1,"Actively Infected Trend"))=0,#N/A,INDIRECT(ADDRESS($B291+1,AP$230,1,1,"Actively Infected Trend")))</f>
        <v>#N/A</v>
      </c>
      <c r="AQ291" s="14" t="e" cm="1">
        <f t="array" aca="1" ref="AQ291" ca="1">IF(INDIRECT(ADDRESS($B291+1,AQ$230,1,1,"Actively Infected Trend"))=0,#N/A,INDIRECT(ADDRESS($B291+1,AQ$230,1,1,"Actively Infected Trend")))</f>
        <v>#N/A</v>
      </c>
      <c r="AR291" s="14" t="e" cm="1">
        <f t="array" aca="1" ref="AR291" ca="1">IF(INDIRECT(ADDRESS($B291+1,AR$230,1,1,"Actively Infected Trend"))=0,#N/A,INDIRECT(ADDRESS($B291+1,AR$230,1,1,"Actively Infected Trend")))</f>
        <v>#N/A</v>
      </c>
      <c r="AS291" s="14" t="e" cm="1">
        <f t="array" aca="1" ref="AS291" ca="1">IF(INDIRECT(ADDRESS($B291+1,AS$230,1,1,"Actively Infected Trend"))=0,#N/A,INDIRECT(ADDRESS($B291+1,AS$230,1,1,"Actively Infected Trend")))</f>
        <v>#N/A</v>
      </c>
      <c r="AT291" s="14" t="e" cm="1">
        <f t="array" aca="1" ref="AT291" ca="1">IF(INDIRECT(ADDRESS($B291+1,AT$230,1,1,"Actively Infected Trend"))=0,#N/A,INDIRECT(ADDRESS($B291+1,AT$230,1,1,"Actively Infected Trend")))</f>
        <v>#N/A</v>
      </c>
      <c r="AU291" s="14" t="e" cm="1">
        <f t="array" aca="1" ref="AU291" ca="1">IF(INDIRECT(ADDRESS($B291+1,AU$230,1,1,"Actively Infected Trend"))=0,#N/A,INDIRECT(ADDRESS($B291+1,AU$230,1,1,"Actively Infected Trend")))</f>
        <v>#N/A</v>
      </c>
      <c r="AV291" s="14" t="e" cm="1">
        <f t="array" aca="1" ref="AV291" ca="1">IF(INDIRECT(ADDRESS($B291+1,AV$230,1,1,"Actively Infected Trend"))=0,#N/A,INDIRECT(ADDRESS($B291+1,AV$230,1,1,"Actively Infected Trend")))</f>
        <v>#N/A</v>
      </c>
      <c r="AW291" s="14" t="e" cm="1">
        <f t="array" aca="1" ref="AW291" ca="1">IF(INDIRECT(ADDRESS($B291+1,AW$230,1,1,"Actively Infected Trend"))=0,#N/A,INDIRECT(ADDRESS($B291+1,AW$230,1,1,"Actively Infected Trend")))</f>
        <v>#N/A</v>
      </c>
      <c r="AX291" s="14" t="e" cm="1">
        <f t="array" aca="1" ref="AX291" ca="1">IF(INDIRECT(ADDRESS($B291+1,AX$230,1,1,"Actively Infected Trend"))=0,#N/A,INDIRECT(ADDRESS($B291+1,AX$230,1,1,"Actively Infected Trend")))</f>
        <v>#N/A</v>
      </c>
      <c r="AY291" s="14" t="e" cm="1">
        <f t="array" aca="1" ref="AY291" ca="1">IF(INDIRECT(ADDRESS($B291+1,AY$230,1,1,"Actively Infected Trend"))=0,#N/A,INDIRECT(ADDRESS($B291+1,AY$230,1,1,"Actively Infected Trend")))</f>
        <v>#N/A</v>
      </c>
      <c r="AZ291" s="14" t="e" cm="1">
        <f t="array" aca="1" ref="AZ291" ca="1">IF(INDIRECT(ADDRESS($B291+1,AZ$230,1,1,"Actively Infected Trend"))=0,#N/A,INDIRECT(ADDRESS($B291+1,AZ$230,1,1,"Actively Infected Trend")))</f>
        <v>#N/A</v>
      </c>
      <c r="BA291" s="14" t="e" cm="1">
        <f t="array" aca="1" ref="BA291" ca="1">IF(INDIRECT(ADDRESS($B291+1,BA$230,1,1,"Actively Infected Trend"))=0,#N/A,INDIRECT(ADDRESS($B291+1,BA$230,1,1,"Actively Infected Trend")))</f>
        <v>#N/A</v>
      </c>
      <c r="BB291" s="14" t="e" cm="1">
        <f t="array" aca="1" ref="BB291" ca="1">IF(INDIRECT(ADDRESS($B291+1,BB$230,1,1,"Actively Infected Trend"))=0,#N/A,INDIRECT(ADDRESS($B291+1,BB$230,1,1,"Actively Infected Trend")))</f>
        <v>#N/A</v>
      </c>
      <c r="BC291" s="14" t="e" cm="1">
        <f t="array" aca="1" ref="BC291" ca="1">IF(INDIRECT(ADDRESS($B291+1,BC$230,1,1,"Actively Infected Trend"))=0,#N/A,INDIRECT(ADDRESS($B291+1,BC$230,1,1,"Actively Infected Trend")))</f>
        <v>#N/A</v>
      </c>
      <c r="BD291" s="14" t="e" cm="1">
        <f t="array" aca="1" ref="BD291" ca="1">IF(INDIRECT(ADDRESS($B291+1,BD$230,1,1,"Actively Infected Trend"))=0,#N/A,INDIRECT(ADDRESS($B291+1,BD$230,1,1,"Actively Infected Trend")))</f>
        <v>#N/A</v>
      </c>
      <c r="BE291" s="14" t="e" cm="1">
        <f t="array" aca="1" ref="BE291" ca="1">IF(INDIRECT(ADDRESS($B291+1,BE$230,1,1,"Actively Infected Trend"))=0,#N/A,INDIRECT(ADDRESS($B291+1,BE$230,1,1,"Actively Infected Trend")))</f>
        <v>#N/A</v>
      </c>
      <c r="BF291" s="14" t="e" cm="1">
        <f t="array" aca="1" ref="BF291" ca="1">IF(INDIRECT(ADDRESS($B291+1,BF$230,1,1,"Actively Infected Trend"))=0,#N/A,INDIRECT(ADDRESS($B291+1,BF$230,1,1,"Actively Infected Trend")))</f>
        <v>#N/A</v>
      </c>
      <c r="BG291" s="14" t="e" cm="1">
        <f t="array" aca="1" ref="BG291" ca="1">IF(INDIRECT(ADDRESS($B291+1,BG$230,1,1,"Actively Infected Trend"))=0,#N/A,INDIRECT(ADDRESS($B291+1,BG$230,1,1,"Actively Infected Trend")))</f>
        <v>#N/A</v>
      </c>
      <c r="BH291" s="14" t="e" cm="1">
        <f t="array" aca="1" ref="BH291" ca="1">IF(INDIRECT(ADDRESS($B291+1,BH$230,1,1,"Actively Infected Trend"))=0,#N/A,INDIRECT(ADDRESS($B291+1,BH$230,1,1,"Actively Infected Trend")))</f>
        <v>#N/A</v>
      </c>
      <c r="BI291" s="14" t="e" cm="1">
        <f t="array" aca="1" ref="BI291" ca="1">IF(INDIRECT(ADDRESS($B291+1,BI$230,1,1,"Actively Infected Trend"))=0,#N/A,INDIRECT(ADDRESS($B291+1,BI$230,1,1,"Actively Infected Trend")))</f>
        <v>#N/A</v>
      </c>
      <c r="BJ291" s="14" t="e" cm="1">
        <f t="array" aca="1" ref="BJ291" ca="1">IF(INDIRECT(ADDRESS($B291+1,BJ$230,1,1,"Actively Infected Trend"))=0,#N/A,INDIRECT(ADDRESS($B291+1,BJ$230,1,1,"Actively Infected Trend")))</f>
        <v>#N/A</v>
      </c>
      <c r="BK291" s="14" t="e" cm="1">
        <f t="array" aca="1" ref="BK291" ca="1">IF(INDIRECT(ADDRESS($B291+1,BK$230,1,1,"Actively Infected Trend"))=0,#N/A,INDIRECT(ADDRESS($B291+1,BK$230,1,1,"Actively Infected Trend")))</f>
        <v>#N/A</v>
      </c>
      <c r="BL291" s="14" t="e" cm="1">
        <f t="array" aca="1" ref="BL291" ca="1">IF(INDIRECT(ADDRESS($B291+1,BL$230,1,1,"Actively Infected Trend"))=0,#N/A,INDIRECT(ADDRESS($B291+1,BL$230,1,1,"Actively Infected Trend")))</f>
        <v>#N/A</v>
      </c>
      <c r="BM291" s="14" t="e" cm="1">
        <f t="array" aca="1" ref="BM291" ca="1">IF(INDIRECT(ADDRESS($B291+1,BM$230,1,1,"Actively Infected Trend"))=0,#N/A,INDIRECT(ADDRESS($B291+1,BM$230,1,1,"Actively Infected Trend")))</f>
        <v>#N/A</v>
      </c>
      <c r="BN291" s="14" t="e" cm="1">
        <f t="array" aca="1" ref="BN291" ca="1">IF(INDIRECT(ADDRESS($B291+1,BN$230,1,1,"Actively Infected Trend"))=0,#N/A,INDIRECT(ADDRESS($B291+1,BN$230,1,1,"Actively Infected Trend")))</f>
        <v>#N/A</v>
      </c>
      <c r="BO291" s="14" t="e" cm="1">
        <f t="array" aca="1" ref="BO291" ca="1">IF(INDIRECT(ADDRESS($B291+1,BO$230,1,1,"Actively Infected Trend"))=0,#N/A,INDIRECT(ADDRESS($B291+1,BO$230,1,1,"Actively Infected Trend")))</f>
        <v>#N/A</v>
      </c>
      <c r="BP291" s="14" t="e" cm="1">
        <f t="array" aca="1" ref="BP291" ca="1">IF(INDIRECT(ADDRESS($B291+1,BP$230,1,1,"Actively Infected Trend"))=0,#N/A,INDIRECT(ADDRESS($B291+1,BP$230,1,1,"Actively Infected Trend")))</f>
        <v>#N/A</v>
      </c>
      <c r="BQ291" s="14" t="e" cm="1">
        <f t="array" aca="1" ref="BQ291" ca="1">IF(INDIRECT(ADDRESS($B291+1,BQ$230,1,1,"Actively Infected Trend"))=0,#N/A,INDIRECT(ADDRESS($B291+1,BQ$230,1,1,"Actively Infected Trend")))</f>
        <v>#N/A</v>
      </c>
      <c r="BR291" s="14" t="e" cm="1">
        <f t="array" aca="1" ref="BR291" ca="1">IF(INDIRECT(ADDRESS($B291+1,BR$230,1,1,"Actively Infected Trend"))=0,#N/A,INDIRECT(ADDRESS($B291+1,BR$230,1,1,"Actively Infected Trend")))</f>
        <v>#N/A</v>
      </c>
      <c r="BS291" s="14" t="e" cm="1">
        <f t="array" aca="1" ref="BS291" ca="1">IF(INDIRECT(ADDRESS($B291+1,BS$230,1,1,"Actively Infected Trend"))=0,#N/A,INDIRECT(ADDRESS($B291+1,BS$230,1,1,"Actively Infected Trend")))</f>
        <v>#N/A</v>
      </c>
      <c r="BT291" s="14" t="e" cm="1">
        <f t="array" aca="1" ref="BT291" ca="1">IF(INDIRECT(ADDRESS($B291+1,BT$230,1,1,"Actively Infected Trend"))=0,#N/A,INDIRECT(ADDRESS($B291+1,BT$230,1,1,"Actively Infected Trend")))</f>
        <v>#N/A</v>
      </c>
      <c r="BU291" s="14" t="e" cm="1">
        <f t="array" aca="1" ref="BU291" ca="1">IF(INDIRECT(ADDRESS($B291+1,BU$230,1,1,"Actively Infected Trend"))=0,#N/A,INDIRECT(ADDRESS($B291+1,BU$230,1,1,"Actively Infected Trend")))</f>
        <v>#N/A</v>
      </c>
      <c r="BV291" s="14" t="e" cm="1">
        <f t="array" aca="1" ref="BV291" ca="1">IF(INDIRECT(ADDRESS($B291+1,BV$230,1,1,"Actively Infected Trend"))=0,#N/A,INDIRECT(ADDRESS($B291+1,BV$230,1,1,"Actively Infected Trend")))</f>
        <v>#N/A</v>
      </c>
      <c r="BW291" s="14" t="e" cm="1">
        <f t="array" aca="1" ref="BW291" ca="1">IF(INDIRECT(ADDRESS($B291+1,BW$230,1,1,"Actively Infected Trend"))=0,#N/A,INDIRECT(ADDRESS($B291+1,BW$230,1,1,"Actively Infected Trend")))</f>
        <v>#N/A</v>
      </c>
      <c r="BX291" s="14" t="e" cm="1">
        <f t="array" aca="1" ref="BX291" ca="1">IF(INDIRECT(ADDRESS($B291+1,BX$230,1,1,"Actively Infected Trend"))=0,#N/A,INDIRECT(ADDRESS($B291+1,BX$230,1,1,"Actively Infected Trend")))</f>
        <v>#N/A</v>
      </c>
      <c r="BY291" s="14" t="e" cm="1">
        <f t="array" aca="1" ref="BY291" ca="1">IF(INDIRECT(ADDRESS($B291+1,BY$230,1,1,"Actively Infected Trend"))=0,#N/A,INDIRECT(ADDRESS($B291+1,BY$230,1,1,"Actively Infected Trend")))</f>
        <v>#N/A</v>
      </c>
      <c r="BZ291" s="14" t="e" cm="1">
        <f t="array" aca="1" ref="BZ291" ca="1">IF(INDIRECT(ADDRESS($B291+1,BZ$230,1,1,"Actively Infected Trend"))=0,#N/A,INDIRECT(ADDRESS($B291+1,BZ$230,1,1,"Actively Infected Trend")))</f>
        <v>#N/A</v>
      </c>
      <c r="CA291" s="14" t="e" cm="1">
        <f t="array" aca="1" ref="CA291" ca="1">IF(INDIRECT(ADDRESS($B291+1,CA$230,1,1,"Actively Infected Trend"))=0,#N/A,INDIRECT(ADDRESS($B291+1,CA$230,1,1,"Actively Infected Trend")))</f>
        <v>#N/A</v>
      </c>
      <c r="CB291" s="14" t="e" cm="1">
        <f t="array" aca="1" ref="CB291" ca="1">IF(INDIRECT(ADDRESS($B291+1,CB$230,1,1,"Actively Infected Trend"))=0,#N/A,INDIRECT(ADDRESS($B291+1,CB$230,1,1,"Actively Infected Trend")))</f>
        <v>#N/A</v>
      </c>
      <c r="CC291" s="14" t="e" cm="1">
        <f t="array" aca="1" ref="CC291" ca="1">IF(INDIRECT(ADDRESS($B291+1,CC$230,1,1,"Actively Infected Trend"))=0,#N/A,INDIRECT(ADDRESS($B291+1,CC$230,1,1,"Actively Infected Trend")))</f>
        <v>#N/A</v>
      </c>
      <c r="CD291" s="14" t="e" cm="1">
        <f t="array" aca="1" ref="CD291" ca="1">IF(INDIRECT(ADDRESS($B291+1,CD$230,1,1,"Actively Infected Trend"))=0,#N/A,INDIRECT(ADDRESS($B291+1,CD$230,1,1,"Actively Infected Trend")))</f>
        <v>#N/A</v>
      </c>
      <c r="CE291" s="14" t="e" cm="1">
        <f t="array" aca="1" ref="CE291" ca="1">IF(INDIRECT(ADDRESS($B291+1,CE$230,1,1,"Actively Infected Trend"))=0,#N/A,INDIRECT(ADDRESS($B291+1,CE$230,1,1,"Actively Infected Trend")))</f>
        <v>#N/A</v>
      </c>
      <c r="CF291" s="14" t="e" cm="1">
        <f t="array" aca="1" ref="CF291" ca="1">IF(INDIRECT(ADDRESS($B291+1,CF$230,1,1,"Actively Infected Trend"))=0,#N/A,INDIRECT(ADDRESS($B291+1,CF$230,1,1,"Actively Infected Trend")))</f>
        <v>#N/A</v>
      </c>
      <c r="CG291" s="14" t="e" cm="1">
        <f t="array" aca="1" ref="CG291" ca="1">IF(INDIRECT(ADDRESS($B291+1,CG$230,1,1,"Actively Infected Trend"))=0,#N/A,INDIRECT(ADDRESS($B291+1,CG$230,1,1,"Actively Infected Trend")))</f>
        <v>#N/A</v>
      </c>
      <c r="CH291" s="14" t="e" cm="1">
        <f t="array" aca="1" ref="CH291" ca="1">IF(INDIRECT(ADDRESS($B291+1,CH$230,1,1,"Actively Infected Trend"))=0,#N/A,INDIRECT(ADDRESS($B291+1,CH$230,1,1,"Actively Infected Trend")))</f>
        <v>#N/A</v>
      </c>
      <c r="CI291" s="14" t="e" cm="1">
        <f t="array" aca="1" ref="CI291" ca="1">IF(INDIRECT(ADDRESS($B291+1,CI$230,1,1,"Actively Infected Trend"))=0,#N/A,INDIRECT(ADDRESS($B291+1,CI$230,1,1,"Actively Infected Trend")))</f>
        <v>#N/A</v>
      </c>
      <c r="CJ291" s="14" t="e" cm="1">
        <f t="array" aca="1" ref="CJ291" ca="1">IF(INDIRECT(ADDRESS($B291+1,CJ$230,1,1,"Actively Infected Trend"))=0,#N/A,INDIRECT(ADDRESS($B291+1,CJ$230,1,1,"Actively Infected Trend")))</f>
        <v>#N/A</v>
      </c>
      <c r="CK291" s="14" t="e" cm="1">
        <f t="array" aca="1" ref="CK291" ca="1">IF(INDIRECT(ADDRESS($B291+1,CK$230,1,1,"Actively Infected Trend"))=0,#N/A,INDIRECT(ADDRESS($B291+1,CK$230,1,1,"Actively Infected Trend")))</f>
        <v>#N/A</v>
      </c>
      <c r="CL291" s="14" t="e" cm="1">
        <f t="array" aca="1" ref="CL291" ca="1">IF(INDIRECT(ADDRESS($B291+1,CL$230,1,1,"Actively Infected Trend"))=0,#N/A,INDIRECT(ADDRESS($B291+1,CL$230,1,1,"Actively Infected Trend")))</f>
        <v>#N/A</v>
      </c>
      <c r="CM291" s="14" t="e" cm="1">
        <f t="array" aca="1" ref="CM291" ca="1">IF(INDIRECT(ADDRESS($B291+1,CM$230,1,1,"Actively Infected Trend"))=0,#N/A,INDIRECT(ADDRESS($B291+1,CM$230,1,1,"Actively Infected Trend")))</f>
        <v>#N/A</v>
      </c>
      <c r="CN291" s="14" t="e" cm="1">
        <f t="array" aca="1" ref="CN291" ca="1">IF(INDIRECT(ADDRESS($B291+1,CN$230,1,1,"Actively Infected Trend"))=0,#N/A,INDIRECT(ADDRESS($B291+1,CN$230,1,1,"Actively Infected Trend")))</f>
        <v>#N/A</v>
      </c>
      <c r="CO291" s="14" t="e" cm="1">
        <f t="array" aca="1" ref="CO291" ca="1">IF(INDIRECT(ADDRESS($B291+1,CO$230,1,1,"Actively Infected Trend"))=0,#N/A,INDIRECT(ADDRESS($B291+1,CO$230,1,1,"Actively Infected Trend")))</f>
        <v>#N/A</v>
      </c>
      <c r="CP291" s="14" t="e" cm="1">
        <f t="array" aca="1" ref="CP291" ca="1">IF(INDIRECT(ADDRESS($B291+1,CP$230,1,1,"Actively Infected Trend"))=0,#N/A,INDIRECT(ADDRESS($B291+1,CP$230,1,1,"Actively Infected Trend")))</f>
        <v>#N/A</v>
      </c>
      <c r="CQ291" s="14" t="e" cm="1">
        <f t="array" aca="1" ref="CQ291" ca="1">IF(INDIRECT(ADDRESS($B291+1,CQ$230,1,1,"Actively Infected Trend"))=0,#N/A,INDIRECT(ADDRESS($B291+1,CQ$230,1,1,"Actively Infected Trend")))</f>
        <v>#N/A</v>
      </c>
      <c r="CR291" s="14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C613-881C-4C7E-91BB-14E96E57854D}">
  <dimension ref="A1:K2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265</v>
      </c>
      <c r="B2" s="1">
        <v>9006398</v>
      </c>
      <c r="C2" s="1">
        <v>82409</v>
      </c>
      <c r="E2" t="s">
        <v>265</v>
      </c>
    </row>
    <row r="3" spans="1:11" x14ac:dyDescent="0.25">
      <c r="A3" t="s">
        <v>264</v>
      </c>
      <c r="B3" s="1">
        <v>11589623</v>
      </c>
      <c r="C3" s="1">
        <v>30280</v>
      </c>
      <c r="E3" t="s">
        <v>264</v>
      </c>
    </row>
    <row r="4" spans="1:11" x14ac:dyDescent="0.25">
      <c r="A4" t="s">
        <v>263</v>
      </c>
      <c r="B4" s="1">
        <v>37742154</v>
      </c>
      <c r="C4" s="1">
        <v>9093510</v>
      </c>
      <c r="E4" t="s">
        <v>263</v>
      </c>
    </row>
    <row r="5" spans="1:11" x14ac:dyDescent="0.25">
      <c r="A5" t="s">
        <v>262</v>
      </c>
      <c r="B5" s="1">
        <v>1439323776</v>
      </c>
      <c r="C5" s="1">
        <v>9388211</v>
      </c>
      <c r="E5" t="s">
        <v>262</v>
      </c>
      <c r="G5" t="s">
        <v>59</v>
      </c>
    </row>
    <row r="6" spans="1:11" x14ac:dyDescent="0.25">
      <c r="A6" t="s">
        <v>261</v>
      </c>
      <c r="B6" s="1">
        <v>5540720</v>
      </c>
      <c r="C6" s="1">
        <v>303890</v>
      </c>
      <c r="E6" t="s">
        <v>261</v>
      </c>
    </row>
    <row r="7" spans="1:11" x14ac:dyDescent="0.25">
      <c r="A7" t="s">
        <v>260</v>
      </c>
      <c r="B7" s="1">
        <v>65273511</v>
      </c>
      <c r="C7" s="1">
        <v>547557</v>
      </c>
      <c r="E7" t="s">
        <v>260</v>
      </c>
    </row>
    <row r="8" spans="1:11" x14ac:dyDescent="0.25">
      <c r="A8" t="s">
        <v>259</v>
      </c>
      <c r="B8" s="1">
        <v>83783942</v>
      </c>
      <c r="C8" s="1">
        <v>348560</v>
      </c>
      <c r="E8" t="s">
        <v>259</v>
      </c>
    </row>
    <row r="9" spans="1:11" x14ac:dyDescent="0.25">
      <c r="A9" t="s">
        <v>258</v>
      </c>
      <c r="B9" s="1">
        <v>1380004385</v>
      </c>
      <c r="C9" s="1">
        <v>2973190</v>
      </c>
      <c r="E9" t="s">
        <v>258</v>
      </c>
    </row>
    <row r="10" spans="1:11" x14ac:dyDescent="0.25">
      <c r="A10" t="s">
        <v>257</v>
      </c>
      <c r="B10" s="1">
        <v>83992949</v>
      </c>
      <c r="C10" s="1">
        <v>1628550</v>
      </c>
      <c r="E10" t="s">
        <v>257</v>
      </c>
    </row>
    <row r="11" spans="1:11" x14ac:dyDescent="0.25">
      <c r="A11" t="s">
        <v>256</v>
      </c>
      <c r="B11" s="1">
        <v>60461826</v>
      </c>
      <c r="C11" s="1">
        <v>294140</v>
      </c>
      <c r="E11" t="s">
        <v>256</v>
      </c>
    </row>
    <row r="12" spans="1:11" x14ac:dyDescent="0.25">
      <c r="A12" t="s">
        <v>255</v>
      </c>
      <c r="B12" s="1">
        <v>126476461</v>
      </c>
      <c r="C12" s="1">
        <v>364555</v>
      </c>
      <c r="E12" t="s">
        <v>255</v>
      </c>
    </row>
    <row r="13" spans="1:11" x14ac:dyDescent="0.25">
      <c r="A13" t="s">
        <v>254</v>
      </c>
      <c r="B13" s="1">
        <v>51269185</v>
      </c>
      <c r="C13" s="1">
        <v>97230</v>
      </c>
      <c r="E13" t="s">
        <v>254</v>
      </c>
    </row>
    <row r="14" spans="1:11" x14ac:dyDescent="0.25">
      <c r="A14" t="s">
        <v>253</v>
      </c>
      <c r="B14" s="1">
        <v>10196709</v>
      </c>
      <c r="C14" s="1">
        <v>91590</v>
      </c>
      <c r="E14" t="s">
        <v>253</v>
      </c>
    </row>
    <row r="15" spans="1:11" x14ac:dyDescent="0.25">
      <c r="A15" t="s">
        <v>252</v>
      </c>
      <c r="B15" s="1">
        <v>145934462</v>
      </c>
      <c r="C15" s="1">
        <v>16376870</v>
      </c>
      <c r="E15" t="s">
        <v>252</v>
      </c>
    </row>
    <row r="16" spans="1:11" x14ac:dyDescent="0.25">
      <c r="A16" t="s">
        <v>251</v>
      </c>
      <c r="B16" s="1">
        <v>5850342</v>
      </c>
      <c r="C16" s="1">
        <v>700</v>
      </c>
      <c r="E16" t="s">
        <v>251</v>
      </c>
    </row>
    <row r="17" spans="1:5" x14ac:dyDescent="0.25">
      <c r="A17" t="s">
        <v>250</v>
      </c>
      <c r="B17" s="1">
        <v>46754778</v>
      </c>
      <c r="C17" s="1">
        <v>498800</v>
      </c>
      <c r="E17" t="s">
        <v>250</v>
      </c>
    </row>
    <row r="18" spans="1:5" x14ac:dyDescent="0.25">
      <c r="A18" t="s">
        <v>249</v>
      </c>
      <c r="B18" s="1">
        <v>10099265</v>
      </c>
      <c r="C18" s="1">
        <v>410340</v>
      </c>
      <c r="E18" t="s">
        <v>249</v>
      </c>
    </row>
    <row r="19" spans="1:5" x14ac:dyDescent="0.25">
      <c r="A19" t="s">
        <v>0</v>
      </c>
      <c r="B19" s="1">
        <v>8654622</v>
      </c>
      <c r="C19" s="1">
        <v>39516</v>
      </c>
      <c r="E19" t="s">
        <v>0</v>
      </c>
    </row>
    <row r="20" spans="1:5" x14ac:dyDescent="0.25">
      <c r="A20" t="s">
        <v>248</v>
      </c>
      <c r="B20" s="1">
        <v>331002651</v>
      </c>
      <c r="C20" s="1">
        <v>9147420</v>
      </c>
      <c r="E20" t="s">
        <v>248</v>
      </c>
    </row>
    <row r="21" spans="1:5" x14ac:dyDescent="0.25">
      <c r="A21" t="s">
        <v>247</v>
      </c>
      <c r="B21" s="1">
        <v>67886011</v>
      </c>
      <c r="C21" s="1">
        <v>241930</v>
      </c>
      <c r="E21" t="s">
        <v>247</v>
      </c>
    </row>
  </sheetData>
  <autoFilter ref="A1:K21" xr:uid="{B57DF72C-442F-461C-AE8C-58D50D39EA84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98369-2B26-4F96-9563-56D3C4F6358E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264</v>
      </c>
      <c r="B3" s="1">
        <v>11589623</v>
      </c>
      <c r="C3" s="1">
        <v>30280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</row>
    <row r="6" spans="1:95" x14ac:dyDescent="0.25">
      <c r="A6" t="s">
        <v>261</v>
      </c>
      <c r="B6" s="1">
        <v>5540720</v>
      </c>
      <c r="C6" s="1">
        <v>303890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</row>
    <row r="17" spans="1:95" x14ac:dyDescent="0.25">
      <c r="A17" t="s">
        <v>250</v>
      </c>
      <c r="B17" s="1">
        <v>46754778</v>
      </c>
      <c r="C17" s="1">
        <v>498800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</row>
    <row r="18" spans="1:95" x14ac:dyDescent="0.25">
      <c r="A18" t="s">
        <v>249</v>
      </c>
      <c r="B18" s="1">
        <v>10099265</v>
      </c>
      <c r="C18" s="1">
        <v>410340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</row>
    <row r="19" spans="1:95" x14ac:dyDescent="0.25">
      <c r="A19" t="s">
        <v>0</v>
      </c>
      <c r="B19" s="1">
        <v>8654622</v>
      </c>
      <c r="C19" s="1">
        <v>39516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</row>
    <row r="20" spans="1:95" x14ac:dyDescent="0.25">
      <c r="A20" t="s">
        <v>248</v>
      </c>
      <c r="B20" s="1">
        <v>331002651</v>
      </c>
      <c r="C20" s="1">
        <v>9147420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</row>
    <row r="21" spans="1:95" x14ac:dyDescent="0.25">
      <c r="A21" t="s">
        <v>247</v>
      </c>
      <c r="B21" s="1">
        <v>67886011</v>
      </c>
      <c r="C21" s="1">
        <v>241930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</row>
  </sheetData>
  <autoFilter ref="A1:CQ21" xr:uid="{EACD4A32-FE6D-4E03-8B8D-84E8E5783399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FCE6-4F83-4BF3-A007-5CDD8E6E8B7B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1">
        <v>14595</v>
      </c>
      <c r="E2" s="2">
        <v>162.05146608000001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2</v>
      </c>
      <c r="AR2" s="1">
        <v>2</v>
      </c>
      <c r="AS2" s="1">
        <v>3</v>
      </c>
      <c r="AT2" s="1">
        <v>3</v>
      </c>
      <c r="AU2" s="1">
        <v>9</v>
      </c>
      <c r="AV2" s="1">
        <v>14</v>
      </c>
      <c r="AW2" s="1">
        <v>18</v>
      </c>
      <c r="AX2" s="1">
        <v>21</v>
      </c>
      <c r="AY2" s="1">
        <v>29</v>
      </c>
      <c r="AZ2" s="1">
        <v>41</v>
      </c>
      <c r="BA2" s="1">
        <v>55</v>
      </c>
      <c r="BB2" s="1">
        <v>79</v>
      </c>
      <c r="BC2" s="1">
        <v>104</v>
      </c>
      <c r="BD2" s="1">
        <v>131</v>
      </c>
      <c r="BE2" s="1">
        <v>182</v>
      </c>
      <c r="BF2" s="1">
        <v>246</v>
      </c>
      <c r="BG2" s="1">
        <v>302</v>
      </c>
      <c r="BH2" s="1">
        <v>504</v>
      </c>
      <c r="BI2" s="1">
        <v>655</v>
      </c>
      <c r="BJ2" s="1">
        <v>860</v>
      </c>
      <c r="BK2" s="1">
        <v>1018</v>
      </c>
      <c r="BL2" s="1">
        <v>1332</v>
      </c>
      <c r="BM2" s="1">
        <v>1646</v>
      </c>
      <c r="BN2" s="1">
        <v>2013</v>
      </c>
      <c r="BO2" s="1">
        <v>2388</v>
      </c>
      <c r="BP2" s="1">
        <v>2814</v>
      </c>
      <c r="BQ2" s="1">
        <v>3582</v>
      </c>
      <c r="BR2" s="1">
        <v>4474</v>
      </c>
      <c r="BS2" s="1">
        <v>5283</v>
      </c>
      <c r="BT2" s="1">
        <v>5588</v>
      </c>
      <c r="BU2" s="1">
        <v>6909</v>
      </c>
      <c r="BV2" s="1">
        <v>7657</v>
      </c>
      <c r="BW2" s="1">
        <v>8271</v>
      </c>
      <c r="BX2" s="1">
        <v>8788</v>
      </c>
      <c r="BY2" s="1">
        <v>9618</v>
      </c>
      <c r="BZ2" s="1">
        <v>10180</v>
      </c>
      <c r="CA2" s="1">
        <v>10711</v>
      </c>
      <c r="CB2" s="1">
        <v>11129</v>
      </c>
      <c r="CC2" s="1">
        <v>11524</v>
      </c>
      <c r="CD2" s="1">
        <v>11781</v>
      </c>
      <c r="CE2" s="1">
        <v>12051</v>
      </c>
      <c r="CF2" s="1">
        <v>12297</v>
      </c>
      <c r="CG2" s="1">
        <v>12639</v>
      </c>
      <c r="CH2" s="1">
        <v>12942</v>
      </c>
      <c r="CI2" s="1">
        <v>13244</v>
      </c>
      <c r="CJ2" s="1">
        <v>13555</v>
      </c>
      <c r="CK2" s="1">
        <v>13806</v>
      </c>
      <c r="CL2" s="1">
        <v>13945</v>
      </c>
      <c r="CM2" s="1">
        <v>14041</v>
      </c>
      <c r="CN2" s="1">
        <v>14226</v>
      </c>
      <c r="CO2" s="1">
        <v>14336</v>
      </c>
      <c r="CP2" s="1">
        <v>14476</v>
      </c>
      <c r="CQ2" s="1">
        <v>14595</v>
      </c>
    </row>
    <row r="3" spans="1:95" x14ac:dyDescent="0.25">
      <c r="A3" t="s">
        <v>264</v>
      </c>
      <c r="B3" s="1">
        <v>11589623</v>
      </c>
      <c r="C3" s="1">
        <v>30280</v>
      </c>
      <c r="D3" s="1">
        <v>36138</v>
      </c>
      <c r="E3" s="2">
        <v>311.81342136839999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2</v>
      </c>
      <c r="AW3" s="1">
        <v>8</v>
      </c>
      <c r="AX3" s="1">
        <v>13</v>
      </c>
      <c r="AY3" s="1">
        <v>23</v>
      </c>
      <c r="AZ3" s="1">
        <v>50</v>
      </c>
      <c r="BA3" s="1">
        <v>109</v>
      </c>
      <c r="BB3" s="1">
        <v>169</v>
      </c>
      <c r="BC3" s="1">
        <v>200</v>
      </c>
      <c r="BD3" s="1">
        <v>239</v>
      </c>
      <c r="BE3" s="1">
        <v>267</v>
      </c>
      <c r="BF3" s="1">
        <v>314</v>
      </c>
      <c r="BG3" s="1">
        <v>436.5</v>
      </c>
      <c r="BH3" s="1">
        <v>559</v>
      </c>
      <c r="BI3" s="1">
        <v>689</v>
      </c>
      <c r="BJ3" s="1">
        <v>886</v>
      </c>
      <c r="BK3" s="1">
        <v>1058</v>
      </c>
      <c r="BL3" s="1">
        <v>1243</v>
      </c>
      <c r="BM3" s="1">
        <v>1486</v>
      </c>
      <c r="BN3" s="1">
        <v>1795</v>
      </c>
      <c r="BO3" s="1">
        <v>2257</v>
      </c>
      <c r="BP3" s="1">
        <v>2815</v>
      </c>
      <c r="BQ3" s="1">
        <v>3401</v>
      </c>
      <c r="BR3" s="1">
        <v>3743</v>
      </c>
      <c r="BS3" s="1">
        <v>4269</v>
      </c>
      <c r="BT3" s="1">
        <v>4937</v>
      </c>
      <c r="BU3" s="1">
        <v>6235</v>
      </c>
      <c r="BV3" s="1">
        <v>7284</v>
      </c>
      <c r="BW3" s="1">
        <v>9134</v>
      </c>
      <c r="BX3" s="1">
        <v>10836</v>
      </c>
      <c r="BY3" s="1">
        <v>11899</v>
      </c>
      <c r="BZ3" s="1">
        <v>12775</v>
      </c>
      <c r="CA3" s="1">
        <v>13964</v>
      </c>
      <c r="CB3" s="1">
        <v>15348</v>
      </c>
      <c r="CC3" s="1">
        <v>16770</v>
      </c>
      <c r="CD3" s="1">
        <v>18431</v>
      </c>
      <c r="CE3" s="1">
        <v>19691</v>
      </c>
      <c r="CF3" s="1">
        <v>20814</v>
      </c>
      <c r="CG3" s="1">
        <v>22194</v>
      </c>
      <c r="CH3" s="1">
        <v>23403</v>
      </c>
      <c r="CI3" s="1">
        <v>24983</v>
      </c>
      <c r="CJ3" s="1">
        <v>26667</v>
      </c>
      <c r="CK3" s="1">
        <v>28018</v>
      </c>
      <c r="CL3" s="1">
        <v>29647</v>
      </c>
      <c r="CM3" s="1">
        <v>30589</v>
      </c>
      <c r="CN3" s="1">
        <v>31119</v>
      </c>
      <c r="CO3" s="1">
        <v>33573</v>
      </c>
      <c r="CP3" s="1">
        <v>34809</v>
      </c>
      <c r="CQ3" s="1">
        <v>36138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32801</v>
      </c>
      <c r="E4" s="2">
        <v>86.908129302800006</v>
      </c>
      <c r="I4" s="1">
        <v>0</v>
      </c>
      <c r="J4" s="1">
        <v>0</v>
      </c>
      <c r="K4" s="1">
        <v>0</v>
      </c>
      <c r="L4" s="1">
        <v>0</v>
      </c>
      <c r="M4" s="1">
        <v>1</v>
      </c>
      <c r="N4" s="1">
        <v>1</v>
      </c>
      <c r="O4" s="1">
        <v>2</v>
      </c>
      <c r="P4" s="1">
        <v>2</v>
      </c>
      <c r="Q4" s="1">
        <v>2</v>
      </c>
      <c r="R4" s="1">
        <v>4</v>
      </c>
      <c r="S4" s="1">
        <v>4.2</v>
      </c>
      <c r="T4" s="1">
        <v>4.4000000000000004</v>
      </c>
      <c r="U4" s="1">
        <v>4.5999999999999996</v>
      </c>
      <c r="V4" s="1">
        <v>4.8</v>
      </c>
      <c r="W4" s="1">
        <v>5</v>
      </c>
      <c r="X4" s="1">
        <v>6</v>
      </c>
      <c r="Y4" s="1">
        <v>7</v>
      </c>
      <c r="Z4" s="1">
        <v>7.1</v>
      </c>
      <c r="AA4" s="1">
        <v>7.2</v>
      </c>
      <c r="AB4" s="1">
        <v>7.3</v>
      </c>
      <c r="AC4" s="1">
        <v>7.4</v>
      </c>
      <c r="AD4" s="1">
        <v>7.5</v>
      </c>
      <c r="AE4" s="1">
        <v>7.6</v>
      </c>
      <c r="AF4" s="1">
        <v>7.7</v>
      </c>
      <c r="AG4" s="1">
        <v>7.8</v>
      </c>
      <c r="AH4" s="1">
        <v>7.9</v>
      </c>
      <c r="AI4" s="1">
        <v>8</v>
      </c>
      <c r="AJ4" s="1">
        <v>8.25</v>
      </c>
      <c r="AK4" s="1">
        <v>8.5</v>
      </c>
      <c r="AL4" s="1">
        <v>8.75</v>
      </c>
      <c r="AM4" s="1">
        <v>9</v>
      </c>
      <c r="AN4" s="1">
        <v>9.3333333333000006</v>
      </c>
      <c r="AO4" s="1">
        <v>9.6666666666999994</v>
      </c>
      <c r="AP4" s="1">
        <v>10</v>
      </c>
      <c r="AQ4" s="1">
        <v>11</v>
      </c>
      <c r="AR4" s="1">
        <v>12</v>
      </c>
      <c r="AS4" s="1">
        <v>13</v>
      </c>
      <c r="AT4" s="1">
        <v>14</v>
      </c>
      <c r="AU4" s="1">
        <v>20</v>
      </c>
      <c r="AV4" s="1">
        <v>24</v>
      </c>
      <c r="AW4" s="1">
        <v>27</v>
      </c>
      <c r="AX4" s="1">
        <v>30</v>
      </c>
      <c r="AY4" s="1">
        <v>33</v>
      </c>
      <c r="AZ4" s="1">
        <v>37</v>
      </c>
      <c r="BA4" s="1">
        <v>49</v>
      </c>
      <c r="BB4" s="1">
        <v>54</v>
      </c>
      <c r="BC4" s="1">
        <v>64</v>
      </c>
      <c r="BD4" s="1">
        <v>77</v>
      </c>
      <c r="BE4" s="1">
        <v>79</v>
      </c>
      <c r="BF4" s="1">
        <v>108</v>
      </c>
      <c r="BG4" s="1">
        <v>117</v>
      </c>
      <c r="BH4" s="1">
        <v>191</v>
      </c>
      <c r="BI4" s="1">
        <v>196</v>
      </c>
      <c r="BJ4" s="1">
        <v>250</v>
      </c>
      <c r="BK4" s="1">
        <v>413</v>
      </c>
      <c r="BL4" s="1">
        <v>470</v>
      </c>
      <c r="BM4" s="1">
        <v>648</v>
      </c>
      <c r="BN4" s="1">
        <v>791</v>
      </c>
      <c r="BO4" s="1">
        <v>933</v>
      </c>
      <c r="BP4" s="1">
        <v>1267</v>
      </c>
      <c r="BQ4" s="1">
        <v>1456</v>
      </c>
      <c r="BR4" s="1">
        <v>2075</v>
      </c>
      <c r="BS4" s="1">
        <v>2777</v>
      </c>
      <c r="BT4" s="1">
        <v>3238</v>
      </c>
      <c r="BU4" s="1">
        <v>4029</v>
      </c>
      <c r="BV4" s="1">
        <v>4669</v>
      </c>
      <c r="BW4" s="1">
        <v>5563</v>
      </c>
      <c r="BX4" s="1">
        <v>6267</v>
      </c>
      <c r="BY4" s="1">
        <v>7385</v>
      </c>
      <c r="BZ4" s="1">
        <v>8514</v>
      </c>
      <c r="CA4" s="1">
        <v>9547</v>
      </c>
      <c r="CB4" s="1">
        <v>11271</v>
      </c>
      <c r="CC4" s="1">
        <v>12424</v>
      </c>
      <c r="CD4" s="1">
        <v>12965</v>
      </c>
      <c r="CE4" s="1">
        <v>15743</v>
      </c>
      <c r="CF4" s="1">
        <v>16550</v>
      </c>
      <c r="CG4" s="1">
        <v>17859</v>
      </c>
      <c r="CH4" s="1">
        <v>19128</v>
      </c>
      <c r="CI4" s="1">
        <v>20641</v>
      </c>
      <c r="CJ4" s="1">
        <v>22046</v>
      </c>
      <c r="CK4" s="1">
        <v>23303</v>
      </c>
      <c r="CL4" s="1">
        <v>24286</v>
      </c>
      <c r="CM4" s="1">
        <v>25667</v>
      </c>
      <c r="CN4" s="1">
        <v>27022</v>
      </c>
      <c r="CO4" s="1">
        <v>28196</v>
      </c>
      <c r="CP4" s="1">
        <v>30796</v>
      </c>
      <c r="CQ4" s="1">
        <v>32801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83760</v>
      </c>
      <c r="E5" s="2">
        <v>5.8193994567000003</v>
      </c>
      <c r="I5" s="1">
        <v>548</v>
      </c>
      <c r="J5" s="1">
        <v>643</v>
      </c>
      <c r="K5" s="1">
        <v>920</v>
      </c>
      <c r="L5" s="1">
        <v>1406</v>
      </c>
      <c r="M5" s="1">
        <v>2075</v>
      </c>
      <c r="N5" s="1">
        <v>2877</v>
      </c>
      <c r="O5" s="1">
        <v>5509</v>
      </c>
      <c r="P5" s="1">
        <v>6087</v>
      </c>
      <c r="Q5" s="1">
        <v>8141</v>
      </c>
      <c r="R5" s="1">
        <v>9802</v>
      </c>
      <c r="S5" s="1">
        <v>11891</v>
      </c>
      <c r="T5" s="1">
        <v>16630</v>
      </c>
      <c r="U5" s="1">
        <v>19716</v>
      </c>
      <c r="V5" s="1">
        <v>23707</v>
      </c>
      <c r="W5" s="1">
        <v>27440</v>
      </c>
      <c r="X5" s="1">
        <v>30587</v>
      </c>
      <c r="Y5" s="1">
        <v>34110</v>
      </c>
      <c r="Z5" s="1">
        <v>36814</v>
      </c>
      <c r="AA5" s="1">
        <v>39829</v>
      </c>
      <c r="AB5" s="1">
        <v>42354</v>
      </c>
      <c r="AC5" s="1">
        <v>44386</v>
      </c>
      <c r="AD5" s="1">
        <v>44759</v>
      </c>
      <c r="AE5" s="1">
        <v>59895</v>
      </c>
      <c r="AF5" s="1">
        <v>66358</v>
      </c>
      <c r="AG5" s="1">
        <v>68413</v>
      </c>
      <c r="AH5" s="1">
        <v>70513</v>
      </c>
      <c r="AI5" s="1">
        <v>72434</v>
      </c>
      <c r="AJ5" s="1">
        <v>74211</v>
      </c>
      <c r="AK5" s="1">
        <v>74619</v>
      </c>
      <c r="AL5" s="1">
        <v>75077</v>
      </c>
      <c r="AM5" s="1">
        <v>75550</v>
      </c>
      <c r="AN5" s="1">
        <v>77001</v>
      </c>
      <c r="AO5" s="1">
        <v>77022</v>
      </c>
      <c r="AP5" s="1">
        <v>77241</v>
      </c>
      <c r="AQ5" s="1">
        <v>77754</v>
      </c>
      <c r="AR5" s="1">
        <v>78166</v>
      </c>
      <c r="AS5" s="1">
        <v>78600</v>
      </c>
      <c r="AT5" s="1">
        <v>78928</v>
      </c>
      <c r="AU5" s="1">
        <v>79356</v>
      </c>
      <c r="AV5" s="1">
        <v>79932</v>
      </c>
      <c r="AW5" s="1">
        <v>80136</v>
      </c>
      <c r="AX5" s="1">
        <v>80261</v>
      </c>
      <c r="AY5" s="1">
        <v>80386</v>
      </c>
      <c r="AZ5" s="1">
        <v>80537</v>
      </c>
      <c r="BA5" s="1">
        <v>80690</v>
      </c>
      <c r="BB5" s="1">
        <v>80770</v>
      </c>
      <c r="BC5" s="1">
        <v>80823</v>
      </c>
      <c r="BD5" s="1">
        <v>80860</v>
      </c>
      <c r="BE5" s="1">
        <v>80887</v>
      </c>
      <c r="BF5" s="1">
        <v>80921</v>
      </c>
      <c r="BG5" s="1">
        <v>80932</v>
      </c>
      <c r="BH5" s="1">
        <v>80945</v>
      </c>
      <c r="BI5" s="1">
        <v>80977</v>
      </c>
      <c r="BJ5" s="1">
        <v>81003</v>
      </c>
      <c r="BK5" s="1">
        <v>81033</v>
      </c>
      <c r="BL5" s="1">
        <v>81058</v>
      </c>
      <c r="BM5" s="1">
        <v>81102</v>
      </c>
      <c r="BN5" s="1">
        <v>81156</v>
      </c>
      <c r="BO5" s="1">
        <v>81250</v>
      </c>
      <c r="BP5" s="1">
        <v>81305</v>
      </c>
      <c r="BQ5" s="1">
        <v>81435</v>
      </c>
      <c r="BR5" s="1">
        <v>81498</v>
      </c>
      <c r="BS5" s="1">
        <v>81591</v>
      </c>
      <c r="BT5" s="1">
        <v>81661</v>
      </c>
      <c r="BU5" s="1">
        <v>81782</v>
      </c>
      <c r="BV5" s="1">
        <v>81897</v>
      </c>
      <c r="BW5" s="1">
        <v>81999</v>
      </c>
      <c r="BX5" s="1">
        <v>82122</v>
      </c>
      <c r="BY5" s="1">
        <v>82198</v>
      </c>
      <c r="BZ5" s="1">
        <v>82279</v>
      </c>
      <c r="CA5" s="1">
        <v>82361</v>
      </c>
      <c r="CB5" s="1">
        <v>82432</v>
      </c>
      <c r="CC5" s="1">
        <v>82511</v>
      </c>
      <c r="CD5" s="1">
        <v>82543</v>
      </c>
      <c r="CE5" s="1">
        <v>82602</v>
      </c>
      <c r="CF5" s="1">
        <v>82665</v>
      </c>
      <c r="CG5" s="1">
        <v>82718</v>
      </c>
      <c r="CH5" s="1">
        <v>82809</v>
      </c>
      <c r="CI5" s="1">
        <v>82883</v>
      </c>
      <c r="CJ5" s="1">
        <v>82941</v>
      </c>
      <c r="CK5" s="1">
        <v>83014</v>
      </c>
      <c r="CL5" s="1">
        <v>83134</v>
      </c>
      <c r="CM5" s="1">
        <v>83213</v>
      </c>
      <c r="CN5" s="1">
        <v>83306</v>
      </c>
      <c r="CO5" s="1">
        <v>83356</v>
      </c>
      <c r="CP5" s="1">
        <v>83403</v>
      </c>
      <c r="CQ5" s="1">
        <v>83760</v>
      </c>
    </row>
    <row r="6" spans="1:95" x14ac:dyDescent="0.25">
      <c r="A6" t="s">
        <v>261</v>
      </c>
      <c r="B6" s="1">
        <v>5540720</v>
      </c>
      <c r="C6" s="1">
        <v>303890</v>
      </c>
      <c r="D6" s="1">
        <v>3489</v>
      </c>
      <c r="E6" s="2">
        <v>62.970155503299999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2</v>
      </c>
      <c r="AS6" s="1">
        <v>2</v>
      </c>
      <c r="AT6" s="1">
        <v>2</v>
      </c>
      <c r="AU6" s="1">
        <v>3</v>
      </c>
      <c r="AV6" s="1">
        <v>6</v>
      </c>
      <c r="AW6" s="1">
        <v>7.5</v>
      </c>
      <c r="AX6" s="1">
        <v>9</v>
      </c>
      <c r="AY6" s="1">
        <v>10.5</v>
      </c>
      <c r="AZ6" s="1">
        <v>12</v>
      </c>
      <c r="BA6" s="1">
        <v>15</v>
      </c>
      <c r="BB6" s="1">
        <v>19</v>
      </c>
      <c r="BC6" s="1">
        <v>23</v>
      </c>
      <c r="BD6" s="1">
        <v>30</v>
      </c>
      <c r="BE6" s="1">
        <v>40</v>
      </c>
      <c r="BF6" s="1">
        <v>59</v>
      </c>
      <c r="BG6" s="1">
        <v>107</v>
      </c>
      <c r="BH6" s="1">
        <v>155</v>
      </c>
      <c r="BI6" s="1">
        <v>225</v>
      </c>
      <c r="BJ6" s="1">
        <v>244</v>
      </c>
      <c r="BK6" s="1">
        <v>277</v>
      </c>
      <c r="BL6" s="1">
        <v>321</v>
      </c>
      <c r="BM6" s="1">
        <v>336</v>
      </c>
      <c r="BN6" s="1">
        <v>400</v>
      </c>
      <c r="BO6" s="1">
        <v>450</v>
      </c>
      <c r="BP6" s="1">
        <v>523</v>
      </c>
      <c r="BQ6" s="1">
        <v>626</v>
      </c>
      <c r="BR6" s="1">
        <v>700</v>
      </c>
      <c r="BS6" s="1">
        <v>792</v>
      </c>
      <c r="BT6" s="1">
        <v>880</v>
      </c>
      <c r="BU6" s="1">
        <v>958</v>
      </c>
      <c r="BV6" s="1">
        <v>1041</v>
      </c>
      <c r="BW6" s="1">
        <v>1167</v>
      </c>
      <c r="BX6" s="1">
        <v>1240</v>
      </c>
      <c r="BY6" s="1">
        <v>1352</v>
      </c>
      <c r="BZ6" s="1">
        <v>1418</v>
      </c>
      <c r="CA6" s="1">
        <v>1446</v>
      </c>
      <c r="CB6" s="1">
        <v>1518</v>
      </c>
      <c r="CC6" s="1">
        <v>1615</v>
      </c>
      <c r="CD6" s="1">
        <v>1882</v>
      </c>
      <c r="CE6" s="1">
        <v>1927</v>
      </c>
      <c r="CF6" s="1">
        <v>2176</v>
      </c>
      <c r="CG6" s="1">
        <v>2308</v>
      </c>
      <c r="CH6" s="1">
        <v>2487</v>
      </c>
      <c r="CI6" s="1">
        <v>2605</v>
      </c>
      <c r="CJ6" s="1">
        <v>2769</v>
      </c>
      <c r="CK6" s="1">
        <v>2905</v>
      </c>
      <c r="CL6" s="1">
        <v>2974</v>
      </c>
      <c r="CM6" s="1">
        <v>3064</v>
      </c>
      <c r="CN6" s="1">
        <v>3161</v>
      </c>
      <c r="CO6" s="1">
        <v>3237</v>
      </c>
      <c r="CP6" s="1">
        <v>3369</v>
      </c>
      <c r="CQ6" s="1">
        <v>3489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147969</v>
      </c>
      <c r="E7" s="2">
        <v>226.69073217159999</v>
      </c>
      <c r="I7" s="1">
        <v>0</v>
      </c>
      <c r="J7" s="1">
        <v>0</v>
      </c>
      <c r="K7" s="1">
        <v>2</v>
      </c>
      <c r="L7" s="1">
        <v>3</v>
      </c>
      <c r="M7" s="1">
        <v>3</v>
      </c>
      <c r="N7" s="1">
        <v>3</v>
      </c>
      <c r="O7" s="1">
        <v>4</v>
      </c>
      <c r="P7" s="1">
        <v>5</v>
      </c>
      <c r="Q7" s="1">
        <v>5.3333333332999997</v>
      </c>
      <c r="R7" s="1">
        <v>5.6666666667000003</v>
      </c>
      <c r="S7" s="1">
        <v>6</v>
      </c>
      <c r="T7" s="1">
        <v>6.7142857142999999</v>
      </c>
      <c r="U7" s="1">
        <v>7.4285714285999997</v>
      </c>
      <c r="V7" s="1">
        <v>8.1428571429000005</v>
      </c>
      <c r="W7" s="1">
        <v>8.8571428570999995</v>
      </c>
      <c r="X7" s="1">
        <v>9.5714285714000003</v>
      </c>
      <c r="Y7" s="1">
        <v>10.285714285699999</v>
      </c>
      <c r="Z7" s="1">
        <v>11</v>
      </c>
      <c r="AA7" s="1">
        <v>11.142857142900001</v>
      </c>
      <c r="AB7" s="1">
        <v>11.285714285699999</v>
      </c>
      <c r="AC7" s="1">
        <v>11.4285714286</v>
      </c>
      <c r="AD7" s="1">
        <v>11.5714285714</v>
      </c>
      <c r="AE7" s="1">
        <v>11.714285714300001</v>
      </c>
      <c r="AF7" s="1">
        <v>11.857142857099999</v>
      </c>
      <c r="AG7" s="1">
        <v>12</v>
      </c>
      <c r="AH7" s="1">
        <v>12.2</v>
      </c>
      <c r="AI7" s="1">
        <v>12.4</v>
      </c>
      <c r="AJ7" s="1">
        <v>12.6</v>
      </c>
      <c r="AK7" s="1">
        <v>12.8</v>
      </c>
      <c r="AL7" s="1">
        <v>13</v>
      </c>
      <c r="AM7" s="1">
        <v>13.2</v>
      </c>
      <c r="AN7" s="1">
        <v>13.4</v>
      </c>
      <c r="AO7" s="1">
        <v>13.6</v>
      </c>
      <c r="AP7" s="1">
        <v>13.8</v>
      </c>
      <c r="AQ7" s="1">
        <v>14</v>
      </c>
      <c r="AR7" s="1">
        <v>18</v>
      </c>
      <c r="AS7" s="1">
        <v>38</v>
      </c>
      <c r="AT7" s="1">
        <v>57</v>
      </c>
      <c r="AU7" s="1">
        <v>100</v>
      </c>
      <c r="AV7" s="1">
        <v>130</v>
      </c>
      <c r="AW7" s="1">
        <v>191</v>
      </c>
      <c r="AX7" s="1">
        <v>204</v>
      </c>
      <c r="AY7" s="1">
        <v>285</v>
      </c>
      <c r="AZ7" s="1">
        <v>377</v>
      </c>
      <c r="BA7" s="1">
        <v>653</v>
      </c>
      <c r="BB7" s="1">
        <v>949</v>
      </c>
      <c r="BC7" s="1">
        <v>1126</v>
      </c>
      <c r="BD7" s="1">
        <v>1209</v>
      </c>
      <c r="BE7" s="1">
        <v>1784</v>
      </c>
      <c r="BF7" s="1">
        <v>2281</v>
      </c>
      <c r="BG7" s="1">
        <v>2971</v>
      </c>
      <c r="BH7" s="1">
        <v>3661</v>
      </c>
      <c r="BI7" s="1">
        <v>4469</v>
      </c>
      <c r="BJ7" s="1">
        <v>4499</v>
      </c>
      <c r="BK7" s="1">
        <v>6633</v>
      </c>
      <c r="BL7" s="1">
        <v>7652</v>
      </c>
      <c r="BM7" s="1">
        <v>9043</v>
      </c>
      <c r="BN7" s="1">
        <v>10871</v>
      </c>
      <c r="BO7" s="1">
        <v>12612</v>
      </c>
      <c r="BP7" s="1">
        <v>14282</v>
      </c>
      <c r="BQ7" s="1">
        <v>16018</v>
      </c>
      <c r="BR7" s="1">
        <v>19856</v>
      </c>
      <c r="BS7" s="1">
        <v>22304</v>
      </c>
      <c r="BT7" s="1">
        <v>25233</v>
      </c>
      <c r="BU7" s="1">
        <v>29155</v>
      </c>
      <c r="BV7" s="1">
        <v>32964</v>
      </c>
      <c r="BW7" s="1">
        <v>37575</v>
      </c>
      <c r="BX7" s="1">
        <v>40174</v>
      </c>
      <c r="BY7" s="1">
        <v>44550</v>
      </c>
      <c r="BZ7" s="1">
        <v>52128</v>
      </c>
      <c r="CA7" s="1">
        <v>56989</v>
      </c>
      <c r="CB7" s="1">
        <v>59105</v>
      </c>
      <c r="CC7" s="1">
        <v>64338</v>
      </c>
      <c r="CD7" s="1">
        <v>68605</v>
      </c>
      <c r="CE7" s="1">
        <v>70478</v>
      </c>
      <c r="CF7" s="1">
        <v>74390</v>
      </c>
      <c r="CG7" s="1">
        <v>78167</v>
      </c>
      <c r="CH7" s="1">
        <v>82048</v>
      </c>
      <c r="CI7" s="1">
        <v>86334</v>
      </c>
      <c r="CJ7" s="1">
        <v>90676</v>
      </c>
      <c r="CK7" s="1">
        <v>93790</v>
      </c>
      <c r="CL7" s="1">
        <v>120633</v>
      </c>
      <c r="CM7" s="1">
        <v>124298</v>
      </c>
      <c r="CN7" s="1">
        <v>130253</v>
      </c>
      <c r="CO7" s="1">
        <v>133470</v>
      </c>
      <c r="CP7" s="1">
        <v>145960</v>
      </c>
      <c r="CQ7" s="1">
        <v>147969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141397</v>
      </c>
      <c r="E8" s="2">
        <v>168.7638425989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1</v>
      </c>
      <c r="O8" s="1">
        <v>4</v>
      </c>
      <c r="P8" s="1">
        <v>4.3333333332999997</v>
      </c>
      <c r="Q8" s="1">
        <v>4.6666666667000003</v>
      </c>
      <c r="R8" s="1">
        <v>5</v>
      </c>
      <c r="S8" s="1">
        <v>8</v>
      </c>
      <c r="T8" s="1">
        <v>10</v>
      </c>
      <c r="U8" s="1">
        <v>12</v>
      </c>
      <c r="V8" s="1">
        <v>12.25</v>
      </c>
      <c r="W8" s="1">
        <v>12.5</v>
      </c>
      <c r="X8" s="1">
        <v>12.75</v>
      </c>
      <c r="Y8" s="1">
        <v>13</v>
      </c>
      <c r="Z8" s="1">
        <v>13.5</v>
      </c>
      <c r="AA8" s="1">
        <v>14</v>
      </c>
      <c r="AB8" s="1">
        <v>15</v>
      </c>
      <c r="AC8" s="1">
        <v>16</v>
      </c>
      <c r="AD8" s="1">
        <v>16.071428571399998</v>
      </c>
      <c r="AE8" s="1">
        <v>16.142857142899999</v>
      </c>
      <c r="AF8" s="1">
        <v>16.214285714300001</v>
      </c>
      <c r="AG8" s="1">
        <v>16.285714285699999</v>
      </c>
      <c r="AH8" s="1">
        <v>16.357142857100001</v>
      </c>
      <c r="AI8" s="1">
        <v>16.428571428600002</v>
      </c>
      <c r="AJ8" s="1">
        <v>16.5</v>
      </c>
      <c r="AK8" s="1">
        <v>16.571428571399998</v>
      </c>
      <c r="AL8" s="1">
        <v>16.642857142899999</v>
      </c>
      <c r="AM8" s="1">
        <v>16.714285714300001</v>
      </c>
      <c r="AN8" s="1">
        <v>16.785714285699999</v>
      </c>
      <c r="AO8" s="1">
        <v>16.857142857100001</v>
      </c>
      <c r="AP8" s="1">
        <v>16.928571428600002</v>
      </c>
      <c r="AQ8" s="1">
        <v>17</v>
      </c>
      <c r="AR8" s="1">
        <v>27</v>
      </c>
      <c r="AS8" s="1">
        <v>46</v>
      </c>
      <c r="AT8" s="1">
        <v>48</v>
      </c>
      <c r="AU8" s="1">
        <v>79</v>
      </c>
      <c r="AV8" s="1">
        <v>130</v>
      </c>
      <c r="AW8" s="1">
        <v>159</v>
      </c>
      <c r="AX8" s="1">
        <v>196</v>
      </c>
      <c r="AY8" s="1">
        <v>262</v>
      </c>
      <c r="AZ8" s="1">
        <v>482</v>
      </c>
      <c r="BA8" s="1">
        <v>670</v>
      </c>
      <c r="BB8" s="1">
        <v>799</v>
      </c>
      <c r="BC8" s="1">
        <v>1040</v>
      </c>
      <c r="BD8" s="1">
        <v>1176</v>
      </c>
      <c r="BE8" s="1">
        <v>1457</v>
      </c>
      <c r="BF8" s="1">
        <v>1908</v>
      </c>
      <c r="BG8" s="1">
        <v>2078</v>
      </c>
      <c r="BH8" s="1">
        <v>3675</v>
      </c>
      <c r="BI8" s="1">
        <v>4585</v>
      </c>
      <c r="BJ8" s="1">
        <v>5795</v>
      </c>
      <c r="BK8" s="1">
        <v>7272</v>
      </c>
      <c r="BL8" s="1">
        <v>9257</v>
      </c>
      <c r="BM8" s="1">
        <v>12327</v>
      </c>
      <c r="BN8" s="1">
        <v>15320</v>
      </c>
      <c r="BO8" s="1">
        <v>19848</v>
      </c>
      <c r="BP8" s="1">
        <v>22213</v>
      </c>
      <c r="BQ8" s="1">
        <v>24873</v>
      </c>
      <c r="BR8" s="1">
        <v>29056</v>
      </c>
      <c r="BS8" s="1">
        <v>32986</v>
      </c>
      <c r="BT8" s="1">
        <v>37323</v>
      </c>
      <c r="BU8" s="1">
        <v>43938</v>
      </c>
      <c r="BV8" s="1">
        <v>50871</v>
      </c>
      <c r="BW8" s="1">
        <v>57695</v>
      </c>
      <c r="BX8" s="1">
        <v>62095</v>
      </c>
      <c r="BY8" s="1">
        <v>66885</v>
      </c>
      <c r="BZ8" s="1">
        <v>71808</v>
      </c>
      <c r="CA8" s="1">
        <v>77872</v>
      </c>
      <c r="CB8" s="1">
        <v>84794</v>
      </c>
      <c r="CC8" s="1">
        <v>91159</v>
      </c>
      <c r="CD8" s="1">
        <v>96092</v>
      </c>
      <c r="CE8" s="1">
        <v>100123</v>
      </c>
      <c r="CF8" s="1">
        <v>103374</v>
      </c>
      <c r="CG8" s="1">
        <v>107663</v>
      </c>
      <c r="CH8" s="1">
        <v>113296</v>
      </c>
      <c r="CI8" s="1">
        <v>118181</v>
      </c>
      <c r="CJ8" s="1">
        <v>122171</v>
      </c>
      <c r="CK8" s="1">
        <v>124908</v>
      </c>
      <c r="CL8" s="1">
        <v>127854</v>
      </c>
      <c r="CM8" s="1">
        <v>130072</v>
      </c>
      <c r="CN8" s="1">
        <v>131359</v>
      </c>
      <c r="CO8" s="1">
        <v>134753</v>
      </c>
      <c r="CP8" s="1">
        <v>137698</v>
      </c>
      <c r="CQ8" s="1">
        <v>141397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14352</v>
      </c>
      <c r="E9" s="2">
        <v>1.0399966953999999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1</v>
      </c>
      <c r="R9" s="1">
        <v>1</v>
      </c>
      <c r="S9" s="1">
        <v>1</v>
      </c>
      <c r="T9" s="1">
        <v>2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3</v>
      </c>
      <c r="AE9" s="1">
        <v>3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3</v>
      </c>
      <c r="AV9" s="1">
        <v>3</v>
      </c>
      <c r="AW9" s="1">
        <v>5</v>
      </c>
      <c r="AX9" s="1">
        <v>16.5</v>
      </c>
      <c r="AY9" s="1">
        <v>28</v>
      </c>
      <c r="AZ9" s="1">
        <v>30</v>
      </c>
      <c r="BA9" s="1">
        <v>31</v>
      </c>
      <c r="BB9" s="1">
        <v>34</v>
      </c>
      <c r="BC9" s="1">
        <v>39</v>
      </c>
      <c r="BD9" s="1">
        <v>43</v>
      </c>
      <c r="BE9" s="1">
        <v>56</v>
      </c>
      <c r="BF9" s="1">
        <v>62</v>
      </c>
      <c r="BG9" s="1">
        <v>73</v>
      </c>
      <c r="BH9" s="1">
        <v>82</v>
      </c>
      <c r="BI9" s="1">
        <v>102</v>
      </c>
      <c r="BJ9" s="1">
        <v>113</v>
      </c>
      <c r="BK9" s="1">
        <v>119</v>
      </c>
      <c r="BL9" s="1">
        <v>142</v>
      </c>
      <c r="BM9" s="1">
        <v>156</v>
      </c>
      <c r="BN9" s="1">
        <v>194</v>
      </c>
      <c r="BO9" s="1">
        <v>244</v>
      </c>
      <c r="BP9" s="1">
        <v>330</v>
      </c>
      <c r="BQ9" s="1">
        <v>396</v>
      </c>
      <c r="BR9" s="1">
        <v>499</v>
      </c>
      <c r="BS9" s="1">
        <v>536</v>
      </c>
      <c r="BT9" s="1">
        <v>657</v>
      </c>
      <c r="BU9" s="1">
        <v>727</v>
      </c>
      <c r="BV9" s="1">
        <v>887</v>
      </c>
      <c r="BW9" s="1">
        <v>987</v>
      </c>
      <c r="BX9" s="1">
        <v>1024</v>
      </c>
      <c r="BY9" s="1">
        <v>1251</v>
      </c>
      <c r="BZ9" s="1">
        <v>1397</v>
      </c>
      <c r="CA9" s="1">
        <v>1998</v>
      </c>
      <c r="CB9" s="1">
        <v>2543</v>
      </c>
      <c r="CC9" s="1">
        <v>2567</v>
      </c>
      <c r="CD9" s="1">
        <v>3082</v>
      </c>
      <c r="CE9" s="1">
        <v>3588</v>
      </c>
      <c r="CF9" s="1">
        <v>4778</v>
      </c>
      <c r="CG9" s="1">
        <v>5311</v>
      </c>
      <c r="CH9" s="1">
        <v>5916</v>
      </c>
      <c r="CI9" s="1">
        <v>6725</v>
      </c>
      <c r="CJ9" s="1">
        <v>7598</v>
      </c>
      <c r="CK9" s="1">
        <v>8446</v>
      </c>
      <c r="CL9" s="1">
        <v>9205</v>
      </c>
      <c r="CM9" s="1">
        <v>10453</v>
      </c>
      <c r="CN9" s="1">
        <v>11487</v>
      </c>
      <c r="CO9" s="1">
        <v>12322</v>
      </c>
      <c r="CP9" s="1">
        <v>13430</v>
      </c>
      <c r="CQ9" s="1">
        <v>14352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79494</v>
      </c>
      <c r="E10" s="2">
        <v>94.643658719499996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2</v>
      </c>
      <c r="AL10" s="1">
        <v>5</v>
      </c>
      <c r="AM10" s="1">
        <v>18</v>
      </c>
      <c r="AN10" s="1">
        <v>28</v>
      </c>
      <c r="AO10" s="1">
        <v>43</v>
      </c>
      <c r="AP10" s="1">
        <v>61</v>
      </c>
      <c r="AQ10" s="1">
        <v>95</v>
      </c>
      <c r="AR10" s="1">
        <v>139</v>
      </c>
      <c r="AS10" s="1">
        <v>245</v>
      </c>
      <c r="AT10" s="1">
        <v>388</v>
      </c>
      <c r="AU10" s="1">
        <v>593</v>
      </c>
      <c r="AV10" s="1">
        <v>978</v>
      </c>
      <c r="AW10" s="1">
        <v>1501</v>
      </c>
      <c r="AX10" s="1">
        <v>2336</v>
      </c>
      <c r="AY10" s="1">
        <v>2922</v>
      </c>
      <c r="AZ10" s="1">
        <v>3513</v>
      </c>
      <c r="BA10" s="1">
        <v>4747</v>
      </c>
      <c r="BB10" s="1">
        <v>5823</v>
      </c>
      <c r="BC10" s="1">
        <v>6566</v>
      </c>
      <c r="BD10" s="1">
        <v>7161</v>
      </c>
      <c r="BE10" s="1">
        <v>8042</v>
      </c>
      <c r="BF10" s="1">
        <v>9000</v>
      </c>
      <c r="BG10" s="1">
        <v>10075</v>
      </c>
      <c r="BH10" s="1">
        <v>11364</v>
      </c>
      <c r="BI10" s="1">
        <v>12729</v>
      </c>
      <c r="BJ10" s="1">
        <v>13938</v>
      </c>
      <c r="BK10" s="1">
        <v>14991</v>
      </c>
      <c r="BL10" s="1">
        <v>16169</v>
      </c>
      <c r="BM10" s="1">
        <v>17361</v>
      </c>
      <c r="BN10" s="1">
        <v>18407</v>
      </c>
      <c r="BO10" s="1">
        <v>19644</v>
      </c>
      <c r="BP10" s="1">
        <v>20610</v>
      </c>
      <c r="BQ10" s="1">
        <v>21638</v>
      </c>
      <c r="BR10" s="1">
        <v>23049</v>
      </c>
      <c r="BS10" s="1">
        <v>24811</v>
      </c>
      <c r="BT10" s="1">
        <v>27017</v>
      </c>
      <c r="BU10" s="1">
        <v>29406</v>
      </c>
      <c r="BV10" s="1">
        <v>32332</v>
      </c>
      <c r="BW10" s="1">
        <v>35408</v>
      </c>
      <c r="BX10" s="1">
        <v>38309</v>
      </c>
      <c r="BY10" s="1">
        <v>41495</v>
      </c>
      <c r="BZ10" s="1">
        <v>44605</v>
      </c>
      <c r="CA10" s="1">
        <v>47593</v>
      </c>
      <c r="CB10" s="1">
        <v>50468</v>
      </c>
      <c r="CC10" s="1">
        <v>53183</v>
      </c>
      <c r="CD10" s="1">
        <v>55743</v>
      </c>
      <c r="CE10" s="1">
        <v>58226</v>
      </c>
      <c r="CF10" s="1">
        <v>60500</v>
      </c>
      <c r="CG10" s="1">
        <v>62589</v>
      </c>
      <c r="CH10" s="1">
        <v>64586</v>
      </c>
      <c r="CI10" s="1">
        <v>66220</v>
      </c>
      <c r="CJ10" s="1">
        <v>68192</v>
      </c>
      <c r="CK10" s="1">
        <v>70029</v>
      </c>
      <c r="CL10" s="1">
        <v>71686</v>
      </c>
      <c r="CM10" s="1">
        <v>73303</v>
      </c>
      <c r="CN10" s="1">
        <v>74877</v>
      </c>
      <c r="CO10" s="1">
        <v>76389</v>
      </c>
      <c r="CP10" s="1">
        <v>77995</v>
      </c>
      <c r="CQ10" s="1">
        <v>79494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172434</v>
      </c>
      <c r="E11" s="2">
        <v>285.19482689789999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2</v>
      </c>
      <c r="S11" s="1">
        <v>2</v>
      </c>
      <c r="T11" s="1">
        <v>2</v>
      </c>
      <c r="U11" s="1">
        <v>2</v>
      </c>
      <c r="V11" s="1">
        <v>2</v>
      </c>
      <c r="W11" s="1">
        <v>2</v>
      </c>
      <c r="X11" s="1">
        <v>2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3</v>
      </c>
      <c r="AF11" s="1">
        <v>3</v>
      </c>
      <c r="AG11" s="1">
        <v>3</v>
      </c>
      <c r="AH11" s="1">
        <v>3</v>
      </c>
      <c r="AI11" s="1">
        <v>3</v>
      </c>
      <c r="AJ11" s="1">
        <v>3</v>
      </c>
      <c r="AK11" s="1">
        <v>3</v>
      </c>
      <c r="AL11" s="1">
        <v>3</v>
      </c>
      <c r="AM11" s="1">
        <v>20</v>
      </c>
      <c r="AN11" s="1">
        <v>62</v>
      </c>
      <c r="AO11" s="1">
        <v>155</v>
      </c>
      <c r="AP11" s="1">
        <v>229</v>
      </c>
      <c r="AQ11" s="1">
        <v>322</v>
      </c>
      <c r="AR11" s="1">
        <v>453</v>
      </c>
      <c r="AS11" s="1">
        <v>655</v>
      </c>
      <c r="AT11" s="1">
        <v>888</v>
      </c>
      <c r="AU11" s="1">
        <v>1128</v>
      </c>
      <c r="AV11" s="1">
        <v>1694</v>
      </c>
      <c r="AW11" s="1">
        <v>2036</v>
      </c>
      <c r="AX11" s="1">
        <v>2502</v>
      </c>
      <c r="AY11" s="1">
        <v>3089</v>
      </c>
      <c r="AZ11" s="1">
        <v>3858</v>
      </c>
      <c r="BA11" s="1">
        <v>4636</v>
      </c>
      <c r="BB11" s="1">
        <v>5883</v>
      </c>
      <c r="BC11" s="1">
        <v>7375</v>
      </c>
      <c r="BD11" s="1">
        <v>9172</v>
      </c>
      <c r="BE11" s="1">
        <v>10149</v>
      </c>
      <c r="BF11" s="1">
        <v>12462</v>
      </c>
      <c r="BG11" s="1">
        <v>15061</v>
      </c>
      <c r="BH11" s="1">
        <v>17660</v>
      </c>
      <c r="BI11" s="1">
        <v>21157</v>
      </c>
      <c r="BJ11" s="1">
        <v>24747</v>
      </c>
      <c r="BK11" s="1">
        <v>27980</v>
      </c>
      <c r="BL11" s="1">
        <v>31506</v>
      </c>
      <c r="BM11" s="1">
        <v>35713</v>
      </c>
      <c r="BN11" s="1">
        <v>41035</v>
      </c>
      <c r="BO11" s="1">
        <v>47021</v>
      </c>
      <c r="BP11" s="1">
        <v>53578</v>
      </c>
      <c r="BQ11" s="1">
        <v>59138</v>
      </c>
      <c r="BR11" s="1">
        <v>63927</v>
      </c>
      <c r="BS11" s="1">
        <v>69176</v>
      </c>
      <c r="BT11" s="1">
        <v>74386</v>
      </c>
      <c r="BU11" s="1">
        <v>80589</v>
      </c>
      <c r="BV11" s="1">
        <v>86498</v>
      </c>
      <c r="BW11" s="1">
        <v>92472</v>
      </c>
      <c r="BX11" s="1">
        <v>97689</v>
      </c>
      <c r="BY11" s="1">
        <v>101739</v>
      </c>
      <c r="BZ11" s="1">
        <v>105792</v>
      </c>
      <c r="CA11" s="1">
        <v>110574</v>
      </c>
      <c r="CB11" s="1">
        <v>115242</v>
      </c>
      <c r="CC11" s="1">
        <v>119827</v>
      </c>
      <c r="CD11" s="1">
        <v>124632</v>
      </c>
      <c r="CE11" s="1">
        <v>128948</v>
      </c>
      <c r="CF11" s="1">
        <v>132547</v>
      </c>
      <c r="CG11" s="1">
        <v>135586</v>
      </c>
      <c r="CH11" s="1">
        <v>139422</v>
      </c>
      <c r="CI11" s="1">
        <v>143626</v>
      </c>
      <c r="CJ11" s="1">
        <v>147577</v>
      </c>
      <c r="CK11" s="1">
        <v>152271</v>
      </c>
      <c r="CL11" s="1">
        <v>156363</v>
      </c>
      <c r="CM11" s="1">
        <v>159516</v>
      </c>
      <c r="CN11" s="1">
        <v>162488</v>
      </c>
      <c r="CO11" s="1">
        <v>165155</v>
      </c>
      <c r="CP11" s="1">
        <v>168941</v>
      </c>
      <c r="CQ11" s="1">
        <v>172434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9787</v>
      </c>
      <c r="E12" s="2">
        <v>7.7381988100000001</v>
      </c>
      <c r="I12" s="1">
        <v>2</v>
      </c>
      <c r="J12" s="1">
        <v>2</v>
      </c>
      <c r="K12" s="1">
        <v>2</v>
      </c>
      <c r="L12" s="1">
        <v>2</v>
      </c>
      <c r="M12" s="1">
        <v>4</v>
      </c>
      <c r="N12" s="1">
        <v>5.5</v>
      </c>
      <c r="O12" s="1">
        <v>7</v>
      </c>
      <c r="P12" s="1">
        <v>9</v>
      </c>
      <c r="Q12" s="1">
        <v>11</v>
      </c>
      <c r="R12" s="1">
        <v>15</v>
      </c>
      <c r="S12" s="1">
        <v>20</v>
      </c>
      <c r="T12" s="1">
        <v>20.666666666699999</v>
      </c>
      <c r="U12" s="1">
        <v>21.333333333300001</v>
      </c>
      <c r="V12" s="1">
        <v>22</v>
      </c>
      <c r="W12" s="1">
        <v>23</v>
      </c>
      <c r="X12" s="1">
        <v>24</v>
      </c>
      <c r="Y12" s="1">
        <v>25</v>
      </c>
      <c r="Z12" s="1">
        <v>25.5</v>
      </c>
      <c r="AA12" s="1">
        <v>26</v>
      </c>
      <c r="AB12" s="1">
        <v>26.666666666699999</v>
      </c>
      <c r="AC12" s="1">
        <v>27.333333333300001</v>
      </c>
      <c r="AD12" s="1">
        <v>28</v>
      </c>
      <c r="AE12" s="1">
        <v>28.5</v>
      </c>
      <c r="AF12" s="1">
        <v>29</v>
      </c>
      <c r="AG12" s="1">
        <v>43</v>
      </c>
      <c r="AH12" s="1">
        <v>59</v>
      </c>
      <c r="AI12" s="1">
        <v>66</v>
      </c>
      <c r="AJ12" s="1">
        <v>74</v>
      </c>
      <c r="AK12" s="1">
        <v>84</v>
      </c>
      <c r="AL12" s="1">
        <v>94</v>
      </c>
      <c r="AM12" s="1">
        <v>105</v>
      </c>
      <c r="AN12" s="1">
        <v>122</v>
      </c>
      <c r="AO12" s="1">
        <v>147</v>
      </c>
      <c r="AP12" s="1">
        <v>159</v>
      </c>
      <c r="AQ12" s="1">
        <v>170</v>
      </c>
      <c r="AR12" s="1">
        <v>189</v>
      </c>
      <c r="AS12" s="1">
        <v>214</v>
      </c>
      <c r="AT12" s="1">
        <v>228</v>
      </c>
      <c r="AU12" s="1">
        <v>241</v>
      </c>
      <c r="AV12" s="1">
        <v>256</v>
      </c>
      <c r="AW12" s="1">
        <v>274</v>
      </c>
      <c r="AX12" s="1">
        <v>293</v>
      </c>
      <c r="AY12" s="1">
        <v>331</v>
      </c>
      <c r="AZ12" s="1">
        <v>360</v>
      </c>
      <c r="BA12" s="1">
        <v>420</v>
      </c>
      <c r="BB12" s="1">
        <v>461</v>
      </c>
      <c r="BC12" s="1">
        <v>502</v>
      </c>
      <c r="BD12" s="1">
        <v>511</v>
      </c>
      <c r="BE12" s="1">
        <v>581</v>
      </c>
      <c r="BF12" s="1">
        <v>639</v>
      </c>
      <c r="BG12" s="1">
        <v>670</v>
      </c>
      <c r="BH12" s="1">
        <v>701</v>
      </c>
      <c r="BI12" s="1">
        <v>773</v>
      </c>
      <c r="BJ12" s="1">
        <v>839</v>
      </c>
      <c r="BK12" s="1">
        <v>858.5</v>
      </c>
      <c r="BL12" s="1">
        <v>878</v>
      </c>
      <c r="BM12" s="1">
        <v>889</v>
      </c>
      <c r="BN12" s="1">
        <v>924</v>
      </c>
      <c r="BO12" s="1">
        <v>963</v>
      </c>
      <c r="BP12" s="1">
        <v>1007</v>
      </c>
      <c r="BQ12" s="1">
        <v>1101</v>
      </c>
      <c r="BR12" s="1">
        <v>1128</v>
      </c>
      <c r="BS12" s="1">
        <v>1193</v>
      </c>
      <c r="BT12" s="1">
        <v>1307</v>
      </c>
      <c r="BU12" s="1">
        <v>1387</v>
      </c>
      <c r="BV12" s="1">
        <v>1468</v>
      </c>
      <c r="BW12" s="1">
        <v>1693</v>
      </c>
      <c r="BX12" s="1">
        <v>1866</v>
      </c>
      <c r="BY12" s="1">
        <v>1909.5</v>
      </c>
      <c r="BZ12" s="1">
        <v>1953</v>
      </c>
      <c r="CA12" s="1">
        <v>2178</v>
      </c>
      <c r="CB12" s="1">
        <v>2495</v>
      </c>
      <c r="CC12" s="1">
        <v>2617</v>
      </c>
      <c r="CD12" s="1">
        <v>3139</v>
      </c>
      <c r="CE12" s="1">
        <v>3396.5</v>
      </c>
      <c r="CF12" s="1">
        <v>3654</v>
      </c>
      <c r="CG12" s="1">
        <v>3906</v>
      </c>
      <c r="CH12" s="1">
        <v>4257</v>
      </c>
      <c r="CI12" s="1">
        <v>4667</v>
      </c>
      <c r="CJ12" s="1">
        <v>5530</v>
      </c>
      <c r="CK12" s="1">
        <v>6005</v>
      </c>
      <c r="CL12" s="1">
        <v>6748</v>
      </c>
      <c r="CM12" s="1">
        <v>7370</v>
      </c>
      <c r="CN12" s="1">
        <v>7645</v>
      </c>
      <c r="CO12" s="1">
        <v>8100</v>
      </c>
      <c r="CP12" s="1">
        <v>8626</v>
      </c>
      <c r="CQ12" s="1">
        <v>9787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10635</v>
      </c>
      <c r="E13" s="2">
        <v>20.743454377100001</v>
      </c>
      <c r="I13" s="1">
        <v>1</v>
      </c>
      <c r="J13" s="1">
        <v>1</v>
      </c>
      <c r="K13" s="1">
        <v>2</v>
      </c>
      <c r="L13" s="1">
        <v>2</v>
      </c>
      <c r="M13" s="1">
        <v>3</v>
      </c>
      <c r="N13" s="1">
        <v>4</v>
      </c>
      <c r="O13" s="1">
        <v>5.75</v>
      </c>
      <c r="P13" s="1">
        <v>7.5</v>
      </c>
      <c r="Q13" s="1">
        <v>9.25</v>
      </c>
      <c r="R13" s="1">
        <v>11</v>
      </c>
      <c r="S13" s="1">
        <v>12</v>
      </c>
      <c r="T13" s="1">
        <v>15</v>
      </c>
      <c r="U13" s="1">
        <v>15.5</v>
      </c>
      <c r="V13" s="1">
        <v>16</v>
      </c>
      <c r="W13" s="1">
        <v>19</v>
      </c>
      <c r="X13" s="1">
        <v>23</v>
      </c>
      <c r="Y13" s="1">
        <v>24</v>
      </c>
      <c r="Z13" s="1">
        <v>24.5</v>
      </c>
      <c r="AA13" s="1">
        <v>25</v>
      </c>
      <c r="AB13" s="1">
        <v>27</v>
      </c>
      <c r="AC13" s="1">
        <v>28</v>
      </c>
      <c r="AD13" s="1">
        <v>28.2</v>
      </c>
      <c r="AE13" s="1">
        <v>28.4</v>
      </c>
      <c r="AF13" s="1">
        <v>28.6</v>
      </c>
      <c r="AG13" s="1">
        <v>28.8</v>
      </c>
      <c r="AH13" s="1">
        <v>29</v>
      </c>
      <c r="AI13" s="1">
        <v>30</v>
      </c>
      <c r="AJ13" s="1">
        <v>31</v>
      </c>
      <c r="AK13" s="1">
        <v>67.5</v>
      </c>
      <c r="AL13" s="1">
        <v>104</v>
      </c>
      <c r="AM13" s="1">
        <v>204</v>
      </c>
      <c r="AN13" s="1">
        <v>433</v>
      </c>
      <c r="AO13" s="1">
        <v>602</v>
      </c>
      <c r="AP13" s="1">
        <v>833</v>
      </c>
      <c r="AQ13" s="1">
        <v>977</v>
      </c>
      <c r="AR13" s="1">
        <v>1261</v>
      </c>
      <c r="AS13" s="1">
        <v>1766</v>
      </c>
      <c r="AT13" s="1">
        <v>2337</v>
      </c>
      <c r="AU13" s="1">
        <v>3150</v>
      </c>
      <c r="AV13" s="1">
        <v>3736</v>
      </c>
      <c r="AW13" s="1">
        <v>4335</v>
      </c>
      <c r="AX13" s="1">
        <v>5186</v>
      </c>
      <c r="AY13" s="1">
        <v>5621</v>
      </c>
      <c r="AZ13" s="1">
        <v>6088</v>
      </c>
      <c r="BA13" s="1">
        <v>6593</v>
      </c>
      <c r="BB13" s="1">
        <v>7041</v>
      </c>
      <c r="BC13" s="1">
        <v>7314</v>
      </c>
      <c r="BD13" s="1">
        <v>7478</v>
      </c>
      <c r="BE13" s="1">
        <v>7513</v>
      </c>
      <c r="BF13" s="1">
        <v>7755</v>
      </c>
      <c r="BG13" s="1">
        <v>7869</v>
      </c>
      <c r="BH13" s="1">
        <v>7979</v>
      </c>
      <c r="BI13" s="1">
        <v>8086</v>
      </c>
      <c r="BJ13" s="1">
        <v>8162</v>
      </c>
      <c r="BK13" s="1">
        <v>8236</v>
      </c>
      <c r="BL13" s="1">
        <v>8320</v>
      </c>
      <c r="BM13" s="1">
        <v>8413</v>
      </c>
      <c r="BN13" s="1">
        <v>8565</v>
      </c>
      <c r="BO13" s="1">
        <v>8652</v>
      </c>
      <c r="BP13" s="1">
        <v>8799</v>
      </c>
      <c r="BQ13" s="1">
        <v>8961</v>
      </c>
      <c r="BR13" s="1">
        <v>8999</v>
      </c>
      <c r="BS13" s="1">
        <v>9037</v>
      </c>
      <c r="BT13" s="1">
        <v>9137</v>
      </c>
      <c r="BU13" s="1">
        <v>9241</v>
      </c>
      <c r="BV13" s="1">
        <v>9332</v>
      </c>
      <c r="BW13" s="1">
        <v>9478</v>
      </c>
      <c r="BX13" s="1">
        <v>9583</v>
      </c>
      <c r="BY13" s="1">
        <v>9661</v>
      </c>
      <c r="BZ13" s="1">
        <v>9786</v>
      </c>
      <c r="CA13" s="1">
        <v>9887</v>
      </c>
      <c r="CB13" s="1">
        <v>9976</v>
      </c>
      <c r="CC13" s="1">
        <v>10062</v>
      </c>
      <c r="CD13" s="1">
        <v>10156</v>
      </c>
      <c r="CE13" s="1">
        <v>10237</v>
      </c>
      <c r="CF13" s="1">
        <v>10284</v>
      </c>
      <c r="CG13" s="1">
        <v>10331</v>
      </c>
      <c r="CH13" s="1">
        <v>10384</v>
      </c>
      <c r="CI13" s="1">
        <v>10423</v>
      </c>
      <c r="CJ13" s="1">
        <v>10450</v>
      </c>
      <c r="CK13" s="1">
        <v>10480</v>
      </c>
      <c r="CL13" s="1">
        <v>10512</v>
      </c>
      <c r="CM13" s="1">
        <v>10537</v>
      </c>
      <c r="CN13" s="1">
        <v>10564</v>
      </c>
      <c r="CO13" s="1">
        <v>10591</v>
      </c>
      <c r="CP13" s="1">
        <v>10613</v>
      </c>
      <c r="CQ13" s="1">
        <v>10635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19022</v>
      </c>
      <c r="E14" s="2">
        <v>186.55038601179999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2</v>
      </c>
      <c r="AY14" s="1">
        <v>5</v>
      </c>
      <c r="AZ14" s="1">
        <v>8</v>
      </c>
      <c r="BA14" s="1">
        <v>13</v>
      </c>
      <c r="BB14" s="1">
        <v>20</v>
      </c>
      <c r="BC14" s="1">
        <v>30</v>
      </c>
      <c r="BD14" s="1">
        <v>35.5</v>
      </c>
      <c r="BE14" s="1">
        <v>41</v>
      </c>
      <c r="BF14" s="1">
        <v>59</v>
      </c>
      <c r="BG14" s="1">
        <v>85.5</v>
      </c>
      <c r="BH14" s="1">
        <v>112</v>
      </c>
      <c r="BI14" s="1">
        <v>169</v>
      </c>
      <c r="BJ14" s="1">
        <v>245</v>
      </c>
      <c r="BK14" s="1">
        <v>331</v>
      </c>
      <c r="BL14" s="1">
        <v>448</v>
      </c>
      <c r="BM14" s="1">
        <v>616.5</v>
      </c>
      <c r="BN14" s="1">
        <v>785</v>
      </c>
      <c r="BO14" s="1">
        <v>1020</v>
      </c>
      <c r="BP14" s="1">
        <v>1280</v>
      </c>
      <c r="BQ14" s="1">
        <v>1600</v>
      </c>
      <c r="BR14" s="1">
        <v>2060</v>
      </c>
      <c r="BS14" s="1">
        <v>2362</v>
      </c>
      <c r="BT14" s="1">
        <v>2995</v>
      </c>
      <c r="BU14" s="1">
        <v>3544</v>
      </c>
      <c r="BV14" s="1">
        <v>4268</v>
      </c>
      <c r="BW14" s="1">
        <v>5170</v>
      </c>
      <c r="BX14" s="1">
        <v>5962</v>
      </c>
      <c r="BY14" s="1">
        <v>6408</v>
      </c>
      <c r="BZ14" s="1">
        <v>7443</v>
      </c>
      <c r="CA14" s="1">
        <v>8251</v>
      </c>
      <c r="CB14" s="1">
        <v>9034</v>
      </c>
      <c r="CC14" s="1">
        <v>9886</v>
      </c>
      <c r="CD14" s="1">
        <v>10524</v>
      </c>
      <c r="CE14" s="1">
        <v>11278</v>
      </c>
      <c r="CF14" s="1">
        <v>11730</v>
      </c>
      <c r="CG14" s="1">
        <v>12442</v>
      </c>
      <c r="CH14" s="1">
        <v>13141</v>
      </c>
      <c r="CI14" s="1">
        <v>13956</v>
      </c>
      <c r="CJ14" s="1">
        <v>15472</v>
      </c>
      <c r="CK14" s="1">
        <v>15987</v>
      </c>
      <c r="CL14" s="1">
        <v>16585</v>
      </c>
      <c r="CM14" s="1">
        <v>16934</v>
      </c>
      <c r="CN14" s="1">
        <v>17448</v>
      </c>
      <c r="CO14" s="1">
        <v>18091</v>
      </c>
      <c r="CP14" s="1">
        <v>18841</v>
      </c>
      <c r="CQ14" s="1">
        <v>19022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32008</v>
      </c>
      <c r="E15" s="2">
        <v>21.9331332444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2</v>
      </c>
      <c r="Z15" s="1">
        <v>2</v>
      </c>
      <c r="AA15" s="1">
        <v>2</v>
      </c>
      <c r="AB15" s="1">
        <v>2</v>
      </c>
      <c r="AC15" s="1">
        <v>2</v>
      </c>
      <c r="AD15" s="1">
        <v>2</v>
      </c>
      <c r="AE15" s="1">
        <v>2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2</v>
      </c>
      <c r="AO15" s="1">
        <v>2</v>
      </c>
      <c r="AP15" s="1">
        <v>2</v>
      </c>
      <c r="AQ15" s="1">
        <v>2</v>
      </c>
      <c r="AR15" s="1">
        <v>2</v>
      </c>
      <c r="AS15" s="1">
        <v>2</v>
      </c>
      <c r="AT15" s="1">
        <v>2</v>
      </c>
      <c r="AU15" s="1">
        <v>2</v>
      </c>
      <c r="AV15" s="1">
        <v>2</v>
      </c>
      <c r="AW15" s="1">
        <v>3</v>
      </c>
      <c r="AX15" s="1">
        <v>3</v>
      </c>
      <c r="AY15" s="1">
        <v>3</v>
      </c>
      <c r="AZ15" s="1">
        <v>4</v>
      </c>
      <c r="BA15" s="1">
        <v>13</v>
      </c>
      <c r="BB15" s="1">
        <v>15</v>
      </c>
      <c r="BC15" s="1">
        <v>17</v>
      </c>
      <c r="BD15" s="1">
        <v>18.5</v>
      </c>
      <c r="BE15" s="1">
        <v>20</v>
      </c>
      <c r="BF15" s="1">
        <v>24</v>
      </c>
      <c r="BG15" s="1">
        <v>28</v>
      </c>
      <c r="BH15" s="1">
        <v>45</v>
      </c>
      <c r="BI15" s="1">
        <v>59</v>
      </c>
      <c r="BJ15" s="1">
        <v>63</v>
      </c>
      <c r="BK15" s="1">
        <v>90</v>
      </c>
      <c r="BL15" s="1">
        <v>114</v>
      </c>
      <c r="BM15" s="1">
        <v>147</v>
      </c>
      <c r="BN15" s="1">
        <v>199</v>
      </c>
      <c r="BO15" s="1">
        <v>253</v>
      </c>
      <c r="BP15" s="1">
        <v>306</v>
      </c>
      <c r="BQ15" s="1">
        <v>367</v>
      </c>
      <c r="BR15" s="1">
        <v>438</v>
      </c>
      <c r="BS15" s="1">
        <v>495</v>
      </c>
      <c r="BT15" s="1">
        <v>658</v>
      </c>
      <c r="BU15" s="1">
        <v>840</v>
      </c>
      <c r="BV15" s="1">
        <v>1036</v>
      </c>
      <c r="BW15" s="1">
        <v>1264</v>
      </c>
      <c r="BX15" s="1">
        <v>1534</v>
      </c>
      <c r="BY15" s="1">
        <v>1836</v>
      </c>
      <c r="BZ15" s="1">
        <v>2337</v>
      </c>
      <c r="CA15" s="1">
        <v>2777</v>
      </c>
      <c r="CB15" s="1">
        <v>3548</v>
      </c>
      <c r="CC15" s="1">
        <v>4149</v>
      </c>
      <c r="CD15" s="1">
        <v>4731</v>
      </c>
      <c r="CE15" s="1">
        <v>5389</v>
      </c>
      <c r="CF15" s="1">
        <v>6343</v>
      </c>
      <c r="CG15" s="1">
        <v>7497</v>
      </c>
      <c r="CH15" s="1">
        <v>8672</v>
      </c>
      <c r="CI15" s="1">
        <v>10131</v>
      </c>
      <c r="CJ15" s="1">
        <v>11917</v>
      </c>
      <c r="CK15" s="1">
        <v>13584</v>
      </c>
      <c r="CL15" s="1">
        <v>15770</v>
      </c>
      <c r="CM15" s="1">
        <v>18328</v>
      </c>
      <c r="CN15" s="1">
        <v>21102</v>
      </c>
      <c r="CO15" s="1">
        <v>24490</v>
      </c>
      <c r="CP15" s="1">
        <v>27938</v>
      </c>
      <c r="CQ15" s="1">
        <v>32008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5050</v>
      </c>
      <c r="E16" s="2">
        <v>86.319739940000005</v>
      </c>
      <c r="I16" s="1">
        <v>0</v>
      </c>
      <c r="J16" s="1">
        <v>1</v>
      </c>
      <c r="K16" s="1">
        <v>3</v>
      </c>
      <c r="L16" s="1">
        <v>3</v>
      </c>
      <c r="M16" s="1">
        <v>4</v>
      </c>
      <c r="N16" s="1">
        <v>5</v>
      </c>
      <c r="O16" s="1">
        <v>7</v>
      </c>
      <c r="P16" s="1">
        <v>8.5</v>
      </c>
      <c r="Q16" s="1">
        <v>10</v>
      </c>
      <c r="R16" s="1">
        <v>13</v>
      </c>
      <c r="S16" s="1">
        <v>16</v>
      </c>
      <c r="T16" s="1">
        <v>18</v>
      </c>
      <c r="U16" s="1">
        <v>21</v>
      </c>
      <c r="V16" s="1">
        <v>24</v>
      </c>
      <c r="W16" s="1">
        <v>28</v>
      </c>
      <c r="X16" s="1">
        <v>29</v>
      </c>
      <c r="Y16" s="1">
        <v>30</v>
      </c>
      <c r="Z16" s="1">
        <v>33</v>
      </c>
      <c r="AA16" s="1">
        <v>40</v>
      </c>
      <c r="AB16" s="1">
        <v>45</v>
      </c>
      <c r="AC16" s="1">
        <v>47</v>
      </c>
      <c r="AD16" s="1">
        <v>50</v>
      </c>
      <c r="AE16" s="1">
        <v>58</v>
      </c>
      <c r="AF16" s="1">
        <v>67</v>
      </c>
      <c r="AG16" s="1">
        <v>72</v>
      </c>
      <c r="AH16" s="1">
        <v>75</v>
      </c>
      <c r="AI16" s="1">
        <v>77</v>
      </c>
      <c r="AJ16" s="1">
        <v>81</v>
      </c>
      <c r="AK16" s="1">
        <v>84</v>
      </c>
      <c r="AL16" s="1">
        <v>84.5</v>
      </c>
      <c r="AM16" s="1">
        <v>85</v>
      </c>
      <c r="AN16" s="1">
        <v>87</v>
      </c>
      <c r="AO16" s="1">
        <v>89</v>
      </c>
      <c r="AP16" s="1">
        <v>90</v>
      </c>
      <c r="AQ16" s="1">
        <v>91</v>
      </c>
      <c r="AR16" s="1">
        <v>93</v>
      </c>
      <c r="AS16" s="1">
        <v>96</v>
      </c>
      <c r="AT16" s="1">
        <v>99</v>
      </c>
      <c r="AU16" s="1">
        <v>102</v>
      </c>
      <c r="AV16" s="1">
        <v>106</v>
      </c>
      <c r="AW16" s="1">
        <v>108</v>
      </c>
      <c r="AX16" s="1">
        <v>110</v>
      </c>
      <c r="AY16" s="1">
        <v>113.5</v>
      </c>
      <c r="AZ16" s="1">
        <v>117</v>
      </c>
      <c r="BA16" s="1">
        <v>130</v>
      </c>
      <c r="BB16" s="1">
        <v>138</v>
      </c>
      <c r="BC16" s="1">
        <v>150</v>
      </c>
      <c r="BD16" s="1">
        <v>155</v>
      </c>
      <c r="BE16" s="1">
        <v>160</v>
      </c>
      <c r="BF16" s="1">
        <v>178</v>
      </c>
      <c r="BG16" s="1">
        <v>189</v>
      </c>
      <c r="BH16" s="1">
        <v>200</v>
      </c>
      <c r="BI16" s="1">
        <v>212</v>
      </c>
      <c r="BJ16" s="1">
        <v>226</v>
      </c>
      <c r="BK16" s="1">
        <v>243</v>
      </c>
      <c r="BL16" s="1">
        <v>266</v>
      </c>
      <c r="BM16" s="1">
        <v>313</v>
      </c>
      <c r="BN16" s="1">
        <v>345</v>
      </c>
      <c r="BO16" s="1">
        <v>385</v>
      </c>
      <c r="BP16" s="1">
        <v>432</v>
      </c>
      <c r="BQ16" s="1">
        <v>455</v>
      </c>
      <c r="BR16" s="1">
        <v>509</v>
      </c>
      <c r="BS16" s="1">
        <v>558</v>
      </c>
      <c r="BT16" s="1">
        <v>631</v>
      </c>
      <c r="BU16" s="1">
        <v>683</v>
      </c>
      <c r="BV16" s="1">
        <v>732</v>
      </c>
      <c r="BW16" s="1">
        <v>802</v>
      </c>
      <c r="BX16" s="1">
        <v>844</v>
      </c>
      <c r="BY16" s="1">
        <v>879</v>
      </c>
      <c r="BZ16" s="1">
        <v>926</v>
      </c>
      <c r="CA16" s="1">
        <v>1000</v>
      </c>
      <c r="CB16" s="1">
        <v>1049</v>
      </c>
      <c r="CC16" s="1">
        <v>1114</v>
      </c>
      <c r="CD16" s="1">
        <v>1189</v>
      </c>
      <c r="CE16" s="1">
        <v>1309</v>
      </c>
      <c r="CF16" s="1">
        <v>1375</v>
      </c>
      <c r="CG16" s="1">
        <v>1481</v>
      </c>
      <c r="CH16" s="1">
        <v>1623</v>
      </c>
      <c r="CI16" s="1">
        <v>1910</v>
      </c>
      <c r="CJ16" s="1">
        <v>2108</v>
      </c>
      <c r="CK16" s="1">
        <v>2299</v>
      </c>
      <c r="CL16" s="1">
        <v>2532</v>
      </c>
      <c r="CM16" s="1">
        <v>2918</v>
      </c>
      <c r="CN16" s="1">
        <v>3252</v>
      </c>
      <c r="CO16" s="1">
        <v>3699</v>
      </c>
      <c r="CP16" s="1">
        <v>4427</v>
      </c>
      <c r="CQ16" s="1">
        <v>5050</v>
      </c>
    </row>
    <row r="17" spans="1:95" x14ac:dyDescent="0.25">
      <c r="A17" t="s">
        <v>250</v>
      </c>
      <c r="B17" s="1">
        <v>46754778</v>
      </c>
      <c r="C17" s="1">
        <v>498800</v>
      </c>
      <c r="D17" s="1">
        <v>190839</v>
      </c>
      <c r="E17" s="2">
        <v>408.17004841729999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1</v>
      </c>
      <c r="U17" s="1">
        <v>1</v>
      </c>
      <c r="V17" s="1">
        <v>1</v>
      </c>
      <c r="W17" s="1">
        <v>1</v>
      </c>
      <c r="X17" s="1">
        <v>1</v>
      </c>
      <c r="Y17" s="1">
        <v>1</v>
      </c>
      <c r="Z17" s="1">
        <v>1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  <c r="AL17" s="1">
        <v>2</v>
      </c>
      <c r="AM17" s="1">
        <v>2</v>
      </c>
      <c r="AN17" s="1">
        <v>2</v>
      </c>
      <c r="AO17" s="1">
        <v>2</v>
      </c>
      <c r="AP17" s="1">
        <v>2</v>
      </c>
      <c r="AQ17" s="1">
        <v>6</v>
      </c>
      <c r="AR17" s="1">
        <v>13</v>
      </c>
      <c r="AS17" s="1">
        <v>15</v>
      </c>
      <c r="AT17" s="1">
        <v>32</v>
      </c>
      <c r="AU17" s="1">
        <v>45</v>
      </c>
      <c r="AV17" s="1">
        <v>84</v>
      </c>
      <c r="AW17" s="1">
        <v>120</v>
      </c>
      <c r="AX17" s="1">
        <v>165</v>
      </c>
      <c r="AY17" s="1">
        <v>222</v>
      </c>
      <c r="AZ17" s="1">
        <v>259</v>
      </c>
      <c r="BA17" s="1">
        <v>400</v>
      </c>
      <c r="BB17" s="1">
        <v>500</v>
      </c>
      <c r="BC17" s="1">
        <v>673</v>
      </c>
      <c r="BD17" s="1">
        <v>1073</v>
      </c>
      <c r="BE17" s="1">
        <v>1695</v>
      </c>
      <c r="BF17" s="1">
        <v>2277</v>
      </c>
      <c r="BG17" s="1">
        <v>3754.5</v>
      </c>
      <c r="BH17" s="1">
        <v>5232</v>
      </c>
      <c r="BI17" s="1">
        <v>6391</v>
      </c>
      <c r="BJ17" s="1">
        <v>7798</v>
      </c>
      <c r="BK17" s="1">
        <v>9942</v>
      </c>
      <c r="BL17" s="1">
        <v>11748</v>
      </c>
      <c r="BM17" s="1">
        <v>13910</v>
      </c>
      <c r="BN17" s="1">
        <v>17963</v>
      </c>
      <c r="BO17" s="1">
        <v>20410</v>
      </c>
      <c r="BP17" s="1">
        <v>25374</v>
      </c>
      <c r="BQ17" s="1">
        <v>28768</v>
      </c>
      <c r="BR17" s="1">
        <v>35136</v>
      </c>
      <c r="BS17" s="1">
        <v>39885</v>
      </c>
      <c r="BT17" s="1">
        <v>49515</v>
      </c>
      <c r="BU17" s="1">
        <v>57786</v>
      </c>
      <c r="BV17" s="1">
        <v>65719</v>
      </c>
      <c r="BW17" s="1">
        <v>73235</v>
      </c>
      <c r="BX17" s="1">
        <v>80110</v>
      </c>
      <c r="BY17" s="1">
        <v>87956</v>
      </c>
      <c r="BZ17" s="1">
        <v>95923</v>
      </c>
      <c r="CA17" s="1">
        <v>104118</v>
      </c>
      <c r="CB17" s="1">
        <v>112065</v>
      </c>
      <c r="CC17" s="1">
        <v>119199</v>
      </c>
      <c r="CD17" s="1">
        <v>126168</v>
      </c>
      <c r="CE17" s="1">
        <v>131646</v>
      </c>
      <c r="CF17" s="1">
        <v>136675</v>
      </c>
      <c r="CG17" s="1">
        <v>141942</v>
      </c>
      <c r="CH17" s="1">
        <v>148220</v>
      </c>
      <c r="CI17" s="1">
        <v>153222</v>
      </c>
      <c r="CJ17" s="1">
        <v>158273</v>
      </c>
      <c r="CK17" s="1">
        <v>163027</v>
      </c>
      <c r="CL17" s="1">
        <v>166831</v>
      </c>
      <c r="CM17" s="1">
        <v>170099</v>
      </c>
      <c r="CN17" s="1">
        <v>172541</v>
      </c>
      <c r="CO17" s="1">
        <v>177644</v>
      </c>
      <c r="CP17" s="1">
        <v>184948</v>
      </c>
      <c r="CQ17" s="1">
        <v>190839</v>
      </c>
    </row>
    <row r="18" spans="1:95" x14ac:dyDescent="0.25">
      <c r="A18" t="s">
        <v>249</v>
      </c>
      <c r="B18" s="1">
        <v>10099265</v>
      </c>
      <c r="C18" s="1">
        <v>410340</v>
      </c>
      <c r="D18" s="1">
        <v>13216</v>
      </c>
      <c r="E18" s="2">
        <v>130.86100820210001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1</v>
      </c>
      <c r="T18" s="1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1</v>
      </c>
      <c r="AQ18" s="1">
        <v>1</v>
      </c>
      <c r="AR18" s="1">
        <v>2</v>
      </c>
      <c r="AS18" s="1">
        <v>7</v>
      </c>
      <c r="AT18" s="1">
        <v>9.5</v>
      </c>
      <c r="AU18" s="1">
        <v>12</v>
      </c>
      <c r="AV18" s="1">
        <v>14</v>
      </c>
      <c r="AW18" s="1">
        <v>15</v>
      </c>
      <c r="AX18" s="1">
        <v>21</v>
      </c>
      <c r="AY18" s="1">
        <v>35</v>
      </c>
      <c r="AZ18" s="1">
        <v>94</v>
      </c>
      <c r="BA18" s="1">
        <v>101</v>
      </c>
      <c r="BB18" s="1">
        <v>161</v>
      </c>
      <c r="BC18" s="1">
        <v>203</v>
      </c>
      <c r="BD18" s="1">
        <v>248</v>
      </c>
      <c r="BE18" s="1">
        <v>355</v>
      </c>
      <c r="BF18" s="1">
        <v>500</v>
      </c>
      <c r="BG18" s="1">
        <v>599</v>
      </c>
      <c r="BH18" s="1">
        <v>814</v>
      </c>
      <c r="BI18" s="1">
        <v>961</v>
      </c>
      <c r="BJ18" s="1">
        <v>1022</v>
      </c>
      <c r="BK18" s="1">
        <v>1103</v>
      </c>
      <c r="BL18" s="1">
        <v>1190</v>
      </c>
      <c r="BM18" s="1">
        <v>1279</v>
      </c>
      <c r="BN18" s="1">
        <v>1439</v>
      </c>
      <c r="BO18" s="1">
        <v>1639</v>
      </c>
      <c r="BP18" s="1">
        <v>1763</v>
      </c>
      <c r="BQ18" s="1">
        <v>1934</v>
      </c>
      <c r="BR18" s="1">
        <v>2046</v>
      </c>
      <c r="BS18" s="1">
        <v>2286</v>
      </c>
      <c r="BT18" s="1">
        <v>2526</v>
      </c>
      <c r="BU18" s="1">
        <v>2840</v>
      </c>
      <c r="BV18" s="1">
        <v>3069</v>
      </c>
      <c r="BW18" s="1">
        <v>3447</v>
      </c>
      <c r="BX18" s="1">
        <v>3700</v>
      </c>
      <c r="BY18" s="1">
        <v>4028</v>
      </c>
      <c r="BZ18" s="1">
        <v>4435</v>
      </c>
      <c r="CA18" s="1">
        <v>4947</v>
      </c>
      <c r="CB18" s="1">
        <v>5568</v>
      </c>
      <c r="CC18" s="1">
        <v>6131</v>
      </c>
      <c r="CD18" s="1">
        <v>6443</v>
      </c>
      <c r="CE18" s="1">
        <v>6830</v>
      </c>
      <c r="CF18" s="1">
        <v>7206</v>
      </c>
      <c r="CG18" s="1">
        <v>7693</v>
      </c>
      <c r="CH18" s="1">
        <v>8419</v>
      </c>
      <c r="CI18" s="1">
        <v>9141</v>
      </c>
      <c r="CJ18" s="1">
        <v>9685</v>
      </c>
      <c r="CK18" s="1">
        <v>10151</v>
      </c>
      <c r="CL18" s="1">
        <v>10483</v>
      </c>
      <c r="CM18" s="1">
        <v>10948</v>
      </c>
      <c r="CN18" s="1">
        <v>11445</v>
      </c>
      <c r="CO18" s="1">
        <v>11927</v>
      </c>
      <c r="CP18" s="1">
        <v>12540</v>
      </c>
      <c r="CQ18" s="1">
        <v>13216</v>
      </c>
    </row>
    <row r="19" spans="1:95" x14ac:dyDescent="0.25">
      <c r="A19" t="s">
        <v>0</v>
      </c>
      <c r="B19" s="1">
        <v>8654622</v>
      </c>
      <c r="C19" s="1">
        <v>39516</v>
      </c>
      <c r="D19" s="1">
        <v>27078</v>
      </c>
      <c r="E19" s="2">
        <v>312.87328320059999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>
        <v>8</v>
      </c>
      <c r="AT19" s="1">
        <v>13</v>
      </c>
      <c r="AU19" s="1">
        <v>18</v>
      </c>
      <c r="AV19" s="1">
        <v>27</v>
      </c>
      <c r="AW19" s="1">
        <v>42</v>
      </c>
      <c r="AX19" s="1">
        <v>56</v>
      </c>
      <c r="AY19" s="1">
        <v>90</v>
      </c>
      <c r="AZ19" s="1">
        <v>114</v>
      </c>
      <c r="BA19" s="1">
        <v>214</v>
      </c>
      <c r="BB19" s="1">
        <v>268</v>
      </c>
      <c r="BC19" s="1">
        <v>337</v>
      </c>
      <c r="BD19" s="1">
        <v>374</v>
      </c>
      <c r="BE19" s="1">
        <v>491</v>
      </c>
      <c r="BF19" s="1">
        <v>652</v>
      </c>
      <c r="BG19" s="1">
        <v>895.5</v>
      </c>
      <c r="BH19" s="1">
        <v>1139</v>
      </c>
      <c r="BI19" s="1">
        <v>1359</v>
      </c>
      <c r="BJ19" s="1">
        <v>2200</v>
      </c>
      <c r="BK19" s="1">
        <v>2450</v>
      </c>
      <c r="BL19" s="1">
        <v>2700</v>
      </c>
      <c r="BM19" s="1">
        <v>3028</v>
      </c>
      <c r="BN19" s="1">
        <v>4075</v>
      </c>
      <c r="BO19" s="1">
        <v>5294</v>
      </c>
      <c r="BP19" s="1">
        <v>6575</v>
      </c>
      <c r="BQ19" s="1">
        <v>7474</v>
      </c>
      <c r="BR19" s="1">
        <v>8795</v>
      </c>
      <c r="BS19" s="1">
        <v>9877</v>
      </c>
      <c r="BT19" s="1">
        <v>10897</v>
      </c>
      <c r="BU19" s="1">
        <v>11811</v>
      </c>
      <c r="BV19" s="1">
        <v>12928</v>
      </c>
      <c r="BW19" s="1">
        <v>14076</v>
      </c>
      <c r="BX19" s="1">
        <v>14829</v>
      </c>
      <c r="BY19" s="1">
        <v>15922</v>
      </c>
      <c r="BZ19" s="1">
        <v>16605</v>
      </c>
      <c r="CA19" s="1">
        <v>17768</v>
      </c>
      <c r="CB19" s="1">
        <v>18827</v>
      </c>
      <c r="CC19" s="1">
        <v>19606</v>
      </c>
      <c r="CD19" s="1">
        <v>20505</v>
      </c>
      <c r="CE19" s="1">
        <v>21100</v>
      </c>
      <c r="CF19" s="1">
        <v>21657</v>
      </c>
      <c r="CG19" s="1">
        <v>22253</v>
      </c>
      <c r="CH19" s="1">
        <v>23280</v>
      </c>
      <c r="CI19" s="1">
        <v>24051</v>
      </c>
      <c r="CJ19" s="1">
        <v>24551</v>
      </c>
      <c r="CK19" s="1">
        <v>25107</v>
      </c>
      <c r="CL19" s="1">
        <v>25415</v>
      </c>
      <c r="CM19" s="1">
        <v>25688</v>
      </c>
      <c r="CN19" s="1">
        <v>25936</v>
      </c>
      <c r="CO19" s="1">
        <v>26336</v>
      </c>
      <c r="CP19" s="1">
        <v>26732</v>
      </c>
      <c r="CQ19" s="1">
        <v>27078</v>
      </c>
    </row>
    <row r="20" spans="1:95" x14ac:dyDescent="0.25">
      <c r="A20" t="s">
        <v>248</v>
      </c>
      <c r="B20" s="1">
        <v>331002651</v>
      </c>
      <c r="C20" s="1">
        <v>9147420</v>
      </c>
      <c r="D20" s="1">
        <v>699706</v>
      </c>
      <c r="E20" s="2">
        <v>211.38984775079999</v>
      </c>
      <c r="I20" s="1">
        <v>1</v>
      </c>
      <c r="J20" s="1">
        <v>1</v>
      </c>
      <c r="K20" s="1">
        <v>2</v>
      </c>
      <c r="L20" s="1">
        <v>2</v>
      </c>
      <c r="M20" s="1">
        <v>5</v>
      </c>
      <c r="N20" s="1">
        <v>5.4</v>
      </c>
      <c r="O20" s="1">
        <v>5.8</v>
      </c>
      <c r="P20" s="1">
        <v>6.2</v>
      </c>
      <c r="Q20" s="1">
        <v>6.6</v>
      </c>
      <c r="R20" s="1">
        <v>7</v>
      </c>
      <c r="S20" s="1">
        <v>8</v>
      </c>
      <c r="T20" s="1">
        <v>9.5</v>
      </c>
      <c r="U20" s="1">
        <v>11</v>
      </c>
      <c r="V20" s="1">
        <v>11.125</v>
      </c>
      <c r="W20" s="1">
        <v>11.25</v>
      </c>
      <c r="X20" s="1">
        <v>11.375</v>
      </c>
      <c r="Y20" s="1">
        <v>11.5</v>
      </c>
      <c r="Z20" s="1">
        <v>11.625</v>
      </c>
      <c r="AA20" s="1">
        <v>11.75</v>
      </c>
      <c r="AB20" s="1">
        <v>11.875</v>
      </c>
      <c r="AC20" s="1">
        <v>12</v>
      </c>
      <c r="AD20" s="1">
        <v>12.5</v>
      </c>
      <c r="AE20" s="1">
        <v>13</v>
      </c>
      <c r="AF20" s="1">
        <v>13.25</v>
      </c>
      <c r="AG20" s="1">
        <v>13.5</v>
      </c>
      <c r="AH20" s="1">
        <v>13.75</v>
      </c>
      <c r="AI20" s="1">
        <v>14</v>
      </c>
      <c r="AJ20" s="1">
        <v>14.25</v>
      </c>
      <c r="AK20" s="1">
        <v>14.5</v>
      </c>
      <c r="AL20" s="1">
        <v>14.75</v>
      </c>
      <c r="AM20" s="1">
        <v>15</v>
      </c>
      <c r="AN20" s="1">
        <v>27</v>
      </c>
      <c r="AO20" s="1">
        <v>39</v>
      </c>
      <c r="AP20" s="1">
        <v>51</v>
      </c>
      <c r="AQ20" s="1">
        <v>54</v>
      </c>
      <c r="AR20" s="1">
        <v>57</v>
      </c>
      <c r="AS20" s="1">
        <v>58</v>
      </c>
      <c r="AT20" s="1">
        <v>60</v>
      </c>
      <c r="AU20" s="1">
        <v>68</v>
      </c>
      <c r="AV20" s="1">
        <v>74</v>
      </c>
      <c r="AW20" s="1">
        <v>98</v>
      </c>
      <c r="AX20" s="1">
        <v>118</v>
      </c>
      <c r="AY20" s="1">
        <v>149</v>
      </c>
      <c r="AZ20" s="1">
        <v>217</v>
      </c>
      <c r="BA20" s="1">
        <v>262</v>
      </c>
      <c r="BB20" s="1">
        <v>402</v>
      </c>
      <c r="BC20" s="1">
        <v>518</v>
      </c>
      <c r="BD20" s="1">
        <v>583</v>
      </c>
      <c r="BE20" s="1">
        <v>959</v>
      </c>
      <c r="BF20" s="1">
        <v>1281</v>
      </c>
      <c r="BG20" s="1">
        <v>1663</v>
      </c>
      <c r="BH20" s="1">
        <v>2179</v>
      </c>
      <c r="BI20" s="1">
        <v>2727</v>
      </c>
      <c r="BJ20" s="1">
        <v>3499</v>
      </c>
      <c r="BK20" s="1">
        <v>4632</v>
      </c>
      <c r="BL20" s="1">
        <v>6421</v>
      </c>
      <c r="BM20" s="1">
        <v>7783</v>
      </c>
      <c r="BN20" s="1">
        <v>13747</v>
      </c>
      <c r="BO20" s="1">
        <v>19273</v>
      </c>
      <c r="BP20" s="1">
        <v>25600</v>
      </c>
      <c r="BQ20" s="1">
        <v>33276</v>
      </c>
      <c r="BR20" s="1">
        <v>43843</v>
      </c>
      <c r="BS20" s="1">
        <v>53736</v>
      </c>
      <c r="BT20" s="1">
        <v>65778</v>
      </c>
      <c r="BU20" s="1">
        <v>83836</v>
      </c>
      <c r="BV20" s="1">
        <v>101657</v>
      </c>
      <c r="BW20" s="1">
        <v>121465</v>
      </c>
      <c r="BX20" s="1">
        <v>140909</v>
      </c>
      <c r="BY20" s="1">
        <v>161831</v>
      </c>
      <c r="BZ20" s="1">
        <v>188172</v>
      </c>
      <c r="CA20" s="1">
        <v>213372</v>
      </c>
      <c r="CB20" s="1">
        <v>243762</v>
      </c>
      <c r="CC20" s="1">
        <v>275586</v>
      </c>
      <c r="CD20" s="1">
        <v>308853</v>
      </c>
      <c r="CE20" s="1">
        <v>337072</v>
      </c>
      <c r="CF20" s="1">
        <v>366667</v>
      </c>
      <c r="CG20" s="1">
        <v>396223</v>
      </c>
      <c r="CH20" s="1">
        <v>429052</v>
      </c>
      <c r="CI20" s="1">
        <v>461437</v>
      </c>
      <c r="CJ20" s="1">
        <v>496535</v>
      </c>
      <c r="CK20" s="1">
        <v>526396</v>
      </c>
      <c r="CL20" s="1">
        <v>555313</v>
      </c>
      <c r="CM20" s="1">
        <v>580619</v>
      </c>
      <c r="CN20" s="1">
        <v>607670</v>
      </c>
      <c r="CO20" s="1">
        <v>636350</v>
      </c>
      <c r="CP20" s="1">
        <v>667801</v>
      </c>
      <c r="CQ20" s="1">
        <v>699706</v>
      </c>
    </row>
    <row r="21" spans="1:95" x14ac:dyDescent="0.25">
      <c r="A21" t="s">
        <v>247</v>
      </c>
      <c r="B21" s="1">
        <v>67886011</v>
      </c>
      <c r="C21" s="1">
        <v>241930</v>
      </c>
      <c r="D21" s="1">
        <v>108692</v>
      </c>
      <c r="E21" s="2">
        <v>160.1095695548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3</v>
      </c>
      <c r="Z21" s="1">
        <v>3</v>
      </c>
      <c r="AA21" s="1">
        <v>3</v>
      </c>
      <c r="AB21" s="1">
        <v>8</v>
      </c>
      <c r="AC21" s="1">
        <v>8.5</v>
      </c>
      <c r="AD21" s="1">
        <v>9</v>
      </c>
      <c r="AE21" s="1">
        <v>9.3333333333000006</v>
      </c>
      <c r="AF21" s="1">
        <v>9.6666666666999994</v>
      </c>
      <c r="AG21" s="1">
        <v>10</v>
      </c>
      <c r="AH21" s="1">
        <v>10.333333333300001</v>
      </c>
      <c r="AI21" s="1">
        <v>10.666666666699999</v>
      </c>
      <c r="AJ21" s="1">
        <v>11</v>
      </c>
      <c r="AK21" s="1">
        <v>11.333333333300001</v>
      </c>
      <c r="AL21" s="1">
        <v>11.666666666699999</v>
      </c>
      <c r="AM21" s="1">
        <v>12</v>
      </c>
      <c r="AN21" s="1">
        <v>12.333333333300001</v>
      </c>
      <c r="AO21" s="1">
        <v>12.666666666699999</v>
      </c>
      <c r="AP21" s="1">
        <v>13</v>
      </c>
      <c r="AQ21" s="1">
        <v>13.666666666699999</v>
      </c>
      <c r="AR21" s="1">
        <v>14.333333333300001</v>
      </c>
      <c r="AS21" s="1">
        <v>15</v>
      </c>
      <c r="AT21" s="1">
        <v>20</v>
      </c>
      <c r="AU21" s="1">
        <v>23</v>
      </c>
      <c r="AV21" s="1">
        <v>36</v>
      </c>
      <c r="AW21" s="1">
        <v>40</v>
      </c>
      <c r="AX21" s="1">
        <v>51</v>
      </c>
      <c r="AY21" s="1">
        <v>85</v>
      </c>
      <c r="AZ21" s="1">
        <v>115</v>
      </c>
      <c r="BA21" s="1">
        <v>163</v>
      </c>
      <c r="BB21" s="1">
        <v>206</v>
      </c>
      <c r="BC21" s="1">
        <v>273</v>
      </c>
      <c r="BD21" s="1">
        <v>321</v>
      </c>
      <c r="BE21" s="1">
        <v>382</v>
      </c>
      <c r="BF21" s="1">
        <v>456</v>
      </c>
      <c r="BG21" s="1">
        <v>627</v>
      </c>
      <c r="BH21" s="1">
        <v>798</v>
      </c>
      <c r="BI21" s="1">
        <v>1140</v>
      </c>
      <c r="BJ21" s="1">
        <v>1341.5</v>
      </c>
      <c r="BK21" s="1">
        <v>1543</v>
      </c>
      <c r="BL21" s="1">
        <v>1950</v>
      </c>
      <c r="BM21" s="1">
        <v>2626</v>
      </c>
      <c r="BN21" s="1">
        <v>2689</v>
      </c>
      <c r="BO21" s="1">
        <v>3983</v>
      </c>
      <c r="BP21" s="1">
        <v>5018</v>
      </c>
      <c r="BQ21" s="1">
        <v>5683</v>
      </c>
      <c r="BR21" s="1">
        <v>6650</v>
      </c>
      <c r="BS21" s="1">
        <v>8077</v>
      </c>
      <c r="BT21" s="1">
        <v>9529</v>
      </c>
      <c r="BU21" s="1">
        <v>11658</v>
      </c>
      <c r="BV21" s="1">
        <v>14543</v>
      </c>
      <c r="BW21" s="1">
        <v>17089</v>
      </c>
      <c r="BX21" s="1">
        <v>19522</v>
      </c>
      <c r="BY21" s="1">
        <v>22141</v>
      </c>
      <c r="BZ21" s="1">
        <v>25150</v>
      </c>
      <c r="CA21" s="1">
        <v>29474</v>
      </c>
      <c r="CB21" s="1">
        <v>33718</v>
      </c>
      <c r="CC21" s="1">
        <v>38168</v>
      </c>
      <c r="CD21" s="1">
        <v>41903</v>
      </c>
      <c r="CE21" s="1">
        <v>47806</v>
      </c>
      <c r="CF21" s="1">
        <v>51608</v>
      </c>
      <c r="CG21" s="1">
        <v>55242</v>
      </c>
      <c r="CH21" s="1">
        <v>60733</v>
      </c>
      <c r="CI21" s="1">
        <v>65077</v>
      </c>
      <c r="CJ21" s="1">
        <v>73758</v>
      </c>
      <c r="CK21" s="1">
        <v>78991</v>
      </c>
      <c r="CL21" s="1">
        <v>84279</v>
      </c>
      <c r="CM21" s="1">
        <v>88621</v>
      </c>
      <c r="CN21" s="1">
        <v>93873</v>
      </c>
      <c r="CO21" s="1">
        <v>98476</v>
      </c>
      <c r="CP21" s="1">
        <v>103093</v>
      </c>
      <c r="CQ21" s="1">
        <v>108692</v>
      </c>
    </row>
  </sheetData>
  <autoFilter ref="A1:CQ21" xr:uid="{D3FC56F4-A919-4B01-A34B-76F7D70646FA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4B7B-DA06-49E0-9B5D-34DC6A4E7694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</row>
    <row r="2" spans="1:95" x14ac:dyDescent="0.25">
      <c r="A2" t="s">
        <v>265</v>
      </c>
      <c r="B2" s="1">
        <v>9006398</v>
      </c>
      <c r="C2" s="1">
        <v>82409</v>
      </c>
      <c r="D2" s="1">
        <v>14595</v>
      </c>
      <c r="E2" s="2">
        <v>162.05146608000001</v>
      </c>
      <c r="F2" s="3">
        <v>0.14639782779999999</v>
      </c>
      <c r="I2" s="1">
        <v>41</v>
      </c>
      <c r="J2" s="1">
        <v>55</v>
      </c>
      <c r="K2" s="1">
        <v>79</v>
      </c>
      <c r="L2" s="1">
        <v>104</v>
      </c>
      <c r="M2" s="1">
        <v>131</v>
      </c>
      <c r="N2" s="1">
        <v>182</v>
      </c>
      <c r="O2" s="1">
        <v>246</v>
      </c>
      <c r="P2" s="1">
        <v>302</v>
      </c>
      <c r="Q2" s="1">
        <v>504</v>
      </c>
      <c r="R2" s="1">
        <v>655</v>
      </c>
      <c r="S2" s="1">
        <v>860</v>
      </c>
      <c r="T2" s="1">
        <v>1018</v>
      </c>
      <c r="U2" s="1">
        <v>1332</v>
      </c>
      <c r="V2" s="1">
        <v>1646</v>
      </c>
      <c r="W2" s="1">
        <v>2013</v>
      </c>
      <c r="X2" s="1">
        <v>2388</v>
      </c>
      <c r="Y2" s="1">
        <v>2814</v>
      </c>
      <c r="Z2" s="1">
        <v>3582</v>
      </c>
      <c r="AA2" s="1">
        <v>4474</v>
      </c>
      <c r="AB2" s="1">
        <v>5283</v>
      </c>
      <c r="AC2" s="1">
        <v>5588</v>
      </c>
      <c r="AD2" s="1">
        <v>6909</v>
      </c>
      <c r="AE2" s="1">
        <v>7657</v>
      </c>
      <c r="AF2" s="1">
        <v>8271</v>
      </c>
      <c r="AG2" s="1">
        <v>8788</v>
      </c>
      <c r="AH2" s="1">
        <v>9618</v>
      </c>
      <c r="AI2" s="1">
        <v>10180</v>
      </c>
      <c r="AJ2" s="1">
        <v>10711</v>
      </c>
      <c r="AK2" s="1">
        <v>11129</v>
      </c>
      <c r="AL2" s="1">
        <v>11524</v>
      </c>
      <c r="AM2" s="1">
        <v>11781</v>
      </c>
      <c r="AN2" s="1">
        <v>12051</v>
      </c>
      <c r="AO2" s="1">
        <v>12297</v>
      </c>
      <c r="AP2" s="1">
        <v>12639</v>
      </c>
      <c r="AQ2" s="1">
        <v>12942</v>
      </c>
      <c r="AR2" s="1">
        <v>13244</v>
      </c>
      <c r="AS2" s="1">
        <v>13555</v>
      </c>
      <c r="AT2" s="1">
        <v>13806</v>
      </c>
      <c r="AU2" s="1">
        <v>13945</v>
      </c>
      <c r="AV2" s="1">
        <v>14041</v>
      </c>
      <c r="AW2" s="1">
        <v>14226</v>
      </c>
      <c r="AX2" s="1">
        <v>14336</v>
      </c>
      <c r="AY2" s="1">
        <v>14476</v>
      </c>
      <c r="AZ2" s="1">
        <v>14595</v>
      </c>
    </row>
    <row r="3" spans="1:95" x14ac:dyDescent="0.25">
      <c r="A3" t="s">
        <v>264</v>
      </c>
      <c r="B3" s="1">
        <v>11589623</v>
      </c>
      <c r="C3" s="1">
        <v>30280</v>
      </c>
      <c r="D3" s="1">
        <v>36138</v>
      </c>
      <c r="E3" s="2">
        <v>311.81342136839999</v>
      </c>
      <c r="F3" s="3">
        <v>0.1654354791</v>
      </c>
      <c r="I3" s="1">
        <v>50</v>
      </c>
      <c r="J3" s="1">
        <v>109</v>
      </c>
      <c r="K3" s="1">
        <v>169</v>
      </c>
      <c r="L3" s="1">
        <v>200</v>
      </c>
      <c r="M3" s="1">
        <v>239</v>
      </c>
      <c r="N3" s="1">
        <v>267</v>
      </c>
      <c r="O3" s="1">
        <v>314</v>
      </c>
      <c r="P3" s="1">
        <v>436.5</v>
      </c>
      <c r="Q3" s="1">
        <v>559</v>
      </c>
      <c r="R3" s="1">
        <v>689</v>
      </c>
      <c r="S3" s="1">
        <v>886</v>
      </c>
      <c r="T3" s="1">
        <v>1058</v>
      </c>
      <c r="U3" s="1">
        <v>1243</v>
      </c>
      <c r="V3" s="1">
        <v>1486</v>
      </c>
      <c r="W3" s="1">
        <v>1795</v>
      </c>
      <c r="X3" s="1">
        <v>2257</v>
      </c>
      <c r="Y3" s="1">
        <v>2815</v>
      </c>
      <c r="Z3" s="1">
        <v>3401</v>
      </c>
      <c r="AA3" s="1">
        <v>3743</v>
      </c>
      <c r="AB3" s="1">
        <v>4269</v>
      </c>
      <c r="AC3" s="1">
        <v>4937</v>
      </c>
      <c r="AD3" s="1">
        <v>6235</v>
      </c>
      <c r="AE3" s="1">
        <v>7284</v>
      </c>
      <c r="AF3" s="1">
        <v>9134</v>
      </c>
      <c r="AG3" s="1">
        <v>10836</v>
      </c>
      <c r="AH3" s="1">
        <v>11899</v>
      </c>
      <c r="AI3" s="1">
        <v>12775</v>
      </c>
      <c r="AJ3" s="1">
        <v>13964</v>
      </c>
      <c r="AK3" s="1">
        <v>15348</v>
      </c>
      <c r="AL3" s="1">
        <v>16770</v>
      </c>
      <c r="AM3" s="1">
        <v>18431</v>
      </c>
      <c r="AN3" s="1">
        <v>19691</v>
      </c>
      <c r="AO3" s="1">
        <v>20814</v>
      </c>
      <c r="AP3" s="1">
        <v>22194</v>
      </c>
      <c r="AQ3" s="1">
        <v>23403</v>
      </c>
      <c r="AR3" s="1">
        <v>24983</v>
      </c>
      <c r="AS3" s="1">
        <v>26667</v>
      </c>
      <c r="AT3" s="1">
        <v>28018</v>
      </c>
      <c r="AU3" s="1">
        <v>29647</v>
      </c>
      <c r="AV3" s="1">
        <v>30589</v>
      </c>
      <c r="AW3" s="1">
        <v>31119</v>
      </c>
      <c r="AX3" s="1">
        <v>33573</v>
      </c>
      <c r="AY3" s="1">
        <v>34809</v>
      </c>
      <c r="AZ3" s="1">
        <v>36138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32801</v>
      </c>
      <c r="E4" s="2">
        <v>86.908129302800006</v>
      </c>
      <c r="F4" s="3">
        <v>0.16822939440000001</v>
      </c>
      <c r="I4" s="1">
        <v>30</v>
      </c>
      <c r="J4" s="1">
        <v>33</v>
      </c>
      <c r="K4" s="1">
        <v>37</v>
      </c>
      <c r="L4" s="1">
        <v>49</v>
      </c>
      <c r="M4" s="1">
        <v>54</v>
      </c>
      <c r="N4" s="1">
        <v>64</v>
      </c>
      <c r="O4" s="1">
        <v>77</v>
      </c>
      <c r="P4" s="1">
        <v>79</v>
      </c>
      <c r="Q4" s="1">
        <v>108</v>
      </c>
      <c r="R4" s="1">
        <v>117</v>
      </c>
      <c r="S4" s="1">
        <v>191</v>
      </c>
      <c r="T4" s="1">
        <v>196</v>
      </c>
      <c r="U4" s="1">
        <v>250</v>
      </c>
      <c r="V4" s="1">
        <v>413</v>
      </c>
      <c r="W4" s="1">
        <v>470</v>
      </c>
      <c r="X4" s="1">
        <v>648</v>
      </c>
      <c r="Y4" s="1">
        <v>791</v>
      </c>
      <c r="Z4" s="1">
        <v>933</v>
      </c>
      <c r="AA4" s="1">
        <v>1267</v>
      </c>
      <c r="AB4" s="1">
        <v>1456</v>
      </c>
      <c r="AC4" s="1">
        <v>2075</v>
      </c>
      <c r="AD4" s="1">
        <v>2777</v>
      </c>
      <c r="AE4" s="1">
        <v>3238</v>
      </c>
      <c r="AF4" s="1">
        <v>4029</v>
      </c>
      <c r="AG4" s="1">
        <v>4669</v>
      </c>
      <c r="AH4" s="1">
        <v>5563</v>
      </c>
      <c r="AI4" s="1">
        <v>6267</v>
      </c>
      <c r="AJ4" s="1">
        <v>7385</v>
      </c>
      <c r="AK4" s="1">
        <v>8514</v>
      </c>
      <c r="AL4" s="1">
        <v>9547</v>
      </c>
      <c r="AM4" s="1">
        <v>11271</v>
      </c>
      <c r="AN4" s="1">
        <v>12424</v>
      </c>
      <c r="AO4" s="1">
        <v>12965</v>
      </c>
      <c r="AP4" s="1">
        <v>15743</v>
      </c>
      <c r="AQ4" s="1">
        <v>16550</v>
      </c>
      <c r="AR4" s="1">
        <v>17859</v>
      </c>
      <c r="AS4" s="1">
        <v>19128</v>
      </c>
      <c r="AT4" s="1">
        <v>20641</v>
      </c>
      <c r="AU4" s="1">
        <v>22046</v>
      </c>
      <c r="AV4" s="1">
        <v>23303</v>
      </c>
      <c r="AW4" s="1">
        <v>24286</v>
      </c>
      <c r="AX4" s="1">
        <v>25667</v>
      </c>
      <c r="AY4" s="1">
        <v>27022</v>
      </c>
      <c r="AZ4" s="1">
        <v>28196</v>
      </c>
      <c r="BA4" s="1">
        <v>30796</v>
      </c>
      <c r="BB4" s="1">
        <v>32801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83760</v>
      </c>
      <c r="E5" s="2">
        <v>5.8193994567000003</v>
      </c>
      <c r="F5" s="3">
        <v>6.0225698799999998E-2</v>
      </c>
      <c r="I5" s="1">
        <v>548</v>
      </c>
      <c r="J5" s="1">
        <v>643</v>
      </c>
      <c r="K5" s="1">
        <v>920</v>
      </c>
      <c r="L5" s="1">
        <v>1406</v>
      </c>
      <c r="M5" s="1">
        <v>2075</v>
      </c>
      <c r="N5" s="1">
        <v>2877</v>
      </c>
      <c r="O5" s="1">
        <v>5509</v>
      </c>
      <c r="P5" s="1">
        <v>6087</v>
      </c>
      <c r="Q5" s="1">
        <v>8141</v>
      </c>
      <c r="R5" s="1">
        <v>9802</v>
      </c>
      <c r="S5" s="1">
        <v>11891</v>
      </c>
      <c r="T5" s="1">
        <v>16630</v>
      </c>
      <c r="U5" s="1">
        <v>19716</v>
      </c>
      <c r="V5" s="1">
        <v>23707</v>
      </c>
      <c r="W5" s="1">
        <v>27440</v>
      </c>
      <c r="X5" s="1">
        <v>30587</v>
      </c>
      <c r="Y5" s="1">
        <v>34110</v>
      </c>
      <c r="Z5" s="1">
        <v>36814</v>
      </c>
      <c r="AA5" s="1">
        <v>39829</v>
      </c>
      <c r="AB5" s="1">
        <v>42354</v>
      </c>
      <c r="AC5" s="1">
        <v>44386</v>
      </c>
      <c r="AD5" s="1">
        <v>44759</v>
      </c>
      <c r="AE5" s="1">
        <v>59895</v>
      </c>
      <c r="AF5" s="1">
        <v>66358</v>
      </c>
      <c r="AG5" s="1">
        <v>68413</v>
      </c>
      <c r="AH5" s="1">
        <v>70513</v>
      </c>
      <c r="AI5" s="1">
        <v>72434</v>
      </c>
      <c r="AJ5" s="1">
        <v>74211</v>
      </c>
      <c r="AK5" s="1">
        <v>74619</v>
      </c>
      <c r="AL5" s="1">
        <v>75077</v>
      </c>
      <c r="AM5" s="1">
        <v>75550</v>
      </c>
      <c r="AN5" s="1">
        <v>77001</v>
      </c>
      <c r="AO5" s="1">
        <v>77022</v>
      </c>
      <c r="AP5" s="1">
        <v>77241</v>
      </c>
      <c r="AQ5" s="1">
        <v>77754</v>
      </c>
      <c r="AR5" s="1">
        <v>78166</v>
      </c>
      <c r="AS5" s="1">
        <v>78600</v>
      </c>
      <c r="AT5" s="1">
        <v>78928</v>
      </c>
      <c r="AU5" s="1">
        <v>79356</v>
      </c>
      <c r="AV5" s="1">
        <v>79932</v>
      </c>
      <c r="AW5" s="1">
        <v>80136</v>
      </c>
      <c r="AX5" s="1">
        <v>80261</v>
      </c>
      <c r="AY5" s="1">
        <v>80386</v>
      </c>
      <c r="AZ5" s="1">
        <v>80537</v>
      </c>
      <c r="BA5" s="1">
        <v>80690</v>
      </c>
      <c r="BB5" s="1">
        <v>80770</v>
      </c>
      <c r="BC5" s="1">
        <v>80823</v>
      </c>
      <c r="BD5" s="1">
        <v>80860</v>
      </c>
      <c r="BE5" s="1">
        <v>80887</v>
      </c>
      <c r="BF5" s="1">
        <v>80921</v>
      </c>
      <c r="BG5" s="1">
        <v>80932</v>
      </c>
      <c r="BH5" s="1">
        <v>80945</v>
      </c>
      <c r="BI5" s="1">
        <v>80977</v>
      </c>
      <c r="BJ5" s="1">
        <v>81003</v>
      </c>
      <c r="BK5" s="1">
        <v>81033</v>
      </c>
      <c r="BL5" s="1">
        <v>81058</v>
      </c>
      <c r="BM5" s="1">
        <v>81102</v>
      </c>
      <c r="BN5" s="1">
        <v>81156</v>
      </c>
      <c r="BO5" s="1">
        <v>81250</v>
      </c>
      <c r="BP5" s="1">
        <v>81305</v>
      </c>
      <c r="BQ5" s="1">
        <v>81435</v>
      </c>
      <c r="BR5" s="1">
        <v>81498</v>
      </c>
      <c r="BS5" s="1">
        <v>81591</v>
      </c>
      <c r="BT5" s="1">
        <v>81661</v>
      </c>
      <c r="BU5" s="1">
        <v>81782</v>
      </c>
      <c r="BV5" s="1">
        <v>81897</v>
      </c>
      <c r="BW5" s="1">
        <v>81999</v>
      </c>
      <c r="BX5" s="1">
        <v>82122</v>
      </c>
      <c r="BY5" s="1">
        <v>82198</v>
      </c>
      <c r="BZ5" s="1">
        <v>82279</v>
      </c>
      <c r="CA5" s="1">
        <v>82361</v>
      </c>
      <c r="CB5" s="1">
        <v>82432</v>
      </c>
      <c r="CC5" s="1">
        <v>82511</v>
      </c>
      <c r="CD5" s="1">
        <v>82543</v>
      </c>
      <c r="CE5" s="1">
        <v>82602</v>
      </c>
      <c r="CF5" s="1">
        <v>82665</v>
      </c>
      <c r="CG5" s="1">
        <v>82718</v>
      </c>
      <c r="CH5" s="1">
        <v>82809</v>
      </c>
      <c r="CI5" s="1">
        <v>82883</v>
      </c>
      <c r="CJ5" s="1">
        <v>82941</v>
      </c>
      <c r="CK5" s="1">
        <v>83014</v>
      </c>
      <c r="CL5" s="1">
        <v>83134</v>
      </c>
      <c r="CM5" s="1">
        <v>83213</v>
      </c>
      <c r="CN5" s="1">
        <v>83306</v>
      </c>
      <c r="CO5" s="1">
        <v>83356</v>
      </c>
      <c r="CP5" s="1">
        <v>83403</v>
      </c>
      <c r="CQ5" s="1">
        <v>83760</v>
      </c>
    </row>
    <row r="6" spans="1:95" x14ac:dyDescent="0.25">
      <c r="A6" t="s">
        <v>261</v>
      </c>
      <c r="B6" s="1">
        <v>5540720</v>
      </c>
      <c r="C6" s="1">
        <v>303890</v>
      </c>
      <c r="D6" s="1">
        <v>3489</v>
      </c>
      <c r="E6" s="2">
        <v>62.970155503299999</v>
      </c>
      <c r="F6" s="3">
        <v>0.12970118010000001</v>
      </c>
      <c r="I6" s="1">
        <v>30</v>
      </c>
      <c r="J6" s="1">
        <v>40</v>
      </c>
      <c r="K6" s="1">
        <v>59</v>
      </c>
      <c r="L6" s="1">
        <v>107</v>
      </c>
      <c r="M6" s="1">
        <v>155</v>
      </c>
      <c r="N6" s="1">
        <v>225</v>
      </c>
      <c r="O6" s="1">
        <v>244</v>
      </c>
      <c r="P6" s="1">
        <v>277</v>
      </c>
      <c r="Q6" s="1">
        <v>321</v>
      </c>
      <c r="R6" s="1">
        <v>336</v>
      </c>
      <c r="S6" s="1">
        <v>400</v>
      </c>
      <c r="T6" s="1">
        <v>450</v>
      </c>
      <c r="U6" s="1">
        <v>523</v>
      </c>
      <c r="V6" s="1">
        <v>626</v>
      </c>
      <c r="W6" s="1">
        <v>700</v>
      </c>
      <c r="X6" s="1">
        <v>792</v>
      </c>
      <c r="Y6" s="1">
        <v>880</v>
      </c>
      <c r="Z6" s="1">
        <v>958</v>
      </c>
      <c r="AA6" s="1">
        <v>1041</v>
      </c>
      <c r="AB6" s="1">
        <v>1167</v>
      </c>
      <c r="AC6" s="1">
        <v>1240</v>
      </c>
      <c r="AD6" s="1">
        <v>1352</v>
      </c>
      <c r="AE6" s="1">
        <v>1418</v>
      </c>
      <c r="AF6" s="1">
        <v>1446</v>
      </c>
      <c r="AG6" s="1">
        <v>1518</v>
      </c>
      <c r="AH6" s="1">
        <v>1615</v>
      </c>
      <c r="AI6" s="1">
        <v>1882</v>
      </c>
      <c r="AJ6" s="1">
        <v>1927</v>
      </c>
      <c r="AK6" s="1">
        <v>2176</v>
      </c>
      <c r="AL6" s="1">
        <v>2308</v>
      </c>
      <c r="AM6" s="1">
        <v>2487</v>
      </c>
      <c r="AN6" s="1">
        <v>2605</v>
      </c>
      <c r="AO6" s="1">
        <v>2769</v>
      </c>
      <c r="AP6" s="1">
        <v>2905</v>
      </c>
      <c r="AQ6" s="1">
        <v>2974</v>
      </c>
      <c r="AR6" s="1">
        <v>3064</v>
      </c>
      <c r="AS6" s="1">
        <v>3161</v>
      </c>
      <c r="AT6" s="1">
        <v>3237</v>
      </c>
      <c r="AU6" s="1">
        <v>3369</v>
      </c>
      <c r="AV6" s="1">
        <v>3489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147969</v>
      </c>
      <c r="E7" s="2">
        <v>226.69073217159999</v>
      </c>
      <c r="F7" s="3">
        <v>0.179798237</v>
      </c>
      <c r="I7" s="1">
        <v>38</v>
      </c>
      <c r="J7" s="1">
        <v>57</v>
      </c>
      <c r="K7" s="1">
        <v>100</v>
      </c>
      <c r="L7" s="1">
        <v>130</v>
      </c>
      <c r="M7" s="1">
        <v>191</v>
      </c>
      <c r="N7" s="1">
        <v>204</v>
      </c>
      <c r="O7" s="1">
        <v>285</v>
      </c>
      <c r="P7" s="1">
        <v>377</v>
      </c>
      <c r="Q7" s="1">
        <v>653</v>
      </c>
      <c r="R7" s="1">
        <v>949</v>
      </c>
      <c r="S7" s="1">
        <v>1126</v>
      </c>
      <c r="T7" s="1">
        <v>1209</v>
      </c>
      <c r="U7" s="1">
        <v>1784</v>
      </c>
      <c r="V7" s="1">
        <v>2281</v>
      </c>
      <c r="W7" s="1">
        <v>2971</v>
      </c>
      <c r="X7" s="1">
        <v>3661</v>
      </c>
      <c r="Y7" s="1">
        <v>4469</v>
      </c>
      <c r="Z7" s="1">
        <v>4499</v>
      </c>
      <c r="AA7" s="1">
        <v>6633</v>
      </c>
      <c r="AB7" s="1">
        <v>7652</v>
      </c>
      <c r="AC7" s="1">
        <v>9043</v>
      </c>
      <c r="AD7" s="1">
        <v>10871</v>
      </c>
      <c r="AE7" s="1">
        <v>12612</v>
      </c>
      <c r="AF7" s="1">
        <v>14282</v>
      </c>
      <c r="AG7" s="1">
        <v>16018</v>
      </c>
      <c r="AH7" s="1">
        <v>19856</v>
      </c>
      <c r="AI7" s="1">
        <v>22304</v>
      </c>
      <c r="AJ7" s="1">
        <v>25233</v>
      </c>
      <c r="AK7" s="1">
        <v>29155</v>
      </c>
      <c r="AL7" s="1">
        <v>32964</v>
      </c>
      <c r="AM7" s="1">
        <v>37575</v>
      </c>
      <c r="AN7" s="1">
        <v>40174</v>
      </c>
      <c r="AO7" s="1">
        <v>44550</v>
      </c>
      <c r="AP7" s="1">
        <v>52128</v>
      </c>
      <c r="AQ7" s="1">
        <v>56989</v>
      </c>
      <c r="AR7" s="1">
        <v>59105</v>
      </c>
      <c r="AS7" s="1">
        <v>64338</v>
      </c>
      <c r="AT7" s="1">
        <v>68605</v>
      </c>
      <c r="AU7" s="1">
        <v>70478</v>
      </c>
      <c r="AV7" s="1">
        <v>74390</v>
      </c>
      <c r="AW7" s="1">
        <v>78167</v>
      </c>
      <c r="AX7" s="1">
        <v>82048</v>
      </c>
      <c r="AY7" s="1">
        <v>86334</v>
      </c>
      <c r="AZ7" s="1">
        <v>90676</v>
      </c>
      <c r="BA7" s="1">
        <v>93790</v>
      </c>
      <c r="BB7" s="1">
        <v>120633</v>
      </c>
      <c r="BC7" s="1">
        <v>124298</v>
      </c>
      <c r="BD7" s="1">
        <v>130253</v>
      </c>
      <c r="BE7" s="1">
        <v>133470</v>
      </c>
      <c r="BF7" s="1">
        <v>145960</v>
      </c>
      <c r="BG7" s="1">
        <v>147969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141397</v>
      </c>
      <c r="E8" s="2">
        <v>168.7638425989</v>
      </c>
      <c r="F8" s="3">
        <v>0.1742312855</v>
      </c>
      <c r="I8" s="1">
        <v>46</v>
      </c>
      <c r="J8" s="1">
        <v>48</v>
      </c>
      <c r="K8" s="1">
        <v>79</v>
      </c>
      <c r="L8" s="1">
        <v>130</v>
      </c>
      <c r="M8" s="1">
        <v>159</v>
      </c>
      <c r="N8" s="1">
        <v>196</v>
      </c>
      <c r="O8" s="1">
        <v>262</v>
      </c>
      <c r="P8" s="1">
        <v>482</v>
      </c>
      <c r="Q8" s="1">
        <v>670</v>
      </c>
      <c r="R8" s="1">
        <v>799</v>
      </c>
      <c r="S8" s="1">
        <v>1040</v>
      </c>
      <c r="T8" s="1">
        <v>1176</v>
      </c>
      <c r="U8" s="1">
        <v>1457</v>
      </c>
      <c r="V8" s="1">
        <v>1908</v>
      </c>
      <c r="W8" s="1">
        <v>2078</v>
      </c>
      <c r="X8" s="1">
        <v>3675</v>
      </c>
      <c r="Y8" s="1">
        <v>4585</v>
      </c>
      <c r="Z8" s="1">
        <v>5795</v>
      </c>
      <c r="AA8" s="1">
        <v>7272</v>
      </c>
      <c r="AB8" s="1">
        <v>9257</v>
      </c>
      <c r="AC8" s="1">
        <v>12327</v>
      </c>
      <c r="AD8" s="1">
        <v>15320</v>
      </c>
      <c r="AE8" s="1">
        <v>19848</v>
      </c>
      <c r="AF8" s="1">
        <v>22213</v>
      </c>
      <c r="AG8" s="1">
        <v>24873</v>
      </c>
      <c r="AH8" s="1">
        <v>29056</v>
      </c>
      <c r="AI8" s="1">
        <v>32986</v>
      </c>
      <c r="AJ8" s="1">
        <v>37323</v>
      </c>
      <c r="AK8" s="1">
        <v>43938</v>
      </c>
      <c r="AL8" s="1">
        <v>50871</v>
      </c>
      <c r="AM8" s="1">
        <v>57695</v>
      </c>
      <c r="AN8" s="1">
        <v>62095</v>
      </c>
      <c r="AO8" s="1">
        <v>66885</v>
      </c>
      <c r="AP8" s="1">
        <v>71808</v>
      </c>
      <c r="AQ8" s="1">
        <v>77872</v>
      </c>
      <c r="AR8" s="1">
        <v>84794</v>
      </c>
      <c r="AS8" s="1">
        <v>91159</v>
      </c>
      <c r="AT8" s="1">
        <v>96092</v>
      </c>
      <c r="AU8" s="1">
        <v>100123</v>
      </c>
      <c r="AV8" s="1">
        <v>103374</v>
      </c>
      <c r="AW8" s="1">
        <v>107663</v>
      </c>
      <c r="AX8" s="1">
        <v>113296</v>
      </c>
      <c r="AY8" s="1">
        <v>118181</v>
      </c>
      <c r="AZ8" s="1">
        <v>122171</v>
      </c>
      <c r="BA8" s="1">
        <v>124908</v>
      </c>
      <c r="BB8" s="1">
        <v>127854</v>
      </c>
      <c r="BC8" s="1">
        <v>130072</v>
      </c>
      <c r="BD8" s="1">
        <v>131359</v>
      </c>
      <c r="BE8" s="1">
        <v>134753</v>
      </c>
      <c r="BF8" s="1">
        <v>137698</v>
      </c>
      <c r="BG8" s="1">
        <v>141397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14352</v>
      </c>
      <c r="E9" s="2">
        <v>1.0399966953999999</v>
      </c>
      <c r="F9" s="3">
        <v>0.1543053935</v>
      </c>
      <c r="I9" s="1">
        <v>30</v>
      </c>
      <c r="J9" s="1">
        <v>31</v>
      </c>
      <c r="K9" s="1">
        <v>34</v>
      </c>
      <c r="L9" s="1">
        <v>39</v>
      </c>
      <c r="M9" s="1">
        <v>43</v>
      </c>
      <c r="N9" s="1">
        <v>56</v>
      </c>
      <c r="O9" s="1">
        <v>62</v>
      </c>
      <c r="P9" s="1">
        <v>73</v>
      </c>
      <c r="Q9" s="1">
        <v>82</v>
      </c>
      <c r="R9" s="1">
        <v>102</v>
      </c>
      <c r="S9" s="1">
        <v>113</v>
      </c>
      <c r="T9" s="1">
        <v>119</v>
      </c>
      <c r="U9" s="1">
        <v>142</v>
      </c>
      <c r="V9" s="1">
        <v>156</v>
      </c>
      <c r="W9" s="1">
        <v>194</v>
      </c>
      <c r="X9" s="1">
        <v>244</v>
      </c>
      <c r="Y9" s="1">
        <v>330</v>
      </c>
      <c r="Z9" s="1">
        <v>396</v>
      </c>
      <c r="AA9" s="1">
        <v>499</v>
      </c>
      <c r="AB9" s="1">
        <v>536</v>
      </c>
      <c r="AC9" s="1">
        <v>657</v>
      </c>
      <c r="AD9" s="1">
        <v>727</v>
      </c>
      <c r="AE9" s="1">
        <v>887</v>
      </c>
      <c r="AF9" s="1">
        <v>987</v>
      </c>
      <c r="AG9" s="1">
        <v>1024</v>
      </c>
      <c r="AH9" s="1">
        <v>1251</v>
      </c>
      <c r="AI9" s="1">
        <v>1397</v>
      </c>
      <c r="AJ9" s="1">
        <v>1998</v>
      </c>
      <c r="AK9" s="1">
        <v>2543</v>
      </c>
      <c r="AL9" s="1">
        <v>2567</v>
      </c>
      <c r="AM9" s="1">
        <v>3082</v>
      </c>
      <c r="AN9" s="1">
        <v>3588</v>
      </c>
      <c r="AO9" s="1">
        <v>4778</v>
      </c>
      <c r="AP9" s="1">
        <v>5311</v>
      </c>
      <c r="AQ9" s="1">
        <v>5916</v>
      </c>
      <c r="AR9" s="1">
        <v>6725</v>
      </c>
      <c r="AS9" s="1">
        <v>7598</v>
      </c>
      <c r="AT9" s="1">
        <v>8446</v>
      </c>
      <c r="AU9" s="1">
        <v>9205</v>
      </c>
      <c r="AV9" s="1">
        <v>10453</v>
      </c>
      <c r="AW9" s="1">
        <v>11487</v>
      </c>
      <c r="AX9" s="1">
        <v>12322</v>
      </c>
      <c r="AY9" s="1">
        <v>13430</v>
      </c>
      <c r="AZ9" s="1">
        <v>14352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79494</v>
      </c>
      <c r="E10" s="2">
        <v>94.643658719499996</v>
      </c>
      <c r="F10" s="3">
        <v>0.1494696704</v>
      </c>
      <c r="I10" s="1">
        <v>43</v>
      </c>
      <c r="J10" s="1">
        <v>61</v>
      </c>
      <c r="K10" s="1">
        <v>95</v>
      </c>
      <c r="L10" s="1">
        <v>139</v>
      </c>
      <c r="M10" s="1">
        <v>245</v>
      </c>
      <c r="N10" s="1">
        <v>388</v>
      </c>
      <c r="O10" s="1">
        <v>593</v>
      </c>
      <c r="P10" s="1">
        <v>978</v>
      </c>
      <c r="Q10" s="1">
        <v>1501</v>
      </c>
      <c r="R10" s="1">
        <v>2336</v>
      </c>
      <c r="S10" s="1">
        <v>2922</v>
      </c>
      <c r="T10" s="1">
        <v>3513</v>
      </c>
      <c r="U10" s="1">
        <v>4747</v>
      </c>
      <c r="V10" s="1">
        <v>5823</v>
      </c>
      <c r="W10" s="1">
        <v>6566</v>
      </c>
      <c r="X10" s="1">
        <v>7161</v>
      </c>
      <c r="Y10" s="1">
        <v>8042</v>
      </c>
      <c r="Z10" s="1">
        <v>9000</v>
      </c>
      <c r="AA10" s="1">
        <v>10075</v>
      </c>
      <c r="AB10" s="1">
        <v>11364</v>
      </c>
      <c r="AC10" s="1">
        <v>12729</v>
      </c>
      <c r="AD10" s="1">
        <v>13938</v>
      </c>
      <c r="AE10" s="1">
        <v>14991</v>
      </c>
      <c r="AF10" s="1">
        <v>16169</v>
      </c>
      <c r="AG10" s="1">
        <v>17361</v>
      </c>
      <c r="AH10" s="1">
        <v>18407</v>
      </c>
      <c r="AI10" s="1">
        <v>19644</v>
      </c>
      <c r="AJ10" s="1">
        <v>20610</v>
      </c>
      <c r="AK10" s="1">
        <v>21638</v>
      </c>
      <c r="AL10" s="1">
        <v>23049</v>
      </c>
      <c r="AM10" s="1">
        <v>24811</v>
      </c>
      <c r="AN10" s="1">
        <v>27017</v>
      </c>
      <c r="AO10" s="1">
        <v>29406</v>
      </c>
      <c r="AP10" s="1">
        <v>32332</v>
      </c>
      <c r="AQ10" s="1">
        <v>35408</v>
      </c>
      <c r="AR10" s="1">
        <v>38309</v>
      </c>
      <c r="AS10" s="1">
        <v>41495</v>
      </c>
      <c r="AT10" s="1">
        <v>44605</v>
      </c>
      <c r="AU10" s="1">
        <v>47593</v>
      </c>
      <c r="AV10" s="1">
        <v>50468</v>
      </c>
      <c r="AW10" s="1">
        <v>53183</v>
      </c>
      <c r="AX10" s="1">
        <v>55743</v>
      </c>
      <c r="AY10" s="1">
        <v>58226</v>
      </c>
      <c r="AZ10" s="1">
        <v>60500</v>
      </c>
      <c r="BA10" s="1">
        <v>62589</v>
      </c>
      <c r="BB10" s="1">
        <v>64586</v>
      </c>
      <c r="BC10" s="1">
        <v>66220</v>
      </c>
      <c r="BD10" s="1">
        <v>68192</v>
      </c>
      <c r="BE10" s="1">
        <v>70029</v>
      </c>
      <c r="BF10" s="1">
        <v>71686</v>
      </c>
      <c r="BG10" s="1">
        <v>73303</v>
      </c>
      <c r="BH10" s="1">
        <v>74877</v>
      </c>
      <c r="BI10" s="1">
        <v>76389</v>
      </c>
      <c r="BJ10" s="1">
        <v>77995</v>
      </c>
      <c r="BK10" s="1">
        <v>79494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172434</v>
      </c>
      <c r="E11" s="2">
        <v>285.19482689789999</v>
      </c>
      <c r="F11" s="3">
        <v>0.15510745209999999</v>
      </c>
      <c r="I11" s="1">
        <v>62</v>
      </c>
      <c r="J11" s="1">
        <v>155</v>
      </c>
      <c r="K11" s="1">
        <v>229</v>
      </c>
      <c r="L11" s="1">
        <v>322</v>
      </c>
      <c r="M11" s="1">
        <v>453</v>
      </c>
      <c r="N11" s="1">
        <v>655</v>
      </c>
      <c r="O11" s="1">
        <v>888</v>
      </c>
      <c r="P11" s="1">
        <v>1128</v>
      </c>
      <c r="Q11" s="1">
        <v>1694</v>
      </c>
      <c r="R11" s="1">
        <v>2036</v>
      </c>
      <c r="S11" s="1">
        <v>2502</v>
      </c>
      <c r="T11" s="1">
        <v>3089</v>
      </c>
      <c r="U11" s="1">
        <v>3858</v>
      </c>
      <c r="V11" s="1">
        <v>4636</v>
      </c>
      <c r="W11" s="1">
        <v>5883</v>
      </c>
      <c r="X11" s="1">
        <v>7375</v>
      </c>
      <c r="Y11" s="1">
        <v>9172</v>
      </c>
      <c r="Z11" s="1">
        <v>10149</v>
      </c>
      <c r="AA11" s="1">
        <v>12462</v>
      </c>
      <c r="AB11" s="1">
        <v>15061</v>
      </c>
      <c r="AC11" s="1">
        <v>17660</v>
      </c>
      <c r="AD11" s="1">
        <v>21157</v>
      </c>
      <c r="AE11" s="1">
        <v>24747</v>
      </c>
      <c r="AF11" s="1">
        <v>27980</v>
      </c>
      <c r="AG11" s="1">
        <v>31506</v>
      </c>
      <c r="AH11" s="1">
        <v>35713</v>
      </c>
      <c r="AI11" s="1">
        <v>41035</v>
      </c>
      <c r="AJ11" s="1">
        <v>47021</v>
      </c>
      <c r="AK11" s="1">
        <v>53578</v>
      </c>
      <c r="AL11" s="1">
        <v>59138</v>
      </c>
      <c r="AM11" s="1">
        <v>63927</v>
      </c>
      <c r="AN11" s="1">
        <v>69176</v>
      </c>
      <c r="AO11" s="1">
        <v>74386</v>
      </c>
      <c r="AP11" s="1">
        <v>80589</v>
      </c>
      <c r="AQ11" s="1">
        <v>86498</v>
      </c>
      <c r="AR11" s="1">
        <v>92472</v>
      </c>
      <c r="AS11" s="1">
        <v>97689</v>
      </c>
      <c r="AT11" s="1">
        <v>101739</v>
      </c>
      <c r="AU11" s="1">
        <v>105792</v>
      </c>
      <c r="AV11" s="1">
        <v>110574</v>
      </c>
      <c r="AW11" s="1">
        <v>115242</v>
      </c>
      <c r="AX11" s="1">
        <v>119827</v>
      </c>
      <c r="AY11" s="1">
        <v>124632</v>
      </c>
      <c r="AZ11" s="1">
        <v>128948</v>
      </c>
      <c r="BA11" s="1">
        <v>132547</v>
      </c>
      <c r="BB11" s="1">
        <v>135586</v>
      </c>
      <c r="BC11" s="1">
        <v>139422</v>
      </c>
      <c r="BD11" s="1">
        <v>143626</v>
      </c>
      <c r="BE11" s="1">
        <v>147577</v>
      </c>
      <c r="BF11" s="1">
        <v>152271</v>
      </c>
      <c r="BG11" s="1">
        <v>156363</v>
      </c>
      <c r="BH11" s="1">
        <v>159516</v>
      </c>
      <c r="BI11" s="1">
        <v>162488</v>
      </c>
      <c r="BJ11" s="1">
        <v>165155</v>
      </c>
      <c r="BK11" s="1">
        <v>168941</v>
      </c>
      <c r="BL11" s="1">
        <v>172434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9787</v>
      </c>
      <c r="E12" s="2">
        <v>7.7381988100000001</v>
      </c>
      <c r="F12" s="3">
        <v>9.1488213999999998E-2</v>
      </c>
      <c r="I12" s="1">
        <v>43</v>
      </c>
      <c r="J12" s="1">
        <v>59</v>
      </c>
      <c r="K12" s="1">
        <v>66</v>
      </c>
      <c r="L12" s="1">
        <v>74</v>
      </c>
      <c r="M12" s="1">
        <v>84</v>
      </c>
      <c r="N12" s="1">
        <v>94</v>
      </c>
      <c r="O12" s="1">
        <v>105</v>
      </c>
      <c r="P12" s="1">
        <v>122</v>
      </c>
      <c r="Q12" s="1">
        <v>147</v>
      </c>
      <c r="R12" s="1">
        <v>159</v>
      </c>
      <c r="S12" s="1">
        <v>170</v>
      </c>
      <c r="T12" s="1">
        <v>189</v>
      </c>
      <c r="U12" s="1">
        <v>214</v>
      </c>
      <c r="V12" s="1">
        <v>228</v>
      </c>
      <c r="W12" s="1">
        <v>241</v>
      </c>
      <c r="X12" s="1">
        <v>256</v>
      </c>
      <c r="Y12" s="1">
        <v>274</v>
      </c>
      <c r="Z12" s="1">
        <v>293</v>
      </c>
      <c r="AA12" s="1">
        <v>331</v>
      </c>
      <c r="AB12" s="1">
        <v>360</v>
      </c>
      <c r="AC12" s="1">
        <v>420</v>
      </c>
      <c r="AD12" s="1">
        <v>461</v>
      </c>
      <c r="AE12" s="1">
        <v>502</v>
      </c>
      <c r="AF12" s="1">
        <v>511</v>
      </c>
      <c r="AG12" s="1">
        <v>581</v>
      </c>
      <c r="AH12" s="1">
        <v>639</v>
      </c>
      <c r="AI12" s="1">
        <v>670</v>
      </c>
      <c r="AJ12" s="1">
        <v>701</v>
      </c>
      <c r="AK12" s="1">
        <v>773</v>
      </c>
      <c r="AL12" s="1">
        <v>839</v>
      </c>
      <c r="AM12" s="1">
        <v>858.5</v>
      </c>
      <c r="AN12" s="1">
        <v>878</v>
      </c>
      <c r="AO12" s="1">
        <v>889</v>
      </c>
      <c r="AP12" s="1">
        <v>924</v>
      </c>
      <c r="AQ12" s="1">
        <v>963</v>
      </c>
      <c r="AR12" s="1">
        <v>1007</v>
      </c>
      <c r="AS12" s="1">
        <v>1101</v>
      </c>
      <c r="AT12" s="1">
        <v>1128</v>
      </c>
      <c r="AU12" s="1">
        <v>1193</v>
      </c>
      <c r="AV12" s="1">
        <v>1307</v>
      </c>
      <c r="AW12" s="1">
        <v>1387</v>
      </c>
      <c r="AX12" s="1">
        <v>1468</v>
      </c>
      <c r="AY12" s="1">
        <v>1693</v>
      </c>
      <c r="AZ12" s="1">
        <v>1866</v>
      </c>
      <c r="BA12" s="1">
        <v>1909.5</v>
      </c>
      <c r="BB12" s="1">
        <v>1953</v>
      </c>
      <c r="BC12" s="1">
        <v>2178</v>
      </c>
      <c r="BD12" s="1">
        <v>2495</v>
      </c>
      <c r="BE12" s="1">
        <v>2617</v>
      </c>
      <c r="BF12" s="1">
        <v>3139</v>
      </c>
      <c r="BG12" s="1">
        <v>3396.5</v>
      </c>
      <c r="BH12" s="1">
        <v>3654</v>
      </c>
      <c r="BI12" s="1">
        <v>3906</v>
      </c>
      <c r="BJ12" s="1">
        <v>4257</v>
      </c>
      <c r="BK12" s="1">
        <v>4667</v>
      </c>
      <c r="BL12" s="1">
        <v>5530</v>
      </c>
      <c r="BM12" s="1">
        <v>6005</v>
      </c>
      <c r="BN12" s="1">
        <v>6748</v>
      </c>
      <c r="BO12" s="1">
        <v>7370</v>
      </c>
      <c r="BP12" s="1">
        <v>7645</v>
      </c>
      <c r="BQ12" s="1">
        <v>8100</v>
      </c>
      <c r="BR12" s="1">
        <v>8626</v>
      </c>
      <c r="BS12" s="1">
        <v>9787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10635</v>
      </c>
      <c r="E13" s="2">
        <v>20.743454377100001</v>
      </c>
      <c r="F13" s="3">
        <v>0.1027919925</v>
      </c>
      <c r="I13" s="1">
        <v>30</v>
      </c>
      <c r="J13" s="1">
        <v>31</v>
      </c>
      <c r="K13" s="1">
        <v>67.5</v>
      </c>
      <c r="L13" s="1">
        <v>104</v>
      </c>
      <c r="M13" s="1">
        <v>204</v>
      </c>
      <c r="N13" s="1">
        <v>433</v>
      </c>
      <c r="O13" s="1">
        <v>602</v>
      </c>
      <c r="P13" s="1">
        <v>833</v>
      </c>
      <c r="Q13" s="1">
        <v>977</v>
      </c>
      <c r="R13" s="1">
        <v>1261</v>
      </c>
      <c r="S13" s="1">
        <v>1766</v>
      </c>
      <c r="T13" s="1">
        <v>2337</v>
      </c>
      <c r="U13" s="1">
        <v>3150</v>
      </c>
      <c r="V13" s="1">
        <v>3736</v>
      </c>
      <c r="W13" s="1">
        <v>4335</v>
      </c>
      <c r="X13" s="1">
        <v>5186</v>
      </c>
      <c r="Y13" s="1">
        <v>5621</v>
      </c>
      <c r="Z13" s="1">
        <v>6088</v>
      </c>
      <c r="AA13" s="1">
        <v>6593</v>
      </c>
      <c r="AB13" s="1">
        <v>7041</v>
      </c>
      <c r="AC13" s="1">
        <v>7314</v>
      </c>
      <c r="AD13" s="1">
        <v>7478</v>
      </c>
      <c r="AE13" s="1">
        <v>7513</v>
      </c>
      <c r="AF13" s="1">
        <v>7755</v>
      </c>
      <c r="AG13" s="1">
        <v>7869</v>
      </c>
      <c r="AH13" s="1">
        <v>7979</v>
      </c>
      <c r="AI13" s="1">
        <v>8086</v>
      </c>
      <c r="AJ13" s="1">
        <v>8162</v>
      </c>
      <c r="AK13" s="1">
        <v>8236</v>
      </c>
      <c r="AL13" s="1">
        <v>8320</v>
      </c>
      <c r="AM13" s="1">
        <v>8413</v>
      </c>
      <c r="AN13" s="1">
        <v>8565</v>
      </c>
      <c r="AO13" s="1">
        <v>8652</v>
      </c>
      <c r="AP13" s="1">
        <v>8799</v>
      </c>
      <c r="AQ13" s="1">
        <v>8961</v>
      </c>
      <c r="AR13" s="1">
        <v>8999</v>
      </c>
      <c r="AS13" s="1">
        <v>9037</v>
      </c>
      <c r="AT13" s="1">
        <v>9137</v>
      </c>
      <c r="AU13" s="1">
        <v>9241</v>
      </c>
      <c r="AV13" s="1">
        <v>9332</v>
      </c>
      <c r="AW13" s="1">
        <v>9478</v>
      </c>
      <c r="AX13" s="1">
        <v>9583</v>
      </c>
      <c r="AY13" s="1">
        <v>9661</v>
      </c>
      <c r="AZ13" s="1">
        <v>9786</v>
      </c>
      <c r="BA13" s="1">
        <v>9887</v>
      </c>
      <c r="BB13" s="1">
        <v>9976</v>
      </c>
      <c r="BC13" s="1">
        <v>10062</v>
      </c>
      <c r="BD13" s="1">
        <v>10156</v>
      </c>
      <c r="BE13" s="1">
        <v>10237</v>
      </c>
      <c r="BF13" s="1">
        <v>10284</v>
      </c>
      <c r="BG13" s="1">
        <v>10331</v>
      </c>
      <c r="BH13" s="1">
        <v>10384</v>
      </c>
      <c r="BI13" s="1">
        <v>10423</v>
      </c>
      <c r="BJ13" s="1">
        <v>10450</v>
      </c>
      <c r="BK13" s="1">
        <v>10480</v>
      </c>
      <c r="BL13" s="1">
        <v>10512</v>
      </c>
      <c r="BM13" s="1">
        <v>10537</v>
      </c>
      <c r="BN13" s="1">
        <v>10564</v>
      </c>
      <c r="BO13" s="1">
        <v>10591</v>
      </c>
      <c r="BP13" s="1">
        <v>10613</v>
      </c>
      <c r="BQ13" s="1">
        <v>10635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19022</v>
      </c>
      <c r="E14" s="2">
        <v>186.55038601179999</v>
      </c>
      <c r="F14" s="3">
        <v>0.17504195410000001</v>
      </c>
      <c r="I14" s="1">
        <v>30</v>
      </c>
      <c r="J14" s="1">
        <v>35.5</v>
      </c>
      <c r="K14" s="1">
        <v>41</v>
      </c>
      <c r="L14" s="1">
        <v>59</v>
      </c>
      <c r="M14" s="1">
        <v>85.5</v>
      </c>
      <c r="N14" s="1">
        <v>112</v>
      </c>
      <c r="O14" s="1">
        <v>169</v>
      </c>
      <c r="P14" s="1">
        <v>245</v>
      </c>
      <c r="Q14" s="1">
        <v>331</v>
      </c>
      <c r="R14" s="1">
        <v>448</v>
      </c>
      <c r="S14" s="1">
        <v>616.5</v>
      </c>
      <c r="T14" s="1">
        <v>785</v>
      </c>
      <c r="U14" s="1">
        <v>1020</v>
      </c>
      <c r="V14" s="1">
        <v>1280</v>
      </c>
      <c r="W14" s="1">
        <v>1600</v>
      </c>
      <c r="X14" s="1">
        <v>2060</v>
      </c>
      <c r="Y14" s="1">
        <v>2362</v>
      </c>
      <c r="Z14" s="1">
        <v>2995</v>
      </c>
      <c r="AA14" s="1">
        <v>3544</v>
      </c>
      <c r="AB14" s="1">
        <v>4268</v>
      </c>
      <c r="AC14" s="1">
        <v>5170</v>
      </c>
      <c r="AD14" s="1">
        <v>5962</v>
      </c>
      <c r="AE14" s="1">
        <v>6408</v>
      </c>
      <c r="AF14" s="1">
        <v>7443</v>
      </c>
      <c r="AG14" s="1">
        <v>8251</v>
      </c>
      <c r="AH14" s="1">
        <v>9034</v>
      </c>
      <c r="AI14" s="1">
        <v>9886</v>
      </c>
      <c r="AJ14" s="1">
        <v>10524</v>
      </c>
      <c r="AK14" s="1">
        <v>11278</v>
      </c>
      <c r="AL14" s="1">
        <v>11730</v>
      </c>
      <c r="AM14" s="1">
        <v>12442</v>
      </c>
      <c r="AN14" s="1">
        <v>13141</v>
      </c>
      <c r="AO14" s="1">
        <v>13956</v>
      </c>
      <c r="AP14" s="1">
        <v>15472</v>
      </c>
      <c r="AQ14" s="1">
        <v>15987</v>
      </c>
      <c r="AR14" s="1">
        <v>16585</v>
      </c>
      <c r="AS14" s="1">
        <v>16934</v>
      </c>
      <c r="AT14" s="1">
        <v>17448</v>
      </c>
      <c r="AU14" s="1">
        <v>18091</v>
      </c>
      <c r="AV14" s="1">
        <v>18841</v>
      </c>
      <c r="AW14" s="1">
        <v>19022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32008</v>
      </c>
      <c r="E15" s="2">
        <v>21.9331332444</v>
      </c>
      <c r="F15" s="3">
        <v>0.20638805739999999</v>
      </c>
      <c r="I15" s="1">
        <v>45</v>
      </c>
      <c r="J15" s="1">
        <v>59</v>
      </c>
      <c r="K15" s="1">
        <v>63</v>
      </c>
      <c r="L15" s="1">
        <v>90</v>
      </c>
      <c r="M15" s="1">
        <v>114</v>
      </c>
      <c r="N15" s="1">
        <v>147</v>
      </c>
      <c r="O15" s="1">
        <v>199</v>
      </c>
      <c r="P15" s="1">
        <v>253</v>
      </c>
      <c r="Q15" s="1">
        <v>306</v>
      </c>
      <c r="R15" s="1">
        <v>367</v>
      </c>
      <c r="S15" s="1">
        <v>438</v>
      </c>
      <c r="T15" s="1">
        <v>495</v>
      </c>
      <c r="U15" s="1">
        <v>658</v>
      </c>
      <c r="V15" s="1">
        <v>840</v>
      </c>
      <c r="W15" s="1">
        <v>1036</v>
      </c>
      <c r="X15" s="1">
        <v>1264</v>
      </c>
      <c r="Y15" s="1">
        <v>1534</v>
      </c>
      <c r="Z15" s="1">
        <v>1836</v>
      </c>
      <c r="AA15" s="1">
        <v>2337</v>
      </c>
      <c r="AB15" s="1">
        <v>2777</v>
      </c>
      <c r="AC15" s="1">
        <v>3548</v>
      </c>
      <c r="AD15" s="1">
        <v>4149</v>
      </c>
      <c r="AE15" s="1">
        <v>4731</v>
      </c>
      <c r="AF15" s="1">
        <v>5389</v>
      </c>
      <c r="AG15" s="1">
        <v>6343</v>
      </c>
      <c r="AH15" s="1">
        <v>7497</v>
      </c>
      <c r="AI15" s="1">
        <v>8672</v>
      </c>
      <c r="AJ15" s="1">
        <v>10131</v>
      </c>
      <c r="AK15" s="1">
        <v>11917</v>
      </c>
      <c r="AL15" s="1">
        <v>13584</v>
      </c>
      <c r="AM15" s="1">
        <v>15770</v>
      </c>
      <c r="AN15" s="1">
        <v>18328</v>
      </c>
      <c r="AO15" s="1">
        <v>21102</v>
      </c>
      <c r="AP15" s="1">
        <v>24490</v>
      </c>
      <c r="AQ15" s="1">
        <v>27938</v>
      </c>
      <c r="AR15" s="1">
        <v>32008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5050</v>
      </c>
      <c r="E16" s="2">
        <v>86.319739940000005</v>
      </c>
      <c r="F16" s="3">
        <v>7.59756184E-2</v>
      </c>
      <c r="I16" s="1">
        <v>30</v>
      </c>
      <c r="J16" s="1">
        <v>33</v>
      </c>
      <c r="K16" s="1">
        <v>40</v>
      </c>
      <c r="L16" s="1">
        <v>45</v>
      </c>
      <c r="M16" s="1">
        <v>47</v>
      </c>
      <c r="N16" s="1">
        <v>50</v>
      </c>
      <c r="O16" s="1">
        <v>58</v>
      </c>
      <c r="P16" s="1">
        <v>67</v>
      </c>
      <c r="Q16" s="1">
        <v>72</v>
      </c>
      <c r="R16" s="1">
        <v>75</v>
      </c>
      <c r="S16" s="1">
        <v>77</v>
      </c>
      <c r="T16" s="1">
        <v>81</v>
      </c>
      <c r="U16" s="1">
        <v>84</v>
      </c>
      <c r="V16" s="1">
        <v>84.5</v>
      </c>
      <c r="W16" s="1">
        <v>85</v>
      </c>
      <c r="X16" s="1">
        <v>87</v>
      </c>
      <c r="Y16" s="1">
        <v>89</v>
      </c>
      <c r="Z16" s="1">
        <v>90</v>
      </c>
      <c r="AA16" s="1">
        <v>91</v>
      </c>
      <c r="AB16" s="1">
        <v>93</v>
      </c>
      <c r="AC16" s="1">
        <v>96</v>
      </c>
      <c r="AD16" s="1">
        <v>99</v>
      </c>
      <c r="AE16" s="1">
        <v>102</v>
      </c>
      <c r="AF16" s="1">
        <v>106</v>
      </c>
      <c r="AG16" s="1">
        <v>108</v>
      </c>
      <c r="AH16" s="1">
        <v>110</v>
      </c>
      <c r="AI16" s="1">
        <v>113.5</v>
      </c>
      <c r="AJ16" s="1">
        <v>117</v>
      </c>
      <c r="AK16" s="1">
        <v>130</v>
      </c>
      <c r="AL16" s="1">
        <v>138</v>
      </c>
      <c r="AM16" s="1">
        <v>150</v>
      </c>
      <c r="AN16" s="1">
        <v>155</v>
      </c>
      <c r="AO16" s="1">
        <v>160</v>
      </c>
      <c r="AP16" s="1">
        <v>178</v>
      </c>
      <c r="AQ16" s="1">
        <v>189</v>
      </c>
      <c r="AR16" s="1">
        <v>200</v>
      </c>
      <c r="AS16" s="1">
        <v>212</v>
      </c>
      <c r="AT16" s="1">
        <v>226</v>
      </c>
      <c r="AU16" s="1">
        <v>243</v>
      </c>
      <c r="AV16" s="1">
        <v>266</v>
      </c>
      <c r="AW16" s="1">
        <v>313</v>
      </c>
      <c r="AX16" s="1">
        <v>345</v>
      </c>
      <c r="AY16" s="1">
        <v>385</v>
      </c>
      <c r="AZ16" s="1">
        <v>432</v>
      </c>
      <c r="BA16" s="1">
        <v>455</v>
      </c>
      <c r="BB16" s="1">
        <v>509</v>
      </c>
      <c r="BC16" s="1">
        <v>558</v>
      </c>
      <c r="BD16" s="1">
        <v>631</v>
      </c>
      <c r="BE16" s="1">
        <v>683</v>
      </c>
      <c r="BF16" s="1">
        <v>732</v>
      </c>
      <c r="BG16" s="1">
        <v>802</v>
      </c>
      <c r="BH16" s="1">
        <v>844</v>
      </c>
      <c r="BI16" s="1">
        <v>879</v>
      </c>
      <c r="BJ16" s="1">
        <v>926</v>
      </c>
      <c r="BK16" s="1">
        <v>1000</v>
      </c>
      <c r="BL16" s="1">
        <v>1049</v>
      </c>
      <c r="BM16" s="1">
        <v>1114</v>
      </c>
      <c r="BN16" s="1">
        <v>1189</v>
      </c>
      <c r="BO16" s="1">
        <v>1309</v>
      </c>
      <c r="BP16" s="1">
        <v>1375</v>
      </c>
      <c r="BQ16" s="1">
        <v>1481</v>
      </c>
      <c r="BR16" s="1">
        <v>1623</v>
      </c>
      <c r="BS16" s="1">
        <v>1910</v>
      </c>
      <c r="BT16" s="1">
        <v>2108</v>
      </c>
      <c r="BU16" s="1">
        <v>2299</v>
      </c>
      <c r="BV16" s="1">
        <v>2532</v>
      </c>
      <c r="BW16" s="1">
        <v>2918</v>
      </c>
      <c r="BX16" s="1">
        <v>3252</v>
      </c>
      <c r="BY16" s="1">
        <v>3699</v>
      </c>
      <c r="BZ16" s="1">
        <v>4427</v>
      </c>
      <c r="CA16" s="1">
        <v>5050</v>
      </c>
    </row>
    <row r="17" spans="1:63" x14ac:dyDescent="0.25">
      <c r="A17" t="s">
        <v>250</v>
      </c>
      <c r="B17" s="1">
        <v>46754778</v>
      </c>
      <c r="C17" s="1">
        <v>498800</v>
      </c>
      <c r="D17" s="1">
        <v>190839</v>
      </c>
      <c r="E17" s="2">
        <v>408.17004841729999</v>
      </c>
      <c r="F17" s="3">
        <v>0.1941293436</v>
      </c>
      <c r="I17" s="1">
        <v>32</v>
      </c>
      <c r="J17" s="1">
        <v>45</v>
      </c>
      <c r="K17" s="1">
        <v>84</v>
      </c>
      <c r="L17" s="1">
        <v>120</v>
      </c>
      <c r="M17" s="1">
        <v>165</v>
      </c>
      <c r="N17" s="1">
        <v>222</v>
      </c>
      <c r="O17" s="1">
        <v>259</v>
      </c>
      <c r="P17" s="1">
        <v>400</v>
      </c>
      <c r="Q17" s="1">
        <v>500</v>
      </c>
      <c r="R17" s="1">
        <v>673</v>
      </c>
      <c r="S17" s="1">
        <v>1073</v>
      </c>
      <c r="T17" s="1">
        <v>1695</v>
      </c>
      <c r="U17" s="1">
        <v>2277</v>
      </c>
      <c r="V17" s="1">
        <v>3754.5</v>
      </c>
      <c r="W17" s="1">
        <v>5232</v>
      </c>
      <c r="X17" s="1">
        <v>6391</v>
      </c>
      <c r="Y17" s="1">
        <v>7798</v>
      </c>
      <c r="Z17" s="1">
        <v>9942</v>
      </c>
      <c r="AA17" s="1">
        <v>11748</v>
      </c>
      <c r="AB17" s="1">
        <v>13910</v>
      </c>
      <c r="AC17" s="1">
        <v>17963</v>
      </c>
      <c r="AD17" s="1">
        <v>20410</v>
      </c>
      <c r="AE17" s="1">
        <v>25374</v>
      </c>
      <c r="AF17" s="1">
        <v>28768</v>
      </c>
      <c r="AG17" s="1">
        <v>35136</v>
      </c>
      <c r="AH17" s="1">
        <v>39885</v>
      </c>
      <c r="AI17" s="1">
        <v>49515</v>
      </c>
      <c r="AJ17" s="1">
        <v>57786</v>
      </c>
      <c r="AK17" s="1">
        <v>65719</v>
      </c>
      <c r="AL17" s="1">
        <v>73235</v>
      </c>
      <c r="AM17" s="1">
        <v>80110</v>
      </c>
      <c r="AN17" s="1">
        <v>87956</v>
      </c>
      <c r="AO17" s="1">
        <v>95923</v>
      </c>
      <c r="AP17" s="1">
        <v>104118</v>
      </c>
      <c r="AQ17" s="1">
        <v>112065</v>
      </c>
      <c r="AR17" s="1">
        <v>119199</v>
      </c>
      <c r="AS17" s="1">
        <v>126168</v>
      </c>
      <c r="AT17" s="1">
        <v>131646</v>
      </c>
      <c r="AU17" s="1">
        <v>136675</v>
      </c>
      <c r="AV17" s="1">
        <v>141942</v>
      </c>
      <c r="AW17" s="1">
        <v>148220</v>
      </c>
      <c r="AX17" s="1">
        <v>153222</v>
      </c>
      <c r="AY17" s="1">
        <v>158273</v>
      </c>
      <c r="AZ17" s="1">
        <v>163027</v>
      </c>
      <c r="BA17" s="1">
        <v>166831</v>
      </c>
      <c r="BB17" s="1">
        <v>170099</v>
      </c>
      <c r="BC17" s="1">
        <v>172541</v>
      </c>
      <c r="BD17" s="1">
        <v>177644</v>
      </c>
      <c r="BE17" s="1">
        <v>184948</v>
      </c>
      <c r="BF17" s="1">
        <v>190839</v>
      </c>
    </row>
    <row r="18" spans="1:63" x14ac:dyDescent="0.25">
      <c r="A18" t="s">
        <v>249</v>
      </c>
      <c r="B18" s="1">
        <v>10099265</v>
      </c>
      <c r="C18" s="1">
        <v>410340</v>
      </c>
      <c r="D18" s="1">
        <v>13216</v>
      </c>
      <c r="E18" s="2">
        <v>130.86100820210001</v>
      </c>
      <c r="F18" s="3">
        <v>0.1443764417</v>
      </c>
      <c r="I18" s="1">
        <v>35</v>
      </c>
      <c r="J18" s="1">
        <v>94</v>
      </c>
      <c r="K18" s="1">
        <v>101</v>
      </c>
      <c r="L18" s="1">
        <v>161</v>
      </c>
      <c r="M18" s="1">
        <v>203</v>
      </c>
      <c r="N18" s="1">
        <v>248</v>
      </c>
      <c r="O18" s="1">
        <v>355</v>
      </c>
      <c r="P18" s="1">
        <v>500</v>
      </c>
      <c r="Q18" s="1">
        <v>599</v>
      </c>
      <c r="R18" s="1">
        <v>814</v>
      </c>
      <c r="S18" s="1">
        <v>961</v>
      </c>
      <c r="T18" s="1">
        <v>1022</v>
      </c>
      <c r="U18" s="1">
        <v>1103</v>
      </c>
      <c r="V18" s="1">
        <v>1190</v>
      </c>
      <c r="W18" s="1">
        <v>1279</v>
      </c>
      <c r="X18" s="1">
        <v>1439</v>
      </c>
      <c r="Y18" s="1">
        <v>1639</v>
      </c>
      <c r="Z18" s="1">
        <v>1763</v>
      </c>
      <c r="AA18" s="1">
        <v>1934</v>
      </c>
      <c r="AB18" s="1">
        <v>2046</v>
      </c>
      <c r="AC18" s="1">
        <v>2286</v>
      </c>
      <c r="AD18" s="1">
        <v>2526</v>
      </c>
      <c r="AE18" s="1">
        <v>2840</v>
      </c>
      <c r="AF18" s="1">
        <v>3069</v>
      </c>
      <c r="AG18" s="1">
        <v>3447</v>
      </c>
      <c r="AH18" s="1">
        <v>3700</v>
      </c>
      <c r="AI18" s="1">
        <v>4028</v>
      </c>
      <c r="AJ18" s="1">
        <v>4435</v>
      </c>
      <c r="AK18" s="1">
        <v>4947</v>
      </c>
      <c r="AL18" s="1">
        <v>5568</v>
      </c>
      <c r="AM18" s="1">
        <v>6131</v>
      </c>
      <c r="AN18" s="1">
        <v>6443</v>
      </c>
      <c r="AO18" s="1">
        <v>6830</v>
      </c>
      <c r="AP18" s="1">
        <v>7206</v>
      </c>
      <c r="AQ18" s="1">
        <v>7693</v>
      </c>
      <c r="AR18" s="1">
        <v>8419</v>
      </c>
      <c r="AS18" s="1">
        <v>9141</v>
      </c>
      <c r="AT18" s="1">
        <v>9685</v>
      </c>
      <c r="AU18" s="1">
        <v>10151</v>
      </c>
      <c r="AV18" s="1">
        <v>10483</v>
      </c>
      <c r="AW18" s="1">
        <v>10948</v>
      </c>
      <c r="AX18" s="1">
        <v>11445</v>
      </c>
      <c r="AY18" s="1">
        <v>11927</v>
      </c>
      <c r="AZ18" s="1">
        <v>12540</v>
      </c>
      <c r="BA18" s="1">
        <v>13216</v>
      </c>
    </row>
    <row r="19" spans="1:63" x14ac:dyDescent="0.25">
      <c r="A19" t="s">
        <v>0</v>
      </c>
      <c r="B19" s="1">
        <v>8654622</v>
      </c>
      <c r="C19" s="1">
        <v>39516</v>
      </c>
      <c r="D19" s="1">
        <v>27078</v>
      </c>
      <c r="E19" s="2">
        <v>312.87328320059999</v>
      </c>
      <c r="F19" s="3">
        <v>0.1509943772</v>
      </c>
      <c r="I19" s="1">
        <v>42</v>
      </c>
      <c r="J19" s="1">
        <v>56</v>
      </c>
      <c r="K19" s="1">
        <v>90</v>
      </c>
      <c r="L19" s="1">
        <v>114</v>
      </c>
      <c r="M19" s="1">
        <v>214</v>
      </c>
      <c r="N19" s="1">
        <v>268</v>
      </c>
      <c r="O19" s="1">
        <v>337</v>
      </c>
      <c r="P19" s="1">
        <v>374</v>
      </c>
      <c r="Q19" s="1">
        <v>491</v>
      </c>
      <c r="R19" s="1">
        <v>652</v>
      </c>
      <c r="S19" s="1">
        <v>895.5</v>
      </c>
      <c r="T19" s="1">
        <v>1139</v>
      </c>
      <c r="U19" s="1">
        <v>1359</v>
      </c>
      <c r="V19" s="1">
        <v>2200</v>
      </c>
      <c r="W19" s="1">
        <v>2450</v>
      </c>
      <c r="X19" s="1">
        <v>2700</v>
      </c>
      <c r="Y19" s="1">
        <v>3028</v>
      </c>
      <c r="Z19" s="1">
        <v>4075</v>
      </c>
      <c r="AA19" s="1">
        <v>5294</v>
      </c>
      <c r="AB19" s="1">
        <v>6575</v>
      </c>
      <c r="AC19" s="1">
        <v>7474</v>
      </c>
      <c r="AD19" s="1">
        <v>8795</v>
      </c>
      <c r="AE19" s="1">
        <v>9877</v>
      </c>
      <c r="AF19" s="1">
        <v>10897</v>
      </c>
      <c r="AG19" s="1">
        <v>11811</v>
      </c>
      <c r="AH19" s="1">
        <v>12928</v>
      </c>
      <c r="AI19" s="1">
        <v>14076</v>
      </c>
      <c r="AJ19" s="1">
        <v>14829</v>
      </c>
      <c r="AK19" s="1">
        <v>15922</v>
      </c>
      <c r="AL19" s="1">
        <v>16605</v>
      </c>
      <c r="AM19" s="1">
        <v>17768</v>
      </c>
      <c r="AN19" s="1">
        <v>18827</v>
      </c>
      <c r="AO19" s="1">
        <v>19606</v>
      </c>
      <c r="AP19" s="1">
        <v>20505</v>
      </c>
      <c r="AQ19" s="1">
        <v>21100</v>
      </c>
      <c r="AR19" s="1">
        <v>21657</v>
      </c>
      <c r="AS19" s="1">
        <v>22253</v>
      </c>
      <c r="AT19" s="1">
        <v>23280</v>
      </c>
      <c r="AU19" s="1">
        <v>24051</v>
      </c>
      <c r="AV19" s="1">
        <v>24551</v>
      </c>
      <c r="AW19" s="1">
        <v>25107</v>
      </c>
      <c r="AX19" s="1">
        <v>25415</v>
      </c>
      <c r="AY19" s="1">
        <v>25688</v>
      </c>
      <c r="AZ19" s="1">
        <v>25936</v>
      </c>
      <c r="BA19" s="1">
        <v>26336</v>
      </c>
      <c r="BB19" s="1">
        <v>26732</v>
      </c>
      <c r="BC19" s="1">
        <v>27078</v>
      </c>
    </row>
    <row r="20" spans="1:63" x14ac:dyDescent="0.25">
      <c r="A20" t="s">
        <v>248</v>
      </c>
      <c r="B20" s="1">
        <v>331002651</v>
      </c>
      <c r="C20" s="1">
        <v>9147420</v>
      </c>
      <c r="D20" s="1">
        <v>699706</v>
      </c>
      <c r="E20" s="2">
        <v>211.38984775079999</v>
      </c>
      <c r="F20" s="3">
        <v>0.1988780762</v>
      </c>
      <c r="I20" s="1">
        <v>39</v>
      </c>
      <c r="J20" s="1">
        <v>51</v>
      </c>
      <c r="K20" s="1">
        <v>54</v>
      </c>
      <c r="L20" s="1">
        <v>57</v>
      </c>
      <c r="M20" s="1">
        <v>58</v>
      </c>
      <c r="N20" s="1">
        <v>60</v>
      </c>
      <c r="O20" s="1">
        <v>68</v>
      </c>
      <c r="P20" s="1">
        <v>74</v>
      </c>
      <c r="Q20" s="1">
        <v>98</v>
      </c>
      <c r="R20" s="1">
        <v>118</v>
      </c>
      <c r="S20" s="1">
        <v>149</v>
      </c>
      <c r="T20" s="1">
        <v>217</v>
      </c>
      <c r="U20" s="1">
        <v>262</v>
      </c>
      <c r="V20" s="1">
        <v>402</v>
      </c>
      <c r="W20" s="1">
        <v>518</v>
      </c>
      <c r="X20" s="1">
        <v>583</v>
      </c>
      <c r="Y20" s="1">
        <v>959</v>
      </c>
      <c r="Z20" s="1">
        <v>1281</v>
      </c>
      <c r="AA20" s="1">
        <v>1663</v>
      </c>
      <c r="AB20" s="1">
        <v>2179</v>
      </c>
      <c r="AC20" s="1">
        <v>2727</v>
      </c>
      <c r="AD20" s="1">
        <v>3499</v>
      </c>
      <c r="AE20" s="1">
        <v>4632</v>
      </c>
      <c r="AF20" s="1">
        <v>6421</v>
      </c>
      <c r="AG20" s="1">
        <v>7783</v>
      </c>
      <c r="AH20" s="1">
        <v>13747</v>
      </c>
      <c r="AI20" s="1">
        <v>19273</v>
      </c>
      <c r="AJ20" s="1">
        <v>25600</v>
      </c>
      <c r="AK20" s="1">
        <v>33276</v>
      </c>
      <c r="AL20" s="1">
        <v>43843</v>
      </c>
      <c r="AM20" s="1">
        <v>53736</v>
      </c>
      <c r="AN20" s="1">
        <v>65778</v>
      </c>
      <c r="AO20" s="1">
        <v>83836</v>
      </c>
      <c r="AP20" s="1">
        <v>101657</v>
      </c>
      <c r="AQ20" s="1">
        <v>121465</v>
      </c>
      <c r="AR20" s="1">
        <v>140909</v>
      </c>
      <c r="AS20" s="1">
        <v>161831</v>
      </c>
      <c r="AT20" s="1">
        <v>188172</v>
      </c>
      <c r="AU20" s="1">
        <v>213372</v>
      </c>
      <c r="AV20" s="1">
        <v>243762</v>
      </c>
      <c r="AW20" s="1">
        <v>275586</v>
      </c>
      <c r="AX20" s="1">
        <v>308853</v>
      </c>
      <c r="AY20" s="1">
        <v>337072</v>
      </c>
      <c r="AZ20" s="1">
        <v>366667</v>
      </c>
      <c r="BA20" s="1">
        <v>396223</v>
      </c>
      <c r="BB20" s="1">
        <v>429052</v>
      </c>
      <c r="BC20" s="1">
        <v>461437</v>
      </c>
      <c r="BD20" s="1">
        <v>496535</v>
      </c>
      <c r="BE20" s="1">
        <v>526396</v>
      </c>
      <c r="BF20" s="1">
        <v>555313</v>
      </c>
      <c r="BG20" s="1">
        <v>580619</v>
      </c>
      <c r="BH20" s="1">
        <v>607670</v>
      </c>
      <c r="BI20" s="1">
        <v>636350</v>
      </c>
      <c r="BJ20" s="1">
        <v>667801</v>
      </c>
      <c r="BK20" s="1">
        <v>699706</v>
      </c>
    </row>
    <row r="21" spans="1:63" x14ac:dyDescent="0.25">
      <c r="A21" t="s">
        <v>247</v>
      </c>
      <c r="B21" s="1">
        <v>67886011</v>
      </c>
      <c r="C21" s="1">
        <v>241930</v>
      </c>
      <c r="D21" s="1">
        <v>108692</v>
      </c>
      <c r="E21" s="2">
        <v>160.1095695548</v>
      </c>
      <c r="F21" s="3">
        <v>0.18587884260000001</v>
      </c>
      <c r="I21" s="1">
        <v>36</v>
      </c>
      <c r="J21" s="1">
        <v>40</v>
      </c>
      <c r="K21" s="1">
        <v>51</v>
      </c>
      <c r="L21" s="1">
        <v>85</v>
      </c>
      <c r="M21" s="1">
        <v>115</v>
      </c>
      <c r="N21" s="1">
        <v>163</v>
      </c>
      <c r="O21" s="1">
        <v>206</v>
      </c>
      <c r="P21" s="1">
        <v>273</v>
      </c>
      <c r="Q21" s="1">
        <v>321</v>
      </c>
      <c r="R21" s="1">
        <v>382</v>
      </c>
      <c r="S21" s="1">
        <v>456</v>
      </c>
      <c r="T21" s="1">
        <v>627</v>
      </c>
      <c r="U21" s="1">
        <v>798</v>
      </c>
      <c r="V21" s="1">
        <v>1140</v>
      </c>
      <c r="W21" s="1">
        <v>1341.5</v>
      </c>
      <c r="X21" s="1">
        <v>1543</v>
      </c>
      <c r="Y21" s="1">
        <v>1950</v>
      </c>
      <c r="Z21" s="1">
        <v>2626</v>
      </c>
      <c r="AA21" s="1">
        <v>2689</v>
      </c>
      <c r="AB21" s="1">
        <v>3983</v>
      </c>
      <c r="AC21" s="1">
        <v>5018</v>
      </c>
      <c r="AD21" s="1">
        <v>5683</v>
      </c>
      <c r="AE21" s="1">
        <v>6650</v>
      </c>
      <c r="AF21" s="1">
        <v>8077</v>
      </c>
      <c r="AG21" s="1">
        <v>9529</v>
      </c>
      <c r="AH21" s="1">
        <v>11658</v>
      </c>
      <c r="AI21" s="1">
        <v>14543</v>
      </c>
      <c r="AJ21" s="1">
        <v>17089</v>
      </c>
      <c r="AK21" s="1">
        <v>19522</v>
      </c>
      <c r="AL21" s="1">
        <v>22141</v>
      </c>
      <c r="AM21" s="1">
        <v>25150</v>
      </c>
      <c r="AN21" s="1">
        <v>29474</v>
      </c>
      <c r="AO21" s="1">
        <v>33718</v>
      </c>
      <c r="AP21" s="1">
        <v>38168</v>
      </c>
      <c r="AQ21" s="1">
        <v>41903</v>
      </c>
      <c r="AR21" s="1">
        <v>47806</v>
      </c>
      <c r="AS21" s="1">
        <v>51608</v>
      </c>
      <c r="AT21" s="1">
        <v>55242</v>
      </c>
      <c r="AU21" s="1">
        <v>60733</v>
      </c>
      <c r="AV21" s="1">
        <v>65077</v>
      </c>
      <c r="AW21" s="1">
        <v>73758</v>
      </c>
      <c r="AX21" s="1">
        <v>78991</v>
      </c>
      <c r="AY21" s="1">
        <v>84279</v>
      </c>
      <c r="AZ21" s="1">
        <v>88621</v>
      </c>
      <c r="BA21" s="1">
        <v>93873</v>
      </c>
      <c r="BB21" s="1">
        <v>98476</v>
      </c>
      <c r="BC21" s="1">
        <v>103093</v>
      </c>
      <c r="BD21" s="1">
        <v>108692</v>
      </c>
    </row>
  </sheetData>
  <autoFilter ref="A1:CQ21" xr:uid="{959FCEED-C480-4992-BEC0-67F7BF1F2E77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4944D-9A26-4C72-8325-C936372A8533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5" width="11.42578125" style="3"/>
  </cols>
  <sheetData>
    <row r="1" spans="1:95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3">
        <v>0.37857731509999998</v>
      </c>
      <c r="E2" s="3">
        <v>9.5240137000000002E-3</v>
      </c>
      <c r="F2" s="3">
        <v>9.5240137000000002E-3</v>
      </c>
      <c r="G2" s="3">
        <v>8.2205028999999992E-3</v>
      </c>
      <c r="BB2" s="3">
        <v>0.34800202549999998</v>
      </c>
      <c r="BC2" s="3">
        <v>0.3677823999</v>
      </c>
      <c r="BD2" s="3">
        <v>0.36292533300000002</v>
      </c>
      <c r="BE2" s="3">
        <v>0.35147031379999999</v>
      </c>
      <c r="BF2" s="3">
        <v>0.33688312009999999</v>
      </c>
      <c r="BG2" s="3">
        <v>0.32338581659999999</v>
      </c>
      <c r="BH2" s="3">
        <v>0.35291814960000001</v>
      </c>
      <c r="BI2" s="3">
        <v>0.36813369880000002</v>
      </c>
      <c r="BJ2" s="3">
        <v>0.37857731509999998</v>
      </c>
      <c r="BK2" s="3">
        <v>0.36482849899999997</v>
      </c>
      <c r="BL2" s="3">
        <v>0.32166784199999998</v>
      </c>
      <c r="BM2" s="3">
        <v>0.28600843129999998</v>
      </c>
      <c r="BN2" s="3">
        <v>0.25389974119999997</v>
      </c>
      <c r="BO2" s="3">
        <v>0.2430144997</v>
      </c>
      <c r="BP2" s="3">
        <v>0.22442679709999999</v>
      </c>
      <c r="BQ2" s="3">
        <v>0.21763384720000001</v>
      </c>
      <c r="BR2" s="3">
        <v>0.21481597290000001</v>
      </c>
      <c r="BS2" s="3">
        <v>0.2186972355</v>
      </c>
      <c r="BT2" s="3">
        <v>0.20762651330000001</v>
      </c>
      <c r="BU2" s="3">
        <v>0.19277865129999999</v>
      </c>
      <c r="BV2" s="3">
        <v>0.16689808610000001</v>
      </c>
      <c r="BW2" s="3">
        <v>0.1438759916</v>
      </c>
      <c r="BX2" s="3">
        <v>0.12655609979999999</v>
      </c>
      <c r="BY2" s="3">
        <v>0.1067545295</v>
      </c>
      <c r="BZ2" s="3">
        <v>9.13097462E-2</v>
      </c>
      <c r="CA2" s="3">
        <v>7.5095961000000003E-2</v>
      </c>
      <c r="CB2" s="3">
        <v>6.6868236600000006E-2</v>
      </c>
      <c r="CC2" s="3">
        <v>5.7511943400000001E-2</v>
      </c>
      <c r="CD2" s="3">
        <v>4.7631435299999997E-2</v>
      </c>
      <c r="CE2" s="3">
        <v>3.7549410700000001E-2</v>
      </c>
      <c r="CF2" s="3">
        <v>3.0643938400000001E-2</v>
      </c>
      <c r="CG2" s="3">
        <v>2.6107232399999999E-2</v>
      </c>
      <c r="CH2" s="3">
        <v>2.4117744699999999E-2</v>
      </c>
      <c r="CI2" s="3">
        <v>2.3674970900000002E-2</v>
      </c>
      <c r="CJ2" s="3">
        <v>2.4107890999999999E-2</v>
      </c>
      <c r="CK2" s="3">
        <v>2.36054791E-2</v>
      </c>
      <c r="CL2" s="3">
        <v>2.1895590699999998E-2</v>
      </c>
      <c r="CM2" s="3">
        <v>1.8580652600000001E-2</v>
      </c>
      <c r="CN2" s="3">
        <v>1.51945664E-2</v>
      </c>
      <c r="CO2" s="3">
        <v>1.2080755300000001E-2</v>
      </c>
      <c r="CP2" s="3">
        <v>1.03218259E-2</v>
      </c>
      <c r="CQ2" s="3">
        <v>9.5240137000000002E-3</v>
      </c>
    </row>
    <row r="3" spans="1:95" x14ac:dyDescent="0.25">
      <c r="A3" t="s">
        <v>264</v>
      </c>
      <c r="B3" s="1">
        <v>11589623</v>
      </c>
      <c r="C3" s="1">
        <v>30280</v>
      </c>
      <c r="D3" s="3">
        <v>0.63061443279999996</v>
      </c>
      <c r="E3" s="3">
        <v>4.2218460300000003E-2</v>
      </c>
      <c r="F3" s="3">
        <v>4.3196810799999999E-2</v>
      </c>
      <c r="G3" s="3">
        <v>3.8179781099999997E-2</v>
      </c>
      <c r="BD3" s="3">
        <v>0.63061443279999996</v>
      </c>
      <c r="BE3" s="3">
        <v>0.40340599780000003</v>
      </c>
      <c r="BF3" s="3">
        <v>0.25743342969999999</v>
      </c>
      <c r="BG3" s="3">
        <v>0.2078878988</v>
      </c>
      <c r="BH3" s="3">
        <v>0.21143601540000001</v>
      </c>
      <c r="BI3" s="3">
        <v>0.24284388130000001</v>
      </c>
      <c r="BJ3" s="3">
        <v>0.2701211288</v>
      </c>
      <c r="BK3" s="3">
        <v>0.2683207869</v>
      </c>
      <c r="BL3" s="3">
        <v>0.24901927409999999</v>
      </c>
      <c r="BM3" s="3">
        <v>0.22449233939999999</v>
      </c>
      <c r="BN3" s="3">
        <v>0.20665202290000001</v>
      </c>
      <c r="BO3" s="3">
        <v>0.20427459049999999</v>
      </c>
      <c r="BP3" s="3">
        <v>0.2115636809</v>
      </c>
      <c r="BQ3" s="3">
        <v>0.22302539630000001</v>
      </c>
      <c r="BR3" s="3">
        <v>0.2180729085</v>
      </c>
      <c r="BS3" s="3">
        <v>0.19815144670000001</v>
      </c>
      <c r="BT3" s="3">
        <v>0.1718372413</v>
      </c>
      <c r="BU3" s="3">
        <v>0.1618753933</v>
      </c>
      <c r="BV3" s="3">
        <v>0.16675712670000001</v>
      </c>
      <c r="BW3" s="3">
        <v>0.18694740949999999</v>
      </c>
      <c r="BX3" s="3">
        <v>0.20447698280000001</v>
      </c>
      <c r="BY3" s="3">
        <v>0.19859718479999999</v>
      </c>
      <c r="BZ3" s="3">
        <v>0.17775043330000001</v>
      </c>
      <c r="CA3" s="3">
        <v>0.1428052538</v>
      </c>
      <c r="CB3" s="3">
        <v>0.1147550016</v>
      </c>
      <c r="CC3" s="3">
        <v>9.6581010300000006E-2</v>
      </c>
      <c r="CD3" s="3">
        <v>9.2296328900000002E-2</v>
      </c>
      <c r="CE3" s="3">
        <v>9.1751014399999997E-2</v>
      </c>
      <c r="CF3" s="3">
        <v>8.7822836700000004E-2</v>
      </c>
      <c r="CG3" s="3">
        <v>8.00213075E-2</v>
      </c>
      <c r="CH3" s="3">
        <v>7.0611398399999997E-2</v>
      </c>
      <c r="CI3" s="3">
        <v>6.4861559799999996E-2</v>
      </c>
      <c r="CJ3" s="3">
        <v>6.2299188899999997E-2</v>
      </c>
      <c r="CK3" s="3">
        <v>6.1709797599999998E-2</v>
      </c>
      <c r="CL3" s="3">
        <v>6.1544232499999997E-2</v>
      </c>
      <c r="CM3" s="3">
        <v>5.7458143500000003E-2</v>
      </c>
      <c r="CN3" s="3">
        <v>5.03669941E-2</v>
      </c>
      <c r="CO3" s="3">
        <v>4.57565609E-2</v>
      </c>
      <c r="CP3" s="3">
        <v>4.2218460300000003E-2</v>
      </c>
      <c r="CQ3" s="3">
        <v>4.3196810799999999E-2</v>
      </c>
    </row>
    <row r="4" spans="1:95" x14ac:dyDescent="0.25">
      <c r="A4" t="s">
        <v>263</v>
      </c>
      <c r="B4" s="1">
        <v>37742154</v>
      </c>
      <c r="C4" s="1">
        <v>9093510</v>
      </c>
      <c r="D4" s="3">
        <v>0.32018916330000002</v>
      </c>
      <c r="E4" s="3">
        <v>5.2197984000000003E-2</v>
      </c>
      <c r="F4" s="3">
        <v>5.8014429200000002E-2</v>
      </c>
      <c r="G4" s="3">
        <v>6.5105857899999994E-2</v>
      </c>
      <c r="AV4" s="3">
        <v>0.15140606679999999</v>
      </c>
      <c r="AW4" s="3">
        <v>0.1850562415</v>
      </c>
      <c r="AX4" s="3">
        <v>0.20048048060000001</v>
      </c>
      <c r="AY4" s="3">
        <v>0.1763489329</v>
      </c>
      <c r="AZ4" s="3">
        <v>0.14589019049999999</v>
      </c>
      <c r="BA4" s="3">
        <v>0.13781630559999999</v>
      </c>
      <c r="BB4" s="3">
        <v>0.1465968761</v>
      </c>
      <c r="BC4" s="3">
        <v>0.16712800620000001</v>
      </c>
      <c r="BD4" s="3">
        <v>0.18170385650000001</v>
      </c>
      <c r="BE4" s="3">
        <v>0.16605471629999999</v>
      </c>
      <c r="BF4" s="3">
        <v>0.17184176600000001</v>
      </c>
      <c r="BG4" s="3">
        <v>0.16155366139999999</v>
      </c>
      <c r="BH4" s="3">
        <v>0.2085501589</v>
      </c>
      <c r="BI4" s="3">
        <v>0.23027433420000001</v>
      </c>
      <c r="BJ4" s="3">
        <v>0.24633237459999999</v>
      </c>
      <c r="BK4" s="3">
        <v>0.29652201369999998</v>
      </c>
      <c r="BL4" s="3">
        <v>0.28464799909999999</v>
      </c>
      <c r="BM4" s="3">
        <v>0.32018916330000002</v>
      </c>
      <c r="BN4" s="3">
        <v>0.31572953599999998</v>
      </c>
      <c r="BO4" s="3">
        <v>0.28908151319999997</v>
      </c>
      <c r="BP4" s="3">
        <v>0.27466665759999997</v>
      </c>
      <c r="BQ4" s="3">
        <v>0.2431048163</v>
      </c>
      <c r="BR4" s="3">
        <v>0.25910972650000003</v>
      </c>
      <c r="BS4" s="3">
        <v>0.27700985839999998</v>
      </c>
      <c r="BT4" s="3">
        <v>0.28242810480000002</v>
      </c>
      <c r="BU4" s="3">
        <v>0.28743445940000001</v>
      </c>
      <c r="BV4" s="3">
        <v>0.25588432989999998</v>
      </c>
      <c r="BW4" s="3">
        <v>0.2262092101</v>
      </c>
      <c r="BX4" s="3">
        <v>0.19502578249999999</v>
      </c>
      <c r="BY4" s="3">
        <v>0.17607067530000001</v>
      </c>
      <c r="BZ4" s="3">
        <v>0.1673662407</v>
      </c>
      <c r="CA4" s="3">
        <v>0.15575927070000001</v>
      </c>
      <c r="CB4" s="3">
        <v>0.15470491250000001</v>
      </c>
      <c r="CC4" s="3">
        <v>0.14686338900000001</v>
      </c>
      <c r="CD4" s="3">
        <v>0.1340345416</v>
      </c>
      <c r="CE4" s="3">
        <v>0.12756107780000001</v>
      </c>
      <c r="CF4" s="3">
        <v>0.11452142210000001</v>
      </c>
      <c r="CG4" s="3">
        <v>0.1082819953</v>
      </c>
      <c r="CH4" s="3">
        <v>9.9297885700000005E-2</v>
      </c>
      <c r="CI4" s="3">
        <v>8.7961256900000007E-2</v>
      </c>
      <c r="CJ4" s="3">
        <v>8.1059577899999999E-2</v>
      </c>
      <c r="CK4" s="3">
        <v>7.1019721499999994E-2</v>
      </c>
      <c r="CL4" s="3">
        <v>6.7931476300000002E-2</v>
      </c>
      <c r="CM4" s="3">
        <v>6.1823697099999998E-2</v>
      </c>
      <c r="CN4" s="3">
        <v>5.6364884400000002E-2</v>
      </c>
      <c r="CO4" s="3">
        <v>5.2197984000000003E-2</v>
      </c>
      <c r="CP4" s="3">
        <v>5.4230049699999998E-2</v>
      </c>
      <c r="CQ4" s="3">
        <v>5.8014429200000002E-2</v>
      </c>
    </row>
    <row r="5" spans="1:95" x14ac:dyDescent="0.25">
      <c r="A5" t="s">
        <v>262</v>
      </c>
      <c r="B5" s="1">
        <v>1439323776</v>
      </c>
      <c r="C5" s="1">
        <v>9388211</v>
      </c>
      <c r="D5" s="3">
        <v>0.4920083106</v>
      </c>
      <c r="E5" s="3">
        <v>2.6465990000000002E-4</v>
      </c>
      <c r="F5" s="3">
        <v>1.1589510999999999E-3</v>
      </c>
      <c r="G5" s="3">
        <v>4.2804215999999997E-3</v>
      </c>
      <c r="O5" s="3">
        <v>0.4920083106</v>
      </c>
      <c r="P5" s="3">
        <v>0.48589147529999999</v>
      </c>
      <c r="Q5" s="3">
        <v>0.45523269360000002</v>
      </c>
      <c r="R5" s="3">
        <v>0.39430669210000002</v>
      </c>
      <c r="S5" s="3">
        <v>0.29952479659999998</v>
      </c>
      <c r="T5" s="3">
        <v>0.27563149780000001</v>
      </c>
      <c r="U5" s="3">
        <v>0.25033039029999998</v>
      </c>
      <c r="V5" s="3">
        <v>0.25731829299999998</v>
      </c>
      <c r="W5" s="3">
        <v>0.24144365239999999</v>
      </c>
      <c r="X5" s="3">
        <v>0.20846983290000001</v>
      </c>
      <c r="Y5" s="3">
        <v>0.17561046759999999</v>
      </c>
      <c r="Z5" s="3">
        <v>0.14023560869999999</v>
      </c>
      <c r="AA5" s="3">
        <v>0.1181086084</v>
      </c>
      <c r="AB5" s="3">
        <v>9.8457642499999998E-2</v>
      </c>
      <c r="AC5" s="3">
        <v>8.2613205800000006E-2</v>
      </c>
      <c r="AD5" s="3">
        <v>6.6847480799999998E-2</v>
      </c>
      <c r="AE5" s="3">
        <v>7.70524073E-2</v>
      </c>
      <c r="AF5" s="3">
        <v>9.48954308E-2</v>
      </c>
      <c r="AG5" s="3">
        <v>0.1136294031</v>
      </c>
      <c r="AH5" s="3">
        <v>0.11778470520000001</v>
      </c>
      <c r="AI5" s="3">
        <v>9.1264405100000001E-2</v>
      </c>
      <c r="AJ5" s="3">
        <v>6.1542317800000003E-2</v>
      </c>
      <c r="AK5" s="3">
        <v>3.25359073E-2</v>
      </c>
      <c r="AL5" s="3">
        <v>2.1946457199999998E-2</v>
      </c>
      <c r="AM5" s="3">
        <v>1.6034773400000001E-2</v>
      </c>
      <c r="AN5" s="3">
        <v>1.18414408E-2</v>
      </c>
      <c r="AO5" s="3">
        <v>9.2587250000000006E-3</v>
      </c>
      <c r="AP5" s="3">
        <v>8.1150318000000003E-3</v>
      </c>
      <c r="AQ5" s="3">
        <v>7.4318568E-3</v>
      </c>
      <c r="AR5" s="3">
        <v>6.0221820000000001E-3</v>
      </c>
      <c r="AS5" s="3">
        <v>5.3441820999999999E-3</v>
      </c>
      <c r="AT5" s="3">
        <v>4.7548783000000002E-3</v>
      </c>
      <c r="AU5" s="3">
        <v>5.2034725000000004E-3</v>
      </c>
      <c r="AV5" s="3">
        <v>5.3765578E-3</v>
      </c>
      <c r="AW5" s="3">
        <v>5.1871987999999999E-3</v>
      </c>
      <c r="AX5" s="3">
        <v>4.8804870999999998E-3</v>
      </c>
      <c r="AY5" s="3">
        <v>4.0897260000000001E-3</v>
      </c>
      <c r="AZ5" s="3">
        <v>3.1003719000000001E-3</v>
      </c>
      <c r="BA5" s="3">
        <v>2.2778988999999999E-3</v>
      </c>
      <c r="BB5" s="3">
        <v>1.7306236999999999E-3</v>
      </c>
      <c r="BC5" s="3">
        <v>1.5537938E-3</v>
      </c>
      <c r="BD5" s="3">
        <v>1.3127983000000001E-3</v>
      </c>
      <c r="BE5" s="3">
        <v>9.8875250000000003E-4</v>
      </c>
      <c r="BF5" s="3">
        <v>6.9247079999999999E-4</v>
      </c>
      <c r="BG5" s="3">
        <v>4.7122279999999998E-4</v>
      </c>
      <c r="BH5" s="3">
        <v>3.5554940000000001E-4</v>
      </c>
      <c r="BI5" s="3">
        <v>2.9257060000000001E-4</v>
      </c>
      <c r="BJ5" s="3">
        <v>2.6465990000000002E-4</v>
      </c>
      <c r="BK5" s="3">
        <v>2.8104649999999997E-4</v>
      </c>
      <c r="BL5" s="3">
        <v>3.0464089999999999E-4</v>
      </c>
      <c r="BM5" s="3">
        <v>3.4879259999999999E-4</v>
      </c>
      <c r="BN5" s="3">
        <v>4.0214489999999999E-4</v>
      </c>
      <c r="BO5" s="3">
        <v>5.0884349999999999E-4</v>
      </c>
      <c r="BP5" s="3">
        <v>6.3392519999999999E-4</v>
      </c>
      <c r="BQ5" s="3">
        <v>8.1830309999999997E-4</v>
      </c>
      <c r="BR5" s="3">
        <v>9.4598459999999996E-4</v>
      </c>
      <c r="BS5" s="3">
        <v>1.0414587999999999E-3</v>
      </c>
      <c r="BT5" s="3">
        <v>1.0641118E-3</v>
      </c>
      <c r="BU5" s="3">
        <v>1.0680037999999999E-3</v>
      </c>
      <c r="BV5" s="3">
        <v>1.1260945E-3</v>
      </c>
      <c r="BW5" s="3">
        <v>1.177761E-3</v>
      </c>
      <c r="BX5" s="3">
        <v>1.2926903999999999E-3</v>
      </c>
      <c r="BY5" s="3">
        <v>1.3084722E-3</v>
      </c>
      <c r="BZ5" s="3">
        <v>1.2804521000000001E-3</v>
      </c>
      <c r="CA5" s="3">
        <v>1.1783226000000001E-3</v>
      </c>
      <c r="CB5" s="3">
        <v>1.0693434000000001E-3</v>
      </c>
      <c r="CC5" s="3">
        <v>9.982242000000001E-4</v>
      </c>
      <c r="CD5" s="3">
        <v>8.980228E-4</v>
      </c>
      <c r="CE5" s="3">
        <v>8.2745099999999999E-4</v>
      </c>
      <c r="CF5" s="3">
        <v>7.459109E-4</v>
      </c>
      <c r="CG5" s="3">
        <v>6.8771420000000004E-4</v>
      </c>
      <c r="CH5" s="3">
        <v>7.1241000000000002E-4</v>
      </c>
      <c r="CI5" s="3">
        <v>7.6026900000000005E-4</v>
      </c>
      <c r="CJ5" s="3">
        <v>8.2924120000000005E-4</v>
      </c>
      <c r="CK5" s="3">
        <v>8.58824E-4</v>
      </c>
      <c r="CL5" s="3">
        <v>9.0231239999999998E-4</v>
      </c>
      <c r="CM5" s="3">
        <v>9.5571610000000004E-4</v>
      </c>
      <c r="CN5" s="3">
        <v>1.0240340000000001E-3</v>
      </c>
      <c r="CO5" s="3">
        <v>1.0402183E-3</v>
      </c>
      <c r="CP5" s="3">
        <v>9.7813349999999991E-4</v>
      </c>
      <c r="CQ5" s="3">
        <v>1.1589510999999999E-3</v>
      </c>
    </row>
    <row r="6" spans="1:95" x14ac:dyDescent="0.25">
      <c r="A6" t="s">
        <v>261</v>
      </c>
      <c r="B6" s="1">
        <v>5540720</v>
      </c>
      <c r="C6" s="1">
        <v>303890</v>
      </c>
      <c r="D6" s="3">
        <v>0.51273029049999996</v>
      </c>
      <c r="E6" s="3">
        <v>3.07557665E-2</v>
      </c>
      <c r="F6" s="3">
        <v>3.07557665E-2</v>
      </c>
      <c r="G6" s="3">
        <v>3.5618878E-2</v>
      </c>
      <c r="BE6" s="3">
        <v>0.25491098280000002</v>
      </c>
      <c r="BF6" s="3">
        <v>0.29407059720000001</v>
      </c>
      <c r="BG6" s="3">
        <v>0.37878989289999998</v>
      </c>
      <c r="BH6" s="3">
        <v>0.45309207439999999</v>
      </c>
      <c r="BI6" s="3">
        <v>0.51273029049999996</v>
      </c>
      <c r="BJ6" s="3">
        <v>0.48302584570000001</v>
      </c>
      <c r="BK6" s="3">
        <v>0.37948791999999998</v>
      </c>
      <c r="BL6" s="3">
        <v>0.27262885139999998</v>
      </c>
      <c r="BM6" s="3">
        <v>0.176804929</v>
      </c>
      <c r="BN6" s="3">
        <v>0.14083437700000001</v>
      </c>
      <c r="BO6" s="3">
        <v>0.1228880639</v>
      </c>
      <c r="BP6" s="3">
        <v>0.13002905849999999</v>
      </c>
      <c r="BQ6" s="3">
        <v>0.1438666468</v>
      </c>
      <c r="BR6" s="3">
        <v>0.15004671280000001</v>
      </c>
      <c r="BS6" s="3">
        <v>0.15600660820000001</v>
      </c>
      <c r="BT6" s="3">
        <v>0.14646562299999999</v>
      </c>
      <c r="BU6" s="3">
        <v>0.1324703002</v>
      </c>
      <c r="BV6" s="3">
        <v>0.11705919670000001</v>
      </c>
      <c r="BW6" s="3">
        <v>0.1057227334</v>
      </c>
      <c r="BX6" s="3">
        <v>9.8027312899999997E-2</v>
      </c>
      <c r="BY6" s="3">
        <v>9.3400188199999998E-2</v>
      </c>
      <c r="BZ6" s="3">
        <v>8.6364779000000003E-2</v>
      </c>
      <c r="CA6" s="3">
        <v>7.4230361600000003E-2</v>
      </c>
      <c r="CB6" s="3">
        <v>6.1759802000000003E-2</v>
      </c>
      <c r="CC6" s="3">
        <v>5.0568994899999997E-2</v>
      </c>
      <c r="CD6" s="3">
        <v>5.7503080599999999E-2</v>
      </c>
      <c r="CE6" s="3">
        <v>6.5012658299999998E-2</v>
      </c>
      <c r="CF6" s="3">
        <v>8.1055387300000004E-2</v>
      </c>
      <c r="CG6" s="3">
        <v>8.7774273599999994E-2</v>
      </c>
      <c r="CH6" s="3">
        <v>8.5815498599999998E-2</v>
      </c>
      <c r="CI6" s="3">
        <v>8.0756882099999996E-2</v>
      </c>
      <c r="CJ6" s="3">
        <v>7.05412604E-2</v>
      </c>
      <c r="CK6" s="3">
        <v>6.6014289899999995E-2</v>
      </c>
      <c r="CL6" s="3">
        <v>5.5370983700000001E-2</v>
      </c>
      <c r="CM6" s="3">
        <v>4.8486583899999998E-2</v>
      </c>
      <c r="CN6" s="3">
        <v>4.0077510199999999E-2</v>
      </c>
      <c r="CO6" s="3">
        <v>3.3954113299999998E-2</v>
      </c>
      <c r="CP6" s="3">
        <v>3.0887744599999999E-2</v>
      </c>
      <c r="CQ6" s="3">
        <v>3.07557665E-2</v>
      </c>
    </row>
    <row r="7" spans="1:95" x14ac:dyDescent="0.25">
      <c r="A7" t="s">
        <v>260</v>
      </c>
      <c r="B7" s="1">
        <v>65273511</v>
      </c>
      <c r="C7" s="1">
        <v>547557</v>
      </c>
      <c r="D7" s="3">
        <v>0.5821734945</v>
      </c>
      <c r="E7" s="3">
        <v>1.2424742500000001E-2</v>
      </c>
      <c r="F7" s="3">
        <v>5.98583964E-2</v>
      </c>
      <c r="G7" s="3">
        <v>1.3764044899999999E-2</v>
      </c>
      <c r="AE7" s="3">
        <v>1.7173656799999999E-2</v>
      </c>
      <c r="AF7" s="3">
        <v>1.25810895E-2</v>
      </c>
      <c r="AG7" s="3">
        <v>1.2424742500000001E-2</v>
      </c>
      <c r="AH7" s="3">
        <v>1.2673690899999999E-2</v>
      </c>
      <c r="AI7" s="3">
        <v>1.33120635E-2</v>
      </c>
      <c r="AJ7" s="3">
        <v>1.43234551E-2</v>
      </c>
      <c r="AK7" s="3">
        <v>1.5307567500000001E-2</v>
      </c>
      <c r="AL7" s="3">
        <v>1.5862616E-2</v>
      </c>
      <c r="AM7" s="3">
        <v>1.6005082300000001E-2</v>
      </c>
      <c r="AN7" s="3">
        <v>1.5752878000000001E-2</v>
      </c>
      <c r="AO7" s="3">
        <v>1.5508500999999999E-2</v>
      </c>
      <c r="AP7" s="3">
        <v>1.5271592400000001E-2</v>
      </c>
      <c r="AQ7" s="3">
        <v>1.5041815E-2</v>
      </c>
      <c r="AR7" s="3">
        <v>3.7032991600000002E-2</v>
      </c>
      <c r="AS7" s="3">
        <v>0.14873008879999999</v>
      </c>
      <c r="AT7" s="3">
        <v>0.2900441393</v>
      </c>
      <c r="AU7" s="3">
        <v>0.47318933969999999</v>
      </c>
      <c r="AV7" s="3">
        <v>0.5821734945</v>
      </c>
      <c r="AW7" s="3">
        <v>0.56601534740000004</v>
      </c>
      <c r="AX7" s="3">
        <v>0.46814927499999998</v>
      </c>
      <c r="AY7" s="3">
        <v>0.36652812769999998</v>
      </c>
      <c r="AZ7" s="3">
        <v>0.31798054269999998</v>
      </c>
      <c r="BA7" s="3">
        <v>0.32941603949999998</v>
      </c>
      <c r="BB7" s="3">
        <v>0.39338657760000001</v>
      </c>
      <c r="BC7" s="3">
        <v>0.4152522803</v>
      </c>
      <c r="BD7" s="3">
        <v>0.39547260169999998</v>
      </c>
      <c r="BE7" s="3">
        <v>0.3303518252</v>
      </c>
      <c r="BF7" s="3">
        <v>0.27768437219999997</v>
      </c>
      <c r="BG7" s="3">
        <v>0.26727353729999997</v>
      </c>
      <c r="BH7" s="3">
        <v>0.28352753400000003</v>
      </c>
      <c r="BI7" s="3">
        <v>0.28127566469999998</v>
      </c>
      <c r="BJ7" s="3">
        <v>0.2439622736</v>
      </c>
      <c r="BK7" s="3">
        <v>0.22027201499999999</v>
      </c>
      <c r="BL7" s="3">
        <v>0.2048723643</v>
      </c>
      <c r="BM7" s="3">
        <v>0.20400655400000001</v>
      </c>
      <c r="BN7" s="3">
        <v>0.2154894597</v>
      </c>
      <c r="BO7" s="3">
        <v>0.2016266598</v>
      </c>
      <c r="BP7" s="3">
        <v>0.19076305700000001</v>
      </c>
      <c r="BQ7" s="3">
        <v>0.16459604899999999</v>
      </c>
      <c r="BR7" s="3">
        <v>0.16141461139999999</v>
      </c>
      <c r="BS7" s="3">
        <v>0.15646377210000001</v>
      </c>
      <c r="BT7" s="3">
        <v>0.15579636720000001</v>
      </c>
      <c r="BU7" s="3">
        <v>0.1562262549</v>
      </c>
      <c r="BV7" s="3">
        <v>0.1487816501</v>
      </c>
      <c r="BW7" s="3">
        <v>0.14413575689999999</v>
      </c>
      <c r="BX7" s="3">
        <v>0.1321291101</v>
      </c>
      <c r="BY7" s="3">
        <v>0.1237461338</v>
      </c>
      <c r="BZ7" s="3">
        <v>0.1187796906</v>
      </c>
      <c r="CA7" s="3">
        <v>0.1142378262</v>
      </c>
      <c r="CB7" s="3">
        <v>0.11025066829999999</v>
      </c>
      <c r="CC7" s="3">
        <v>0.1021042174</v>
      </c>
      <c r="CD7" s="3">
        <v>8.8402824199999994E-2</v>
      </c>
      <c r="CE7" s="3">
        <v>7.2639517799999997E-2</v>
      </c>
      <c r="CF7" s="3">
        <v>6.13656801E-2</v>
      </c>
      <c r="CG7" s="3">
        <v>5.4422984899999999E-2</v>
      </c>
      <c r="CH7" s="3">
        <v>5.1312598199999997E-2</v>
      </c>
      <c r="CI7" s="3">
        <v>4.9244895599999998E-2</v>
      </c>
      <c r="CJ7" s="3">
        <v>4.9575087300000001E-2</v>
      </c>
      <c r="CK7" s="3">
        <v>4.9708973699999999E-2</v>
      </c>
      <c r="CL7" s="3">
        <v>6.7888427400000007E-2</v>
      </c>
      <c r="CM7" s="3">
        <v>8.2641621799999995E-2</v>
      </c>
      <c r="CN7" s="3">
        <v>9.7013129000000003E-2</v>
      </c>
      <c r="CO7" s="3">
        <v>9.4086458100000006E-2</v>
      </c>
      <c r="CP7" s="3">
        <v>7.6469649700000003E-2</v>
      </c>
      <c r="CQ7" s="3">
        <v>5.98583964E-2</v>
      </c>
    </row>
    <row r="8" spans="1:95" x14ac:dyDescent="0.25">
      <c r="A8" t="s">
        <v>259</v>
      </c>
      <c r="B8" s="1">
        <v>83783942</v>
      </c>
      <c r="C8" s="1">
        <v>348560</v>
      </c>
      <c r="D8" s="3">
        <v>0.43310506840000002</v>
      </c>
      <c r="E8" s="3">
        <v>4.2644891000000002E-3</v>
      </c>
      <c r="F8" s="3">
        <v>1.9665182E-2</v>
      </c>
      <c r="G8" s="3">
        <v>2.68631353E-2</v>
      </c>
      <c r="Z8" s="3">
        <v>3.4653119099999997E-2</v>
      </c>
      <c r="AA8" s="3">
        <v>2.4588365300000001E-2</v>
      </c>
      <c r="AB8" s="3">
        <v>3.1785488799999997E-2</v>
      </c>
      <c r="AC8" s="3">
        <v>4.1466412799999998E-2</v>
      </c>
      <c r="AD8" s="3">
        <v>4.6476377899999997E-2</v>
      </c>
      <c r="AE8" s="3">
        <v>4.4552273099999998E-2</v>
      </c>
      <c r="AF8" s="3">
        <v>3.3185213300000002E-2</v>
      </c>
      <c r="AG8" s="3">
        <v>1.9651213899999999E-2</v>
      </c>
      <c r="AH8" s="3">
        <v>9.3520554999999995E-3</v>
      </c>
      <c r="AI8" s="3">
        <v>4.4151184000000001E-3</v>
      </c>
      <c r="AJ8" s="3">
        <v>4.3957103000000003E-3</v>
      </c>
      <c r="AK8" s="3">
        <v>4.3764722000000002E-3</v>
      </c>
      <c r="AL8" s="3">
        <v>4.3574017000000001E-3</v>
      </c>
      <c r="AM8" s="3">
        <v>4.3384966000000001E-3</v>
      </c>
      <c r="AN8" s="3">
        <v>4.3197549999999998E-3</v>
      </c>
      <c r="AO8" s="3">
        <v>4.3011745000000002E-3</v>
      </c>
      <c r="AP8" s="3">
        <v>4.2827532000000003E-3</v>
      </c>
      <c r="AQ8" s="3">
        <v>4.2644891000000002E-3</v>
      </c>
      <c r="AR8" s="3">
        <v>4.9912194E-2</v>
      </c>
      <c r="AS8" s="3">
        <v>0.15623299099999999</v>
      </c>
      <c r="AT8" s="3">
        <v>0.24371260829999999</v>
      </c>
      <c r="AU8" s="3">
        <v>0.35855158819999999</v>
      </c>
      <c r="AV8" s="3">
        <v>0.43310506840000002</v>
      </c>
      <c r="AW8" s="3">
        <v>0.42200566750000001</v>
      </c>
      <c r="AX8" s="3">
        <v>0.41494347929999997</v>
      </c>
      <c r="AY8" s="3">
        <v>0.3742310761</v>
      </c>
      <c r="AZ8" s="3">
        <v>0.38292517469999998</v>
      </c>
      <c r="BA8" s="3">
        <v>0.40007208849999998</v>
      </c>
      <c r="BB8" s="3">
        <v>0.41621399809999998</v>
      </c>
      <c r="BC8" s="3">
        <v>0.42005077870000002</v>
      </c>
      <c r="BD8" s="3">
        <v>0.33825805390000002</v>
      </c>
      <c r="BE8" s="3">
        <v>0.2695297418</v>
      </c>
      <c r="BF8" s="3">
        <v>0.235160965</v>
      </c>
      <c r="BG8" s="3">
        <v>0.2136247322</v>
      </c>
      <c r="BH8" s="3">
        <v>0.26255276249999998</v>
      </c>
      <c r="BI8" s="3">
        <v>0.2952508915</v>
      </c>
      <c r="BJ8" s="3">
        <v>0.32638571830000002</v>
      </c>
      <c r="BK8" s="3">
        <v>0.34195791479999998</v>
      </c>
      <c r="BL8" s="3">
        <v>0.30653677369999999</v>
      </c>
      <c r="BM8" s="3">
        <v>0.29255758450000002</v>
      </c>
      <c r="BN8" s="3">
        <v>0.27294795560000001</v>
      </c>
      <c r="BO8" s="3">
        <v>0.28074743070000002</v>
      </c>
      <c r="BP8" s="3">
        <v>0.26619042399999998</v>
      </c>
      <c r="BQ8" s="3">
        <v>0.23410656469999999</v>
      </c>
      <c r="BR8" s="3">
        <v>0.1984990928</v>
      </c>
      <c r="BS8" s="3">
        <v>0.1630856852</v>
      </c>
      <c r="BT8" s="3">
        <v>0.14713975560000001</v>
      </c>
      <c r="BU8" s="3">
        <v>0.14300862189999999</v>
      </c>
      <c r="BV8" s="3">
        <v>0.1477463812</v>
      </c>
      <c r="BW8" s="3">
        <v>0.15092394349999999</v>
      </c>
      <c r="BX8" s="3">
        <v>0.1447883794</v>
      </c>
      <c r="BY8" s="3">
        <v>0.1306035344</v>
      </c>
      <c r="BZ8" s="3">
        <v>0.1102797943</v>
      </c>
      <c r="CA8" s="3">
        <v>9.1633258499999995E-2</v>
      </c>
      <c r="CB8" s="3">
        <v>8.2655039E-2</v>
      </c>
      <c r="CC8" s="3">
        <v>7.9846583900000004E-2</v>
      </c>
      <c r="CD8" s="3">
        <v>7.8886474600000006E-2</v>
      </c>
      <c r="CE8" s="3">
        <v>7.3284360000000007E-2</v>
      </c>
      <c r="CF8" s="3">
        <v>6.3182434499999995E-2</v>
      </c>
      <c r="CG8" s="3">
        <v>5.2234027400000001E-2</v>
      </c>
      <c r="CH8" s="3">
        <v>4.4930961800000002E-2</v>
      </c>
      <c r="CI8" s="3">
        <v>4.2276355500000001E-2</v>
      </c>
      <c r="CJ8" s="3">
        <v>4.2344635800000002E-2</v>
      </c>
      <c r="CK8" s="3">
        <v>4.0889405099999998E-2</v>
      </c>
      <c r="CL8" s="3">
        <v>3.69089711E-2</v>
      </c>
      <c r="CM8" s="3">
        <v>3.07607464E-2</v>
      </c>
      <c r="CN8" s="3">
        <v>2.4292790299999999E-2</v>
      </c>
      <c r="CO8" s="3">
        <v>2.0525132200000001E-2</v>
      </c>
      <c r="CP8" s="3">
        <v>1.87223883E-2</v>
      </c>
      <c r="CQ8" s="3">
        <v>1.9665182E-2</v>
      </c>
    </row>
    <row r="9" spans="1:95" x14ac:dyDescent="0.25">
      <c r="A9" t="s">
        <v>258</v>
      </c>
      <c r="B9" s="1">
        <v>1380004385</v>
      </c>
      <c r="C9" s="1">
        <v>2973190</v>
      </c>
      <c r="D9" s="3">
        <v>0.2561535976</v>
      </c>
      <c r="E9" s="3">
        <v>9.2961562100000006E-2</v>
      </c>
      <c r="F9" s="3">
        <v>9.2961562100000006E-2</v>
      </c>
      <c r="G9" s="3">
        <v>6.8652271000000001E-2</v>
      </c>
      <c r="BD9" s="3">
        <v>0.1170572436</v>
      </c>
      <c r="BE9" s="3">
        <v>0.115892272</v>
      </c>
      <c r="BF9" s="3">
        <v>0.1409735262</v>
      </c>
      <c r="BG9" s="3">
        <v>0.1641260481</v>
      </c>
      <c r="BH9" s="3">
        <v>0.16950056550000001</v>
      </c>
      <c r="BI9" s="3">
        <v>0.16819006719999999</v>
      </c>
      <c r="BJ9" s="3">
        <v>0.16542047360000001</v>
      </c>
      <c r="BK9" s="3">
        <v>0.14994819240000001</v>
      </c>
      <c r="BL9" s="3">
        <v>0.1457845639</v>
      </c>
      <c r="BM9" s="3">
        <v>0.1286277726</v>
      </c>
      <c r="BN9" s="3">
        <v>0.13449389549999999</v>
      </c>
      <c r="BO9" s="3">
        <v>0.15480856030000001</v>
      </c>
      <c r="BP9" s="3">
        <v>0.1970778762</v>
      </c>
      <c r="BQ9" s="3">
        <v>0.2349771433</v>
      </c>
      <c r="BR9" s="3">
        <v>0.2561535976</v>
      </c>
      <c r="BS9" s="3">
        <v>0.24584294500000001</v>
      </c>
      <c r="BT9" s="3">
        <v>0.21831554240000001</v>
      </c>
      <c r="BU9" s="3">
        <v>0.18613022730000001</v>
      </c>
      <c r="BV9" s="3">
        <v>0.16686405409999999</v>
      </c>
      <c r="BW9" s="3">
        <v>0.16111485040000001</v>
      </c>
      <c r="BX9" s="3">
        <v>0.14399599909999999</v>
      </c>
      <c r="BY9" s="3">
        <v>0.14168338820000001</v>
      </c>
      <c r="BZ9" s="3">
        <v>0.1276423672</v>
      </c>
      <c r="CA9" s="3">
        <v>0.156071549</v>
      </c>
      <c r="CB9" s="3">
        <v>0.1964249277</v>
      </c>
      <c r="CC9" s="3">
        <v>0.21497087040000001</v>
      </c>
      <c r="CD9" s="3">
        <v>0.2221424179</v>
      </c>
      <c r="CE9" s="3">
        <v>0.18744344530000001</v>
      </c>
      <c r="CF9" s="3">
        <v>0.1783447111</v>
      </c>
      <c r="CG9" s="3">
        <v>0.17777100100000001</v>
      </c>
      <c r="CH9" s="3">
        <v>0.18226935799999999</v>
      </c>
      <c r="CI9" s="3">
        <v>0.18071606940000001</v>
      </c>
      <c r="CJ9" s="3">
        <v>0.15309438519999999</v>
      </c>
      <c r="CK9" s="3">
        <v>0.1358952346</v>
      </c>
      <c r="CL9" s="3">
        <v>0.1207200095</v>
      </c>
      <c r="CM9" s="3">
        <v>0.1185716919</v>
      </c>
      <c r="CN9" s="3">
        <v>0.11378104159999999</v>
      </c>
      <c r="CO9" s="3">
        <v>0.10755981069999999</v>
      </c>
      <c r="CP9" s="3">
        <v>0.1020174132</v>
      </c>
      <c r="CQ9" s="3">
        <v>9.2961562100000006E-2</v>
      </c>
    </row>
    <row r="10" spans="1:95" x14ac:dyDescent="0.25">
      <c r="A10" t="s">
        <v>257</v>
      </c>
      <c r="B10" s="1">
        <v>83992949</v>
      </c>
      <c r="C10" s="1">
        <v>1628550</v>
      </c>
      <c r="D10" s="3">
        <v>0.6052885388</v>
      </c>
      <c r="E10" s="3">
        <v>2.1241931499999998E-2</v>
      </c>
      <c r="F10" s="3">
        <v>2.1241931499999998E-2</v>
      </c>
      <c r="G10" s="3">
        <v>1.9219180700000001E-2</v>
      </c>
      <c r="AS10" s="3">
        <v>0.52312791150000004</v>
      </c>
      <c r="AT10" s="3">
        <v>0.55510902679999996</v>
      </c>
      <c r="AU10" s="3">
        <v>0.57546713660000004</v>
      </c>
      <c r="AV10" s="3">
        <v>0.6052885388</v>
      </c>
      <c r="AW10" s="3">
        <v>0.59137094489999997</v>
      </c>
      <c r="AX10" s="3">
        <v>0.58031894969999998</v>
      </c>
      <c r="AY10" s="3">
        <v>0.5323147922</v>
      </c>
      <c r="AZ10" s="3">
        <v>0.4546337802</v>
      </c>
      <c r="BA10" s="3">
        <v>0.3812572454</v>
      </c>
      <c r="BB10" s="3">
        <v>0.30774997970000001</v>
      </c>
      <c r="BC10" s="3">
        <v>0.26184715180000001</v>
      </c>
      <c r="BD10" s="3">
        <v>0.22186834220000001</v>
      </c>
      <c r="BE10" s="3">
        <v>0.18121716099999999</v>
      </c>
      <c r="BF10" s="3">
        <v>0.14496841220000001</v>
      </c>
      <c r="BG10" s="3">
        <v>0.12158720670000001</v>
      </c>
      <c r="BH10" s="3">
        <v>0.1170456064</v>
      </c>
      <c r="BI10" s="3">
        <v>0.11929681960000001</v>
      </c>
      <c r="BJ10" s="3">
        <v>0.11961094680000001</v>
      </c>
      <c r="BK10" s="3">
        <v>0.1133050874</v>
      </c>
      <c r="BL10" s="3">
        <v>0.1032697875</v>
      </c>
      <c r="BM10" s="3">
        <v>9.1635237699999997E-2</v>
      </c>
      <c r="BN10" s="3">
        <v>8.1022613199999996E-2</v>
      </c>
      <c r="BO10" s="3">
        <v>7.3930934700000006E-2</v>
      </c>
      <c r="BP10" s="3">
        <v>6.7942929999999999E-2</v>
      </c>
      <c r="BQ10" s="3">
        <v>6.2737960100000004E-2</v>
      </c>
      <c r="BR10" s="3">
        <v>5.8897912400000002E-2</v>
      </c>
      <c r="BS10" s="3">
        <v>5.8259364700000003E-2</v>
      </c>
      <c r="BT10" s="3">
        <v>6.2917955299999995E-2</v>
      </c>
      <c r="BU10" s="3">
        <v>7.0350042000000002E-2</v>
      </c>
      <c r="BV10" s="3">
        <v>7.9754194799999997E-2</v>
      </c>
      <c r="BW10" s="3">
        <v>8.7334465299999997E-2</v>
      </c>
      <c r="BX10" s="3">
        <v>9.0911539E-2</v>
      </c>
      <c r="BY10" s="3">
        <v>9.12894816E-2</v>
      </c>
      <c r="BZ10" s="3">
        <v>8.8089809000000005E-2</v>
      </c>
      <c r="CA10" s="3">
        <v>8.3105937000000005E-2</v>
      </c>
      <c r="CB10" s="3">
        <v>7.6969680100000007E-2</v>
      </c>
      <c r="CC10" s="3">
        <v>7.0397558299999996E-2</v>
      </c>
      <c r="CD10" s="3">
        <v>6.3910371300000005E-2</v>
      </c>
      <c r="CE10" s="3">
        <v>5.7427807900000002E-2</v>
      </c>
      <c r="CF10" s="3">
        <v>5.1597262099999999E-2</v>
      </c>
      <c r="CG10" s="3">
        <v>4.6378710300000001E-2</v>
      </c>
      <c r="CH10" s="3">
        <v>4.1678291999999999E-2</v>
      </c>
      <c r="CI10" s="3">
        <v>3.71305236E-2</v>
      </c>
      <c r="CJ10" s="3">
        <v>3.3433676900000001E-2</v>
      </c>
      <c r="CK10" s="3">
        <v>3.04657596E-2</v>
      </c>
      <c r="CL10" s="3">
        <v>2.8383557699999999E-2</v>
      </c>
      <c r="CM10" s="3">
        <v>2.6850914100000001E-2</v>
      </c>
      <c r="CN10" s="3">
        <v>2.52442469E-2</v>
      </c>
      <c r="CO10" s="3">
        <v>2.3753624000000001E-2</v>
      </c>
      <c r="CP10" s="3">
        <v>2.2294007800000001E-2</v>
      </c>
      <c r="CQ10" s="3">
        <v>2.1241931499999998E-2</v>
      </c>
    </row>
    <row r="11" spans="1:95" x14ac:dyDescent="0.25">
      <c r="A11" t="s">
        <v>256</v>
      </c>
      <c r="B11" s="1">
        <v>60461826</v>
      </c>
      <c r="C11" s="1">
        <v>294140</v>
      </c>
      <c r="D11" s="3">
        <v>0.56728119539999999</v>
      </c>
      <c r="E11" s="3">
        <v>1.98939983E-2</v>
      </c>
      <c r="F11" s="3">
        <v>1.98939983E-2</v>
      </c>
      <c r="G11" s="3">
        <v>2.0675857299999999E-2</v>
      </c>
      <c r="AS11" s="3">
        <v>0.56728119539999999</v>
      </c>
      <c r="AT11" s="3">
        <v>0.45447553149999997</v>
      </c>
      <c r="AU11" s="3">
        <v>0.3946566332</v>
      </c>
      <c r="AV11" s="3">
        <v>0.38646863460000003</v>
      </c>
      <c r="AW11" s="3">
        <v>0.35762669289999999</v>
      </c>
      <c r="AX11" s="3">
        <v>0.3292807848</v>
      </c>
      <c r="AY11" s="3">
        <v>0.29992999399999998</v>
      </c>
      <c r="AZ11" s="3">
        <v>0.26328978619999999</v>
      </c>
      <c r="BA11" s="3">
        <v>0.242627288</v>
      </c>
      <c r="BB11" s="3">
        <v>0.23242417000000001</v>
      </c>
      <c r="BC11" s="3">
        <v>0.23762314239999999</v>
      </c>
      <c r="BD11" s="3">
        <v>0.2412545576</v>
      </c>
      <c r="BE11" s="3">
        <v>0.2321292975</v>
      </c>
      <c r="BF11" s="3">
        <v>0.21935918439999999</v>
      </c>
      <c r="BG11" s="3">
        <v>0.20455826290000001</v>
      </c>
      <c r="BH11" s="3">
        <v>0.19134198520000001</v>
      </c>
      <c r="BI11" s="3">
        <v>0.19190411199999999</v>
      </c>
      <c r="BJ11" s="3">
        <v>0.1891977608</v>
      </c>
      <c r="BK11" s="3">
        <v>0.1834037211</v>
      </c>
      <c r="BL11" s="3">
        <v>0.16849484649999999</v>
      </c>
      <c r="BM11" s="3">
        <v>0.15293607980000001</v>
      </c>
      <c r="BN11" s="3">
        <v>0.1423736665</v>
      </c>
      <c r="BO11" s="3">
        <v>0.13766754959999999</v>
      </c>
      <c r="BP11" s="3">
        <v>0.13873144379999999</v>
      </c>
      <c r="BQ11" s="3">
        <v>0.13813370359999999</v>
      </c>
      <c r="BR11" s="3">
        <v>0.13022034269999999</v>
      </c>
      <c r="BS11" s="3">
        <v>0.11637096769999999</v>
      </c>
      <c r="BT11" s="3">
        <v>0.100162631</v>
      </c>
      <c r="BU11" s="3">
        <v>8.8388111300000002E-2</v>
      </c>
      <c r="BV11" s="3">
        <v>8.1292115999999998E-2</v>
      </c>
      <c r="BW11" s="3">
        <v>7.7947274699999999E-2</v>
      </c>
      <c r="BX11" s="3">
        <v>7.4576729100000003E-2</v>
      </c>
      <c r="BY11" s="3">
        <v>6.8251112000000003E-2</v>
      </c>
      <c r="BZ11" s="3">
        <v>6.0317923099999997E-2</v>
      </c>
      <c r="CA11" s="3">
        <v>5.21643938E-2</v>
      </c>
      <c r="CB11" s="3">
        <v>4.6333304800000003E-2</v>
      </c>
      <c r="CC11" s="3">
        <v>4.3153975999999997E-2</v>
      </c>
      <c r="CD11" s="3">
        <v>4.1914697399999999E-2</v>
      </c>
      <c r="CE11" s="3">
        <v>4.0885574899999999E-2</v>
      </c>
      <c r="CF11" s="3">
        <v>3.8786490299999997E-2</v>
      </c>
      <c r="CG11" s="3">
        <v>3.5291945499999998E-2</v>
      </c>
      <c r="CH11" s="3">
        <v>3.17183267E-2</v>
      </c>
      <c r="CI11" s="3">
        <v>2.8994398399999999E-2</v>
      </c>
      <c r="CJ11" s="3">
        <v>2.7642997200000002E-2</v>
      </c>
      <c r="CK11" s="3">
        <v>2.8009821899999999E-2</v>
      </c>
      <c r="CL11" s="3">
        <v>2.8596119999999999E-2</v>
      </c>
      <c r="CM11" s="3">
        <v>2.8342139200000002E-2</v>
      </c>
      <c r="CN11" s="3">
        <v>2.6633645800000001E-2</v>
      </c>
      <c r="CO11" s="3">
        <v>2.3765857599999999E-2</v>
      </c>
      <c r="CP11" s="3">
        <v>2.1425609599999999E-2</v>
      </c>
      <c r="CQ11" s="3">
        <v>1.98939983E-2</v>
      </c>
    </row>
    <row r="12" spans="1:95" x14ac:dyDescent="0.25">
      <c r="A12" t="s">
        <v>255</v>
      </c>
      <c r="B12" s="1">
        <v>126476461</v>
      </c>
      <c r="C12" s="1">
        <v>364555</v>
      </c>
      <c r="D12" s="3">
        <v>0.2351557953</v>
      </c>
      <c r="E12" s="3">
        <v>2.2671447000000001E-2</v>
      </c>
      <c r="F12" s="3">
        <v>7.1375069200000002E-2</v>
      </c>
      <c r="G12" s="3">
        <v>0.1345930907</v>
      </c>
      <c r="W12" s="3">
        <v>9.5830786700000004E-2</v>
      </c>
      <c r="X12" s="3">
        <v>5.5148215E-2</v>
      </c>
      <c r="Y12" s="3">
        <v>3.8090464300000001E-2</v>
      </c>
      <c r="Z12" s="3">
        <v>3.8709430699999998E-2</v>
      </c>
      <c r="AA12" s="3">
        <v>3.6292615299999997E-2</v>
      </c>
      <c r="AB12" s="3">
        <v>3.16755196E-2</v>
      </c>
      <c r="AC12" s="3">
        <v>2.6690096100000001E-2</v>
      </c>
      <c r="AD12" s="3">
        <v>2.4269863499999999E-2</v>
      </c>
      <c r="AE12" s="3">
        <v>2.3148860399999999E-2</v>
      </c>
      <c r="AF12" s="3">
        <v>2.2671447000000001E-2</v>
      </c>
      <c r="AG12" s="3">
        <v>5.8690506500000003E-2</v>
      </c>
      <c r="AH12" s="3">
        <v>0.1242537913</v>
      </c>
      <c r="AI12" s="3">
        <v>0.18979773210000001</v>
      </c>
      <c r="AJ12" s="3">
        <v>0.2351557953</v>
      </c>
      <c r="AK12" s="3">
        <v>0.2218573036</v>
      </c>
      <c r="AL12" s="3">
        <v>0.17769359000000001</v>
      </c>
      <c r="AM12" s="3">
        <v>0.13925065889999999</v>
      </c>
      <c r="AN12" s="3">
        <v>0.12697164450000001</v>
      </c>
      <c r="AO12" s="3">
        <v>0.1367262679</v>
      </c>
      <c r="AP12" s="3">
        <v>0.14159171179999999</v>
      </c>
      <c r="AQ12" s="3">
        <v>0.13882011450000001</v>
      </c>
      <c r="AR12" s="3">
        <v>0.1270837333</v>
      </c>
      <c r="AS12" s="3">
        <v>0.11255311730000001</v>
      </c>
      <c r="AT12" s="3">
        <v>0.1019106931</v>
      </c>
      <c r="AU12" s="3">
        <v>9.4468931300000003E-2</v>
      </c>
      <c r="AV12" s="3">
        <v>8.7682301099999999E-2</v>
      </c>
      <c r="AW12" s="3">
        <v>7.70229038E-2</v>
      </c>
      <c r="AX12" s="3">
        <v>6.8667541900000004E-2</v>
      </c>
      <c r="AY12" s="3">
        <v>7.0813673699999996E-2</v>
      </c>
      <c r="AZ12" s="3">
        <v>7.9354913700000002E-2</v>
      </c>
      <c r="BA12" s="3">
        <v>9.5632535000000005E-2</v>
      </c>
      <c r="BB12" s="3">
        <v>0.10813580239999999</v>
      </c>
      <c r="BC12" s="3">
        <v>0.1140032577</v>
      </c>
      <c r="BD12" s="3">
        <v>0.1063068368</v>
      </c>
      <c r="BE12" s="3">
        <v>9.4444050000000002E-2</v>
      </c>
      <c r="BF12" s="3">
        <v>8.67541857E-2</v>
      </c>
      <c r="BG12" s="3">
        <v>8.1209632099999998E-2</v>
      </c>
      <c r="BH12" s="3">
        <v>8.0624086499999997E-2</v>
      </c>
      <c r="BI12" s="3">
        <v>7.6921669999999998E-2</v>
      </c>
      <c r="BJ12" s="3">
        <v>7.5151440700000002E-2</v>
      </c>
      <c r="BK12" s="3">
        <v>6.9253704400000005E-2</v>
      </c>
      <c r="BL12" s="3">
        <v>6.3938131300000006E-2</v>
      </c>
      <c r="BM12" s="3">
        <v>5.1954147899999997E-2</v>
      </c>
      <c r="BN12" s="3">
        <v>3.8566993500000001E-2</v>
      </c>
      <c r="BO12" s="3">
        <v>2.9576570199999999E-2</v>
      </c>
      <c r="BP12" s="3">
        <v>2.95779743E-2</v>
      </c>
      <c r="BQ12" s="3">
        <v>3.9960749800000001E-2</v>
      </c>
      <c r="BR12" s="3">
        <v>4.7185701900000002E-2</v>
      </c>
      <c r="BS12" s="3">
        <v>5.3695525600000002E-2</v>
      </c>
      <c r="BT12" s="3">
        <v>5.8137699799999998E-2</v>
      </c>
      <c r="BU12" s="3">
        <v>6.0678293100000003E-2</v>
      </c>
      <c r="BV12" s="3">
        <v>6.4935711100000001E-2</v>
      </c>
      <c r="BW12" s="3">
        <v>7.3705339100000003E-2</v>
      </c>
      <c r="BX12" s="3">
        <v>8.4951692699999998E-2</v>
      </c>
      <c r="BY12" s="3">
        <v>8.9089118699999997E-2</v>
      </c>
      <c r="BZ12" s="3">
        <v>8.31402891E-2</v>
      </c>
      <c r="CA12" s="3">
        <v>7.3527337200000001E-2</v>
      </c>
      <c r="CB12" s="3">
        <v>7.1483867500000006E-2</v>
      </c>
      <c r="CC12" s="3">
        <v>7.4520802999999997E-2</v>
      </c>
      <c r="CD12" s="3">
        <v>9.5510179599999995E-2</v>
      </c>
      <c r="CE12" s="3">
        <v>0.1094729348</v>
      </c>
      <c r="CF12" s="3">
        <v>0.11359009790000001</v>
      </c>
      <c r="CG12" s="3">
        <v>0.1072254985</v>
      </c>
      <c r="CH12" s="3">
        <v>9.3956774600000001E-2</v>
      </c>
      <c r="CI12" s="3">
        <v>8.8107314399999997E-2</v>
      </c>
      <c r="CJ12" s="3">
        <v>9.1336785599999998E-2</v>
      </c>
      <c r="CK12" s="3">
        <v>0.10274271190000001</v>
      </c>
      <c r="CL12" s="3">
        <v>0.115282932</v>
      </c>
      <c r="CM12" s="3">
        <v>0.11909387220000001</v>
      </c>
      <c r="CN12" s="3">
        <v>0.10772683800000001</v>
      </c>
      <c r="CO12" s="3">
        <v>9.2902243499999995E-2</v>
      </c>
      <c r="CP12" s="3">
        <v>7.4500130600000006E-2</v>
      </c>
      <c r="CQ12" s="3">
        <v>7.1375069200000002E-2</v>
      </c>
    </row>
    <row r="13" spans="1:95" x14ac:dyDescent="0.25">
      <c r="A13" t="s">
        <v>254</v>
      </c>
      <c r="B13" s="1">
        <v>51269185</v>
      </c>
      <c r="C13" s="1">
        <v>97230</v>
      </c>
      <c r="D13" s="3">
        <v>0.76214663410000005</v>
      </c>
      <c r="E13" s="3">
        <v>2.4490431000000002E-3</v>
      </c>
      <c r="F13" s="3">
        <v>2.4490431000000002E-3</v>
      </c>
      <c r="G13" s="3">
        <v>2.0729294E-3</v>
      </c>
      <c r="X13" s="3">
        <v>0.11150417730000001</v>
      </c>
      <c r="Y13" s="3">
        <v>0.11632011759999999</v>
      </c>
      <c r="Z13" s="3">
        <v>0.11355910230000001</v>
      </c>
      <c r="AA13" s="3">
        <v>9.8370829100000001E-2</v>
      </c>
      <c r="AB13" s="3">
        <v>7.1663305400000002E-2</v>
      </c>
      <c r="AC13" s="3">
        <v>4.9268204599999997E-2</v>
      </c>
      <c r="AD13" s="3">
        <v>3.8614355699999998E-2</v>
      </c>
      <c r="AE13" s="3">
        <v>3.5787715599999999E-2</v>
      </c>
      <c r="AF13" s="3">
        <v>2.7293499299999999E-2</v>
      </c>
      <c r="AG13" s="3">
        <v>1.7652081399999998E-2</v>
      </c>
      <c r="AH13" s="3">
        <v>9.4797327000000001E-3</v>
      </c>
      <c r="AI13" s="3">
        <v>9.3250181000000005E-3</v>
      </c>
      <c r="AJ13" s="3">
        <v>1.3796362600000001E-2</v>
      </c>
      <c r="AK13" s="3">
        <v>0.1062517226</v>
      </c>
      <c r="AL13" s="3">
        <v>0.23730800099999999</v>
      </c>
      <c r="AM13" s="3">
        <v>0.43806612560000002</v>
      </c>
      <c r="AN13" s="3">
        <v>0.69392401309999996</v>
      </c>
      <c r="AO13" s="3">
        <v>0.76214663410000005</v>
      </c>
      <c r="AP13" s="3">
        <v>0.74276151560000003</v>
      </c>
      <c r="AQ13" s="3">
        <v>0.5919955173</v>
      </c>
      <c r="AR13" s="3">
        <v>0.426807561</v>
      </c>
      <c r="AS13" s="3">
        <v>0.3407743426</v>
      </c>
      <c r="AT13" s="3">
        <v>0.30175116289999998</v>
      </c>
      <c r="AU13" s="3">
        <v>0.3168463172</v>
      </c>
      <c r="AV13" s="3">
        <v>0.31643099190000001</v>
      </c>
      <c r="AW13" s="3">
        <v>0.29385132050000001</v>
      </c>
      <c r="AX13" s="3">
        <v>0.25383134219999998</v>
      </c>
      <c r="AY13" s="3">
        <v>0.20203300099999999</v>
      </c>
      <c r="AZ13" s="3">
        <v>0.16337974129999999</v>
      </c>
      <c r="BA13" s="3">
        <v>0.13009966749999999</v>
      </c>
      <c r="BB13" s="3">
        <v>0.10440006759999999</v>
      </c>
      <c r="BC13" s="3">
        <v>8.4525657300000001E-2</v>
      </c>
      <c r="BD13" s="3">
        <v>6.6200310499999998E-2</v>
      </c>
      <c r="BE13" s="3">
        <v>5.06931942E-2</v>
      </c>
      <c r="BF13" s="3">
        <v>3.6307210899999998E-2</v>
      </c>
      <c r="BG13" s="3">
        <v>2.5158744E-2</v>
      </c>
      <c r="BH13" s="3">
        <v>1.96789359E-2</v>
      </c>
      <c r="BI13" s="3">
        <v>1.77784821E-2</v>
      </c>
      <c r="BJ13" s="3">
        <v>1.58945983E-2</v>
      </c>
      <c r="BK13" s="3">
        <v>1.4247231799999999E-2</v>
      </c>
      <c r="BL13" s="3">
        <v>1.16063117E-2</v>
      </c>
      <c r="BM13" s="3">
        <v>1.0639959399999999E-2</v>
      </c>
      <c r="BN13" s="3">
        <v>1.08730939E-2</v>
      </c>
      <c r="BO13" s="3">
        <v>1.15015645E-2</v>
      </c>
      <c r="BP13" s="3">
        <v>1.28772088E-2</v>
      </c>
      <c r="BQ13" s="3">
        <v>1.41449556E-2</v>
      </c>
      <c r="BR13" s="3">
        <v>1.4135353599999999E-2</v>
      </c>
      <c r="BS13" s="3">
        <v>1.3075295900000001E-2</v>
      </c>
      <c r="BT13" s="3">
        <v>1.0937405799999999E-2</v>
      </c>
      <c r="BU13" s="3">
        <v>9.3615114999999992E-3</v>
      </c>
      <c r="BV13" s="3">
        <v>8.7688464000000004E-3</v>
      </c>
      <c r="BW13" s="3">
        <v>9.6206168000000005E-3</v>
      </c>
      <c r="BX13" s="3">
        <v>1.10401988E-2</v>
      </c>
      <c r="BY13" s="3">
        <v>1.1711314400000001E-2</v>
      </c>
      <c r="BZ13" s="3">
        <v>1.1702044199999999E-2</v>
      </c>
      <c r="CA13" s="3">
        <v>1.12434808E-2</v>
      </c>
      <c r="CB13" s="3">
        <v>1.0880204100000001E-2</v>
      </c>
      <c r="CC13" s="3">
        <v>1.03105087E-2</v>
      </c>
      <c r="CD13" s="3">
        <v>9.8768198000000005E-3</v>
      </c>
      <c r="CE13" s="3">
        <v>9.4198227000000002E-3</v>
      </c>
      <c r="CF13" s="3">
        <v>8.5576062999999994E-3</v>
      </c>
      <c r="CG13" s="3">
        <v>7.6559899999999997E-3</v>
      </c>
      <c r="CH13" s="3">
        <v>6.5996112999999997E-3</v>
      </c>
      <c r="CI13" s="3">
        <v>5.5600887000000002E-3</v>
      </c>
      <c r="CJ13" s="3">
        <v>4.693521E-3</v>
      </c>
      <c r="CK13" s="3">
        <v>4.0352141999999997E-3</v>
      </c>
      <c r="CL13" s="3">
        <v>3.5537076999999999E-3</v>
      </c>
      <c r="CM13" s="3">
        <v>3.1245761E-3</v>
      </c>
      <c r="CN13" s="3">
        <v>2.8352811999999999E-3</v>
      </c>
      <c r="CO13" s="3">
        <v>2.6921991999999998E-3</v>
      </c>
      <c r="CP13" s="3">
        <v>2.5820564999999998E-3</v>
      </c>
      <c r="CQ13" s="3">
        <v>2.4490431000000002E-3</v>
      </c>
    </row>
    <row r="14" spans="1:95" x14ac:dyDescent="0.25">
      <c r="A14" t="s">
        <v>253</v>
      </c>
      <c r="B14" s="1">
        <v>10196709</v>
      </c>
      <c r="C14" s="1">
        <v>91590</v>
      </c>
      <c r="D14" s="3">
        <v>0.4156408613</v>
      </c>
      <c r="E14" s="3">
        <v>3.1082284799999998E-2</v>
      </c>
      <c r="F14" s="3">
        <v>3.1082284799999998E-2</v>
      </c>
      <c r="G14" s="3">
        <v>9.6067088000000005E-3</v>
      </c>
      <c r="BG14" s="3">
        <v>0.3099383027</v>
      </c>
      <c r="BH14" s="3">
        <v>0.31607401299999999</v>
      </c>
      <c r="BI14" s="3">
        <v>0.36201249819999998</v>
      </c>
      <c r="BJ14" s="3">
        <v>0.40365899230000002</v>
      </c>
      <c r="BK14" s="3">
        <v>0.4156408613</v>
      </c>
      <c r="BL14" s="3">
        <v>0.41352387010000002</v>
      </c>
      <c r="BM14" s="3">
        <v>0.39689565170000002</v>
      </c>
      <c r="BN14" s="3">
        <v>0.36935845569999998</v>
      </c>
      <c r="BO14" s="3">
        <v>0.3427094644</v>
      </c>
      <c r="BP14" s="3">
        <v>0.31746413979999999</v>
      </c>
      <c r="BQ14" s="3">
        <v>0.29295583829999999</v>
      </c>
      <c r="BR14" s="3">
        <v>0.27840409560000001</v>
      </c>
      <c r="BS14" s="3">
        <v>0.2557814672</v>
      </c>
      <c r="BT14" s="3">
        <v>0.24521194369999999</v>
      </c>
      <c r="BU14" s="3">
        <v>0.22911791419999999</v>
      </c>
      <c r="BV14" s="3">
        <v>0.21617074050000001</v>
      </c>
      <c r="BW14" s="3">
        <v>0.2117142447</v>
      </c>
      <c r="BX14" s="3">
        <v>0.20039204990000001</v>
      </c>
      <c r="BY14" s="3">
        <v>0.1848072335</v>
      </c>
      <c r="BZ14" s="3">
        <v>0.1636202541</v>
      </c>
      <c r="CA14" s="3">
        <v>0.1422797885</v>
      </c>
      <c r="CB14" s="3">
        <v>0.1256854892</v>
      </c>
      <c r="CC14" s="3">
        <v>0.1156269794</v>
      </c>
      <c r="CD14" s="3">
        <v>0.104108218</v>
      </c>
      <c r="CE14" s="3">
        <v>9.4248131499999999E-2</v>
      </c>
      <c r="CF14" s="3">
        <v>7.9114719099999994E-2</v>
      </c>
      <c r="CG14" s="3">
        <v>6.8753756599999993E-2</v>
      </c>
      <c r="CH14" s="3">
        <v>6.1001113699999998E-2</v>
      </c>
      <c r="CI14" s="3">
        <v>5.6897116300000002E-2</v>
      </c>
      <c r="CJ14" s="3">
        <v>6.1471890100000003E-2</v>
      </c>
      <c r="CK14" s="3">
        <v>6.3887655599999996E-2</v>
      </c>
      <c r="CL14" s="3">
        <v>6.5233332399999996E-2</v>
      </c>
      <c r="CM14" s="3">
        <v>5.7810903099999998E-2</v>
      </c>
      <c r="CN14" s="3">
        <v>4.6041478099999998E-2</v>
      </c>
      <c r="CO14" s="3">
        <v>3.6774110999999998E-2</v>
      </c>
      <c r="CP14" s="3">
        <v>3.1454348700000002E-2</v>
      </c>
      <c r="CQ14" s="3">
        <v>3.1082284799999998E-2</v>
      </c>
    </row>
    <row r="15" spans="1:95" x14ac:dyDescent="0.25">
      <c r="A15" t="s">
        <v>252</v>
      </c>
      <c r="B15" s="1">
        <v>145934462</v>
      </c>
      <c r="C15" s="1">
        <v>16376870</v>
      </c>
      <c r="D15" s="3">
        <v>0.3099383027</v>
      </c>
      <c r="E15" s="3">
        <v>0.1246826504</v>
      </c>
      <c r="F15" s="3">
        <v>0.15356825700000001</v>
      </c>
      <c r="G15" s="3">
        <v>0.14567971939999999</v>
      </c>
      <c r="BG15" s="3">
        <v>0.1246826504</v>
      </c>
      <c r="BH15" s="3">
        <v>0.17725376770000001</v>
      </c>
      <c r="BI15" s="3">
        <v>0.24185313219999999</v>
      </c>
      <c r="BJ15" s="3">
        <v>0.27852467289999999</v>
      </c>
      <c r="BK15" s="3">
        <v>0.3099383027</v>
      </c>
      <c r="BL15" s="3">
        <v>0.28805640570000002</v>
      </c>
      <c r="BM15" s="3">
        <v>0.2769776504</v>
      </c>
      <c r="BN15" s="3">
        <v>0.28828022399999997</v>
      </c>
      <c r="BO15" s="3">
        <v>0.29650065460000002</v>
      </c>
      <c r="BP15" s="3">
        <v>0.29804421520000002</v>
      </c>
      <c r="BQ15" s="3">
        <v>0.27445929050000001</v>
      </c>
      <c r="BR15" s="3">
        <v>0.24663425659999999</v>
      </c>
      <c r="BS15" s="3">
        <v>0.2137496914</v>
      </c>
      <c r="BT15" s="3">
        <v>0.20365006469999999</v>
      </c>
      <c r="BU15" s="3">
        <v>0.21122291330000001</v>
      </c>
      <c r="BV15" s="3">
        <v>0.22891865789999999</v>
      </c>
      <c r="BW15" s="3">
        <v>0.24665583460000001</v>
      </c>
      <c r="BX15" s="3">
        <v>0.24593527630000001</v>
      </c>
      <c r="BY15" s="3">
        <v>0.23484424679999999</v>
      </c>
      <c r="BZ15" s="3">
        <v>0.22504012970000001</v>
      </c>
      <c r="CA15" s="3">
        <v>0.2197302344</v>
      </c>
      <c r="CB15" s="3">
        <v>0.22600295719999999</v>
      </c>
      <c r="CC15" s="3">
        <v>0.2261373871</v>
      </c>
      <c r="CD15" s="3">
        <v>0.2147819856</v>
      </c>
      <c r="CE15" s="3">
        <v>0.1970221405</v>
      </c>
      <c r="CF15" s="3">
        <v>0.17414761340000001</v>
      </c>
      <c r="CG15" s="3">
        <v>0.1640215817</v>
      </c>
      <c r="CH15" s="3">
        <v>0.16012078790000001</v>
      </c>
      <c r="CI15" s="3">
        <v>0.16517337630000001</v>
      </c>
      <c r="CJ15" s="3">
        <v>0.16876731610000001</v>
      </c>
      <c r="CK15" s="3">
        <v>0.16673137029999999</v>
      </c>
      <c r="CL15" s="3">
        <v>0.16361075850000001</v>
      </c>
      <c r="CM15" s="3">
        <v>0.16037851419999999</v>
      </c>
      <c r="CN15" s="3">
        <v>0.1577891267</v>
      </c>
      <c r="CO15" s="3">
        <v>0.1573084968</v>
      </c>
      <c r="CP15" s="3">
        <v>0.15532692170000001</v>
      </c>
      <c r="CQ15" s="3">
        <v>0.15356825700000001</v>
      </c>
    </row>
    <row r="16" spans="1:95" x14ac:dyDescent="0.25">
      <c r="A16" t="s">
        <v>251</v>
      </c>
      <c r="B16" s="1">
        <v>5850342</v>
      </c>
      <c r="C16" s="1">
        <v>700</v>
      </c>
      <c r="D16" s="3">
        <v>0.16967326460000001</v>
      </c>
      <c r="E16" s="3">
        <v>1.58894498E-2</v>
      </c>
      <c r="F16" s="3">
        <v>0.14191684979999999</v>
      </c>
      <c r="G16" s="3">
        <v>0.14072735489999999</v>
      </c>
      <c r="W16" s="3">
        <v>0.16967326460000001</v>
      </c>
      <c r="X16" s="3">
        <v>0.14576826779999999</v>
      </c>
      <c r="Y16" s="3">
        <v>0.1214738227</v>
      </c>
      <c r="Z16" s="3">
        <v>9.9288841099999997E-2</v>
      </c>
      <c r="AA16" s="3">
        <v>8.9879769299999995E-2</v>
      </c>
      <c r="AB16" s="3">
        <v>9.8624417199999995E-2</v>
      </c>
      <c r="AC16" s="3">
        <v>0.10984842390000001</v>
      </c>
      <c r="AD16" s="3">
        <v>0.1146156312</v>
      </c>
      <c r="AE16" s="3">
        <v>0.1075762088</v>
      </c>
      <c r="AF16" s="3">
        <v>0.1035423649</v>
      </c>
      <c r="AG16" s="3">
        <v>0.1052819398</v>
      </c>
      <c r="AH16" s="3">
        <v>0.1079785615</v>
      </c>
      <c r="AI16" s="3">
        <v>9.6425380099999999E-2</v>
      </c>
      <c r="AJ16" s="3">
        <v>7.4185951099999994E-2</v>
      </c>
      <c r="AK16" s="3">
        <v>5.2779173499999998E-2</v>
      </c>
      <c r="AL16" s="3">
        <v>3.9116387900000001E-2</v>
      </c>
      <c r="AM16" s="3">
        <v>3.1412727699999997E-2</v>
      </c>
      <c r="AN16" s="3">
        <v>2.4313418699999999E-2</v>
      </c>
      <c r="AO16" s="3">
        <v>1.9075323200000001E-2</v>
      </c>
      <c r="AP16" s="3">
        <v>1.6138184600000001E-2</v>
      </c>
      <c r="AQ16" s="3">
        <v>1.58894498E-2</v>
      </c>
      <c r="AR16" s="3">
        <v>1.6636734899999998E-2</v>
      </c>
      <c r="AS16" s="3">
        <v>1.77225115E-2</v>
      </c>
      <c r="AT16" s="3">
        <v>2.00646859E-2</v>
      </c>
      <c r="AU16" s="3">
        <v>2.4113689099999999E-2</v>
      </c>
      <c r="AV16" s="3">
        <v>2.88378974E-2</v>
      </c>
      <c r="AW16" s="3">
        <v>3.0699968599999999E-2</v>
      </c>
      <c r="AX16" s="3">
        <v>2.9883572000000001E-2</v>
      </c>
      <c r="AY16" s="3">
        <v>2.7854805900000001E-2</v>
      </c>
      <c r="AZ16" s="3">
        <v>2.62299501E-2</v>
      </c>
      <c r="BA16" s="3">
        <v>3.3485877999999997E-2</v>
      </c>
      <c r="BB16" s="3">
        <v>4.4068347899999999E-2</v>
      </c>
      <c r="BC16" s="3">
        <v>5.9676216900000002E-2</v>
      </c>
      <c r="BD16" s="3">
        <v>6.8000983200000004E-2</v>
      </c>
      <c r="BE16" s="3">
        <v>6.5704797800000006E-2</v>
      </c>
      <c r="BF16" s="3">
        <v>6.3767082899999994E-2</v>
      </c>
      <c r="BG16" s="3">
        <v>5.9640584099999998E-2</v>
      </c>
      <c r="BH16" s="3">
        <v>6.36404208E-2</v>
      </c>
      <c r="BI16" s="3">
        <v>6.6241003500000006E-2</v>
      </c>
      <c r="BJ16" s="3">
        <v>6.6580010100000003E-2</v>
      </c>
      <c r="BK16" s="3">
        <v>6.6188819900000001E-2</v>
      </c>
      <c r="BL16" s="3">
        <v>6.7028624300000006E-2</v>
      </c>
      <c r="BM16" s="3">
        <v>8.1432298799999997E-2</v>
      </c>
      <c r="BN16" s="3">
        <v>9.7015649699999998E-2</v>
      </c>
      <c r="BO16" s="3">
        <v>0.1124597306</v>
      </c>
      <c r="BP16" s="3">
        <v>0.1213203328</v>
      </c>
      <c r="BQ16" s="3">
        <v>0.11533112869999999</v>
      </c>
      <c r="BR16" s="3">
        <v>0.10867272090000001</v>
      </c>
      <c r="BS16" s="3">
        <v>9.9088303200000005E-2</v>
      </c>
      <c r="BT16" s="3">
        <v>9.9468748600000004E-2</v>
      </c>
      <c r="BU16" s="3">
        <v>0.1014243747</v>
      </c>
      <c r="BV16" s="3">
        <v>0.1002846464</v>
      </c>
      <c r="BW16" s="3">
        <v>9.8595359399999999E-2</v>
      </c>
      <c r="BX16" s="3">
        <v>8.7848810200000002E-2</v>
      </c>
      <c r="BY16" s="3">
        <v>7.7677670899999995E-2</v>
      </c>
      <c r="BZ16" s="3">
        <v>6.6704389500000003E-2</v>
      </c>
      <c r="CA16" s="3">
        <v>6.0575995000000001E-2</v>
      </c>
      <c r="CB16" s="3">
        <v>5.7593516999999997E-2</v>
      </c>
      <c r="CC16" s="3">
        <v>5.7936137800000002E-2</v>
      </c>
      <c r="CD16" s="3">
        <v>6.0609500199999999E-2</v>
      </c>
      <c r="CE16" s="3">
        <v>6.5255337699999999E-2</v>
      </c>
      <c r="CF16" s="3">
        <v>6.81693981E-2</v>
      </c>
      <c r="CG16" s="3">
        <v>7.1220693000000002E-2</v>
      </c>
      <c r="CH16" s="3">
        <v>7.5150504699999995E-2</v>
      </c>
      <c r="CI16" s="3">
        <v>8.5448310499999999E-2</v>
      </c>
      <c r="CJ16" s="3">
        <v>9.8568521899999997E-2</v>
      </c>
      <c r="CK16" s="3">
        <v>0.1097469697</v>
      </c>
      <c r="CL16" s="3">
        <v>0.1156525342</v>
      </c>
      <c r="CM16" s="3">
        <v>0.1149755214</v>
      </c>
      <c r="CN16" s="3">
        <v>0.11446323160000001</v>
      </c>
      <c r="CO16" s="3">
        <v>0.11799681939999999</v>
      </c>
      <c r="CP16" s="3">
        <v>0.1315982326</v>
      </c>
      <c r="CQ16" s="3">
        <v>0.14191684979999999</v>
      </c>
    </row>
    <row r="17" spans="1:95" x14ac:dyDescent="0.25">
      <c r="A17" t="s">
        <v>250</v>
      </c>
      <c r="B17" s="1">
        <v>46754778</v>
      </c>
      <c r="C17" s="1">
        <v>498800</v>
      </c>
      <c r="D17" s="3">
        <v>0.57477596929999997</v>
      </c>
      <c r="E17" s="3">
        <v>2.32490167E-2</v>
      </c>
      <c r="F17" s="3">
        <v>2.5729172099999999E-2</v>
      </c>
      <c r="G17" s="3">
        <v>3.1852196300000003E-2</v>
      </c>
      <c r="AX17" s="3">
        <v>0.57477596929999997</v>
      </c>
      <c r="AY17" s="3">
        <v>0.5321632208</v>
      </c>
      <c r="AZ17" s="3">
        <v>0.41531027790000002</v>
      </c>
      <c r="BA17" s="3">
        <v>0.37149472109999998</v>
      </c>
      <c r="BB17" s="3">
        <v>0.33126424360000001</v>
      </c>
      <c r="BC17" s="3">
        <v>0.3271811074</v>
      </c>
      <c r="BD17" s="3">
        <v>0.36550818750000003</v>
      </c>
      <c r="BE17" s="3">
        <v>0.40581182170000002</v>
      </c>
      <c r="BF17" s="3">
        <v>0.44442312779999998</v>
      </c>
      <c r="BG17" s="3">
        <v>0.48872170949999999</v>
      </c>
      <c r="BH17" s="3">
        <v>0.49646272250000001</v>
      </c>
      <c r="BI17" s="3">
        <v>0.45395265810000002</v>
      </c>
      <c r="BJ17" s="3">
        <v>0.40072411130000002</v>
      </c>
      <c r="BK17" s="3">
        <v>0.32937689910000001</v>
      </c>
      <c r="BL17" s="3">
        <v>0.27201721410000002</v>
      </c>
      <c r="BM17" s="3">
        <v>0.2335054298</v>
      </c>
      <c r="BN17" s="3">
        <v>0.22421023840000001</v>
      </c>
      <c r="BO17" s="3">
        <v>0.21323881149999999</v>
      </c>
      <c r="BP17" s="3">
        <v>0.21256103509999999</v>
      </c>
      <c r="BQ17" s="3">
        <v>0.20296315349999999</v>
      </c>
      <c r="BR17" s="3">
        <v>0.19608545399999999</v>
      </c>
      <c r="BS17" s="3">
        <v>0.18699176789999999</v>
      </c>
      <c r="BT17" s="3">
        <v>0.18224855070000001</v>
      </c>
      <c r="BU17" s="3">
        <v>0.18536418460000001</v>
      </c>
      <c r="BV17" s="3">
        <v>0.17988033749999999</v>
      </c>
      <c r="BW17" s="3">
        <v>0.1733709581</v>
      </c>
      <c r="BX17" s="3">
        <v>0.1516460577</v>
      </c>
      <c r="BY17" s="3">
        <v>0.13154845170000001</v>
      </c>
      <c r="BZ17" s="3">
        <v>0.1114050884</v>
      </c>
      <c r="CA17" s="3">
        <v>9.9952229200000006E-2</v>
      </c>
      <c r="CB17" s="3">
        <v>9.2528502900000004E-2</v>
      </c>
      <c r="CC17" s="3">
        <v>8.5788298900000004E-2</v>
      </c>
      <c r="CD17" s="3">
        <v>7.87030336E-2</v>
      </c>
      <c r="CE17" s="3">
        <v>6.9650972699999994E-2</v>
      </c>
      <c r="CF17" s="3">
        <v>6.0310824399999997E-2</v>
      </c>
      <c r="CG17" s="3">
        <v>5.1672820899999999E-2</v>
      </c>
      <c r="CH17" s="3">
        <v>4.5363078100000002E-2</v>
      </c>
      <c r="CI17" s="3">
        <v>4.1372063600000002E-2</v>
      </c>
      <c r="CJ17" s="3">
        <v>3.8994967999999998E-2</v>
      </c>
      <c r="CK17" s="3">
        <v>3.7047144900000002E-2</v>
      </c>
      <c r="CL17" s="3">
        <v>3.4114392799999997E-2</v>
      </c>
      <c r="CM17" s="3">
        <v>3.04766588E-2</v>
      </c>
      <c r="CN17" s="3">
        <v>2.6024422500000002E-2</v>
      </c>
      <c r="CO17" s="3">
        <v>2.3283637100000001E-2</v>
      </c>
      <c r="CP17" s="3">
        <v>2.32490167E-2</v>
      </c>
      <c r="CQ17" s="3">
        <v>2.5729172099999999E-2</v>
      </c>
    </row>
    <row r="18" spans="1:95" x14ac:dyDescent="0.25">
      <c r="A18" t="s">
        <v>249</v>
      </c>
      <c r="B18" s="1">
        <v>10099265</v>
      </c>
      <c r="C18" s="1">
        <v>410340</v>
      </c>
      <c r="D18" s="3">
        <v>0.63350323320000002</v>
      </c>
      <c r="E18" s="3">
        <v>4.32141391E-2</v>
      </c>
      <c r="F18" s="3">
        <v>4.5144790800000001E-2</v>
      </c>
      <c r="G18" s="3">
        <v>5.3907495999999999E-2</v>
      </c>
      <c r="BA18" s="3">
        <v>0.53899069779999997</v>
      </c>
      <c r="BB18" s="3">
        <v>0.63350323320000002</v>
      </c>
      <c r="BC18" s="3">
        <v>0.59973722620000003</v>
      </c>
      <c r="BD18" s="3">
        <v>0.42123220750000001</v>
      </c>
      <c r="BE18" s="3">
        <v>0.36820697930000001</v>
      </c>
      <c r="BF18" s="3">
        <v>0.32672642299999999</v>
      </c>
      <c r="BG18" s="3">
        <v>0.32977408000000002</v>
      </c>
      <c r="BH18" s="3">
        <v>0.329660866</v>
      </c>
      <c r="BI18" s="3">
        <v>0.31004561619999998</v>
      </c>
      <c r="BJ18" s="3">
        <v>0.26191248880000001</v>
      </c>
      <c r="BK18" s="3">
        <v>0.20700169169999999</v>
      </c>
      <c r="BL18" s="3">
        <v>0.14734001560000001</v>
      </c>
      <c r="BM18" s="3">
        <v>0.1075355721</v>
      </c>
      <c r="BN18" s="3">
        <v>8.7215216700000001E-2</v>
      </c>
      <c r="BO18" s="3">
        <v>9.0053740600000001E-2</v>
      </c>
      <c r="BP18" s="3">
        <v>9.9291544499999995E-2</v>
      </c>
      <c r="BQ18" s="3">
        <v>0.1055441546</v>
      </c>
      <c r="BR18" s="3">
        <v>0.10102217350000001</v>
      </c>
      <c r="BS18" s="3">
        <v>9.50922555E-2</v>
      </c>
      <c r="BT18" s="3">
        <v>9.0977011699999999E-2</v>
      </c>
      <c r="BU18" s="3">
        <v>9.4308531500000001E-2</v>
      </c>
      <c r="BV18" s="3">
        <v>0.1008713455</v>
      </c>
      <c r="BW18" s="3">
        <v>0.10541398740000001</v>
      </c>
      <c r="BX18" s="3">
        <v>0.1047674012</v>
      </c>
      <c r="BY18" s="3">
        <v>9.9304846399999994E-2</v>
      </c>
      <c r="BZ18" s="3">
        <v>9.5819198600000002E-2</v>
      </c>
      <c r="CA18" s="3">
        <v>9.4169592100000005E-2</v>
      </c>
      <c r="CB18" s="3">
        <v>9.9866760099999993E-2</v>
      </c>
      <c r="CC18" s="3">
        <v>0.1047540176</v>
      </c>
      <c r="CD18" s="3">
        <v>0.105124263</v>
      </c>
      <c r="CE18" s="3">
        <v>9.6770149900000005E-2</v>
      </c>
      <c r="CF18" s="3">
        <v>8.1849598699999998E-2</v>
      </c>
      <c r="CG18" s="3">
        <v>6.8888642299999997E-2</v>
      </c>
      <c r="CH18" s="3">
        <v>6.4759524999999998E-2</v>
      </c>
      <c r="CI18" s="3">
        <v>6.8084046400000001E-2</v>
      </c>
      <c r="CJ18" s="3">
        <v>7.3975852100000003E-2</v>
      </c>
      <c r="CK18" s="3">
        <v>7.4616291299999998E-2</v>
      </c>
      <c r="CL18" s="3">
        <v>6.7839284E-2</v>
      </c>
      <c r="CM18" s="3">
        <v>5.7503132800000002E-2</v>
      </c>
      <c r="CN18" s="3">
        <v>4.8088702999999997E-2</v>
      </c>
      <c r="CO18" s="3">
        <v>4.32141391E-2</v>
      </c>
      <c r="CP18" s="3">
        <v>4.3232672E-2</v>
      </c>
      <c r="CQ18" s="3">
        <v>4.5144790800000001E-2</v>
      </c>
    </row>
    <row r="19" spans="1:95" x14ac:dyDescent="0.25">
      <c r="A19" t="s">
        <v>0</v>
      </c>
      <c r="B19" s="1">
        <v>8654622</v>
      </c>
      <c r="C19" s="1">
        <v>39516</v>
      </c>
      <c r="D19" s="3">
        <v>0.4805199275</v>
      </c>
      <c r="E19" s="3">
        <v>1.26689E-2</v>
      </c>
      <c r="F19" s="3">
        <v>1.26689E-2</v>
      </c>
      <c r="G19" s="3">
        <v>1.2943288900000001E-2</v>
      </c>
      <c r="AZ19" s="3">
        <v>0.4550782149</v>
      </c>
      <c r="BA19" s="3">
        <v>0.4805199275</v>
      </c>
      <c r="BB19" s="3">
        <v>0.4776924749</v>
      </c>
      <c r="BC19" s="3">
        <v>0.44471277510000001</v>
      </c>
      <c r="BD19" s="3">
        <v>0.39300391169999999</v>
      </c>
      <c r="BE19" s="3">
        <v>0.3022130596</v>
      </c>
      <c r="BF19" s="3">
        <v>0.26309155150000002</v>
      </c>
      <c r="BG19" s="3">
        <v>0.2560493512</v>
      </c>
      <c r="BH19" s="3">
        <v>0.28706665329999997</v>
      </c>
      <c r="BI19" s="3">
        <v>0.29624127589999999</v>
      </c>
      <c r="BJ19" s="3">
        <v>0.32657515079999999</v>
      </c>
      <c r="BK19" s="3">
        <v>0.31030642949999998</v>
      </c>
      <c r="BL19" s="3">
        <v>0.28610114110000001</v>
      </c>
      <c r="BM19" s="3">
        <v>0.24594770129999999</v>
      </c>
      <c r="BN19" s="3">
        <v>0.20188107720000001</v>
      </c>
      <c r="BO19" s="3">
        <v>0.19847395179999999</v>
      </c>
      <c r="BP19" s="3">
        <v>0.2136053621</v>
      </c>
      <c r="BQ19" s="3">
        <v>0.24013561889999999</v>
      </c>
      <c r="BR19" s="3">
        <v>0.23552997780000001</v>
      </c>
      <c r="BS19" s="3">
        <v>0.2050974401</v>
      </c>
      <c r="BT19" s="3">
        <v>0.16697039329999999</v>
      </c>
      <c r="BU19" s="3">
        <v>0.13926163699999999</v>
      </c>
      <c r="BV19" s="3">
        <v>0.11758148879999999</v>
      </c>
      <c r="BW19" s="3">
        <v>0.10382082519999999</v>
      </c>
      <c r="BX19" s="3">
        <v>9.0612807099999998E-2</v>
      </c>
      <c r="BY19" s="3">
        <v>8.30050643E-2</v>
      </c>
      <c r="BZ19" s="3">
        <v>7.3671723100000003E-2</v>
      </c>
      <c r="CA19" s="3">
        <v>6.6918646900000003E-2</v>
      </c>
      <c r="CB19" s="3">
        <v>6.1935539400000003E-2</v>
      </c>
      <c r="CC19" s="3">
        <v>5.8159394500000003E-2</v>
      </c>
      <c r="CD19" s="3">
        <v>5.6221723899999999E-2</v>
      </c>
      <c r="CE19" s="3">
        <v>5.0330956099999997E-2</v>
      </c>
      <c r="CF19" s="3">
        <v>4.4258024799999997E-2</v>
      </c>
      <c r="CG19" s="3">
        <v>3.7072291E-2</v>
      </c>
      <c r="CH19" s="3">
        <v>3.3302099199999997E-2</v>
      </c>
      <c r="CI19" s="3">
        <v>3.2571131500000003E-2</v>
      </c>
      <c r="CJ19" s="3">
        <v>3.2450665599999998E-2</v>
      </c>
      <c r="CK19" s="3">
        <v>3.1894002499999997E-2</v>
      </c>
      <c r="CL19" s="3">
        <v>2.8122307999999999E-2</v>
      </c>
      <c r="CM19" s="3">
        <v>2.3000021499999999E-2</v>
      </c>
      <c r="CN19" s="3">
        <v>1.74723621E-2</v>
      </c>
      <c r="CO19" s="3">
        <v>1.4116450799999999E-2</v>
      </c>
      <c r="CP19" s="3">
        <v>1.28411258E-2</v>
      </c>
      <c r="CQ19" s="3">
        <v>1.26689E-2</v>
      </c>
    </row>
    <row r="20" spans="1:95" x14ac:dyDescent="0.25">
      <c r="A20" t="s">
        <v>248</v>
      </c>
      <c r="B20" s="1">
        <v>331002651</v>
      </c>
      <c r="C20" s="1">
        <v>9147420</v>
      </c>
      <c r="D20" s="3">
        <v>0.42719621689999998</v>
      </c>
      <c r="E20" s="3">
        <v>1.08123821E-2</v>
      </c>
      <c r="F20" s="3">
        <v>4.7821973099999998E-2</v>
      </c>
      <c r="G20" s="3">
        <v>4.7776208799999997E-2</v>
      </c>
      <c r="AA20" s="3">
        <v>1.1051401400000001E-2</v>
      </c>
      <c r="AB20" s="3">
        <v>1.0930585E-2</v>
      </c>
      <c r="AC20" s="3">
        <v>1.08123821E-2</v>
      </c>
      <c r="AD20" s="3">
        <v>1.3318511999999999E-2</v>
      </c>
      <c r="AE20" s="3">
        <v>1.8308251300000002E-2</v>
      </c>
      <c r="AF20" s="3">
        <v>2.3948575999999999E-2</v>
      </c>
      <c r="AG20" s="3">
        <v>2.7769120299999998E-2</v>
      </c>
      <c r="AH20" s="3">
        <v>2.7218909100000001E-2</v>
      </c>
      <c r="AI20" s="3">
        <v>2.4113689099999999E-2</v>
      </c>
      <c r="AJ20" s="3">
        <v>2.0338786300000002E-2</v>
      </c>
      <c r="AK20" s="3">
        <v>1.8356281299999999E-2</v>
      </c>
      <c r="AL20" s="3">
        <v>1.8025269999999999E-2</v>
      </c>
      <c r="AM20" s="3">
        <v>1.7705989599999999E-2</v>
      </c>
      <c r="AN20" s="3">
        <v>7.8149892299999996E-2</v>
      </c>
      <c r="AO20" s="3">
        <v>0.17324098260000001</v>
      </c>
      <c r="AP20" s="3">
        <v>0.28063141489999999</v>
      </c>
      <c r="AQ20" s="3">
        <v>0.3431122318</v>
      </c>
      <c r="AR20" s="3">
        <v>0.29983218769999997</v>
      </c>
      <c r="AS20" s="3">
        <v>0.20185042519999999</v>
      </c>
      <c r="AT20" s="3">
        <v>0.1058928412</v>
      </c>
      <c r="AU20" s="3">
        <v>6.6074641599999998E-2</v>
      </c>
      <c r="AV20" s="3">
        <v>5.6717959900000003E-2</v>
      </c>
      <c r="AW20" s="3">
        <v>9.1644256800000004E-2</v>
      </c>
      <c r="AX20" s="3">
        <v>0.13459270609999999</v>
      </c>
      <c r="AY20" s="3">
        <v>0.18357281119999999</v>
      </c>
      <c r="AZ20" s="3">
        <v>0.24415216049999999</v>
      </c>
      <c r="BA20" s="3">
        <v>0.27185353239999999</v>
      </c>
      <c r="BB20" s="3">
        <v>0.32021443710000003</v>
      </c>
      <c r="BC20" s="3">
        <v>0.34147058149999998</v>
      </c>
      <c r="BD20" s="3">
        <v>0.32748127789999998</v>
      </c>
      <c r="BE20" s="3">
        <v>0.34578875190000002</v>
      </c>
      <c r="BF20" s="3">
        <v>0.33793107989999999</v>
      </c>
      <c r="BG20" s="3">
        <v>0.34801668810000003</v>
      </c>
      <c r="BH20" s="3">
        <v>0.35875559000000001</v>
      </c>
      <c r="BI20" s="3">
        <v>0.33631243700000002</v>
      </c>
      <c r="BJ20" s="3">
        <v>0.3135805519</v>
      </c>
      <c r="BK20" s="3">
        <v>0.29148040590000002</v>
      </c>
      <c r="BL20" s="3">
        <v>0.29822384740000002</v>
      </c>
      <c r="BM20" s="3">
        <v>0.30128479419999998</v>
      </c>
      <c r="BN20" s="3">
        <v>0.35040770770000002</v>
      </c>
      <c r="BO20" s="3">
        <v>0.39230878850000001</v>
      </c>
      <c r="BP20" s="3">
        <v>0.41670942119999999</v>
      </c>
      <c r="BQ20" s="3">
        <v>0.42719621689999998</v>
      </c>
      <c r="BR20" s="3">
        <v>0.38456502910000001</v>
      </c>
      <c r="BS20" s="3">
        <v>0.33821088040000002</v>
      </c>
      <c r="BT20" s="3">
        <v>0.29203114829999999</v>
      </c>
      <c r="BU20" s="3">
        <v>0.27007739920000001</v>
      </c>
      <c r="BV20" s="3">
        <v>0.25061287770000001</v>
      </c>
      <c r="BW20" s="3">
        <v>0.23757679809999999</v>
      </c>
      <c r="BX20" s="3">
        <v>0.22180009589999999</v>
      </c>
      <c r="BY20" s="3">
        <v>0.20180194239999999</v>
      </c>
      <c r="BZ20" s="3">
        <v>0.1822663263</v>
      </c>
      <c r="CA20" s="3">
        <v>0.16393748129999999</v>
      </c>
      <c r="CB20" s="3">
        <v>0.15386987129999999</v>
      </c>
      <c r="CC20" s="3">
        <v>0.1464115839</v>
      </c>
      <c r="CD20" s="3">
        <v>0.1396802587</v>
      </c>
      <c r="CE20" s="3">
        <v>0.13090399480000001</v>
      </c>
      <c r="CF20" s="3">
        <v>0.1192244712</v>
      </c>
      <c r="CG20" s="3">
        <v>0.10690387799999999</v>
      </c>
      <c r="CH20" s="3">
        <v>9.5291817299999998E-2</v>
      </c>
      <c r="CI20" s="3">
        <v>8.7039203300000006E-2</v>
      </c>
      <c r="CJ20" s="3">
        <v>8.1838345800000004E-2</v>
      </c>
      <c r="CK20" s="3">
        <v>7.78069391E-2</v>
      </c>
      <c r="CL20" s="3">
        <v>7.2703644100000006E-2</v>
      </c>
      <c r="CM20" s="3">
        <v>6.6126754699999998E-2</v>
      </c>
      <c r="CN20" s="3">
        <v>5.8865615400000001E-2</v>
      </c>
      <c r="CO20" s="3">
        <v>5.2952651400000002E-2</v>
      </c>
      <c r="CP20" s="3">
        <v>4.9103341199999997E-2</v>
      </c>
      <c r="CQ20" s="3">
        <v>4.7821973099999998E-2</v>
      </c>
    </row>
    <row r="21" spans="1:95" x14ac:dyDescent="0.25">
      <c r="A21" t="s">
        <v>247</v>
      </c>
      <c r="B21" s="1">
        <v>67886011</v>
      </c>
      <c r="C21" s="1">
        <v>241930</v>
      </c>
      <c r="D21" s="3">
        <v>0.39720589779999999</v>
      </c>
      <c r="E21" s="3">
        <v>2.8196615299999998E-2</v>
      </c>
      <c r="F21" s="3">
        <v>5.3485674499999997E-2</v>
      </c>
      <c r="G21" s="3">
        <v>5.4310185900000002E-2</v>
      </c>
      <c r="AM21" s="3">
        <v>3.0805168899999999E-2</v>
      </c>
      <c r="AN21" s="3">
        <v>2.9883572000000001E-2</v>
      </c>
      <c r="AO21" s="3">
        <v>2.90155699E-2</v>
      </c>
      <c r="AP21" s="3">
        <v>2.8196615299999998E-2</v>
      </c>
      <c r="AQ21" s="3">
        <v>2.9611007799999998E-2</v>
      </c>
      <c r="AR21" s="3">
        <v>3.3047614099999997E-2</v>
      </c>
      <c r="AS21" s="3">
        <v>3.8285246299999999E-2</v>
      </c>
      <c r="AT21" s="3">
        <v>6.7429536900000003E-2</v>
      </c>
      <c r="AU21" s="3">
        <v>0.1019624863</v>
      </c>
      <c r="AV21" s="3">
        <v>0.1781777279</v>
      </c>
      <c r="AW21" s="3">
        <v>0.2318042119</v>
      </c>
      <c r="AX21" s="3">
        <v>0.26667679659999999</v>
      </c>
      <c r="AY21" s="3">
        <v>0.3198396423</v>
      </c>
      <c r="AZ21" s="3">
        <v>0.3350934263</v>
      </c>
      <c r="BA21" s="3">
        <v>0.38378257519999998</v>
      </c>
      <c r="BB21" s="3">
        <v>0.39720589779999999</v>
      </c>
      <c r="BC21" s="3">
        <v>0.38199219420000002</v>
      </c>
      <c r="BD21" s="3">
        <v>0.33614646300000001</v>
      </c>
      <c r="BE21" s="3">
        <v>0.28051832589999998</v>
      </c>
      <c r="BF21" s="3">
        <v>0.2439688877</v>
      </c>
      <c r="BG21" s="3">
        <v>0.22906725750000001</v>
      </c>
      <c r="BH21" s="3">
        <v>0.2382966618</v>
      </c>
      <c r="BI21" s="3">
        <v>0.2732374025</v>
      </c>
      <c r="BJ21" s="3">
        <v>0.29697334240000001</v>
      </c>
      <c r="BK21" s="3">
        <v>0.2874150352</v>
      </c>
      <c r="BL21" s="3">
        <v>0.26616613090000002</v>
      </c>
      <c r="BM21" s="3">
        <v>0.24279149050000001</v>
      </c>
      <c r="BN21" s="3">
        <v>0.2199920366</v>
      </c>
      <c r="BO21" s="3">
        <v>0.2328760117</v>
      </c>
      <c r="BP21" s="3">
        <v>0.24699794180000001</v>
      </c>
      <c r="BQ21" s="3">
        <v>0.2446320515</v>
      </c>
      <c r="BR21" s="3">
        <v>0.24314624579999999</v>
      </c>
      <c r="BS21" s="3">
        <v>0.2172039855</v>
      </c>
      <c r="BT21" s="3">
        <v>0.2001932176</v>
      </c>
      <c r="BU21" s="3">
        <v>0.18815288829999999</v>
      </c>
      <c r="BV21" s="3">
        <v>0.19791809899999999</v>
      </c>
      <c r="BW21" s="3">
        <v>0.20680234459999999</v>
      </c>
      <c r="BX21" s="3">
        <v>0.2050778496</v>
      </c>
      <c r="BY21" s="3">
        <v>0.1903433273</v>
      </c>
      <c r="BZ21" s="3">
        <v>0.1693835739</v>
      </c>
      <c r="CA21" s="3">
        <v>0.153968402</v>
      </c>
      <c r="CB21" s="3">
        <v>0.14636233130000001</v>
      </c>
      <c r="CC21" s="3">
        <v>0.14606958370000001</v>
      </c>
      <c r="CD21" s="3">
        <v>0.14237799000000001</v>
      </c>
      <c r="CE21" s="3">
        <v>0.13607576690000001</v>
      </c>
      <c r="CF21" s="3">
        <v>0.1246225711</v>
      </c>
      <c r="CG21" s="3">
        <v>0.11141190099999999</v>
      </c>
      <c r="CH21" s="3">
        <v>0.10162154230000001</v>
      </c>
      <c r="CI21" s="3">
        <v>9.0819070200000004E-2</v>
      </c>
      <c r="CJ21" s="3">
        <v>9.0119539100000007E-2</v>
      </c>
      <c r="CK21" s="3">
        <v>8.9395898299999998E-2</v>
      </c>
      <c r="CL21" s="3">
        <v>9.0542066899999996E-2</v>
      </c>
      <c r="CM21" s="3">
        <v>8.6056279400000005E-2</v>
      </c>
      <c r="CN21" s="3">
        <v>7.5258147299999995E-2</v>
      </c>
      <c r="CO21" s="3">
        <v>6.5706362800000001E-2</v>
      </c>
      <c r="CP21" s="3">
        <v>5.6618342600000003E-2</v>
      </c>
      <c r="CQ21" s="3">
        <v>5.3485674499999997E-2</v>
      </c>
    </row>
  </sheetData>
  <autoFilter ref="A1:CQ21" xr:uid="{085AC2AE-A9EB-49F7-BEDB-502492DD3428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57722-6FD2-4BF3-8752-B213103111FC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1">
        <v>14595</v>
      </c>
      <c r="E2" s="2">
        <v>162.05146608000001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264</v>
      </c>
      <c r="B3" s="1">
        <v>11589623</v>
      </c>
      <c r="C3" s="1">
        <v>30280</v>
      </c>
      <c r="D3" s="1">
        <v>36138</v>
      </c>
      <c r="E3" s="2">
        <v>311.81342136839999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32801</v>
      </c>
      <c r="E4" s="2">
        <v>86.908129302800006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83760</v>
      </c>
      <c r="E5" s="2">
        <v>5.8193994567000003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</row>
    <row r="6" spans="1:95" x14ac:dyDescent="0.25">
      <c r="A6" t="s">
        <v>261</v>
      </c>
      <c r="B6" s="1">
        <v>5540720</v>
      </c>
      <c r="C6" s="1">
        <v>303890</v>
      </c>
      <c r="D6" s="1">
        <v>3489</v>
      </c>
      <c r="E6" s="2">
        <v>62.970155503299999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147969</v>
      </c>
      <c r="E7" s="2">
        <v>226.69073217159999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141397</v>
      </c>
      <c r="E8" s="2">
        <v>168.7638425989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14352</v>
      </c>
      <c r="E9" s="2">
        <v>1.0399966953999999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79494</v>
      </c>
      <c r="E10" s="2">
        <v>94.643658719499996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172434</v>
      </c>
      <c r="E11" s="2">
        <v>285.19482689789999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9787</v>
      </c>
      <c r="E12" s="2">
        <v>7.7381988100000001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10635</v>
      </c>
      <c r="E13" s="2">
        <v>20.743454377100001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19022</v>
      </c>
      <c r="E14" s="2">
        <v>186.55038601179999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32008</v>
      </c>
      <c r="E15" s="2">
        <v>21.9331332444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5050</v>
      </c>
      <c r="E16" s="2">
        <v>86.319739940000005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</row>
    <row r="17" spans="1:95" x14ac:dyDescent="0.25">
      <c r="A17" t="s">
        <v>250</v>
      </c>
      <c r="B17" s="1">
        <v>46754778</v>
      </c>
      <c r="C17" s="1">
        <v>498800</v>
      </c>
      <c r="D17" s="1">
        <v>190839</v>
      </c>
      <c r="E17" s="2">
        <v>408.17004841729999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</row>
    <row r="18" spans="1:95" x14ac:dyDescent="0.25">
      <c r="A18" t="s">
        <v>249</v>
      </c>
      <c r="B18" s="1">
        <v>10099265</v>
      </c>
      <c r="C18" s="1">
        <v>410340</v>
      </c>
      <c r="D18" s="1">
        <v>13216</v>
      </c>
      <c r="E18" s="2">
        <v>130.86100820210001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</row>
    <row r="19" spans="1:95" x14ac:dyDescent="0.25">
      <c r="A19" t="s">
        <v>0</v>
      </c>
      <c r="B19" s="1">
        <v>8654622</v>
      </c>
      <c r="C19" s="1">
        <v>39516</v>
      </c>
      <c r="D19" s="1">
        <v>27078</v>
      </c>
      <c r="E19" s="2">
        <v>312.87328320059999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</row>
    <row r="20" spans="1:95" x14ac:dyDescent="0.25">
      <c r="A20" t="s">
        <v>248</v>
      </c>
      <c r="B20" s="1">
        <v>331002651</v>
      </c>
      <c r="C20" s="1">
        <v>9147420</v>
      </c>
      <c r="D20" s="1">
        <v>699706</v>
      </c>
      <c r="E20" s="2">
        <v>211.38984775079999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</row>
    <row r="21" spans="1:95" x14ac:dyDescent="0.25">
      <c r="A21" t="s">
        <v>247</v>
      </c>
      <c r="B21" s="1">
        <v>67886011</v>
      </c>
      <c r="C21" s="1">
        <v>241930</v>
      </c>
      <c r="D21" s="1">
        <v>108692</v>
      </c>
      <c r="E21" s="2">
        <v>160.1095695548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</row>
  </sheetData>
  <autoFilter ref="A1:CQ21" xr:uid="{ECAD4070-27B0-492B-AD14-5C474DF013C9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C401-7B16-4C58-902C-B9E70669C9A8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1">
        <v>11093</v>
      </c>
      <c r="E2" s="2">
        <v>123.1679967952</v>
      </c>
      <c r="F2" s="3">
        <v>0.76005481330000002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2</v>
      </c>
      <c r="BF2" s="1">
        <v>2</v>
      </c>
      <c r="BG2" s="1">
        <v>2</v>
      </c>
      <c r="BH2" s="1">
        <v>2</v>
      </c>
      <c r="BI2" s="1">
        <v>8</v>
      </c>
      <c r="BJ2" s="1">
        <v>13</v>
      </c>
      <c r="BK2" s="1">
        <v>15</v>
      </c>
      <c r="BL2" s="1">
        <v>18</v>
      </c>
      <c r="BM2" s="1">
        <v>25</v>
      </c>
      <c r="BN2" s="1">
        <v>35</v>
      </c>
      <c r="BO2" s="1">
        <v>49</v>
      </c>
      <c r="BP2" s="1">
        <v>71</v>
      </c>
      <c r="BQ2" s="1">
        <v>88</v>
      </c>
      <c r="BR2" s="1">
        <v>110</v>
      </c>
      <c r="BS2" s="1">
        <v>154</v>
      </c>
      <c r="BT2" s="1">
        <v>216</v>
      </c>
      <c r="BU2" s="1">
        <v>253</v>
      </c>
      <c r="BV2" s="1">
        <v>446</v>
      </c>
      <c r="BW2" s="1">
        <v>587</v>
      </c>
      <c r="BX2" s="1">
        <v>774</v>
      </c>
      <c r="BY2" s="1">
        <v>910</v>
      </c>
      <c r="BZ2" s="1">
        <v>1204</v>
      </c>
      <c r="CA2" s="1">
        <v>1500</v>
      </c>
      <c r="CB2" s="1">
        <v>1855</v>
      </c>
      <c r="CC2" s="1">
        <v>2220</v>
      </c>
      <c r="CD2" s="1">
        <v>2628</v>
      </c>
      <c r="CE2" s="1">
        <v>3378</v>
      </c>
      <c r="CF2" s="1">
        <v>4254</v>
      </c>
      <c r="CG2" s="1">
        <v>5040</v>
      </c>
      <c r="CH2" s="1">
        <v>5315</v>
      </c>
      <c r="CI2" s="1">
        <v>6614</v>
      </c>
      <c r="CJ2" s="1">
        <v>7338</v>
      </c>
      <c r="CK2" s="1">
        <v>7934</v>
      </c>
      <c r="CL2" s="1">
        <v>8438</v>
      </c>
      <c r="CM2" s="1">
        <v>9250</v>
      </c>
      <c r="CN2" s="1">
        <v>9796</v>
      </c>
      <c r="CO2" s="1">
        <v>10318</v>
      </c>
      <c r="CP2" s="1">
        <v>10719</v>
      </c>
      <c r="CQ2" s="1">
        <v>11093</v>
      </c>
    </row>
    <row r="3" spans="1:95" x14ac:dyDescent="0.25">
      <c r="A3" t="s">
        <v>264</v>
      </c>
      <c r="B3" s="1">
        <v>11589623</v>
      </c>
      <c r="C3" s="1">
        <v>30280</v>
      </c>
      <c r="D3" s="1">
        <v>11607</v>
      </c>
      <c r="E3" s="2">
        <v>100.1499358521</v>
      </c>
      <c r="F3" s="3">
        <v>0.32118545580000002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1</v>
      </c>
      <c r="BE3" s="1">
        <v>1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3</v>
      </c>
      <c r="BL3" s="1">
        <v>3</v>
      </c>
      <c r="BM3" s="1">
        <v>9</v>
      </c>
      <c r="BN3" s="1">
        <v>29</v>
      </c>
      <c r="BO3" s="1">
        <v>72</v>
      </c>
      <c r="BP3" s="1">
        <v>102</v>
      </c>
      <c r="BQ3" s="1">
        <v>125</v>
      </c>
      <c r="BR3" s="1">
        <v>151</v>
      </c>
      <c r="BS3" s="1">
        <v>145</v>
      </c>
      <c r="BT3" s="1">
        <v>136</v>
      </c>
      <c r="BU3" s="1">
        <v>216.5</v>
      </c>
      <c r="BV3" s="1">
        <v>270</v>
      </c>
      <c r="BW3" s="1">
        <v>336</v>
      </c>
      <c r="BX3" s="1">
        <v>455</v>
      </c>
      <c r="BY3" s="1">
        <v>545</v>
      </c>
      <c r="BZ3" s="1">
        <v>538</v>
      </c>
      <c r="CA3" s="1">
        <v>658</v>
      </c>
      <c r="CB3" s="1">
        <v>784</v>
      </c>
      <c r="CC3" s="1">
        <v>1114</v>
      </c>
      <c r="CD3" s="1">
        <v>1532</v>
      </c>
      <c r="CE3" s="1">
        <v>1954</v>
      </c>
      <c r="CF3" s="1">
        <v>2111</v>
      </c>
      <c r="CG3" s="1">
        <v>2234</v>
      </c>
      <c r="CH3" s="1">
        <v>2697</v>
      </c>
      <c r="CI3" s="1">
        <v>3712</v>
      </c>
      <c r="CJ3" s="1">
        <v>4265</v>
      </c>
      <c r="CK3" s="1">
        <v>5788</v>
      </c>
      <c r="CL3" s="1">
        <v>7236</v>
      </c>
      <c r="CM3" s="1">
        <v>7996</v>
      </c>
      <c r="CN3" s="1">
        <v>8618</v>
      </c>
      <c r="CO3" s="1">
        <v>9524</v>
      </c>
      <c r="CP3" s="1">
        <v>10491</v>
      </c>
      <c r="CQ3" s="1">
        <v>11607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11069</v>
      </c>
      <c r="E4" s="2">
        <v>29.3279498568</v>
      </c>
      <c r="F4" s="3">
        <v>0.33745922379999999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1</v>
      </c>
      <c r="AB4" s="1">
        <v>1</v>
      </c>
      <c r="AC4" s="1">
        <v>2</v>
      </c>
      <c r="AD4" s="1">
        <v>2</v>
      </c>
      <c r="AE4" s="1">
        <v>2</v>
      </c>
      <c r="AF4" s="1">
        <v>4</v>
      </c>
      <c r="AG4" s="1">
        <v>4.2</v>
      </c>
      <c r="AH4" s="1">
        <v>4.4000000000000004</v>
      </c>
      <c r="AI4" s="1">
        <v>4.5999999999999996</v>
      </c>
      <c r="AJ4" s="1">
        <v>4.8</v>
      </c>
      <c r="AK4" s="1">
        <v>5</v>
      </c>
      <c r="AL4" s="1">
        <v>6</v>
      </c>
      <c r="AM4" s="1">
        <v>7</v>
      </c>
      <c r="AN4" s="1">
        <v>7.1</v>
      </c>
      <c r="AO4" s="1">
        <v>7.2</v>
      </c>
      <c r="AP4" s="1">
        <v>7.3</v>
      </c>
      <c r="AQ4" s="1">
        <v>7.4</v>
      </c>
      <c r="AR4" s="1">
        <v>7.5</v>
      </c>
      <c r="AS4" s="1">
        <v>7.6</v>
      </c>
      <c r="AT4" s="1">
        <v>7.7</v>
      </c>
      <c r="AU4" s="1">
        <v>7.8</v>
      </c>
      <c r="AV4" s="1">
        <v>7.9</v>
      </c>
      <c r="AW4" s="1">
        <v>8</v>
      </c>
      <c r="AX4" s="1">
        <v>8.25</v>
      </c>
      <c r="AY4" s="1">
        <v>8.5</v>
      </c>
      <c r="AZ4" s="1">
        <v>8.75</v>
      </c>
      <c r="BA4" s="1">
        <v>9</v>
      </c>
      <c r="BB4" s="1">
        <v>9.3333333333000006</v>
      </c>
      <c r="BC4" s="1">
        <v>9.6666666666999994</v>
      </c>
      <c r="BD4" s="1">
        <v>9</v>
      </c>
      <c r="BE4" s="1">
        <v>10</v>
      </c>
      <c r="BF4" s="1">
        <v>11</v>
      </c>
      <c r="BG4" s="1">
        <v>12</v>
      </c>
      <c r="BH4" s="1">
        <v>13</v>
      </c>
      <c r="BI4" s="1">
        <v>19</v>
      </c>
      <c r="BJ4" s="1">
        <v>23</v>
      </c>
      <c r="BK4" s="1">
        <v>23</v>
      </c>
      <c r="BL4" s="1">
        <v>25</v>
      </c>
      <c r="BM4" s="1">
        <v>25</v>
      </c>
      <c r="BN4" s="1">
        <v>28</v>
      </c>
      <c r="BO4" s="1">
        <v>37</v>
      </c>
      <c r="BP4" s="1">
        <v>35</v>
      </c>
      <c r="BQ4" s="1">
        <v>44</v>
      </c>
      <c r="BR4" s="1">
        <v>53</v>
      </c>
      <c r="BS4" s="1">
        <v>54</v>
      </c>
      <c r="BT4" s="1">
        <v>79</v>
      </c>
      <c r="BU4" s="1">
        <v>80</v>
      </c>
      <c r="BV4" s="1">
        <v>138</v>
      </c>
      <c r="BW4" s="1">
        <v>136</v>
      </c>
      <c r="BX4" s="1">
        <v>187</v>
      </c>
      <c r="BY4" s="1">
        <v>334</v>
      </c>
      <c r="BZ4" s="1">
        <v>370</v>
      </c>
      <c r="CA4" s="1">
        <v>540</v>
      </c>
      <c r="CB4" s="1">
        <v>653</v>
      </c>
      <c r="CC4" s="1">
        <v>755</v>
      </c>
      <c r="CD4" s="1">
        <v>1050</v>
      </c>
      <c r="CE4" s="1">
        <v>1198</v>
      </c>
      <c r="CF4" s="1">
        <v>1737</v>
      </c>
      <c r="CG4" s="1">
        <v>2403</v>
      </c>
      <c r="CH4" s="1">
        <v>2832</v>
      </c>
      <c r="CI4" s="1">
        <v>3527</v>
      </c>
      <c r="CJ4" s="1">
        <v>4113</v>
      </c>
      <c r="CK4" s="1">
        <v>4910</v>
      </c>
      <c r="CL4" s="1">
        <v>5554</v>
      </c>
      <c r="CM4" s="1">
        <v>6605</v>
      </c>
      <c r="CN4" s="1">
        <v>7614</v>
      </c>
      <c r="CO4" s="1">
        <v>8540</v>
      </c>
      <c r="CP4" s="1">
        <v>10013</v>
      </c>
      <c r="CQ4" s="1">
        <v>11069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79086</v>
      </c>
      <c r="E5" s="2">
        <v>5.4946636273999996</v>
      </c>
      <c r="F5" s="3">
        <v>0.9441977077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10</v>
      </c>
      <c r="Y5" s="1">
        <v>202</v>
      </c>
      <c r="Z5" s="1">
        <v>601</v>
      </c>
      <c r="AA5" s="1">
        <v>1170</v>
      </c>
      <c r="AB5" s="1">
        <v>1865</v>
      </c>
      <c r="AC5" s="1">
        <v>4397</v>
      </c>
      <c r="AD5" s="1">
        <v>4970</v>
      </c>
      <c r="AE5" s="1">
        <v>6772</v>
      </c>
      <c r="AF5" s="1">
        <v>8281</v>
      </c>
      <c r="AG5" s="1">
        <v>10228</v>
      </c>
      <c r="AH5" s="1">
        <v>14864</v>
      </c>
      <c r="AI5" s="1">
        <v>17852</v>
      </c>
      <c r="AJ5" s="1">
        <v>21704</v>
      </c>
      <c r="AK5" s="1">
        <v>25324</v>
      </c>
      <c r="AL5" s="1">
        <v>28349</v>
      </c>
      <c r="AM5" s="1">
        <v>31872</v>
      </c>
      <c r="AN5" s="1">
        <v>34371</v>
      </c>
      <c r="AO5" s="1">
        <v>37384</v>
      </c>
      <c r="AP5" s="1">
        <v>39759</v>
      </c>
      <c r="AQ5" s="1">
        <v>41721</v>
      </c>
      <c r="AR5" s="1">
        <v>42042</v>
      </c>
      <c r="AS5" s="1">
        <v>57149</v>
      </c>
      <c r="AT5" s="1">
        <v>63568</v>
      </c>
      <c r="AU5" s="1">
        <v>65576</v>
      </c>
      <c r="AV5" s="1">
        <v>67641</v>
      </c>
      <c r="AW5" s="1">
        <v>69520</v>
      </c>
      <c r="AX5" s="1">
        <v>71264</v>
      </c>
      <c r="AY5" s="1">
        <v>71636</v>
      </c>
      <c r="AZ5" s="1">
        <v>72062</v>
      </c>
      <c r="BA5" s="1">
        <v>72506</v>
      </c>
      <c r="BB5" s="1">
        <v>73929</v>
      </c>
      <c r="BC5" s="1">
        <v>73922</v>
      </c>
      <c r="BD5" s="1">
        <v>74118</v>
      </c>
      <c r="BE5" s="1">
        <v>74615</v>
      </c>
      <c r="BF5" s="1">
        <v>75005</v>
      </c>
      <c r="BG5" s="1">
        <v>75428</v>
      </c>
      <c r="BH5" s="1">
        <v>75748</v>
      </c>
      <c r="BI5" s="1">
        <v>76163</v>
      </c>
      <c r="BJ5" s="1">
        <v>76729</v>
      </c>
      <c r="BK5" s="1">
        <v>76919</v>
      </c>
      <c r="BL5" s="1">
        <v>77031</v>
      </c>
      <c r="BM5" s="1">
        <v>77145</v>
      </c>
      <c r="BN5" s="1">
        <v>77288</v>
      </c>
      <c r="BO5" s="1">
        <v>77437</v>
      </c>
      <c r="BP5" s="1">
        <v>77511</v>
      </c>
      <c r="BQ5" s="1">
        <v>77549</v>
      </c>
      <c r="BR5" s="1">
        <v>77586</v>
      </c>
      <c r="BS5" s="1">
        <v>77606</v>
      </c>
      <c r="BT5" s="1">
        <v>77636</v>
      </c>
      <c r="BU5" s="1">
        <v>77641</v>
      </c>
      <c r="BV5" s="1">
        <v>77649</v>
      </c>
      <c r="BW5" s="1">
        <v>77678</v>
      </c>
      <c r="BX5" s="1">
        <v>77699</v>
      </c>
      <c r="BY5" s="1">
        <v>77725</v>
      </c>
      <c r="BZ5" s="1">
        <v>77749</v>
      </c>
      <c r="CA5" s="1">
        <v>77786</v>
      </c>
      <c r="CB5" s="1">
        <v>77834</v>
      </c>
      <c r="CC5" s="1">
        <v>77924</v>
      </c>
      <c r="CD5" s="1">
        <v>77975</v>
      </c>
      <c r="CE5" s="1">
        <v>78102</v>
      </c>
      <c r="CF5" s="1">
        <v>78163</v>
      </c>
      <c r="CG5" s="1">
        <v>78256</v>
      </c>
      <c r="CH5" s="1">
        <v>78324</v>
      </c>
      <c r="CI5" s="1">
        <v>78443</v>
      </c>
      <c r="CJ5" s="1">
        <v>78557</v>
      </c>
      <c r="CK5" s="1">
        <v>78656</v>
      </c>
      <c r="CL5" s="1">
        <v>78779</v>
      </c>
      <c r="CM5" s="1">
        <v>78853</v>
      </c>
      <c r="CN5" s="1">
        <v>78934</v>
      </c>
      <c r="CO5" s="1">
        <v>79015</v>
      </c>
      <c r="CP5" s="1">
        <v>79086</v>
      </c>
      <c r="CQ5" s="1">
        <v>77875</v>
      </c>
    </row>
    <row r="6" spans="1:95" x14ac:dyDescent="0.25">
      <c r="A6" t="s">
        <v>261</v>
      </c>
      <c r="B6" s="1">
        <v>5540720</v>
      </c>
      <c r="C6" s="1">
        <v>303890</v>
      </c>
      <c r="D6" s="1">
        <v>1533</v>
      </c>
      <c r="E6" s="2">
        <v>27.667884318300001</v>
      </c>
      <c r="F6" s="3">
        <v>0.43938091140000002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1</v>
      </c>
      <c r="AY6" s="1">
        <v>1</v>
      </c>
      <c r="AZ6" s="1">
        <v>1</v>
      </c>
      <c r="BA6" s="1">
        <v>1</v>
      </c>
      <c r="BB6" s="1">
        <v>1</v>
      </c>
      <c r="BC6" s="1">
        <v>1</v>
      </c>
      <c r="BD6" s="1">
        <v>1</v>
      </c>
      <c r="BE6" s="1">
        <v>1</v>
      </c>
      <c r="BF6" s="1">
        <v>2</v>
      </c>
      <c r="BG6" s="1">
        <v>2</v>
      </c>
      <c r="BH6" s="1">
        <v>2</v>
      </c>
      <c r="BI6" s="1">
        <v>3</v>
      </c>
      <c r="BJ6" s="1">
        <v>6</v>
      </c>
      <c r="BK6" s="1">
        <v>7.5</v>
      </c>
      <c r="BL6" s="1">
        <v>9</v>
      </c>
      <c r="BM6" s="1">
        <v>10.5</v>
      </c>
      <c r="BN6" s="1">
        <v>12</v>
      </c>
      <c r="BO6" s="1">
        <v>15</v>
      </c>
      <c r="BP6" s="1">
        <v>18</v>
      </c>
      <c r="BQ6" s="1">
        <v>22</v>
      </c>
      <c r="BR6" s="1">
        <v>29</v>
      </c>
      <c r="BS6" s="1">
        <v>39</v>
      </c>
      <c r="BT6" s="1">
        <v>56</v>
      </c>
      <c r="BU6" s="1">
        <v>102</v>
      </c>
      <c r="BV6" s="1">
        <v>148</v>
      </c>
      <c r="BW6" s="1">
        <v>216</v>
      </c>
      <c r="BX6" s="1">
        <v>233</v>
      </c>
      <c r="BY6" s="1">
        <v>264</v>
      </c>
      <c r="BZ6" s="1">
        <v>304</v>
      </c>
      <c r="CA6" s="1">
        <v>319</v>
      </c>
      <c r="CB6" s="1">
        <v>381</v>
      </c>
      <c r="CC6" s="1">
        <v>430</v>
      </c>
      <c r="CD6" s="1">
        <v>498</v>
      </c>
      <c r="CE6" s="1">
        <v>598</v>
      </c>
      <c r="CF6" s="1">
        <v>673</v>
      </c>
      <c r="CG6" s="1">
        <v>758</v>
      </c>
      <c r="CH6" s="1">
        <v>840</v>
      </c>
      <c r="CI6" s="1">
        <v>916</v>
      </c>
      <c r="CJ6" s="1">
        <v>993</v>
      </c>
      <c r="CK6" s="1">
        <v>1118</v>
      </c>
      <c r="CL6" s="1">
        <v>1184</v>
      </c>
      <c r="CM6" s="1">
        <v>1293</v>
      </c>
      <c r="CN6" s="1">
        <v>1354</v>
      </c>
      <c r="CO6" s="1">
        <v>1374</v>
      </c>
      <c r="CP6" s="1">
        <v>1443</v>
      </c>
      <c r="CQ6" s="1">
        <v>1533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45657</v>
      </c>
      <c r="E7" s="2">
        <v>69.947210285699995</v>
      </c>
      <c r="F7" s="3">
        <v>0.30855787359999998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2</v>
      </c>
      <c r="Z7" s="1">
        <v>3</v>
      </c>
      <c r="AA7" s="1">
        <v>3</v>
      </c>
      <c r="AB7" s="1">
        <v>3</v>
      </c>
      <c r="AC7" s="1">
        <v>4</v>
      </c>
      <c r="AD7" s="1">
        <v>5</v>
      </c>
      <c r="AE7" s="1">
        <v>5.3333333332999997</v>
      </c>
      <c r="AF7" s="1">
        <v>5.6666666667000003</v>
      </c>
      <c r="AG7" s="1">
        <v>5</v>
      </c>
      <c r="AH7" s="1">
        <v>5.7142857142999999</v>
      </c>
      <c r="AI7" s="1">
        <v>6.4285714285999997</v>
      </c>
      <c r="AJ7" s="1">
        <v>7.1428571428999996</v>
      </c>
      <c r="AK7" s="1">
        <v>7.8571428571000004</v>
      </c>
      <c r="AL7" s="1">
        <v>8.5714285714000003</v>
      </c>
      <c r="AM7" s="1">
        <v>9.2857142856999992</v>
      </c>
      <c r="AN7" s="1">
        <v>10</v>
      </c>
      <c r="AO7" s="1">
        <v>10.142857142900001</v>
      </c>
      <c r="AP7" s="1">
        <v>10.285714285699999</v>
      </c>
      <c r="AQ7" s="1">
        <v>10.4285714286</v>
      </c>
      <c r="AR7" s="1">
        <v>9.5714285714000003</v>
      </c>
      <c r="AS7" s="1">
        <v>9.7142857143000008</v>
      </c>
      <c r="AT7" s="1">
        <v>9.8571428570999995</v>
      </c>
      <c r="AU7" s="1">
        <v>10</v>
      </c>
      <c r="AV7" s="1">
        <v>10.199999999999999</v>
      </c>
      <c r="AW7" s="1">
        <v>9.4</v>
      </c>
      <c r="AX7" s="1">
        <v>8.6</v>
      </c>
      <c r="AY7" s="1">
        <v>8.8000000000000007</v>
      </c>
      <c r="AZ7" s="1">
        <v>7</v>
      </c>
      <c r="BA7" s="1">
        <v>4.2</v>
      </c>
      <c r="BB7" s="1">
        <v>2.4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9</v>
      </c>
      <c r="BJ7" s="1">
        <v>39</v>
      </c>
      <c r="BK7" s="1">
        <v>43</v>
      </c>
      <c r="BL7" s="1">
        <v>56</v>
      </c>
      <c r="BM7" s="1">
        <v>137</v>
      </c>
      <c r="BN7" s="1">
        <v>134</v>
      </c>
      <c r="BO7" s="1">
        <v>203</v>
      </c>
      <c r="BP7" s="1">
        <v>387</v>
      </c>
      <c r="BQ7" s="1">
        <v>452</v>
      </c>
      <c r="BR7" s="1">
        <v>349</v>
      </c>
      <c r="BS7" s="1">
        <v>684</v>
      </c>
      <c r="BT7" s="1">
        <v>950</v>
      </c>
      <c r="BU7" s="1">
        <v>1275</v>
      </c>
      <c r="BV7" s="1">
        <v>1666</v>
      </c>
      <c r="BW7" s="1">
        <v>2155</v>
      </c>
      <c r="BX7" s="1">
        <v>1893</v>
      </c>
      <c r="BY7" s="1">
        <v>3609</v>
      </c>
      <c r="BZ7" s="1">
        <v>4129</v>
      </c>
      <c r="CA7" s="1">
        <v>4640</v>
      </c>
      <c r="CB7" s="1">
        <v>5484</v>
      </c>
      <c r="CC7" s="1">
        <v>6105</v>
      </c>
      <c r="CD7" s="1">
        <v>6722</v>
      </c>
      <c r="CE7" s="1">
        <v>7940</v>
      </c>
      <c r="CF7" s="1">
        <v>10945</v>
      </c>
      <c r="CG7" s="1">
        <v>11976</v>
      </c>
      <c r="CH7" s="1">
        <v>14364</v>
      </c>
      <c r="CI7" s="1">
        <v>16945</v>
      </c>
      <c r="CJ7" s="1">
        <v>19767</v>
      </c>
      <c r="CK7" s="1">
        <v>23743</v>
      </c>
      <c r="CL7" s="1">
        <v>25781</v>
      </c>
      <c r="CM7" s="1">
        <v>29583</v>
      </c>
      <c r="CN7" s="1">
        <v>36399</v>
      </c>
      <c r="CO7" s="1">
        <v>39822</v>
      </c>
      <c r="CP7" s="1">
        <v>41185</v>
      </c>
      <c r="CQ7" s="1">
        <v>45657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86807</v>
      </c>
      <c r="E8" s="2">
        <v>103.6081591864</v>
      </c>
      <c r="F8" s="3">
        <v>0.61392391629999998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4</v>
      </c>
      <c r="AD8" s="1">
        <v>4.3333333332999997</v>
      </c>
      <c r="AE8" s="1">
        <v>4.6666666667000003</v>
      </c>
      <c r="AF8" s="1">
        <v>5</v>
      </c>
      <c r="AG8" s="1">
        <v>8</v>
      </c>
      <c r="AH8" s="1">
        <v>10</v>
      </c>
      <c r="AI8" s="1">
        <v>12</v>
      </c>
      <c r="AJ8" s="1">
        <v>12.25</v>
      </c>
      <c r="AK8" s="1">
        <v>12.5</v>
      </c>
      <c r="AL8" s="1">
        <v>12.75</v>
      </c>
      <c r="AM8" s="1">
        <v>13</v>
      </c>
      <c r="AN8" s="1">
        <v>13.5</v>
      </c>
      <c r="AO8" s="1">
        <v>14</v>
      </c>
      <c r="AP8" s="1">
        <v>15</v>
      </c>
      <c r="AQ8" s="1">
        <v>16</v>
      </c>
      <c r="AR8" s="1">
        <v>16.071428571399998</v>
      </c>
      <c r="AS8" s="1">
        <v>16.142857142899999</v>
      </c>
      <c r="AT8" s="1">
        <v>16.214285714300001</v>
      </c>
      <c r="AU8" s="1">
        <v>16.285714285699999</v>
      </c>
      <c r="AV8" s="1">
        <v>16.357142857100001</v>
      </c>
      <c r="AW8" s="1">
        <v>16.428571428600002</v>
      </c>
      <c r="AX8" s="1">
        <v>16.5</v>
      </c>
      <c r="AY8" s="1">
        <v>16.571428571399998</v>
      </c>
      <c r="AZ8" s="1">
        <v>16.642857142899999</v>
      </c>
      <c r="BA8" s="1">
        <v>16.714285714300001</v>
      </c>
      <c r="BB8" s="1">
        <v>16.785714285699999</v>
      </c>
      <c r="BC8" s="1">
        <v>16.857142857100001</v>
      </c>
      <c r="BD8" s="1">
        <v>14.9285714286</v>
      </c>
      <c r="BE8" s="1">
        <v>15</v>
      </c>
      <c r="BF8" s="1">
        <v>24</v>
      </c>
      <c r="BG8" s="1">
        <v>43</v>
      </c>
      <c r="BH8" s="1">
        <v>41</v>
      </c>
      <c r="BI8" s="1">
        <v>70</v>
      </c>
      <c r="BJ8" s="1">
        <v>119</v>
      </c>
      <c r="BK8" s="1">
        <v>142</v>
      </c>
      <c r="BL8" s="1">
        <v>172</v>
      </c>
      <c r="BM8" s="1">
        <v>234</v>
      </c>
      <c r="BN8" s="1">
        <v>438</v>
      </c>
      <c r="BO8" s="1">
        <v>603</v>
      </c>
      <c r="BP8" s="1">
        <v>715</v>
      </c>
      <c r="BQ8" s="1">
        <v>946</v>
      </c>
      <c r="BR8" s="1">
        <v>1053</v>
      </c>
      <c r="BS8" s="1">
        <v>1300</v>
      </c>
      <c r="BT8" s="1">
        <v>1702</v>
      </c>
      <c r="BU8" s="1">
        <v>1811</v>
      </c>
      <c r="BV8" s="1">
        <v>3333</v>
      </c>
      <c r="BW8" s="1">
        <v>4152</v>
      </c>
      <c r="BX8" s="1">
        <v>5262</v>
      </c>
      <c r="BY8" s="1">
        <v>6627</v>
      </c>
      <c r="BZ8" s="1">
        <v>8482</v>
      </c>
      <c r="CA8" s="1">
        <v>11407</v>
      </c>
      <c r="CB8" s="1">
        <v>14213</v>
      </c>
      <c r="CC8" s="1">
        <v>18573</v>
      </c>
      <c r="CD8" s="1">
        <v>20769</v>
      </c>
      <c r="CE8" s="1">
        <v>23289</v>
      </c>
      <c r="CF8" s="1">
        <v>27246</v>
      </c>
      <c r="CG8" s="1">
        <v>30970</v>
      </c>
      <c r="CH8" s="1">
        <v>34974</v>
      </c>
      <c r="CI8" s="1">
        <v>41331</v>
      </c>
      <c r="CJ8" s="1">
        <v>48104</v>
      </c>
      <c r="CK8" s="1">
        <v>54959</v>
      </c>
      <c r="CL8" s="1">
        <v>59073</v>
      </c>
      <c r="CM8" s="1">
        <v>63691</v>
      </c>
      <c r="CN8" s="1">
        <v>68514</v>
      </c>
      <c r="CO8" s="1">
        <v>74068</v>
      </c>
      <c r="CP8" s="1">
        <v>80742</v>
      </c>
      <c r="CQ8" s="1">
        <v>86807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2095</v>
      </c>
      <c r="E9" s="2">
        <v>0.15181111180000001</v>
      </c>
      <c r="F9" s="3">
        <v>0.14597268669999999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1</v>
      </c>
      <c r="AF9" s="1">
        <v>1</v>
      </c>
      <c r="AG9" s="1">
        <v>1</v>
      </c>
      <c r="AH9" s="1">
        <v>2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3</v>
      </c>
      <c r="AV9" s="1">
        <v>3</v>
      </c>
      <c r="AW9" s="1">
        <v>3</v>
      </c>
      <c r="AX9" s="1">
        <v>3</v>
      </c>
      <c r="AY9" s="1">
        <v>3</v>
      </c>
      <c r="AZ9" s="1">
        <v>3</v>
      </c>
      <c r="BA9" s="1">
        <v>3</v>
      </c>
      <c r="BB9" s="1">
        <v>3</v>
      </c>
      <c r="BC9" s="1">
        <v>3</v>
      </c>
      <c r="BD9" s="1">
        <v>3</v>
      </c>
      <c r="BE9" s="1">
        <v>3</v>
      </c>
      <c r="BF9" s="1">
        <v>2</v>
      </c>
      <c r="BG9" s="1">
        <v>2</v>
      </c>
      <c r="BH9" s="1">
        <v>1</v>
      </c>
      <c r="BI9" s="1">
        <v>1</v>
      </c>
      <c r="BJ9" s="1">
        <v>1</v>
      </c>
      <c r="BK9" s="1">
        <v>3</v>
      </c>
      <c r="BL9" s="1">
        <v>13.5</v>
      </c>
      <c r="BM9" s="1">
        <v>25</v>
      </c>
      <c r="BN9" s="1">
        <v>26</v>
      </c>
      <c r="BO9" s="1">
        <v>26</v>
      </c>
      <c r="BP9" s="1">
        <v>30</v>
      </c>
      <c r="BQ9" s="1">
        <v>32</v>
      </c>
      <c r="BR9" s="1">
        <v>33</v>
      </c>
      <c r="BS9" s="1">
        <v>46</v>
      </c>
      <c r="BT9" s="1">
        <v>50</v>
      </c>
      <c r="BU9" s="1">
        <v>53</v>
      </c>
      <c r="BV9" s="1">
        <v>62</v>
      </c>
      <c r="BW9" s="1">
        <v>78</v>
      </c>
      <c r="BX9" s="1">
        <v>86</v>
      </c>
      <c r="BY9" s="1">
        <v>87</v>
      </c>
      <c r="BZ9" s="1">
        <v>107</v>
      </c>
      <c r="CA9" s="1">
        <v>98</v>
      </c>
      <c r="CB9" s="1">
        <v>122</v>
      </c>
      <c r="CC9" s="1">
        <v>172</v>
      </c>
      <c r="CD9" s="1">
        <v>244</v>
      </c>
      <c r="CE9" s="1">
        <v>297</v>
      </c>
      <c r="CF9" s="1">
        <v>363</v>
      </c>
      <c r="CG9" s="1">
        <v>386</v>
      </c>
      <c r="CH9" s="1">
        <v>479</v>
      </c>
      <c r="CI9" s="1">
        <v>501</v>
      </c>
      <c r="CJ9" s="1">
        <v>641</v>
      </c>
      <c r="CK9" s="1">
        <v>699</v>
      </c>
      <c r="CL9" s="1">
        <v>693</v>
      </c>
      <c r="CM9" s="1">
        <v>893</v>
      </c>
      <c r="CN9" s="1">
        <v>1004</v>
      </c>
      <c r="CO9" s="1">
        <v>1593</v>
      </c>
      <c r="CP9" s="1">
        <v>2095</v>
      </c>
      <c r="CQ9" s="1">
        <v>2081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48225</v>
      </c>
      <c r="E10" s="2">
        <v>57.415533773</v>
      </c>
      <c r="F10" s="3">
        <v>0.60664955850000002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254</v>
      </c>
      <c r="BK10" s="1">
        <v>648</v>
      </c>
      <c r="BL10" s="1">
        <v>1348</v>
      </c>
      <c r="BM10" s="1">
        <v>1787</v>
      </c>
      <c r="BN10" s="1">
        <v>2229</v>
      </c>
      <c r="BO10" s="1">
        <v>3314</v>
      </c>
      <c r="BP10" s="1">
        <v>4267</v>
      </c>
      <c r="BQ10" s="1">
        <v>4881</v>
      </c>
      <c r="BR10" s="1">
        <v>5349</v>
      </c>
      <c r="BS10" s="1">
        <v>6108</v>
      </c>
      <c r="BT10" s="1">
        <v>6923</v>
      </c>
      <c r="BU10" s="1">
        <v>7841</v>
      </c>
      <c r="BV10" s="1">
        <v>8986</v>
      </c>
      <c r="BW10" s="1">
        <v>10212</v>
      </c>
      <c r="BX10" s="1">
        <v>11298</v>
      </c>
      <c r="BY10" s="1">
        <v>12234</v>
      </c>
      <c r="BZ10" s="1">
        <v>13271</v>
      </c>
      <c r="CA10" s="1">
        <v>14325</v>
      </c>
      <c r="CB10" s="1">
        <v>15247</v>
      </c>
      <c r="CC10" s="1">
        <v>16350</v>
      </c>
      <c r="CD10" s="1">
        <v>17158</v>
      </c>
      <c r="CE10" s="1">
        <v>18035</v>
      </c>
      <c r="CF10" s="1">
        <v>19310</v>
      </c>
      <c r="CG10" s="1">
        <v>20939</v>
      </c>
      <c r="CH10" s="1">
        <v>23024</v>
      </c>
      <c r="CI10" s="1">
        <v>25296</v>
      </c>
      <c r="CJ10" s="1">
        <v>28100</v>
      </c>
      <c r="CK10" s="1">
        <v>31051</v>
      </c>
      <c r="CL10" s="1">
        <v>33835</v>
      </c>
      <c r="CM10" s="1">
        <v>36910</v>
      </c>
      <c r="CN10" s="1">
        <v>39922</v>
      </c>
      <c r="CO10" s="1">
        <v>42816</v>
      </c>
      <c r="CP10" s="1">
        <v>45599</v>
      </c>
      <c r="CQ10" s="1">
        <v>48225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97082</v>
      </c>
      <c r="E11" s="2">
        <v>160.5674297697</v>
      </c>
      <c r="F11" s="3">
        <v>0.56300961530000004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2</v>
      </c>
      <c r="AG11" s="1">
        <v>2</v>
      </c>
      <c r="AH11" s="1">
        <v>2</v>
      </c>
      <c r="AI11" s="1">
        <v>2</v>
      </c>
      <c r="AJ11" s="1">
        <v>2</v>
      </c>
      <c r="AK11" s="1">
        <v>2</v>
      </c>
      <c r="AL11" s="1">
        <v>2</v>
      </c>
      <c r="AM11" s="1">
        <v>2</v>
      </c>
      <c r="AN11" s="1">
        <v>1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111</v>
      </c>
      <c r="BN11" s="1">
        <v>453</v>
      </c>
      <c r="BO11" s="1">
        <v>604</v>
      </c>
      <c r="BP11" s="1">
        <v>1058</v>
      </c>
      <c r="BQ11" s="1">
        <v>1899</v>
      </c>
      <c r="BR11" s="1">
        <v>3095</v>
      </c>
      <c r="BS11" s="1">
        <v>3329</v>
      </c>
      <c r="BT11" s="1">
        <v>4959</v>
      </c>
      <c r="BU11" s="1">
        <v>6846</v>
      </c>
      <c r="BV11" s="1">
        <v>8526</v>
      </c>
      <c r="BW11" s="1">
        <v>11134</v>
      </c>
      <c r="BX11" s="1">
        <v>13968</v>
      </c>
      <c r="BY11" s="1">
        <v>16389</v>
      </c>
      <c r="BZ11" s="1">
        <v>19078</v>
      </c>
      <c r="CA11" s="1">
        <v>22558</v>
      </c>
      <c r="CB11" s="1">
        <v>27120</v>
      </c>
      <c r="CC11" s="1">
        <v>32340</v>
      </c>
      <c r="CD11" s="1">
        <v>38216</v>
      </c>
      <c r="CE11" s="1">
        <v>43251</v>
      </c>
      <c r="CF11" s="1">
        <v>47404</v>
      </c>
      <c r="CG11" s="1">
        <v>52049</v>
      </c>
      <c r="CH11" s="1">
        <v>56717</v>
      </c>
      <c r="CI11" s="1">
        <v>62310</v>
      </c>
      <c r="CJ11" s="1">
        <v>67649</v>
      </c>
      <c r="CK11" s="1">
        <v>73004</v>
      </c>
      <c r="CL11" s="1">
        <v>77790</v>
      </c>
      <c r="CM11" s="1">
        <v>81274</v>
      </c>
      <c r="CN11" s="1">
        <v>84725</v>
      </c>
      <c r="CO11" s="1">
        <v>88929</v>
      </c>
      <c r="CP11" s="1">
        <v>93072</v>
      </c>
      <c r="CQ11" s="1">
        <v>97082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2427</v>
      </c>
      <c r="E12" s="2">
        <v>1.9189341485</v>
      </c>
      <c r="F12" s="3">
        <v>0.247982017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2</v>
      </c>
      <c r="X12" s="1">
        <v>2</v>
      </c>
      <c r="Y12" s="1">
        <v>2</v>
      </c>
      <c r="Z12" s="1">
        <v>2</v>
      </c>
      <c r="AA12" s="1">
        <v>4</v>
      </c>
      <c r="AB12" s="1">
        <v>5.5</v>
      </c>
      <c r="AC12" s="1">
        <v>7</v>
      </c>
      <c r="AD12" s="1">
        <v>9</v>
      </c>
      <c r="AE12" s="1">
        <v>10</v>
      </c>
      <c r="AF12" s="1">
        <v>14</v>
      </c>
      <c r="AG12" s="1">
        <v>19</v>
      </c>
      <c r="AH12" s="1">
        <v>19.666666666699999</v>
      </c>
      <c r="AI12" s="1">
        <v>20.333333333300001</v>
      </c>
      <c r="AJ12" s="1">
        <v>21</v>
      </c>
      <c r="AK12" s="1">
        <v>22</v>
      </c>
      <c r="AL12" s="1">
        <v>23</v>
      </c>
      <c r="AM12" s="1">
        <v>24</v>
      </c>
      <c r="AN12" s="1">
        <v>24.5</v>
      </c>
      <c r="AO12" s="1">
        <v>25</v>
      </c>
      <c r="AP12" s="1">
        <v>25.666666666699999</v>
      </c>
      <c r="AQ12" s="1">
        <v>26.333333333300001</v>
      </c>
      <c r="AR12" s="1">
        <v>26</v>
      </c>
      <c r="AS12" s="1">
        <v>24.5</v>
      </c>
      <c r="AT12" s="1">
        <v>25</v>
      </c>
      <c r="AU12" s="1">
        <v>38</v>
      </c>
      <c r="AV12" s="1">
        <v>53</v>
      </c>
      <c r="AW12" s="1">
        <v>60</v>
      </c>
      <c r="AX12" s="1">
        <v>68</v>
      </c>
      <c r="AY12" s="1">
        <v>78</v>
      </c>
      <c r="AZ12" s="1">
        <v>88</v>
      </c>
      <c r="BA12" s="1">
        <v>99</v>
      </c>
      <c r="BB12" s="1">
        <v>116</v>
      </c>
      <c r="BC12" s="1">
        <v>141</v>
      </c>
      <c r="BD12" s="1">
        <v>149</v>
      </c>
      <c r="BE12" s="1">
        <v>160</v>
      </c>
      <c r="BF12" s="1">
        <v>174</v>
      </c>
      <c r="BG12" s="1">
        <v>198</v>
      </c>
      <c r="BH12" s="1">
        <v>209</v>
      </c>
      <c r="BI12" s="1">
        <v>219</v>
      </c>
      <c r="BJ12" s="1">
        <v>234</v>
      </c>
      <c r="BK12" s="1">
        <v>247</v>
      </c>
      <c r="BL12" s="1">
        <v>264</v>
      </c>
      <c r="BM12" s="1">
        <v>302</v>
      </c>
      <c r="BN12" s="1">
        <v>331</v>
      </c>
      <c r="BO12" s="1">
        <v>387</v>
      </c>
      <c r="BP12" s="1">
        <v>426</v>
      </c>
      <c r="BQ12" s="1">
        <v>461</v>
      </c>
      <c r="BR12" s="1">
        <v>469</v>
      </c>
      <c r="BS12" s="1">
        <v>538</v>
      </c>
      <c r="BT12" s="1">
        <v>594</v>
      </c>
      <c r="BU12" s="1">
        <v>623</v>
      </c>
      <c r="BV12" s="1">
        <v>652</v>
      </c>
      <c r="BW12" s="1">
        <v>721</v>
      </c>
      <c r="BX12" s="1">
        <v>785</v>
      </c>
      <c r="BY12" s="1">
        <v>804.5</v>
      </c>
      <c r="BZ12" s="1">
        <v>822</v>
      </c>
      <c r="CA12" s="1">
        <v>832</v>
      </c>
      <c r="CB12" s="1">
        <v>862</v>
      </c>
      <c r="CC12" s="1">
        <v>900</v>
      </c>
      <c r="CD12" s="1">
        <v>930</v>
      </c>
      <c r="CE12" s="1">
        <v>1024</v>
      </c>
      <c r="CF12" s="1">
        <v>1043</v>
      </c>
      <c r="CG12" s="1">
        <v>1101</v>
      </c>
      <c r="CH12" s="1">
        <v>1214</v>
      </c>
      <c r="CI12" s="1">
        <v>1293</v>
      </c>
      <c r="CJ12" s="1">
        <v>1369</v>
      </c>
      <c r="CK12" s="1">
        <v>1594</v>
      </c>
      <c r="CL12" s="1">
        <v>1758</v>
      </c>
      <c r="CM12" s="1">
        <v>1786.5</v>
      </c>
      <c r="CN12" s="1">
        <v>1810</v>
      </c>
      <c r="CO12" s="1">
        <v>2032</v>
      </c>
      <c r="CP12" s="1">
        <v>2317</v>
      </c>
      <c r="CQ12" s="1">
        <v>2427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9832</v>
      </c>
      <c r="E13" s="2">
        <v>19.177211418500001</v>
      </c>
      <c r="F13" s="3">
        <v>0.92449459329999994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1</v>
      </c>
      <c r="X13" s="1">
        <v>1</v>
      </c>
      <c r="Y13" s="1">
        <v>2</v>
      </c>
      <c r="Z13" s="1">
        <v>2</v>
      </c>
      <c r="AA13" s="1">
        <v>3</v>
      </c>
      <c r="AB13" s="1">
        <v>4</v>
      </c>
      <c r="AC13" s="1">
        <v>5.75</v>
      </c>
      <c r="AD13" s="1">
        <v>7.5</v>
      </c>
      <c r="AE13" s="1">
        <v>9.25</v>
      </c>
      <c r="AF13" s="1">
        <v>11</v>
      </c>
      <c r="AG13" s="1">
        <v>12</v>
      </c>
      <c r="AH13" s="1">
        <v>15</v>
      </c>
      <c r="AI13" s="1">
        <v>15.5</v>
      </c>
      <c r="AJ13" s="1">
        <v>16</v>
      </c>
      <c r="AK13" s="1">
        <v>19</v>
      </c>
      <c r="AL13" s="1">
        <v>22</v>
      </c>
      <c r="AM13" s="1">
        <v>22</v>
      </c>
      <c r="AN13" s="1">
        <v>22.5</v>
      </c>
      <c r="AO13" s="1">
        <v>19</v>
      </c>
      <c r="AP13" s="1">
        <v>19</v>
      </c>
      <c r="AQ13" s="1">
        <v>18</v>
      </c>
      <c r="AR13" s="1">
        <v>16.2</v>
      </c>
      <c r="AS13" s="1">
        <v>15.4</v>
      </c>
      <c r="AT13" s="1">
        <v>15.6</v>
      </c>
      <c r="AU13" s="1">
        <v>12.8</v>
      </c>
      <c r="AV13" s="1">
        <v>12</v>
      </c>
      <c r="AW13" s="1">
        <v>2</v>
      </c>
      <c r="AX13" s="1">
        <v>3</v>
      </c>
      <c r="AY13" s="1">
        <v>32.5</v>
      </c>
      <c r="AZ13" s="1">
        <v>69</v>
      </c>
      <c r="BA13" s="1">
        <v>162</v>
      </c>
      <c r="BB13" s="1">
        <v>389</v>
      </c>
      <c r="BC13" s="1">
        <v>552</v>
      </c>
      <c r="BD13" s="1">
        <v>780</v>
      </c>
      <c r="BE13" s="1">
        <v>923</v>
      </c>
      <c r="BF13" s="1">
        <v>1201</v>
      </c>
      <c r="BG13" s="1">
        <v>1700</v>
      </c>
      <c r="BH13" s="1">
        <v>2271</v>
      </c>
      <c r="BI13" s="1">
        <v>3078</v>
      </c>
      <c r="BJ13" s="1">
        <v>3661</v>
      </c>
      <c r="BK13" s="1">
        <v>4260</v>
      </c>
      <c r="BL13" s="1">
        <v>5105</v>
      </c>
      <c r="BM13" s="1">
        <v>5537</v>
      </c>
      <c r="BN13" s="1">
        <v>5997</v>
      </c>
      <c r="BO13" s="1">
        <v>6499</v>
      </c>
      <c r="BP13" s="1">
        <v>6939</v>
      </c>
      <c r="BQ13" s="1">
        <v>7203</v>
      </c>
      <c r="BR13" s="1">
        <v>7367</v>
      </c>
      <c r="BS13" s="1">
        <v>7393</v>
      </c>
      <c r="BT13" s="1">
        <v>7629</v>
      </c>
      <c r="BU13" s="1">
        <v>7738</v>
      </c>
      <c r="BV13" s="1">
        <v>7840</v>
      </c>
      <c r="BW13" s="1">
        <v>7942</v>
      </c>
      <c r="BX13" s="1">
        <v>8010</v>
      </c>
      <c r="BY13" s="1">
        <v>8078</v>
      </c>
      <c r="BZ13" s="1">
        <v>8158</v>
      </c>
      <c r="CA13" s="1">
        <v>8248</v>
      </c>
      <c r="CB13" s="1">
        <v>8396</v>
      </c>
      <c r="CC13" s="1">
        <v>8478</v>
      </c>
      <c r="CD13" s="1">
        <v>8622</v>
      </c>
      <c r="CE13" s="1">
        <v>8778</v>
      </c>
      <c r="CF13" s="1">
        <v>8813</v>
      </c>
      <c r="CG13" s="1">
        <v>8845</v>
      </c>
      <c r="CH13" s="1">
        <v>8937</v>
      </c>
      <c r="CI13" s="1">
        <v>9037</v>
      </c>
      <c r="CJ13" s="1">
        <v>9124</v>
      </c>
      <c r="CK13" s="1">
        <v>9267</v>
      </c>
      <c r="CL13" s="1">
        <v>9369</v>
      </c>
      <c r="CM13" s="1">
        <v>9444</v>
      </c>
      <c r="CN13" s="1">
        <v>9564</v>
      </c>
      <c r="CO13" s="1">
        <v>9662</v>
      </c>
      <c r="CP13" s="1">
        <v>9747</v>
      </c>
      <c r="CQ13" s="1">
        <v>9832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9229</v>
      </c>
      <c r="E14" s="2">
        <v>90.509594811400007</v>
      </c>
      <c r="F14" s="3">
        <v>0.48517506049999998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2</v>
      </c>
      <c r="BL14" s="1">
        <v>1</v>
      </c>
      <c r="BM14" s="1">
        <v>3</v>
      </c>
      <c r="BN14" s="1">
        <v>5</v>
      </c>
      <c r="BO14" s="1">
        <v>7</v>
      </c>
      <c r="BP14" s="1">
        <v>8</v>
      </c>
      <c r="BQ14" s="1">
        <v>16</v>
      </c>
      <c r="BR14" s="1">
        <v>12.5</v>
      </c>
      <c r="BS14" s="1">
        <v>8</v>
      </c>
      <c r="BT14" s="1">
        <v>16</v>
      </c>
      <c r="BU14" s="1">
        <v>25.5</v>
      </c>
      <c r="BV14" s="1">
        <v>36</v>
      </c>
      <c r="BW14" s="1">
        <v>69</v>
      </c>
      <c r="BX14" s="1">
        <v>126</v>
      </c>
      <c r="BY14" s="1">
        <v>191</v>
      </c>
      <c r="BZ14" s="1">
        <v>288</v>
      </c>
      <c r="CA14" s="1">
        <v>429.5</v>
      </c>
      <c r="CB14" s="1">
        <v>576</v>
      </c>
      <c r="CC14" s="1">
        <v>774</v>
      </c>
      <c r="CD14" s="1">
        <v>1014</v>
      </c>
      <c r="CE14" s="1">
        <v>1305</v>
      </c>
      <c r="CF14" s="1">
        <v>1749</v>
      </c>
      <c r="CG14" s="1">
        <v>2017</v>
      </c>
      <c r="CH14" s="1">
        <v>2615</v>
      </c>
      <c r="CI14" s="1">
        <v>3135</v>
      </c>
      <c r="CJ14" s="1">
        <v>3833</v>
      </c>
      <c r="CK14" s="1">
        <v>4700</v>
      </c>
      <c r="CL14" s="1">
        <v>5458</v>
      </c>
      <c r="CM14" s="1">
        <v>5873</v>
      </c>
      <c r="CN14" s="1">
        <v>6876</v>
      </c>
      <c r="CO14" s="1">
        <v>7652</v>
      </c>
      <c r="CP14" s="1">
        <v>8405</v>
      </c>
      <c r="CQ14" s="1">
        <v>9229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3876</v>
      </c>
      <c r="E15" s="2">
        <v>2.6559867675</v>
      </c>
      <c r="F15" s="3">
        <v>0.1210947263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2</v>
      </c>
      <c r="AO15" s="1">
        <v>2</v>
      </c>
      <c r="AP15" s="1">
        <v>2</v>
      </c>
      <c r="AQ15" s="1">
        <v>2</v>
      </c>
      <c r="AR15" s="1">
        <v>2</v>
      </c>
      <c r="AS15" s="1">
        <v>2</v>
      </c>
      <c r="AT15" s="1">
        <v>2</v>
      </c>
      <c r="AU15" s="1">
        <v>2</v>
      </c>
      <c r="AV15" s="1">
        <v>2</v>
      </c>
      <c r="AW15" s="1">
        <v>2</v>
      </c>
      <c r="AX15" s="1">
        <v>2</v>
      </c>
      <c r="AY15" s="1">
        <v>2</v>
      </c>
      <c r="AZ15" s="1">
        <v>2</v>
      </c>
      <c r="BA15" s="1">
        <v>2</v>
      </c>
      <c r="BB15" s="1">
        <v>2</v>
      </c>
      <c r="BC15" s="1">
        <v>2</v>
      </c>
      <c r="BD15" s="1">
        <v>2</v>
      </c>
      <c r="BE15" s="1">
        <v>2</v>
      </c>
      <c r="BF15" s="1">
        <v>2</v>
      </c>
      <c r="BG15" s="1">
        <v>2</v>
      </c>
      <c r="BH15" s="1">
        <v>2</v>
      </c>
      <c r="BI15" s="1">
        <v>2</v>
      </c>
      <c r="BJ15" s="1">
        <v>2</v>
      </c>
      <c r="BK15" s="1">
        <v>3</v>
      </c>
      <c r="BL15" s="1">
        <v>3</v>
      </c>
      <c r="BM15" s="1">
        <v>3</v>
      </c>
      <c r="BN15" s="1">
        <v>3</v>
      </c>
      <c r="BO15" s="1">
        <v>12</v>
      </c>
      <c r="BP15" s="1">
        <v>14</v>
      </c>
      <c r="BQ15" s="1">
        <v>16</v>
      </c>
      <c r="BR15" s="1">
        <v>17.5</v>
      </c>
      <c r="BS15" s="1">
        <v>19</v>
      </c>
      <c r="BT15" s="1">
        <v>21</v>
      </c>
      <c r="BU15" s="1">
        <v>25</v>
      </c>
      <c r="BV15" s="1">
        <v>41</v>
      </c>
      <c r="BW15" s="1">
        <v>55</v>
      </c>
      <c r="BX15" s="1">
        <v>55</v>
      </c>
      <c r="BY15" s="1">
        <v>81</v>
      </c>
      <c r="BZ15" s="1">
        <v>97</v>
      </c>
      <c r="CA15" s="1">
        <v>123</v>
      </c>
      <c r="CB15" s="1">
        <v>169</v>
      </c>
      <c r="CC15" s="1">
        <v>219</v>
      </c>
      <c r="CD15" s="1">
        <v>263</v>
      </c>
      <c r="CE15" s="1">
        <v>322</v>
      </c>
      <c r="CF15" s="1">
        <v>391</v>
      </c>
      <c r="CG15" s="1">
        <v>437</v>
      </c>
      <c r="CH15" s="1">
        <v>595</v>
      </c>
      <c r="CI15" s="1">
        <v>764</v>
      </c>
      <c r="CJ15" s="1">
        <v>942</v>
      </c>
      <c r="CK15" s="1">
        <v>1158</v>
      </c>
      <c r="CL15" s="1">
        <v>1404</v>
      </c>
      <c r="CM15" s="1">
        <v>1688</v>
      </c>
      <c r="CN15" s="1">
        <v>2167</v>
      </c>
      <c r="CO15" s="1">
        <v>2579</v>
      </c>
      <c r="CP15" s="1">
        <v>3316</v>
      </c>
      <c r="CQ15" s="1">
        <v>3876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1103</v>
      </c>
      <c r="E16" s="2">
        <v>18.8535986443</v>
      </c>
      <c r="F16" s="3">
        <v>0.21841584159999999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1</v>
      </c>
      <c r="Y16" s="1">
        <v>3</v>
      </c>
      <c r="Z16" s="1">
        <v>3</v>
      </c>
      <c r="AA16" s="1">
        <v>4</v>
      </c>
      <c r="AB16" s="1">
        <v>5</v>
      </c>
      <c r="AC16" s="1">
        <v>7</v>
      </c>
      <c r="AD16" s="1">
        <v>8.5</v>
      </c>
      <c r="AE16" s="1">
        <v>10</v>
      </c>
      <c r="AF16" s="1">
        <v>13</v>
      </c>
      <c r="AG16" s="1">
        <v>16</v>
      </c>
      <c r="AH16" s="1">
        <v>18</v>
      </c>
      <c r="AI16" s="1">
        <v>21</v>
      </c>
      <c r="AJ16" s="1">
        <v>24</v>
      </c>
      <c r="AK16" s="1">
        <v>28</v>
      </c>
      <c r="AL16" s="1">
        <v>29</v>
      </c>
      <c r="AM16" s="1">
        <v>30</v>
      </c>
      <c r="AN16" s="1">
        <v>33</v>
      </c>
      <c r="AO16" s="1">
        <v>40</v>
      </c>
      <c r="AP16" s="1">
        <v>45</v>
      </c>
      <c r="AQ16" s="1">
        <v>47</v>
      </c>
      <c r="AR16" s="1">
        <v>50</v>
      </c>
      <c r="AS16" s="1">
        <v>58</v>
      </c>
      <c r="AT16" s="1">
        <v>67</v>
      </c>
      <c r="AU16" s="1">
        <v>72</v>
      </c>
      <c r="AV16" s="1">
        <v>75</v>
      </c>
      <c r="AW16" s="1">
        <v>77</v>
      </c>
      <c r="AX16" s="1">
        <v>81</v>
      </c>
      <c r="AY16" s="1">
        <v>84</v>
      </c>
      <c r="AZ16" s="1">
        <v>84.5</v>
      </c>
      <c r="BA16" s="1">
        <v>85</v>
      </c>
      <c r="BB16" s="1">
        <v>87</v>
      </c>
      <c r="BC16" s="1">
        <v>89</v>
      </c>
      <c r="BD16" s="1">
        <v>90</v>
      </c>
      <c r="BE16" s="1">
        <v>91</v>
      </c>
      <c r="BF16" s="1">
        <v>93</v>
      </c>
      <c r="BG16" s="1">
        <v>96</v>
      </c>
      <c r="BH16" s="1">
        <v>99</v>
      </c>
      <c r="BI16" s="1">
        <v>102</v>
      </c>
      <c r="BJ16" s="1">
        <v>106</v>
      </c>
      <c r="BK16" s="1">
        <v>108</v>
      </c>
      <c r="BL16" s="1">
        <v>110</v>
      </c>
      <c r="BM16" s="1">
        <v>113.5</v>
      </c>
      <c r="BN16" s="1">
        <v>117</v>
      </c>
      <c r="BO16" s="1">
        <v>130</v>
      </c>
      <c r="BP16" s="1">
        <v>136</v>
      </c>
      <c r="BQ16" s="1">
        <v>148</v>
      </c>
      <c r="BR16" s="1">
        <v>153</v>
      </c>
      <c r="BS16" s="1">
        <v>158</v>
      </c>
      <c r="BT16" s="1">
        <v>176</v>
      </c>
      <c r="BU16" s="1">
        <v>187</v>
      </c>
      <c r="BV16" s="1">
        <v>198</v>
      </c>
      <c r="BW16" s="1">
        <v>210</v>
      </c>
      <c r="BX16" s="1">
        <v>223</v>
      </c>
      <c r="BY16" s="1">
        <v>240</v>
      </c>
      <c r="BZ16" s="1">
        <v>263</v>
      </c>
      <c r="CA16" s="1">
        <v>310</v>
      </c>
      <c r="CB16" s="1">
        <v>341</v>
      </c>
      <c r="CC16" s="1">
        <v>380</v>
      </c>
      <c r="CD16" s="1">
        <v>426</v>
      </c>
      <c r="CE16" s="1">
        <v>449</v>
      </c>
      <c r="CF16" s="1">
        <v>503</v>
      </c>
      <c r="CG16" s="1">
        <v>552</v>
      </c>
      <c r="CH16" s="1">
        <v>625</v>
      </c>
      <c r="CI16" s="1">
        <v>677</v>
      </c>
      <c r="CJ16" s="1">
        <v>725</v>
      </c>
      <c r="CK16" s="1">
        <v>794</v>
      </c>
      <c r="CL16" s="1">
        <v>836</v>
      </c>
      <c r="CM16" s="1">
        <v>870</v>
      </c>
      <c r="CN16" s="1">
        <v>916</v>
      </c>
      <c r="CO16" s="1">
        <v>990</v>
      </c>
      <c r="CP16" s="1">
        <v>1039</v>
      </c>
      <c r="CQ16" s="1">
        <v>1103</v>
      </c>
    </row>
    <row r="17" spans="1:95" x14ac:dyDescent="0.25">
      <c r="A17" t="s">
        <v>250</v>
      </c>
      <c r="B17" s="1">
        <v>46754778</v>
      </c>
      <c r="C17" s="1">
        <v>498800</v>
      </c>
      <c r="D17" s="1">
        <v>99197</v>
      </c>
      <c r="E17" s="2">
        <v>212.164412373</v>
      </c>
      <c r="F17" s="3">
        <v>0.51979417210000001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1</v>
      </c>
      <c r="AH17" s="1">
        <v>1</v>
      </c>
      <c r="AI17" s="1">
        <v>1</v>
      </c>
      <c r="AJ17" s="1">
        <v>1</v>
      </c>
      <c r="AK17" s="1">
        <v>1</v>
      </c>
      <c r="AL17" s="1">
        <v>1</v>
      </c>
      <c r="AM17" s="1">
        <v>1</v>
      </c>
      <c r="AN17" s="1">
        <v>1</v>
      </c>
      <c r="AO17" s="1">
        <v>2</v>
      </c>
      <c r="AP17" s="1">
        <v>2</v>
      </c>
      <c r="AQ17" s="1">
        <v>2</v>
      </c>
      <c r="AR17" s="1">
        <v>2</v>
      </c>
      <c r="AS17" s="1">
        <v>2</v>
      </c>
      <c r="AT17" s="1">
        <v>2</v>
      </c>
      <c r="AU17" s="1">
        <v>2</v>
      </c>
      <c r="AV17" s="1">
        <v>2</v>
      </c>
      <c r="AW17" s="1">
        <v>2</v>
      </c>
      <c r="AX17" s="1">
        <v>1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94</v>
      </c>
      <c r="BW17" s="1">
        <v>409</v>
      </c>
      <c r="BX17" s="1">
        <v>995</v>
      </c>
      <c r="BY17" s="1">
        <v>2226</v>
      </c>
      <c r="BZ17" s="1">
        <v>3284</v>
      </c>
      <c r="CA17" s="1">
        <v>4523</v>
      </c>
      <c r="CB17" s="1">
        <v>7615</v>
      </c>
      <c r="CC17" s="1">
        <v>9212</v>
      </c>
      <c r="CD17" s="1">
        <v>13427</v>
      </c>
      <c r="CE17" s="1">
        <v>16127</v>
      </c>
      <c r="CF17" s="1">
        <v>21795</v>
      </c>
      <c r="CG17" s="1">
        <v>25840</v>
      </c>
      <c r="CH17" s="1">
        <v>34723</v>
      </c>
      <c r="CI17" s="1">
        <v>42339</v>
      </c>
      <c r="CJ17" s="1">
        <v>49638</v>
      </c>
      <c r="CK17" s="1">
        <v>56629</v>
      </c>
      <c r="CL17" s="1">
        <v>62901</v>
      </c>
      <c r="CM17" s="1">
        <v>70200</v>
      </c>
      <c r="CN17" s="1">
        <v>77867</v>
      </c>
      <c r="CO17" s="1">
        <v>85410</v>
      </c>
      <c r="CP17" s="1">
        <v>92750</v>
      </c>
      <c r="CQ17" s="1">
        <v>99197</v>
      </c>
    </row>
    <row r="18" spans="1:95" x14ac:dyDescent="0.25">
      <c r="A18" t="s">
        <v>249</v>
      </c>
      <c r="B18" s="1">
        <v>10099265</v>
      </c>
      <c r="C18" s="1">
        <v>410340</v>
      </c>
      <c r="D18" s="1">
        <v>4731</v>
      </c>
      <c r="E18" s="2">
        <v>46.844993175200003</v>
      </c>
      <c r="F18" s="3">
        <v>0.35797518160000003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1</v>
      </c>
      <c r="AQ18" s="1">
        <v>1</v>
      </c>
      <c r="AR18" s="1">
        <v>1</v>
      </c>
      <c r="AS18" s="1">
        <v>1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1">
        <v>1</v>
      </c>
      <c r="BC18" s="1">
        <v>1</v>
      </c>
      <c r="BD18" s="1">
        <v>1</v>
      </c>
      <c r="BE18" s="1">
        <v>1</v>
      </c>
      <c r="BF18" s="1">
        <v>1</v>
      </c>
      <c r="BG18" s="1">
        <v>6</v>
      </c>
      <c r="BH18" s="1">
        <v>8.5</v>
      </c>
      <c r="BI18" s="1">
        <v>10</v>
      </c>
      <c r="BJ18" s="1">
        <v>11</v>
      </c>
      <c r="BK18" s="1">
        <v>9</v>
      </c>
      <c r="BL18" s="1">
        <v>14</v>
      </c>
      <c r="BM18" s="1">
        <v>25</v>
      </c>
      <c r="BN18" s="1">
        <v>83</v>
      </c>
      <c r="BO18" s="1">
        <v>85</v>
      </c>
      <c r="BP18" s="1">
        <v>141</v>
      </c>
      <c r="BQ18" s="1">
        <v>182</v>
      </c>
      <c r="BR18" s="1">
        <v>223</v>
      </c>
      <c r="BS18" s="1">
        <v>319</v>
      </c>
      <c r="BT18" s="1">
        <v>438</v>
      </c>
      <c r="BU18" s="1">
        <v>522</v>
      </c>
      <c r="BV18" s="1">
        <v>709</v>
      </c>
      <c r="BW18" s="1">
        <v>856</v>
      </c>
      <c r="BX18" s="1">
        <v>912</v>
      </c>
      <c r="BY18" s="1">
        <v>957</v>
      </c>
      <c r="BZ18" s="1">
        <v>1010</v>
      </c>
      <c r="CA18" s="1">
        <v>1040</v>
      </c>
      <c r="CB18" s="1">
        <v>1131</v>
      </c>
      <c r="CC18" s="1">
        <v>1281</v>
      </c>
      <c r="CD18" s="1">
        <v>1390</v>
      </c>
      <c r="CE18" s="1">
        <v>1533</v>
      </c>
      <c r="CF18" s="1">
        <v>1569</v>
      </c>
      <c r="CG18" s="1">
        <v>1695</v>
      </c>
      <c r="CH18" s="1">
        <v>1839</v>
      </c>
      <c r="CI18" s="1">
        <v>2047</v>
      </c>
      <c r="CJ18" s="1">
        <v>2199</v>
      </c>
      <c r="CK18" s="1">
        <v>2560</v>
      </c>
      <c r="CL18" s="1">
        <v>2801</v>
      </c>
      <c r="CM18" s="1">
        <v>3109</v>
      </c>
      <c r="CN18" s="1">
        <v>3402</v>
      </c>
      <c r="CO18" s="1">
        <v>3744</v>
      </c>
      <c r="CP18" s="1">
        <v>4235</v>
      </c>
      <c r="CQ18" s="1">
        <v>4731</v>
      </c>
    </row>
    <row r="19" spans="1:95" x14ac:dyDescent="0.25">
      <c r="A19" t="s">
        <v>0</v>
      </c>
      <c r="B19" s="1">
        <v>8654622</v>
      </c>
      <c r="C19" s="1">
        <v>39516</v>
      </c>
      <c r="D19" s="1">
        <v>18279</v>
      </c>
      <c r="E19" s="2">
        <v>211.20506476189999</v>
      </c>
      <c r="F19" s="3">
        <v>0.675049856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4</v>
      </c>
      <c r="BH19" s="1">
        <v>2</v>
      </c>
      <c r="BI19" s="1">
        <v>5</v>
      </c>
      <c r="BJ19" s="1">
        <v>13</v>
      </c>
      <c r="BK19" s="1">
        <v>28</v>
      </c>
      <c r="BL19" s="1">
        <v>29</v>
      </c>
      <c r="BM19" s="1">
        <v>62</v>
      </c>
      <c r="BN19" s="1">
        <v>73</v>
      </c>
      <c r="BO19" s="1">
        <v>160</v>
      </c>
      <c r="BP19" s="1">
        <v>193</v>
      </c>
      <c r="BQ19" s="1">
        <v>239</v>
      </c>
      <c r="BR19" s="1">
        <v>254</v>
      </c>
      <c r="BS19" s="1">
        <v>369</v>
      </c>
      <c r="BT19" s="1">
        <v>499</v>
      </c>
      <c r="BU19" s="1">
        <v>704.5</v>
      </c>
      <c r="BV19" s="1">
        <v>908</v>
      </c>
      <c r="BW19" s="1">
        <v>1095</v>
      </c>
      <c r="BX19" s="1">
        <v>1900</v>
      </c>
      <c r="BY19" s="1">
        <v>2091</v>
      </c>
      <c r="BZ19" s="1">
        <v>2267</v>
      </c>
      <c r="CA19" s="1">
        <v>2540</v>
      </c>
      <c r="CB19" s="1">
        <v>3539</v>
      </c>
      <c r="CC19" s="1">
        <v>4703</v>
      </c>
      <c r="CD19" s="1">
        <v>5909</v>
      </c>
      <c r="CE19" s="1">
        <v>6759</v>
      </c>
      <c r="CF19" s="1">
        <v>8030</v>
      </c>
      <c r="CG19" s="1">
        <v>9056</v>
      </c>
      <c r="CH19" s="1">
        <v>10002</v>
      </c>
      <c r="CI19" s="1">
        <v>10863</v>
      </c>
      <c r="CJ19" s="1">
        <v>11926</v>
      </c>
      <c r="CK19" s="1">
        <v>13040</v>
      </c>
      <c r="CL19" s="1">
        <v>13723</v>
      </c>
      <c r="CM19" s="1">
        <v>14784</v>
      </c>
      <c r="CN19" s="1">
        <v>15431</v>
      </c>
      <c r="CO19" s="1">
        <v>16529</v>
      </c>
      <c r="CP19" s="1">
        <v>17546</v>
      </c>
      <c r="CQ19" s="1">
        <v>18279</v>
      </c>
    </row>
    <row r="20" spans="1:95" x14ac:dyDescent="0.25">
      <c r="A20" t="s">
        <v>248</v>
      </c>
      <c r="B20" s="1">
        <v>331002651</v>
      </c>
      <c r="C20" s="1">
        <v>9147420</v>
      </c>
      <c r="D20" s="1">
        <v>238813</v>
      </c>
      <c r="E20" s="2">
        <v>72.148364757400003</v>
      </c>
      <c r="F20" s="3">
        <v>0.34130477660000003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1</v>
      </c>
      <c r="X20" s="1">
        <v>1</v>
      </c>
      <c r="Y20" s="1">
        <v>2</v>
      </c>
      <c r="Z20" s="1">
        <v>2</v>
      </c>
      <c r="AA20" s="1">
        <v>5</v>
      </c>
      <c r="AB20" s="1">
        <v>5.4</v>
      </c>
      <c r="AC20" s="1">
        <v>5.8</v>
      </c>
      <c r="AD20" s="1">
        <v>6.2</v>
      </c>
      <c r="AE20" s="1">
        <v>6.6</v>
      </c>
      <c r="AF20" s="1">
        <v>7</v>
      </c>
      <c r="AG20" s="1">
        <v>8</v>
      </c>
      <c r="AH20" s="1">
        <v>9.5</v>
      </c>
      <c r="AI20" s="1">
        <v>11</v>
      </c>
      <c r="AJ20" s="1">
        <v>11.125</v>
      </c>
      <c r="AK20" s="1">
        <v>11.25</v>
      </c>
      <c r="AL20" s="1">
        <v>11.375</v>
      </c>
      <c r="AM20" s="1">
        <v>11.5</v>
      </c>
      <c r="AN20" s="1">
        <v>11.625</v>
      </c>
      <c r="AO20" s="1">
        <v>11.75</v>
      </c>
      <c r="AP20" s="1">
        <v>11.875</v>
      </c>
      <c r="AQ20" s="1">
        <v>12</v>
      </c>
      <c r="AR20" s="1">
        <v>12.5</v>
      </c>
      <c r="AS20" s="1">
        <v>13</v>
      </c>
      <c r="AT20" s="1">
        <v>13.25</v>
      </c>
      <c r="AU20" s="1">
        <v>12.5</v>
      </c>
      <c r="AV20" s="1">
        <v>12.75</v>
      </c>
      <c r="AW20" s="1">
        <v>8</v>
      </c>
      <c r="AX20" s="1">
        <v>7.25</v>
      </c>
      <c r="AY20" s="1">
        <v>3.5</v>
      </c>
      <c r="AZ20" s="1">
        <v>2.75</v>
      </c>
      <c r="BA20" s="1">
        <v>1</v>
      </c>
      <c r="BB20" s="1">
        <v>10</v>
      </c>
      <c r="BC20" s="1">
        <v>18</v>
      </c>
      <c r="BD20" s="1">
        <v>29</v>
      </c>
      <c r="BE20" s="1">
        <v>26</v>
      </c>
      <c r="BF20" s="1">
        <v>21</v>
      </c>
      <c r="BG20" s="1">
        <v>18</v>
      </c>
      <c r="BH20" s="1">
        <v>13</v>
      </c>
      <c r="BI20" s="1">
        <v>14</v>
      </c>
      <c r="BJ20" s="1">
        <v>11</v>
      </c>
      <c r="BK20" s="1">
        <v>13</v>
      </c>
      <c r="BL20" s="1">
        <v>10</v>
      </c>
      <c r="BM20" s="1">
        <v>31</v>
      </c>
      <c r="BN20" s="1">
        <v>17</v>
      </c>
      <c r="BO20" s="1">
        <v>18</v>
      </c>
      <c r="BP20" s="1">
        <v>95</v>
      </c>
      <c r="BQ20" s="1">
        <v>101</v>
      </c>
      <c r="BR20" s="1">
        <v>26</v>
      </c>
      <c r="BS20" s="1">
        <v>253</v>
      </c>
      <c r="BT20" s="1">
        <v>339</v>
      </c>
      <c r="BU20" s="1">
        <v>454</v>
      </c>
      <c r="BV20" s="1">
        <v>598</v>
      </c>
      <c r="BW20" s="1">
        <v>701</v>
      </c>
      <c r="BX20" s="1">
        <v>1032</v>
      </c>
      <c r="BY20" s="1">
        <v>1654</v>
      </c>
      <c r="BZ20" s="1">
        <v>2548</v>
      </c>
      <c r="CA20" s="1">
        <v>3026</v>
      </c>
      <c r="CB20" s="1">
        <v>7821</v>
      </c>
      <c r="CC20" s="1">
        <v>12186</v>
      </c>
      <c r="CD20" s="1">
        <v>17193</v>
      </c>
      <c r="CE20" s="1">
        <v>23657</v>
      </c>
      <c r="CF20" s="1">
        <v>33060</v>
      </c>
      <c r="CG20" s="1">
        <v>41014</v>
      </c>
      <c r="CH20" s="1">
        <v>51083</v>
      </c>
      <c r="CI20" s="1">
        <v>67358</v>
      </c>
      <c r="CJ20" s="1">
        <v>83071</v>
      </c>
      <c r="CK20" s="1">
        <v>101003</v>
      </c>
      <c r="CL20" s="1">
        <v>118890</v>
      </c>
      <c r="CM20" s="1">
        <v>138303</v>
      </c>
      <c r="CN20" s="1">
        <v>162341</v>
      </c>
      <c r="CO20" s="1">
        <v>185047</v>
      </c>
      <c r="CP20" s="1">
        <v>210846</v>
      </c>
      <c r="CQ20" s="1">
        <v>238813</v>
      </c>
    </row>
    <row r="21" spans="1:95" x14ac:dyDescent="0.25">
      <c r="A21" t="s">
        <v>247</v>
      </c>
      <c r="B21" s="1">
        <v>67886011</v>
      </c>
      <c r="C21" s="1">
        <v>241930</v>
      </c>
      <c r="D21" s="1">
        <v>23592</v>
      </c>
      <c r="E21" s="2">
        <v>34.7523733572</v>
      </c>
      <c r="F21" s="3">
        <v>0.21705369299999999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3</v>
      </c>
      <c r="AN21" s="1">
        <v>3</v>
      </c>
      <c r="AO21" s="1">
        <v>3</v>
      </c>
      <c r="AP21" s="1">
        <v>8</v>
      </c>
      <c r="AQ21" s="1">
        <v>8.5</v>
      </c>
      <c r="AR21" s="1">
        <v>9</v>
      </c>
      <c r="AS21" s="1">
        <v>9.3333333333000006</v>
      </c>
      <c r="AT21" s="1">
        <v>9.6666666666999994</v>
      </c>
      <c r="AU21" s="1">
        <v>10</v>
      </c>
      <c r="AV21" s="1">
        <v>10.333333333300001</v>
      </c>
      <c r="AW21" s="1">
        <v>10.666666666699999</v>
      </c>
      <c r="AX21" s="1">
        <v>11</v>
      </c>
      <c r="AY21" s="1">
        <v>11.333333333300001</v>
      </c>
      <c r="AZ21" s="1">
        <v>10.666666666699999</v>
      </c>
      <c r="BA21" s="1">
        <v>10</v>
      </c>
      <c r="BB21" s="1">
        <v>10.333333333300001</v>
      </c>
      <c r="BC21" s="1">
        <v>9.6666666666999994</v>
      </c>
      <c r="BD21" s="1">
        <v>9</v>
      </c>
      <c r="BE21" s="1">
        <v>7.6666666667000003</v>
      </c>
      <c r="BF21" s="1">
        <v>6.3333333332999997</v>
      </c>
      <c r="BG21" s="1">
        <v>7</v>
      </c>
      <c r="BH21" s="1">
        <v>12</v>
      </c>
      <c r="BI21" s="1">
        <v>2</v>
      </c>
      <c r="BJ21" s="1">
        <v>15</v>
      </c>
      <c r="BK21" s="1">
        <v>0</v>
      </c>
      <c r="BL21" s="1">
        <v>0</v>
      </c>
      <c r="BM21" s="1">
        <v>14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49</v>
      </c>
      <c r="BV21" s="1">
        <v>39</v>
      </c>
      <c r="BW21" s="1">
        <v>121</v>
      </c>
      <c r="BX21" s="1">
        <v>113.5</v>
      </c>
      <c r="BY21" s="1">
        <v>135</v>
      </c>
      <c r="BZ21" s="1">
        <v>161</v>
      </c>
      <c r="CA21" s="1">
        <v>274</v>
      </c>
      <c r="CB21" s="1">
        <v>0</v>
      </c>
      <c r="CC21" s="1">
        <v>378</v>
      </c>
      <c r="CD21" s="1">
        <v>705</v>
      </c>
      <c r="CE21" s="1">
        <v>749</v>
      </c>
      <c r="CF21" s="1">
        <v>1277</v>
      </c>
      <c r="CG21" s="1">
        <v>1918</v>
      </c>
      <c r="CH21" s="1">
        <v>2432</v>
      </c>
      <c r="CI21" s="1">
        <v>3680</v>
      </c>
      <c r="CJ21" s="1">
        <v>5585</v>
      </c>
      <c r="CK21" s="1">
        <v>7214</v>
      </c>
      <c r="CL21" s="1">
        <v>8910</v>
      </c>
      <c r="CM21" s="1">
        <v>10812</v>
      </c>
      <c r="CN21" s="1">
        <v>13043</v>
      </c>
      <c r="CO21" s="1">
        <v>16606</v>
      </c>
      <c r="CP21" s="1">
        <v>19989</v>
      </c>
      <c r="CQ21" s="1">
        <v>23592</v>
      </c>
    </row>
  </sheetData>
  <autoFilter ref="A1:CQ21" xr:uid="{7C7FECDE-93CA-4111-894A-F949D0280F61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0A19-167D-4133-A810-DDDC1FC37358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264</v>
      </c>
      <c r="B3" s="1">
        <v>11589623</v>
      </c>
      <c r="C3" s="1">
        <v>30280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</row>
    <row r="6" spans="1:95" x14ac:dyDescent="0.25">
      <c r="A6" t="s">
        <v>261</v>
      </c>
      <c r="B6" s="1">
        <v>5540720</v>
      </c>
      <c r="C6" s="1">
        <v>303890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</row>
    <row r="17" spans="1:95" x14ac:dyDescent="0.25">
      <c r="A17" t="s">
        <v>250</v>
      </c>
      <c r="B17" s="1">
        <v>46754778</v>
      </c>
      <c r="C17" s="1">
        <v>498800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</row>
    <row r="18" spans="1:95" x14ac:dyDescent="0.25">
      <c r="A18" t="s">
        <v>249</v>
      </c>
      <c r="B18" s="1">
        <v>10099265</v>
      </c>
      <c r="C18" s="1">
        <v>410340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</row>
    <row r="19" spans="1:95" x14ac:dyDescent="0.25">
      <c r="A19" t="s">
        <v>0</v>
      </c>
      <c r="B19" s="1">
        <v>8654622</v>
      </c>
      <c r="C19" s="1">
        <v>39516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</row>
    <row r="20" spans="1:95" x14ac:dyDescent="0.25">
      <c r="A20" t="s">
        <v>248</v>
      </c>
      <c r="B20" s="1">
        <v>331002651</v>
      </c>
      <c r="C20" s="1">
        <v>9147420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</row>
    <row r="21" spans="1:95" x14ac:dyDescent="0.25">
      <c r="A21" t="s">
        <v>247</v>
      </c>
      <c r="B21" s="1">
        <v>67886011</v>
      </c>
      <c r="C21" s="1">
        <v>241930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</row>
  </sheetData>
  <autoFilter ref="A1:CQ21" xr:uid="{C025747B-A30A-4A43-AB83-6F4BF543717C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EF5B8-9163-4E8E-B8B7-5DDDAB9AE3C5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16" sqref="C16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1">
        <v>431</v>
      </c>
      <c r="E2" s="2">
        <v>4.7854869394000001</v>
      </c>
      <c r="F2" s="3">
        <v>2.9530661199999999E-2</v>
      </c>
      <c r="G2" s="3">
        <v>3.1218310900000001E-2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1</v>
      </c>
      <c r="BH2" s="1">
        <v>1</v>
      </c>
      <c r="BI2" s="1">
        <v>1</v>
      </c>
      <c r="BJ2" s="1">
        <v>1</v>
      </c>
      <c r="BK2" s="1">
        <v>3</v>
      </c>
      <c r="BL2" s="1">
        <v>3</v>
      </c>
      <c r="BM2" s="1">
        <v>4</v>
      </c>
      <c r="BN2" s="1">
        <v>6</v>
      </c>
      <c r="BO2" s="1">
        <v>6</v>
      </c>
      <c r="BP2" s="1">
        <v>8</v>
      </c>
      <c r="BQ2" s="1">
        <v>16</v>
      </c>
      <c r="BR2" s="1">
        <v>21</v>
      </c>
      <c r="BS2" s="1">
        <v>28</v>
      </c>
      <c r="BT2" s="1">
        <v>30</v>
      </c>
      <c r="BU2" s="1">
        <v>49</v>
      </c>
      <c r="BV2" s="1">
        <v>58</v>
      </c>
      <c r="BW2" s="1">
        <v>68</v>
      </c>
      <c r="BX2" s="1">
        <v>86</v>
      </c>
      <c r="BY2" s="1">
        <v>108</v>
      </c>
      <c r="BZ2" s="1">
        <v>128</v>
      </c>
      <c r="CA2" s="1">
        <v>146</v>
      </c>
      <c r="CB2" s="1">
        <v>158</v>
      </c>
      <c r="CC2" s="1">
        <v>168</v>
      </c>
      <c r="CD2" s="1">
        <v>186</v>
      </c>
      <c r="CE2" s="1">
        <v>204</v>
      </c>
      <c r="CF2" s="1">
        <v>220</v>
      </c>
      <c r="CG2" s="1">
        <v>243</v>
      </c>
      <c r="CH2" s="1">
        <v>273</v>
      </c>
      <c r="CI2" s="1">
        <v>295</v>
      </c>
      <c r="CJ2" s="1">
        <v>319</v>
      </c>
      <c r="CK2" s="1">
        <v>337</v>
      </c>
      <c r="CL2" s="1">
        <v>350</v>
      </c>
      <c r="CM2" s="1">
        <v>368</v>
      </c>
      <c r="CN2" s="1">
        <v>384</v>
      </c>
      <c r="CO2" s="1">
        <v>393</v>
      </c>
      <c r="CP2" s="1">
        <v>410</v>
      </c>
      <c r="CQ2" s="1">
        <v>431</v>
      </c>
    </row>
    <row r="3" spans="1:95" x14ac:dyDescent="0.25">
      <c r="A3" t="s">
        <v>264</v>
      </c>
      <c r="B3" s="1">
        <v>11589623</v>
      </c>
      <c r="C3" s="1">
        <v>30280</v>
      </c>
      <c r="D3" s="1">
        <v>5163</v>
      </c>
      <c r="E3" s="2">
        <v>44.548472370500001</v>
      </c>
      <c r="F3" s="3">
        <v>0.14286900220000001</v>
      </c>
      <c r="G3" s="3">
        <v>0.18427439500000001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3</v>
      </c>
      <c r="BG3" s="1">
        <v>3</v>
      </c>
      <c r="BH3" s="1">
        <v>3</v>
      </c>
      <c r="BI3" s="1">
        <v>4</v>
      </c>
      <c r="BJ3" s="1">
        <v>4</v>
      </c>
      <c r="BK3" s="1">
        <v>5</v>
      </c>
      <c r="BL3" s="1">
        <v>10</v>
      </c>
      <c r="BM3" s="1">
        <v>14</v>
      </c>
      <c r="BN3" s="1">
        <v>21</v>
      </c>
      <c r="BO3" s="1">
        <v>37</v>
      </c>
      <c r="BP3" s="1">
        <v>67</v>
      </c>
      <c r="BQ3" s="1">
        <v>75</v>
      </c>
      <c r="BR3" s="1">
        <v>88</v>
      </c>
      <c r="BS3" s="1">
        <v>122</v>
      </c>
      <c r="BT3" s="1">
        <v>178</v>
      </c>
      <c r="BU3" s="1">
        <v>220</v>
      </c>
      <c r="BV3" s="1">
        <v>289</v>
      </c>
      <c r="BW3" s="1">
        <v>353</v>
      </c>
      <c r="BX3" s="1">
        <v>431</v>
      </c>
      <c r="BY3" s="1">
        <v>513</v>
      </c>
      <c r="BZ3" s="1">
        <v>705</v>
      </c>
      <c r="CA3" s="1">
        <v>828</v>
      </c>
      <c r="CB3" s="1">
        <v>1011</v>
      </c>
      <c r="CC3" s="1">
        <v>1143</v>
      </c>
      <c r="CD3" s="1">
        <v>1283</v>
      </c>
      <c r="CE3" s="1">
        <v>1447</v>
      </c>
      <c r="CF3" s="1">
        <v>1632</v>
      </c>
      <c r="CG3" s="1">
        <v>2035</v>
      </c>
      <c r="CH3" s="1">
        <v>2240</v>
      </c>
      <c r="CI3" s="1">
        <v>2523</v>
      </c>
      <c r="CJ3" s="1">
        <v>3019</v>
      </c>
      <c r="CK3" s="1">
        <v>3346</v>
      </c>
      <c r="CL3" s="1">
        <v>3600</v>
      </c>
      <c r="CM3" s="1">
        <v>3903</v>
      </c>
      <c r="CN3" s="1">
        <v>4157</v>
      </c>
      <c r="CO3" s="1">
        <v>4440</v>
      </c>
      <c r="CP3" s="1">
        <v>4857</v>
      </c>
      <c r="CQ3" s="1">
        <v>5163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1355</v>
      </c>
      <c r="E4" s="2">
        <v>3.5901501540999998</v>
      </c>
      <c r="F4" s="3">
        <v>4.1309716199999999E-2</v>
      </c>
      <c r="G4" s="3">
        <v>5.8147019699999997E-2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1</v>
      </c>
      <c r="BE4" s="1">
        <v>1</v>
      </c>
      <c r="BF4" s="1">
        <v>1</v>
      </c>
      <c r="BG4" s="1">
        <v>1</v>
      </c>
      <c r="BH4" s="1">
        <v>1</v>
      </c>
      <c r="BI4" s="1">
        <v>1</v>
      </c>
      <c r="BJ4" s="1">
        <v>1</v>
      </c>
      <c r="BK4" s="1">
        <v>4</v>
      </c>
      <c r="BL4" s="1">
        <v>5</v>
      </c>
      <c r="BM4" s="1">
        <v>8</v>
      </c>
      <c r="BN4" s="1">
        <v>9</v>
      </c>
      <c r="BO4" s="1">
        <v>12</v>
      </c>
      <c r="BP4" s="1">
        <v>19</v>
      </c>
      <c r="BQ4" s="1">
        <v>20</v>
      </c>
      <c r="BR4" s="1">
        <v>24</v>
      </c>
      <c r="BS4" s="1">
        <v>25</v>
      </c>
      <c r="BT4" s="1">
        <v>29</v>
      </c>
      <c r="BU4" s="1">
        <v>37</v>
      </c>
      <c r="BV4" s="1">
        <v>53</v>
      </c>
      <c r="BW4" s="1">
        <v>60</v>
      </c>
      <c r="BX4" s="1">
        <v>63</v>
      </c>
      <c r="BY4" s="1">
        <v>79</v>
      </c>
      <c r="BZ4" s="1">
        <v>100</v>
      </c>
      <c r="CA4" s="1">
        <v>108</v>
      </c>
      <c r="CB4" s="1">
        <v>138</v>
      </c>
      <c r="CC4" s="1">
        <v>178</v>
      </c>
      <c r="CD4" s="1">
        <v>217</v>
      </c>
      <c r="CE4" s="1">
        <v>258</v>
      </c>
      <c r="CF4" s="1">
        <v>338</v>
      </c>
      <c r="CG4" s="1">
        <v>374</v>
      </c>
      <c r="CH4" s="1">
        <v>406</v>
      </c>
      <c r="CI4" s="1">
        <v>502</v>
      </c>
      <c r="CJ4" s="1">
        <v>556</v>
      </c>
      <c r="CK4" s="1">
        <v>653</v>
      </c>
      <c r="CL4" s="1">
        <v>713</v>
      </c>
      <c r="CM4" s="1">
        <v>780</v>
      </c>
      <c r="CN4" s="1">
        <v>900</v>
      </c>
      <c r="CO4" s="1">
        <v>1007</v>
      </c>
      <c r="CP4" s="1">
        <v>1258</v>
      </c>
      <c r="CQ4" s="1">
        <v>1355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4636</v>
      </c>
      <c r="E5" s="2">
        <v>0.32209570059999998</v>
      </c>
      <c r="F5" s="3">
        <v>5.5348615099999998E-2</v>
      </c>
      <c r="G5" s="3">
        <v>5.5846001899999997E-2</v>
      </c>
      <c r="I5" s="1">
        <v>17</v>
      </c>
      <c r="J5" s="1">
        <v>18</v>
      </c>
      <c r="K5" s="1">
        <v>26</v>
      </c>
      <c r="L5" s="1">
        <v>42</v>
      </c>
      <c r="M5" s="1">
        <v>56</v>
      </c>
      <c r="N5" s="1">
        <v>82</v>
      </c>
      <c r="O5" s="1">
        <v>131</v>
      </c>
      <c r="P5" s="1">
        <v>133</v>
      </c>
      <c r="Q5" s="1">
        <v>171</v>
      </c>
      <c r="R5" s="1">
        <v>213</v>
      </c>
      <c r="S5" s="1">
        <v>259</v>
      </c>
      <c r="T5" s="1">
        <v>361</v>
      </c>
      <c r="U5" s="1">
        <v>425</v>
      </c>
      <c r="V5" s="1">
        <v>491</v>
      </c>
      <c r="W5" s="1">
        <v>563</v>
      </c>
      <c r="X5" s="1">
        <v>633</v>
      </c>
      <c r="Y5" s="1">
        <v>718</v>
      </c>
      <c r="Z5" s="1">
        <v>805</v>
      </c>
      <c r="AA5" s="1">
        <v>905</v>
      </c>
      <c r="AB5" s="1">
        <v>1012</v>
      </c>
      <c r="AC5" s="1">
        <v>1112</v>
      </c>
      <c r="AD5" s="1">
        <v>1117</v>
      </c>
      <c r="AE5" s="1">
        <v>1369</v>
      </c>
      <c r="AF5" s="1">
        <v>1521</v>
      </c>
      <c r="AG5" s="1">
        <v>1663</v>
      </c>
      <c r="AH5" s="1">
        <v>1766</v>
      </c>
      <c r="AI5" s="1">
        <v>1864</v>
      </c>
      <c r="AJ5" s="1">
        <v>2003</v>
      </c>
      <c r="AK5" s="1">
        <v>2116</v>
      </c>
      <c r="AL5" s="1">
        <v>2238</v>
      </c>
      <c r="AM5" s="1">
        <v>2238</v>
      </c>
      <c r="AN5" s="1">
        <v>2443</v>
      </c>
      <c r="AO5" s="1">
        <v>2445</v>
      </c>
      <c r="AP5" s="1">
        <v>2595</v>
      </c>
      <c r="AQ5" s="1">
        <v>2665</v>
      </c>
      <c r="AR5" s="1">
        <v>2717</v>
      </c>
      <c r="AS5" s="1">
        <v>2746</v>
      </c>
      <c r="AT5" s="1">
        <v>2790</v>
      </c>
      <c r="AU5" s="1">
        <v>2837</v>
      </c>
      <c r="AV5" s="1">
        <v>2872</v>
      </c>
      <c r="AW5" s="1">
        <v>2914</v>
      </c>
      <c r="AX5" s="1">
        <v>2947</v>
      </c>
      <c r="AY5" s="1">
        <v>2983</v>
      </c>
      <c r="AZ5" s="1">
        <v>3015</v>
      </c>
      <c r="BA5" s="1">
        <v>3044</v>
      </c>
      <c r="BB5" s="1">
        <v>3072</v>
      </c>
      <c r="BC5" s="1">
        <v>3100</v>
      </c>
      <c r="BD5" s="1">
        <v>3123</v>
      </c>
      <c r="BE5" s="1">
        <v>3139</v>
      </c>
      <c r="BF5" s="1">
        <v>3161</v>
      </c>
      <c r="BG5" s="1">
        <v>3172</v>
      </c>
      <c r="BH5" s="1">
        <v>3180</v>
      </c>
      <c r="BI5" s="1">
        <v>3193</v>
      </c>
      <c r="BJ5" s="1">
        <v>3203</v>
      </c>
      <c r="BK5" s="1">
        <v>3217</v>
      </c>
      <c r="BL5" s="1">
        <v>3230</v>
      </c>
      <c r="BM5" s="1">
        <v>3241</v>
      </c>
      <c r="BN5" s="1">
        <v>3249</v>
      </c>
      <c r="BO5" s="1">
        <v>3253</v>
      </c>
      <c r="BP5" s="1">
        <v>3259</v>
      </c>
      <c r="BQ5" s="1">
        <v>3274</v>
      </c>
      <c r="BR5" s="1">
        <v>3274</v>
      </c>
      <c r="BS5" s="1">
        <v>3281</v>
      </c>
      <c r="BT5" s="1">
        <v>3285</v>
      </c>
      <c r="BU5" s="1">
        <v>3291</v>
      </c>
      <c r="BV5" s="1">
        <v>3296</v>
      </c>
      <c r="BW5" s="1">
        <v>3299</v>
      </c>
      <c r="BX5" s="1">
        <v>3304</v>
      </c>
      <c r="BY5" s="1">
        <v>3308</v>
      </c>
      <c r="BZ5" s="1">
        <v>3309</v>
      </c>
      <c r="CA5" s="1">
        <v>3316</v>
      </c>
      <c r="CB5" s="1">
        <v>3322</v>
      </c>
      <c r="CC5" s="1">
        <v>3326</v>
      </c>
      <c r="CD5" s="1">
        <v>3330</v>
      </c>
      <c r="CE5" s="1">
        <v>3333</v>
      </c>
      <c r="CF5" s="1">
        <v>3335</v>
      </c>
      <c r="CG5" s="1">
        <v>3335</v>
      </c>
      <c r="CH5" s="1">
        <v>3337</v>
      </c>
      <c r="CI5" s="1">
        <v>3339</v>
      </c>
      <c r="CJ5" s="1">
        <v>3340</v>
      </c>
      <c r="CK5" s="1">
        <v>3343</v>
      </c>
      <c r="CL5" s="1">
        <v>3343</v>
      </c>
      <c r="CM5" s="1">
        <v>3345</v>
      </c>
      <c r="CN5" s="1">
        <v>3345</v>
      </c>
      <c r="CO5" s="1">
        <v>3346</v>
      </c>
      <c r="CP5" s="1">
        <v>3346</v>
      </c>
      <c r="CQ5" s="1">
        <v>4636</v>
      </c>
    </row>
    <row r="6" spans="1:95" x14ac:dyDescent="0.25">
      <c r="A6" t="s">
        <v>261</v>
      </c>
      <c r="B6" s="1">
        <v>5540720</v>
      </c>
      <c r="C6" s="1">
        <v>303890</v>
      </c>
      <c r="D6" s="1">
        <v>82</v>
      </c>
      <c r="E6" s="2">
        <v>1.4799520639999999</v>
      </c>
      <c r="F6" s="3">
        <v>2.3502436200000001E-2</v>
      </c>
      <c r="G6" s="3">
        <v>2.82271945E-2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1</v>
      </c>
      <c r="BQ6" s="1">
        <v>1</v>
      </c>
      <c r="BR6" s="1">
        <v>1</v>
      </c>
      <c r="BS6" s="1">
        <v>1</v>
      </c>
      <c r="BT6" s="1">
        <v>3</v>
      </c>
      <c r="BU6" s="1">
        <v>5</v>
      </c>
      <c r="BV6" s="1">
        <v>7</v>
      </c>
      <c r="BW6" s="1">
        <v>9</v>
      </c>
      <c r="BX6" s="1">
        <v>11</v>
      </c>
      <c r="BY6" s="1">
        <v>13</v>
      </c>
      <c r="BZ6" s="1">
        <v>17</v>
      </c>
      <c r="CA6" s="1">
        <v>17</v>
      </c>
      <c r="CB6" s="1">
        <v>19</v>
      </c>
      <c r="CC6" s="1">
        <v>20</v>
      </c>
      <c r="CD6" s="1">
        <v>25</v>
      </c>
      <c r="CE6" s="1">
        <v>28</v>
      </c>
      <c r="CF6" s="1">
        <v>27</v>
      </c>
      <c r="CG6" s="1">
        <v>34</v>
      </c>
      <c r="CH6" s="1">
        <v>40</v>
      </c>
      <c r="CI6" s="1">
        <v>42</v>
      </c>
      <c r="CJ6" s="1">
        <v>48</v>
      </c>
      <c r="CK6" s="1">
        <v>49</v>
      </c>
      <c r="CL6" s="1">
        <v>56</v>
      </c>
      <c r="CM6" s="1">
        <v>59</v>
      </c>
      <c r="CN6" s="1">
        <v>64</v>
      </c>
      <c r="CO6" s="1">
        <v>72</v>
      </c>
      <c r="CP6" s="1">
        <v>75</v>
      </c>
      <c r="CQ6" s="1">
        <v>82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18681</v>
      </c>
      <c r="E7" s="2">
        <v>28.6195728004</v>
      </c>
      <c r="F7" s="3">
        <v>0.12624941710000001</v>
      </c>
      <c r="G7" s="3">
        <v>0.19917901700000001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W7" s="1">
        <v>3</v>
      </c>
      <c r="AX7" s="1">
        <v>4</v>
      </c>
      <c r="AY7" s="1">
        <v>4</v>
      </c>
      <c r="AZ7" s="1">
        <v>6</v>
      </c>
      <c r="BA7" s="1">
        <v>9</v>
      </c>
      <c r="BB7" s="1">
        <v>11</v>
      </c>
      <c r="BC7" s="1">
        <v>19</v>
      </c>
      <c r="BD7" s="1">
        <v>19</v>
      </c>
      <c r="BE7" s="1">
        <v>33</v>
      </c>
      <c r="BF7" s="1">
        <v>48</v>
      </c>
      <c r="BG7" s="1">
        <v>48</v>
      </c>
      <c r="BH7" s="1">
        <v>79</v>
      </c>
      <c r="BI7" s="1">
        <v>91</v>
      </c>
      <c r="BJ7" s="1">
        <v>91</v>
      </c>
      <c r="BK7" s="1">
        <v>148</v>
      </c>
      <c r="BL7" s="1">
        <v>148</v>
      </c>
      <c r="BM7" s="1">
        <v>148</v>
      </c>
      <c r="BN7" s="1">
        <v>243</v>
      </c>
      <c r="BO7" s="1">
        <v>450</v>
      </c>
      <c r="BP7" s="1">
        <v>562</v>
      </c>
      <c r="BQ7" s="1">
        <v>674</v>
      </c>
      <c r="BR7" s="1">
        <v>860</v>
      </c>
      <c r="BS7" s="1">
        <v>1100</v>
      </c>
      <c r="BT7" s="1">
        <v>1331</v>
      </c>
      <c r="BU7" s="1">
        <v>1696</v>
      </c>
      <c r="BV7" s="1">
        <v>1995</v>
      </c>
      <c r="BW7" s="1">
        <v>2314</v>
      </c>
      <c r="BX7" s="1">
        <v>2606</v>
      </c>
      <c r="BY7" s="1">
        <v>3024</v>
      </c>
      <c r="BZ7" s="1">
        <v>3523</v>
      </c>
      <c r="CA7" s="1">
        <v>4403</v>
      </c>
      <c r="CB7" s="1">
        <v>5387</v>
      </c>
      <c r="CC7" s="1">
        <v>6507</v>
      </c>
      <c r="CD7" s="1">
        <v>7560</v>
      </c>
      <c r="CE7" s="1">
        <v>8078</v>
      </c>
      <c r="CF7" s="1">
        <v>8911</v>
      </c>
      <c r="CG7" s="1">
        <v>10328</v>
      </c>
      <c r="CH7" s="1">
        <v>10869</v>
      </c>
      <c r="CI7" s="1">
        <v>12210</v>
      </c>
      <c r="CJ7" s="1">
        <v>13197</v>
      </c>
      <c r="CK7" s="1">
        <v>13832</v>
      </c>
      <c r="CL7" s="1">
        <v>14393</v>
      </c>
      <c r="CM7" s="1">
        <v>14967</v>
      </c>
      <c r="CN7" s="1">
        <v>15729</v>
      </c>
      <c r="CO7" s="1">
        <v>17167</v>
      </c>
      <c r="CP7" s="1">
        <v>17920</v>
      </c>
      <c r="CQ7" s="1">
        <v>18681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4352</v>
      </c>
      <c r="E8" s="2">
        <v>5.1943127718</v>
      </c>
      <c r="F8" s="3">
        <v>3.0778587900000001E-2</v>
      </c>
      <c r="G8" s="3">
        <v>3.4841643399999997E-2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2</v>
      </c>
      <c r="BE8" s="1">
        <v>2</v>
      </c>
      <c r="BF8" s="1">
        <v>3</v>
      </c>
      <c r="BG8" s="1">
        <v>3</v>
      </c>
      <c r="BH8" s="1">
        <v>7</v>
      </c>
      <c r="BI8" s="1">
        <v>9</v>
      </c>
      <c r="BJ8" s="1">
        <v>11</v>
      </c>
      <c r="BK8" s="1">
        <v>17</v>
      </c>
      <c r="BL8" s="1">
        <v>24</v>
      </c>
      <c r="BM8" s="1">
        <v>28</v>
      </c>
      <c r="BN8" s="1">
        <v>44</v>
      </c>
      <c r="BO8" s="1">
        <v>67</v>
      </c>
      <c r="BP8" s="1">
        <v>84</v>
      </c>
      <c r="BQ8" s="1">
        <v>94</v>
      </c>
      <c r="BR8" s="1">
        <v>123</v>
      </c>
      <c r="BS8" s="1">
        <v>157</v>
      </c>
      <c r="BT8" s="1">
        <v>206</v>
      </c>
      <c r="BU8" s="1">
        <v>267</v>
      </c>
      <c r="BV8" s="1">
        <v>342</v>
      </c>
      <c r="BW8" s="1">
        <v>433</v>
      </c>
      <c r="BX8" s="1">
        <v>533</v>
      </c>
      <c r="BY8" s="1">
        <v>645</v>
      </c>
      <c r="BZ8" s="1">
        <v>775</v>
      </c>
      <c r="CA8" s="1">
        <v>920</v>
      </c>
      <c r="CB8" s="1">
        <v>1107</v>
      </c>
      <c r="CC8" s="1">
        <v>1275</v>
      </c>
      <c r="CD8" s="1">
        <v>1444</v>
      </c>
      <c r="CE8" s="1">
        <v>1584</v>
      </c>
      <c r="CF8" s="1">
        <v>1810</v>
      </c>
      <c r="CG8" s="1">
        <v>2016</v>
      </c>
      <c r="CH8" s="1">
        <v>2349</v>
      </c>
      <c r="CI8" s="1">
        <v>2607</v>
      </c>
      <c r="CJ8" s="1">
        <v>2767</v>
      </c>
      <c r="CK8" s="1">
        <v>2736</v>
      </c>
      <c r="CL8" s="1">
        <v>3022</v>
      </c>
      <c r="CM8" s="1">
        <v>3194</v>
      </c>
      <c r="CN8" s="1">
        <v>3294</v>
      </c>
      <c r="CO8" s="1">
        <v>3804</v>
      </c>
      <c r="CP8" s="1">
        <v>4052</v>
      </c>
      <c r="CQ8" s="1">
        <v>4352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486</v>
      </c>
      <c r="E9" s="2">
        <v>3.5217279400000003E-2</v>
      </c>
      <c r="F9" s="3">
        <v>3.3862876299999997E-2</v>
      </c>
      <c r="G9" s="3">
        <v>5.7542031700000003E-2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1</v>
      </c>
      <c r="BG9" s="1">
        <v>1</v>
      </c>
      <c r="BH9" s="1">
        <v>2</v>
      </c>
      <c r="BI9" s="1">
        <v>2</v>
      </c>
      <c r="BJ9" s="1">
        <v>2</v>
      </c>
      <c r="BK9" s="1">
        <v>2</v>
      </c>
      <c r="BL9" s="1">
        <v>3</v>
      </c>
      <c r="BM9" s="1">
        <v>3</v>
      </c>
      <c r="BN9" s="1">
        <v>4</v>
      </c>
      <c r="BO9" s="1">
        <v>5</v>
      </c>
      <c r="BP9" s="1">
        <v>4</v>
      </c>
      <c r="BQ9" s="1">
        <v>7</v>
      </c>
      <c r="BR9" s="1">
        <v>10</v>
      </c>
      <c r="BS9" s="1">
        <v>10</v>
      </c>
      <c r="BT9" s="1">
        <v>12</v>
      </c>
      <c r="BU9" s="1">
        <v>20</v>
      </c>
      <c r="BV9" s="1">
        <v>20</v>
      </c>
      <c r="BW9" s="1">
        <v>24</v>
      </c>
      <c r="BX9" s="1">
        <v>27</v>
      </c>
      <c r="BY9" s="1">
        <v>32</v>
      </c>
      <c r="BZ9" s="1">
        <v>35</v>
      </c>
      <c r="CA9" s="1">
        <v>58</v>
      </c>
      <c r="CB9" s="1">
        <v>72</v>
      </c>
      <c r="CC9" s="1">
        <v>72</v>
      </c>
      <c r="CD9" s="1">
        <v>86</v>
      </c>
      <c r="CE9" s="1">
        <v>99</v>
      </c>
      <c r="CF9" s="1">
        <v>136</v>
      </c>
      <c r="CG9" s="1">
        <v>150</v>
      </c>
      <c r="CH9" s="1">
        <v>178</v>
      </c>
      <c r="CI9" s="1">
        <v>226</v>
      </c>
      <c r="CJ9" s="1">
        <v>246</v>
      </c>
      <c r="CK9" s="1">
        <v>288</v>
      </c>
      <c r="CL9" s="1">
        <v>331</v>
      </c>
      <c r="CM9" s="1">
        <v>358</v>
      </c>
      <c r="CN9" s="1">
        <v>393</v>
      </c>
      <c r="CO9" s="1">
        <v>405</v>
      </c>
      <c r="CP9" s="1">
        <v>448</v>
      </c>
      <c r="CQ9" s="1">
        <v>486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4958</v>
      </c>
      <c r="E10" s="2">
        <v>5.9028764426000002</v>
      </c>
      <c r="F10" s="3">
        <v>6.2369487000000001E-2</v>
      </c>
      <c r="G10" s="3">
        <v>7.0799240299999996E-2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2</v>
      </c>
      <c r="AL10" s="1">
        <v>2</v>
      </c>
      <c r="AM10" s="1">
        <v>4</v>
      </c>
      <c r="AN10" s="1">
        <v>5</v>
      </c>
      <c r="AO10" s="1">
        <v>8</v>
      </c>
      <c r="AP10" s="1">
        <v>12</v>
      </c>
      <c r="AQ10" s="1">
        <v>16</v>
      </c>
      <c r="AR10" s="1">
        <v>19</v>
      </c>
      <c r="AS10" s="1">
        <v>26</v>
      </c>
      <c r="AT10" s="1">
        <v>34</v>
      </c>
      <c r="AU10" s="1">
        <v>43</v>
      </c>
      <c r="AV10" s="1">
        <v>54</v>
      </c>
      <c r="AW10" s="1">
        <v>66</v>
      </c>
      <c r="AX10" s="1">
        <v>77</v>
      </c>
      <c r="AY10" s="1">
        <v>92</v>
      </c>
      <c r="AZ10" s="1">
        <v>107</v>
      </c>
      <c r="BA10" s="1">
        <v>124</v>
      </c>
      <c r="BB10" s="1">
        <v>145</v>
      </c>
      <c r="BC10" s="1">
        <v>194</v>
      </c>
      <c r="BD10" s="1">
        <v>237</v>
      </c>
      <c r="BE10" s="1">
        <v>291</v>
      </c>
      <c r="BF10" s="1">
        <v>354</v>
      </c>
      <c r="BG10" s="1">
        <v>429</v>
      </c>
      <c r="BH10" s="1">
        <v>514</v>
      </c>
      <c r="BI10" s="1">
        <v>611</v>
      </c>
      <c r="BJ10" s="1">
        <v>724</v>
      </c>
      <c r="BK10" s="1">
        <v>853</v>
      </c>
      <c r="BL10" s="1">
        <v>988</v>
      </c>
      <c r="BM10" s="1">
        <v>1135</v>
      </c>
      <c r="BN10" s="1">
        <v>1284</v>
      </c>
      <c r="BO10" s="1">
        <v>1433</v>
      </c>
      <c r="BP10" s="1">
        <v>1556</v>
      </c>
      <c r="BQ10" s="1">
        <v>1685</v>
      </c>
      <c r="BR10" s="1">
        <v>1812</v>
      </c>
      <c r="BS10" s="1">
        <v>1934</v>
      </c>
      <c r="BT10" s="1">
        <v>2077</v>
      </c>
      <c r="BU10" s="1">
        <v>2234</v>
      </c>
      <c r="BV10" s="1">
        <v>2378</v>
      </c>
      <c r="BW10" s="1">
        <v>2517</v>
      </c>
      <c r="BX10" s="1">
        <v>2640</v>
      </c>
      <c r="BY10" s="1">
        <v>2757</v>
      </c>
      <c r="BZ10" s="1">
        <v>2898</v>
      </c>
      <c r="CA10" s="1">
        <v>3036</v>
      </c>
      <c r="CB10" s="1">
        <v>3160</v>
      </c>
      <c r="CC10" s="1">
        <v>3294</v>
      </c>
      <c r="CD10" s="1">
        <v>3452</v>
      </c>
      <c r="CE10" s="1">
        <v>3603</v>
      </c>
      <c r="CF10" s="1">
        <v>3739</v>
      </c>
      <c r="CG10" s="1">
        <v>3872</v>
      </c>
      <c r="CH10" s="1">
        <v>3993</v>
      </c>
      <c r="CI10" s="1">
        <v>4110</v>
      </c>
      <c r="CJ10" s="1">
        <v>4232</v>
      </c>
      <c r="CK10" s="1">
        <v>4357</v>
      </c>
      <c r="CL10" s="1">
        <v>4474</v>
      </c>
      <c r="CM10" s="1">
        <v>4585</v>
      </c>
      <c r="CN10" s="1">
        <v>4683</v>
      </c>
      <c r="CO10" s="1">
        <v>4777</v>
      </c>
      <c r="CP10" s="1">
        <v>4869</v>
      </c>
      <c r="CQ10" s="1">
        <v>4958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22745</v>
      </c>
      <c r="E11" s="2">
        <v>37.6187778384</v>
      </c>
      <c r="F11" s="3">
        <v>0.13190554069999999</v>
      </c>
      <c r="G11" s="3">
        <v>0.1493718436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1</v>
      </c>
      <c r="AN11" s="1">
        <v>2</v>
      </c>
      <c r="AO11" s="1">
        <v>3</v>
      </c>
      <c r="AP11" s="1">
        <v>7</v>
      </c>
      <c r="AQ11" s="1">
        <v>10</v>
      </c>
      <c r="AR11" s="1">
        <v>12</v>
      </c>
      <c r="AS11" s="1">
        <v>17</v>
      </c>
      <c r="AT11" s="1">
        <v>21</v>
      </c>
      <c r="AU11" s="1">
        <v>29</v>
      </c>
      <c r="AV11" s="1">
        <v>34</v>
      </c>
      <c r="AW11" s="1">
        <v>52</v>
      </c>
      <c r="AX11" s="1">
        <v>79</v>
      </c>
      <c r="AY11" s="1">
        <v>107</v>
      </c>
      <c r="AZ11" s="1">
        <v>148</v>
      </c>
      <c r="BA11" s="1">
        <v>197</v>
      </c>
      <c r="BB11" s="1">
        <v>233</v>
      </c>
      <c r="BC11" s="1">
        <v>366</v>
      </c>
      <c r="BD11" s="1">
        <v>463</v>
      </c>
      <c r="BE11" s="1">
        <v>631</v>
      </c>
      <c r="BF11" s="1">
        <v>827</v>
      </c>
      <c r="BG11" s="1">
        <v>827</v>
      </c>
      <c r="BH11" s="1">
        <v>1266</v>
      </c>
      <c r="BI11" s="1">
        <v>1441</v>
      </c>
      <c r="BJ11" s="1">
        <v>1809</v>
      </c>
      <c r="BK11" s="1">
        <v>2158</v>
      </c>
      <c r="BL11" s="1">
        <v>2503</v>
      </c>
      <c r="BM11" s="1">
        <v>2978</v>
      </c>
      <c r="BN11" s="1">
        <v>3405</v>
      </c>
      <c r="BO11" s="1">
        <v>4032</v>
      </c>
      <c r="BP11" s="1">
        <v>4825</v>
      </c>
      <c r="BQ11" s="1">
        <v>5476</v>
      </c>
      <c r="BR11" s="1">
        <v>6077</v>
      </c>
      <c r="BS11" s="1">
        <v>6820</v>
      </c>
      <c r="BT11" s="1">
        <v>7503</v>
      </c>
      <c r="BU11" s="1">
        <v>8215</v>
      </c>
      <c r="BV11" s="1">
        <v>9134</v>
      </c>
      <c r="BW11" s="1">
        <v>10023</v>
      </c>
      <c r="BX11" s="1">
        <v>10779</v>
      </c>
      <c r="BY11" s="1">
        <v>11591</v>
      </c>
      <c r="BZ11" s="1">
        <v>12428</v>
      </c>
      <c r="CA11" s="1">
        <v>13155</v>
      </c>
      <c r="CB11" s="1">
        <v>13915</v>
      </c>
      <c r="CC11" s="1">
        <v>14681</v>
      </c>
      <c r="CD11" s="1">
        <v>15362</v>
      </c>
      <c r="CE11" s="1">
        <v>15887</v>
      </c>
      <c r="CF11" s="1">
        <v>16523</v>
      </c>
      <c r="CG11" s="1">
        <v>17127</v>
      </c>
      <c r="CH11" s="1">
        <v>17669</v>
      </c>
      <c r="CI11" s="1">
        <v>18279</v>
      </c>
      <c r="CJ11" s="1">
        <v>18849</v>
      </c>
      <c r="CK11" s="1">
        <v>19468</v>
      </c>
      <c r="CL11" s="1">
        <v>19899</v>
      </c>
      <c r="CM11" s="1">
        <v>20465</v>
      </c>
      <c r="CN11" s="1">
        <v>21067</v>
      </c>
      <c r="CO11" s="1">
        <v>21645</v>
      </c>
      <c r="CP11" s="1">
        <v>22170</v>
      </c>
      <c r="CQ11" s="1">
        <v>22745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190</v>
      </c>
      <c r="E12" s="2">
        <v>0.15022558229999999</v>
      </c>
      <c r="F12" s="3">
        <v>1.9413507699999999E-2</v>
      </c>
      <c r="G12" s="3">
        <v>3.16402998E-2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  <c r="AO12" s="1">
        <v>1</v>
      </c>
      <c r="AP12" s="1">
        <v>1</v>
      </c>
      <c r="AQ12" s="1">
        <v>1</v>
      </c>
      <c r="AR12" s="1">
        <v>2</v>
      </c>
      <c r="AS12" s="1">
        <v>4</v>
      </c>
      <c r="AT12" s="1">
        <v>4</v>
      </c>
      <c r="AU12" s="1">
        <v>5</v>
      </c>
      <c r="AV12" s="1">
        <v>6</v>
      </c>
      <c r="AW12" s="1">
        <v>6</v>
      </c>
      <c r="AX12" s="1">
        <v>6</v>
      </c>
      <c r="AY12" s="1">
        <v>6</v>
      </c>
      <c r="AZ12" s="1">
        <v>6</v>
      </c>
      <c r="BA12" s="1">
        <v>6</v>
      </c>
      <c r="BB12" s="1">
        <v>6</v>
      </c>
      <c r="BC12" s="1">
        <v>6</v>
      </c>
      <c r="BD12" s="1">
        <v>10</v>
      </c>
      <c r="BE12" s="1">
        <v>10</v>
      </c>
      <c r="BF12" s="1">
        <v>15</v>
      </c>
      <c r="BG12" s="1">
        <v>16</v>
      </c>
      <c r="BH12" s="1">
        <v>19</v>
      </c>
      <c r="BI12" s="1">
        <v>22</v>
      </c>
      <c r="BJ12" s="1">
        <v>22</v>
      </c>
      <c r="BK12" s="1">
        <v>27</v>
      </c>
      <c r="BL12" s="1">
        <v>29</v>
      </c>
      <c r="BM12" s="1">
        <v>29</v>
      </c>
      <c r="BN12" s="1">
        <v>29</v>
      </c>
      <c r="BO12" s="1">
        <v>33</v>
      </c>
      <c r="BP12" s="1">
        <v>35</v>
      </c>
      <c r="BQ12" s="1">
        <v>41</v>
      </c>
      <c r="BR12" s="1">
        <v>42</v>
      </c>
      <c r="BS12" s="1">
        <v>43</v>
      </c>
      <c r="BT12" s="1">
        <v>45</v>
      </c>
      <c r="BU12" s="1">
        <v>47</v>
      </c>
      <c r="BV12" s="1">
        <v>49</v>
      </c>
      <c r="BW12" s="1">
        <v>52</v>
      </c>
      <c r="BX12" s="1">
        <v>54</v>
      </c>
      <c r="BY12" s="1">
        <v>54</v>
      </c>
      <c r="BZ12" s="1">
        <v>56</v>
      </c>
      <c r="CA12" s="1">
        <v>57</v>
      </c>
      <c r="CB12" s="1">
        <v>62</v>
      </c>
      <c r="CC12" s="1">
        <v>63</v>
      </c>
      <c r="CD12" s="1">
        <v>77</v>
      </c>
      <c r="CE12" s="1">
        <v>77</v>
      </c>
      <c r="CF12" s="1">
        <v>85</v>
      </c>
      <c r="CG12" s="1">
        <v>92</v>
      </c>
      <c r="CH12" s="1">
        <v>93</v>
      </c>
      <c r="CI12" s="1">
        <v>94</v>
      </c>
      <c r="CJ12" s="1">
        <v>99</v>
      </c>
      <c r="CK12" s="1">
        <v>99</v>
      </c>
      <c r="CL12" s="1">
        <v>108</v>
      </c>
      <c r="CM12" s="1">
        <v>123</v>
      </c>
      <c r="CN12" s="1">
        <v>143</v>
      </c>
      <c r="CO12" s="1">
        <v>146</v>
      </c>
      <c r="CP12" s="1">
        <v>178</v>
      </c>
      <c r="CQ12" s="1">
        <v>190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230</v>
      </c>
      <c r="E13" s="2">
        <v>0.44861255350000001</v>
      </c>
      <c r="F13" s="3">
        <v>2.1626704300000001E-2</v>
      </c>
      <c r="G13" s="3">
        <v>2.19465649E-2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1</v>
      </c>
      <c r="AM13" s="1">
        <v>2</v>
      </c>
      <c r="AN13" s="1">
        <v>2</v>
      </c>
      <c r="AO13" s="1">
        <v>6</v>
      </c>
      <c r="AP13" s="1">
        <v>8</v>
      </c>
      <c r="AQ13" s="1">
        <v>10</v>
      </c>
      <c r="AR13" s="1">
        <v>12</v>
      </c>
      <c r="AS13" s="1">
        <v>13</v>
      </c>
      <c r="AT13" s="1">
        <v>13</v>
      </c>
      <c r="AU13" s="1">
        <v>16</v>
      </c>
      <c r="AV13" s="1">
        <v>17</v>
      </c>
      <c r="AW13" s="1">
        <v>28</v>
      </c>
      <c r="AX13" s="1">
        <v>28</v>
      </c>
      <c r="AY13" s="1">
        <v>35</v>
      </c>
      <c r="AZ13" s="1">
        <v>35</v>
      </c>
      <c r="BA13" s="1">
        <v>42</v>
      </c>
      <c r="BB13" s="1">
        <v>44</v>
      </c>
      <c r="BC13" s="1">
        <v>50</v>
      </c>
      <c r="BD13" s="1">
        <v>53</v>
      </c>
      <c r="BE13" s="1">
        <v>54</v>
      </c>
      <c r="BF13" s="1">
        <v>60</v>
      </c>
      <c r="BG13" s="1">
        <v>66</v>
      </c>
      <c r="BH13" s="1">
        <v>66</v>
      </c>
      <c r="BI13" s="1">
        <v>72</v>
      </c>
      <c r="BJ13" s="1">
        <v>75</v>
      </c>
      <c r="BK13" s="1">
        <v>75</v>
      </c>
      <c r="BL13" s="1">
        <v>81</v>
      </c>
      <c r="BM13" s="1">
        <v>84</v>
      </c>
      <c r="BN13" s="1">
        <v>91</v>
      </c>
      <c r="BO13" s="1">
        <v>94</v>
      </c>
      <c r="BP13" s="1">
        <v>102</v>
      </c>
      <c r="BQ13" s="1">
        <v>111</v>
      </c>
      <c r="BR13" s="1">
        <v>111</v>
      </c>
      <c r="BS13" s="1">
        <v>120</v>
      </c>
      <c r="BT13" s="1">
        <v>126</v>
      </c>
      <c r="BU13" s="1">
        <v>131</v>
      </c>
      <c r="BV13" s="1">
        <v>139</v>
      </c>
      <c r="BW13" s="1">
        <v>144</v>
      </c>
      <c r="BX13" s="1">
        <v>152</v>
      </c>
      <c r="BY13" s="1">
        <v>158</v>
      </c>
      <c r="BZ13" s="1">
        <v>162</v>
      </c>
      <c r="CA13" s="1">
        <v>165</v>
      </c>
      <c r="CB13" s="1">
        <v>169</v>
      </c>
      <c r="CC13" s="1">
        <v>174</v>
      </c>
      <c r="CD13" s="1">
        <v>177</v>
      </c>
      <c r="CE13" s="1">
        <v>183</v>
      </c>
      <c r="CF13" s="1">
        <v>186</v>
      </c>
      <c r="CG13" s="1">
        <v>192</v>
      </c>
      <c r="CH13" s="1">
        <v>200</v>
      </c>
      <c r="CI13" s="1">
        <v>204</v>
      </c>
      <c r="CJ13" s="1">
        <v>208</v>
      </c>
      <c r="CK13" s="1">
        <v>211</v>
      </c>
      <c r="CL13" s="1">
        <v>214</v>
      </c>
      <c r="CM13" s="1">
        <v>217</v>
      </c>
      <c r="CN13" s="1">
        <v>222</v>
      </c>
      <c r="CO13" s="1">
        <v>225</v>
      </c>
      <c r="CP13" s="1">
        <v>229</v>
      </c>
      <c r="CQ13" s="1">
        <v>230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657</v>
      </c>
      <c r="E14" s="2">
        <v>6.443255368</v>
      </c>
      <c r="F14" s="3">
        <v>3.4538954900000002E-2</v>
      </c>
      <c r="G14" s="3">
        <v>4.1095890400000001E-2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2</v>
      </c>
      <c r="BN14" s="1">
        <v>3</v>
      </c>
      <c r="BO14" s="1">
        <v>6</v>
      </c>
      <c r="BP14" s="1">
        <v>12</v>
      </c>
      <c r="BQ14" s="1">
        <v>14</v>
      </c>
      <c r="BR14" s="1">
        <v>23</v>
      </c>
      <c r="BS14" s="1">
        <v>33</v>
      </c>
      <c r="BT14" s="1">
        <v>43</v>
      </c>
      <c r="BU14" s="1">
        <v>60</v>
      </c>
      <c r="BV14" s="1">
        <v>76</v>
      </c>
      <c r="BW14" s="1">
        <v>100</v>
      </c>
      <c r="BX14" s="1">
        <v>119</v>
      </c>
      <c r="BY14" s="1">
        <v>140</v>
      </c>
      <c r="BZ14" s="1">
        <v>160</v>
      </c>
      <c r="CA14" s="1">
        <v>187</v>
      </c>
      <c r="CB14" s="1">
        <v>209</v>
      </c>
      <c r="CC14" s="1">
        <v>246</v>
      </c>
      <c r="CD14" s="1">
        <v>266</v>
      </c>
      <c r="CE14" s="1">
        <v>295</v>
      </c>
      <c r="CF14" s="1">
        <v>311</v>
      </c>
      <c r="CG14" s="1">
        <v>345</v>
      </c>
      <c r="CH14" s="1">
        <v>380</v>
      </c>
      <c r="CI14" s="1">
        <v>409</v>
      </c>
      <c r="CJ14" s="1">
        <v>435</v>
      </c>
      <c r="CK14" s="1">
        <v>470</v>
      </c>
      <c r="CL14" s="1">
        <v>504</v>
      </c>
      <c r="CM14" s="1">
        <v>535</v>
      </c>
      <c r="CN14" s="1">
        <v>567</v>
      </c>
      <c r="CO14" s="1">
        <v>599</v>
      </c>
      <c r="CP14" s="1">
        <v>629</v>
      </c>
      <c r="CQ14" s="1">
        <v>657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273</v>
      </c>
      <c r="E15" s="2">
        <v>0.18707027540000001</v>
      </c>
      <c r="F15" s="3">
        <v>8.5291176999999999E-3</v>
      </c>
      <c r="G15" s="3">
        <v>2.0097173100000001E-2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1</v>
      </c>
      <c r="BO15" s="1">
        <v>1</v>
      </c>
      <c r="BP15" s="1">
        <v>1</v>
      </c>
      <c r="BQ15" s="1">
        <v>1</v>
      </c>
      <c r="BR15" s="1">
        <v>1</v>
      </c>
      <c r="BS15" s="1">
        <v>1</v>
      </c>
      <c r="BT15" s="1">
        <v>3</v>
      </c>
      <c r="BU15" s="1">
        <v>3</v>
      </c>
      <c r="BV15" s="1">
        <v>4</v>
      </c>
      <c r="BW15" s="1">
        <v>4</v>
      </c>
      <c r="BX15" s="1">
        <v>8</v>
      </c>
      <c r="BY15" s="1">
        <v>9</v>
      </c>
      <c r="BZ15" s="1">
        <v>17</v>
      </c>
      <c r="CA15" s="1">
        <v>24</v>
      </c>
      <c r="CB15" s="1">
        <v>30</v>
      </c>
      <c r="CC15" s="1">
        <v>34</v>
      </c>
      <c r="CD15" s="1">
        <v>43</v>
      </c>
      <c r="CE15" s="1">
        <v>45</v>
      </c>
      <c r="CF15" s="1">
        <v>47</v>
      </c>
      <c r="CG15" s="1">
        <v>58</v>
      </c>
      <c r="CH15" s="1">
        <v>63</v>
      </c>
      <c r="CI15" s="1">
        <v>76</v>
      </c>
      <c r="CJ15" s="1">
        <v>94</v>
      </c>
      <c r="CK15" s="1">
        <v>106</v>
      </c>
      <c r="CL15" s="1">
        <v>130</v>
      </c>
      <c r="CM15" s="1">
        <v>148</v>
      </c>
      <c r="CN15" s="1">
        <v>170</v>
      </c>
      <c r="CO15" s="1">
        <v>198</v>
      </c>
      <c r="CP15" s="1">
        <v>232</v>
      </c>
      <c r="CQ15" s="1">
        <v>273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11</v>
      </c>
      <c r="E16" s="2">
        <v>0.1880231959</v>
      </c>
      <c r="F16" s="3">
        <v>2.1782177999999999E-3</v>
      </c>
      <c r="G16" s="3">
        <v>4.784689E-3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2</v>
      </c>
      <c r="BQ16" s="1">
        <v>2</v>
      </c>
      <c r="BR16" s="1">
        <v>2</v>
      </c>
      <c r="BS16" s="1">
        <v>2</v>
      </c>
      <c r="BT16" s="1">
        <v>2</v>
      </c>
      <c r="BU16" s="1">
        <v>2</v>
      </c>
      <c r="BV16" s="1">
        <v>2</v>
      </c>
      <c r="BW16" s="1">
        <v>2</v>
      </c>
      <c r="BX16" s="1">
        <v>3</v>
      </c>
      <c r="BY16" s="1">
        <v>3</v>
      </c>
      <c r="BZ16" s="1">
        <v>3</v>
      </c>
      <c r="CA16" s="1">
        <v>3</v>
      </c>
      <c r="CB16" s="1">
        <v>4</v>
      </c>
      <c r="CC16" s="1">
        <v>5</v>
      </c>
      <c r="CD16" s="1">
        <v>6</v>
      </c>
      <c r="CE16" s="1">
        <v>6</v>
      </c>
      <c r="CF16" s="1">
        <v>6</v>
      </c>
      <c r="CG16" s="1">
        <v>6</v>
      </c>
      <c r="CH16" s="1">
        <v>6</v>
      </c>
      <c r="CI16" s="1">
        <v>6</v>
      </c>
      <c r="CJ16" s="1">
        <v>7</v>
      </c>
      <c r="CK16" s="1">
        <v>8</v>
      </c>
      <c r="CL16" s="1">
        <v>8</v>
      </c>
      <c r="CM16" s="1">
        <v>9</v>
      </c>
      <c r="CN16" s="1">
        <v>10</v>
      </c>
      <c r="CO16" s="1">
        <v>10</v>
      </c>
      <c r="CP16" s="1">
        <v>10</v>
      </c>
      <c r="CQ16" s="1">
        <v>11</v>
      </c>
    </row>
    <row r="17" spans="1:95" x14ac:dyDescent="0.25">
      <c r="A17" t="s">
        <v>250</v>
      </c>
      <c r="B17" s="1">
        <v>46754778</v>
      </c>
      <c r="C17" s="1">
        <v>498800</v>
      </c>
      <c r="D17" s="1">
        <v>20002</v>
      </c>
      <c r="E17" s="2">
        <v>42.780654417800001</v>
      </c>
      <c r="F17" s="3">
        <v>0.1048108615</v>
      </c>
      <c r="G17" s="3">
        <v>0.1226913333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1</v>
      </c>
      <c r="AY17" s="1">
        <v>2</v>
      </c>
      <c r="AZ17" s="1">
        <v>3</v>
      </c>
      <c r="BA17" s="1">
        <v>5</v>
      </c>
      <c r="BB17" s="1">
        <v>10</v>
      </c>
      <c r="BC17" s="1">
        <v>17</v>
      </c>
      <c r="BD17" s="1">
        <v>28</v>
      </c>
      <c r="BE17" s="1">
        <v>35</v>
      </c>
      <c r="BF17" s="1">
        <v>54</v>
      </c>
      <c r="BG17" s="1">
        <v>55</v>
      </c>
      <c r="BH17" s="1">
        <v>133</v>
      </c>
      <c r="BI17" s="1">
        <v>195</v>
      </c>
      <c r="BJ17" s="1">
        <v>289</v>
      </c>
      <c r="BK17" s="1">
        <v>342</v>
      </c>
      <c r="BL17" s="1">
        <v>533</v>
      </c>
      <c r="BM17" s="1">
        <v>623</v>
      </c>
      <c r="BN17" s="1">
        <v>830</v>
      </c>
      <c r="BO17" s="1">
        <v>1043</v>
      </c>
      <c r="BP17" s="1">
        <v>1375</v>
      </c>
      <c r="BQ17" s="1">
        <v>1772</v>
      </c>
      <c r="BR17" s="1">
        <v>2311</v>
      </c>
      <c r="BS17" s="1">
        <v>2808</v>
      </c>
      <c r="BT17" s="1">
        <v>3647</v>
      </c>
      <c r="BU17" s="1">
        <v>4365</v>
      </c>
      <c r="BV17" s="1">
        <v>5138</v>
      </c>
      <c r="BW17" s="1">
        <v>5982</v>
      </c>
      <c r="BX17" s="1">
        <v>6803</v>
      </c>
      <c r="BY17" s="1">
        <v>7716</v>
      </c>
      <c r="BZ17" s="1">
        <v>8464</v>
      </c>
      <c r="CA17" s="1">
        <v>9387</v>
      </c>
      <c r="CB17" s="1">
        <v>10348</v>
      </c>
      <c r="CC17" s="1">
        <v>11198</v>
      </c>
      <c r="CD17" s="1">
        <v>11947</v>
      </c>
      <c r="CE17" s="1">
        <v>12641</v>
      </c>
      <c r="CF17" s="1">
        <v>13341</v>
      </c>
      <c r="CG17" s="1">
        <v>14045</v>
      </c>
      <c r="CH17" s="1">
        <v>14792</v>
      </c>
      <c r="CI17" s="1">
        <v>15447</v>
      </c>
      <c r="CJ17" s="1">
        <v>16081</v>
      </c>
      <c r="CK17" s="1">
        <v>16606</v>
      </c>
      <c r="CL17" s="1">
        <v>17209</v>
      </c>
      <c r="CM17" s="1">
        <v>17756</v>
      </c>
      <c r="CN17" s="1">
        <v>18056</v>
      </c>
      <c r="CO17" s="1">
        <v>18708</v>
      </c>
      <c r="CP17" s="1">
        <v>19315</v>
      </c>
      <c r="CQ17" s="1">
        <v>20002</v>
      </c>
    </row>
    <row r="18" spans="1:95" x14ac:dyDescent="0.25">
      <c r="A18" t="s">
        <v>249</v>
      </c>
      <c r="B18" s="1">
        <v>10099265</v>
      </c>
      <c r="C18" s="1">
        <v>410340</v>
      </c>
      <c r="D18" s="1">
        <v>1400</v>
      </c>
      <c r="E18" s="2">
        <v>13.862394936699999</v>
      </c>
      <c r="F18" s="3">
        <v>0.10593220339999999</v>
      </c>
      <c r="G18" s="3">
        <v>0.13791744659999999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2</v>
      </c>
      <c r="BJ18" s="1">
        <v>3</v>
      </c>
      <c r="BK18" s="1">
        <v>6</v>
      </c>
      <c r="BL18" s="1">
        <v>7</v>
      </c>
      <c r="BM18" s="1">
        <v>10</v>
      </c>
      <c r="BN18" s="1">
        <v>11</v>
      </c>
      <c r="BO18" s="1">
        <v>16</v>
      </c>
      <c r="BP18" s="1">
        <v>20</v>
      </c>
      <c r="BQ18" s="1">
        <v>21</v>
      </c>
      <c r="BR18" s="1">
        <v>25</v>
      </c>
      <c r="BS18" s="1">
        <v>36</v>
      </c>
      <c r="BT18" s="1">
        <v>62</v>
      </c>
      <c r="BU18" s="1">
        <v>77</v>
      </c>
      <c r="BV18" s="1">
        <v>105</v>
      </c>
      <c r="BW18" s="1">
        <v>105</v>
      </c>
      <c r="BX18" s="1">
        <v>110</v>
      </c>
      <c r="BY18" s="1">
        <v>146</v>
      </c>
      <c r="BZ18" s="1">
        <v>180</v>
      </c>
      <c r="CA18" s="1">
        <v>239</v>
      </c>
      <c r="CB18" s="1">
        <v>308</v>
      </c>
      <c r="CC18" s="1">
        <v>358</v>
      </c>
      <c r="CD18" s="1">
        <v>373</v>
      </c>
      <c r="CE18" s="1">
        <v>401</v>
      </c>
      <c r="CF18" s="1">
        <v>477</v>
      </c>
      <c r="CG18" s="1">
        <v>591</v>
      </c>
      <c r="CH18" s="1">
        <v>687</v>
      </c>
      <c r="CI18" s="1">
        <v>793</v>
      </c>
      <c r="CJ18" s="1">
        <v>870</v>
      </c>
      <c r="CK18" s="1">
        <v>887</v>
      </c>
      <c r="CL18" s="1">
        <v>899</v>
      </c>
      <c r="CM18" s="1">
        <v>919</v>
      </c>
      <c r="CN18" s="1">
        <v>1033</v>
      </c>
      <c r="CO18" s="1">
        <v>1203</v>
      </c>
      <c r="CP18" s="1">
        <v>1333</v>
      </c>
      <c r="CQ18" s="1">
        <v>1400</v>
      </c>
    </row>
    <row r="19" spans="1:95" x14ac:dyDescent="0.25">
      <c r="A19" t="s">
        <v>0</v>
      </c>
      <c r="B19" s="1">
        <v>8654622</v>
      </c>
      <c r="C19" s="1">
        <v>39516</v>
      </c>
      <c r="D19" s="1">
        <v>1327</v>
      </c>
      <c r="E19" s="2">
        <v>15.332847581299999</v>
      </c>
      <c r="F19" s="3">
        <v>4.9006573599999999E-2</v>
      </c>
      <c r="G19" s="3">
        <v>5.2853785799999997E-2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2</v>
      </c>
      <c r="BD19" s="1">
        <v>2</v>
      </c>
      <c r="BE19" s="1">
        <v>3</v>
      </c>
      <c r="BF19" s="1">
        <v>4</v>
      </c>
      <c r="BG19" s="1">
        <v>4</v>
      </c>
      <c r="BH19" s="1">
        <v>11</v>
      </c>
      <c r="BI19" s="1">
        <v>13</v>
      </c>
      <c r="BJ19" s="1">
        <v>14</v>
      </c>
      <c r="BK19" s="1">
        <v>14</v>
      </c>
      <c r="BL19" s="1">
        <v>27</v>
      </c>
      <c r="BM19" s="1">
        <v>28</v>
      </c>
      <c r="BN19" s="1">
        <v>41</v>
      </c>
      <c r="BO19" s="1">
        <v>54</v>
      </c>
      <c r="BP19" s="1">
        <v>75</v>
      </c>
      <c r="BQ19" s="1">
        <v>98</v>
      </c>
      <c r="BR19" s="1">
        <v>120</v>
      </c>
      <c r="BS19" s="1">
        <v>122</v>
      </c>
      <c r="BT19" s="1">
        <v>153</v>
      </c>
      <c r="BU19" s="1">
        <v>191</v>
      </c>
      <c r="BV19" s="1">
        <v>231</v>
      </c>
      <c r="BW19" s="1">
        <v>264</v>
      </c>
      <c r="BX19" s="1">
        <v>300</v>
      </c>
      <c r="BY19" s="1">
        <v>359</v>
      </c>
      <c r="BZ19" s="1">
        <v>433</v>
      </c>
      <c r="CA19" s="1">
        <v>488</v>
      </c>
      <c r="CB19" s="1">
        <v>536</v>
      </c>
      <c r="CC19" s="1">
        <v>591</v>
      </c>
      <c r="CD19" s="1">
        <v>666</v>
      </c>
      <c r="CE19" s="1">
        <v>715</v>
      </c>
      <c r="CF19" s="1">
        <v>765</v>
      </c>
      <c r="CG19" s="1">
        <v>821</v>
      </c>
      <c r="CH19" s="1">
        <v>895</v>
      </c>
      <c r="CI19" s="1">
        <v>948</v>
      </c>
      <c r="CJ19" s="1">
        <v>1002</v>
      </c>
      <c r="CK19" s="1">
        <v>1036</v>
      </c>
      <c r="CL19" s="1">
        <v>1106</v>
      </c>
      <c r="CM19" s="1">
        <v>1138</v>
      </c>
      <c r="CN19" s="1">
        <v>1174</v>
      </c>
      <c r="CO19" s="1">
        <v>1239</v>
      </c>
      <c r="CP19" s="1">
        <v>1281</v>
      </c>
      <c r="CQ19" s="1">
        <v>1327</v>
      </c>
    </row>
    <row r="20" spans="1:95" x14ac:dyDescent="0.25">
      <c r="A20" t="s">
        <v>248</v>
      </c>
      <c r="B20" s="1">
        <v>331002651</v>
      </c>
      <c r="C20" s="1">
        <v>9147420</v>
      </c>
      <c r="D20" s="1">
        <v>36773</v>
      </c>
      <c r="E20" s="2">
        <v>11.1095786964</v>
      </c>
      <c r="F20" s="3">
        <v>5.2554930200000002E-2</v>
      </c>
      <c r="G20" s="3">
        <v>6.9858053599999997E-2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1</v>
      </c>
      <c r="AV20" s="1">
        <v>1</v>
      </c>
      <c r="AW20" s="1">
        <v>6</v>
      </c>
      <c r="AX20" s="1">
        <v>7</v>
      </c>
      <c r="AY20" s="1">
        <v>11</v>
      </c>
      <c r="AZ20" s="1">
        <v>12</v>
      </c>
      <c r="BA20" s="1">
        <v>14</v>
      </c>
      <c r="BB20" s="1">
        <v>17</v>
      </c>
      <c r="BC20" s="1">
        <v>21</v>
      </c>
      <c r="BD20" s="1">
        <v>22</v>
      </c>
      <c r="BE20" s="1">
        <v>28</v>
      </c>
      <c r="BF20" s="1">
        <v>36</v>
      </c>
      <c r="BG20" s="1">
        <v>40</v>
      </c>
      <c r="BH20" s="1">
        <v>47</v>
      </c>
      <c r="BI20" s="1">
        <v>54</v>
      </c>
      <c r="BJ20" s="1">
        <v>63</v>
      </c>
      <c r="BK20" s="1">
        <v>85</v>
      </c>
      <c r="BL20" s="1">
        <v>108</v>
      </c>
      <c r="BM20" s="1">
        <v>118</v>
      </c>
      <c r="BN20" s="1">
        <v>200</v>
      </c>
      <c r="BO20" s="1">
        <v>244</v>
      </c>
      <c r="BP20" s="1">
        <v>307</v>
      </c>
      <c r="BQ20" s="1">
        <v>417</v>
      </c>
      <c r="BR20" s="1">
        <v>557</v>
      </c>
      <c r="BS20" s="1">
        <v>706</v>
      </c>
      <c r="BT20" s="1">
        <v>942</v>
      </c>
      <c r="BU20" s="1">
        <v>1209</v>
      </c>
      <c r="BV20" s="1">
        <v>1581</v>
      </c>
      <c r="BW20" s="1">
        <v>2026</v>
      </c>
      <c r="BX20" s="1">
        <v>2467</v>
      </c>
      <c r="BY20" s="1">
        <v>2978</v>
      </c>
      <c r="BZ20" s="1">
        <v>3873</v>
      </c>
      <c r="CA20" s="1">
        <v>4757</v>
      </c>
      <c r="CB20" s="1">
        <v>5926</v>
      </c>
      <c r="CC20" s="1">
        <v>7087</v>
      </c>
      <c r="CD20" s="1">
        <v>8407</v>
      </c>
      <c r="CE20" s="1">
        <v>9619</v>
      </c>
      <c r="CF20" s="1">
        <v>10783</v>
      </c>
      <c r="CG20" s="1">
        <v>12722</v>
      </c>
      <c r="CH20" s="1">
        <v>14695</v>
      </c>
      <c r="CI20" s="1">
        <v>16478</v>
      </c>
      <c r="CJ20" s="1">
        <v>18586</v>
      </c>
      <c r="CK20" s="1">
        <v>20462</v>
      </c>
      <c r="CL20" s="1">
        <v>22019</v>
      </c>
      <c r="CM20" s="1">
        <v>23528</v>
      </c>
      <c r="CN20" s="1">
        <v>25831</v>
      </c>
      <c r="CO20" s="1">
        <v>28325</v>
      </c>
      <c r="CP20" s="1">
        <v>32916</v>
      </c>
      <c r="CQ20" s="1">
        <v>36773</v>
      </c>
    </row>
    <row r="21" spans="1:95" x14ac:dyDescent="0.25">
      <c r="A21" t="s">
        <v>247</v>
      </c>
      <c r="B21" s="1">
        <v>67886011</v>
      </c>
      <c r="C21" s="1">
        <v>241930</v>
      </c>
      <c r="D21" s="1">
        <v>14576</v>
      </c>
      <c r="E21" s="2">
        <v>21.471286624899999</v>
      </c>
      <c r="F21" s="3">
        <v>0.13410370590000001</v>
      </c>
      <c r="G21" s="3">
        <v>0.18452735119999999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1</v>
      </c>
      <c r="BA21" s="1">
        <v>2</v>
      </c>
      <c r="BB21" s="1">
        <v>2</v>
      </c>
      <c r="BC21" s="1">
        <v>3</v>
      </c>
      <c r="BD21" s="1">
        <v>4</v>
      </c>
      <c r="BE21" s="1">
        <v>6</v>
      </c>
      <c r="BF21" s="1">
        <v>8</v>
      </c>
      <c r="BG21" s="1">
        <v>8</v>
      </c>
      <c r="BH21" s="1">
        <v>8</v>
      </c>
      <c r="BI21" s="1">
        <v>21</v>
      </c>
      <c r="BJ21" s="1">
        <v>21</v>
      </c>
      <c r="BK21" s="1">
        <v>55</v>
      </c>
      <c r="BL21" s="1">
        <v>55</v>
      </c>
      <c r="BM21" s="1">
        <v>71</v>
      </c>
      <c r="BN21" s="1">
        <v>137</v>
      </c>
      <c r="BO21" s="1">
        <v>177</v>
      </c>
      <c r="BP21" s="1">
        <v>233</v>
      </c>
      <c r="BQ21" s="1">
        <v>281</v>
      </c>
      <c r="BR21" s="1">
        <v>335</v>
      </c>
      <c r="BS21" s="1">
        <v>422</v>
      </c>
      <c r="BT21" s="1">
        <v>465</v>
      </c>
      <c r="BU21" s="1">
        <v>578</v>
      </c>
      <c r="BV21" s="1">
        <v>759</v>
      </c>
      <c r="BW21" s="1">
        <v>1019</v>
      </c>
      <c r="BX21" s="1">
        <v>1228</v>
      </c>
      <c r="BY21" s="1">
        <v>1408</v>
      </c>
      <c r="BZ21" s="1">
        <v>1789</v>
      </c>
      <c r="CA21" s="1">
        <v>2352</v>
      </c>
      <c r="CB21" s="1">
        <v>2921</v>
      </c>
      <c r="CC21" s="1">
        <v>3605</v>
      </c>
      <c r="CD21" s="1">
        <v>4313</v>
      </c>
      <c r="CE21" s="1">
        <v>4934</v>
      </c>
      <c r="CF21" s="1">
        <v>5373</v>
      </c>
      <c r="CG21" s="1">
        <v>6159</v>
      </c>
      <c r="CH21" s="1">
        <v>7097</v>
      </c>
      <c r="CI21" s="1">
        <v>7978</v>
      </c>
      <c r="CJ21" s="1">
        <v>8958</v>
      </c>
      <c r="CK21" s="1">
        <v>9875</v>
      </c>
      <c r="CL21" s="1">
        <v>10612</v>
      </c>
      <c r="CM21" s="1">
        <v>11329</v>
      </c>
      <c r="CN21" s="1">
        <v>12107</v>
      </c>
      <c r="CO21" s="1">
        <v>12868</v>
      </c>
      <c r="CP21" s="1">
        <v>13729</v>
      </c>
      <c r="CQ21" s="1">
        <v>14576</v>
      </c>
    </row>
  </sheetData>
  <autoFilter ref="A1:CQ21" xr:uid="{0CAB966B-8AF5-441B-9976-39B3AC99241C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021B-09CB-4DF0-AA8D-778209C2BD07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1">
        <v>3071</v>
      </c>
      <c r="E2" s="2">
        <v>34.097982345399998</v>
      </c>
      <c r="F2" s="3">
        <v>0.2104145255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2</v>
      </c>
      <c r="AR2" s="1">
        <v>2</v>
      </c>
      <c r="AS2" s="1">
        <v>3</v>
      </c>
      <c r="AT2" s="1">
        <v>3</v>
      </c>
      <c r="AU2" s="1">
        <v>9</v>
      </c>
      <c r="AV2" s="1">
        <v>14</v>
      </c>
      <c r="AW2" s="1">
        <v>18</v>
      </c>
      <c r="AX2" s="1">
        <v>21</v>
      </c>
      <c r="AY2" s="1">
        <v>29</v>
      </c>
      <c r="AZ2" s="1">
        <v>41</v>
      </c>
      <c r="BA2" s="1">
        <v>55</v>
      </c>
      <c r="BB2" s="1">
        <v>79</v>
      </c>
      <c r="BC2" s="1">
        <v>104</v>
      </c>
      <c r="BD2" s="1">
        <v>131</v>
      </c>
      <c r="BE2" s="1">
        <v>180</v>
      </c>
      <c r="BF2" s="1">
        <v>244</v>
      </c>
      <c r="BG2" s="1">
        <v>299</v>
      </c>
      <c r="BH2" s="1">
        <v>501</v>
      </c>
      <c r="BI2" s="1">
        <v>646</v>
      </c>
      <c r="BJ2" s="1">
        <v>846</v>
      </c>
      <c r="BK2" s="1">
        <v>1000</v>
      </c>
      <c r="BL2" s="1">
        <v>1311</v>
      </c>
      <c r="BM2" s="1">
        <v>1617</v>
      </c>
      <c r="BN2" s="1">
        <v>1972</v>
      </c>
      <c r="BO2" s="1">
        <v>2333</v>
      </c>
      <c r="BP2" s="1">
        <v>2735</v>
      </c>
      <c r="BQ2" s="1">
        <v>3478</v>
      </c>
      <c r="BR2" s="1">
        <v>4343</v>
      </c>
      <c r="BS2" s="1">
        <v>5101</v>
      </c>
      <c r="BT2" s="1">
        <v>5342</v>
      </c>
      <c r="BU2" s="1">
        <v>6607</v>
      </c>
      <c r="BV2" s="1">
        <v>7153</v>
      </c>
      <c r="BW2" s="1">
        <v>7616</v>
      </c>
      <c r="BX2" s="1">
        <v>7928</v>
      </c>
      <c r="BY2" s="1">
        <v>8600</v>
      </c>
      <c r="BZ2" s="1">
        <v>8848</v>
      </c>
      <c r="CA2" s="1">
        <v>9065</v>
      </c>
      <c r="CB2" s="1">
        <v>9116</v>
      </c>
      <c r="CC2" s="1">
        <v>9136</v>
      </c>
      <c r="CD2" s="1">
        <v>8967</v>
      </c>
      <c r="CE2" s="1">
        <v>8469</v>
      </c>
      <c r="CF2" s="1">
        <v>7823</v>
      </c>
      <c r="CG2" s="1">
        <v>7356</v>
      </c>
      <c r="CH2" s="1">
        <v>7354</v>
      </c>
      <c r="CI2" s="1">
        <v>6335</v>
      </c>
      <c r="CJ2" s="1">
        <v>5898</v>
      </c>
      <c r="CK2" s="1">
        <v>5535</v>
      </c>
      <c r="CL2" s="1">
        <v>5157</v>
      </c>
      <c r="CM2" s="1">
        <v>4423</v>
      </c>
      <c r="CN2" s="1">
        <v>4046</v>
      </c>
      <c r="CO2" s="1">
        <v>3625</v>
      </c>
      <c r="CP2" s="1">
        <v>3347</v>
      </c>
      <c r="CQ2" s="1">
        <v>3071</v>
      </c>
    </row>
    <row r="3" spans="1:95" x14ac:dyDescent="0.25">
      <c r="A3" t="s">
        <v>264</v>
      </c>
      <c r="B3" s="1">
        <v>11589623</v>
      </c>
      <c r="C3" s="1">
        <v>30280</v>
      </c>
      <c r="D3" s="1">
        <v>19368</v>
      </c>
      <c r="E3" s="2">
        <v>167.11501314579999</v>
      </c>
      <c r="F3" s="3">
        <v>0.53594554210000001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1</v>
      </c>
      <c r="AW3" s="1">
        <v>7</v>
      </c>
      <c r="AX3" s="1">
        <v>12</v>
      </c>
      <c r="AY3" s="1">
        <v>22</v>
      </c>
      <c r="AZ3" s="1">
        <v>49</v>
      </c>
      <c r="BA3" s="1">
        <v>108</v>
      </c>
      <c r="BB3" s="1">
        <v>168</v>
      </c>
      <c r="BC3" s="1">
        <v>199</v>
      </c>
      <c r="BD3" s="1">
        <v>238</v>
      </c>
      <c r="BE3" s="1">
        <v>266</v>
      </c>
      <c r="BF3" s="1">
        <v>311</v>
      </c>
      <c r="BG3" s="1">
        <v>433.5</v>
      </c>
      <c r="BH3" s="1">
        <v>556</v>
      </c>
      <c r="BI3" s="1">
        <v>685</v>
      </c>
      <c r="BJ3" s="1">
        <v>882</v>
      </c>
      <c r="BK3" s="1">
        <v>1050</v>
      </c>
      <c r="BL3" s="1">
        <v>1230</v>
      </c>
      <c r="BM3" s="1">
        <v>1463</v>
      </c>
      <c r="BN3" s="1">
        <v>1745</v>
      </c>
      <c r="BO3" s="1">
        <v>2148</v>
      </c>
      <c r="BP3" s="1">
        <v>2646</v>
      </c>
      <c r="BQ3" s="1">
        <v>3201</v>
      </c>
      <c r="BR3" s="1">
        <v>3504</v>
      </c>
      <c r="BS3" s="1">
        <v>4002</v>
      </c>
      <c r="BT3" s="1">
        <v>4623</v>
      </c>
      <c r="BU3" s="1">
        <v>5798.5</v>
      </c>
      <c r="BV3" s="1">
        <v>6725</v>
      </c>
      <c r="BW3" s="1">
        <v>8445</v>
      </c>
      <c r="BX3" s="1">
        <v>9950</v>
      </c>
      <c r="BY3" s="1">
        <v>10841</v>
      </c>
      <c r="BZ3" s="1">
        <v>11532</v>
      </c>
      <c r="CA3" s="1">
        <v>12478</v>
      </c>
      <c r="CB3" s="1">
        <v>13553</v>
      </c>
      <c r="CC3" s="1">
        <v>14513</v>
      </c>
      <c r="CD3" s="1">
        <v>15616</v>
      </c>
      <c r="CE3" s="1">
        <v>16290</v>
      </c>
      <c r="CF3" s="1">
        <v>17071</v>
      </c>
      <c r="CG3" s="1">
        <v>17925</v>
      </c>
      <c r="CH3" s="1">
        <v>18466</v>
      </c>
      <c r="CI3" s="1">
        <v>18748</v>
      </c>
      <c r="CJ3" s="1">
        <v>19383</v>
      </c>
      <c r="CK3" s="1">
        <v>18884</v>
      </c>
      <c r="CL3" s="1">
        <v>18811</v>
      </c>
      <c r="CM3" s="1">
        <v>18690</v>
      </c>
      <c r="CN3" s="1">
        <v>18344</v>
      </c>
      <c r="CO3" s="1">
        <v>19609</v>
      </c>
      <c r="CP3" s="1">
        <v>19461</v>
      </c>
      <c r="CQ3" s="1">
        <v>19368</v>
      </c>
    </row>
    <row r="4" spans="1:95" x14ac:dyDescent="0.25">
      <c r="A4" t="s">
        <v>263</v>
      </c>
      <c r="B4" s="1">
        <v>37742154</v>
      </c>
      <c r="C4" s="1">
        <v>9093510</v>
      </c>
      <c r="D4" s="1">
        <v>20377</v>
      </c>
      <c r="E4" s="2">
        <v>53.990029291900001</v>
      </c>
      <c r="F4" s="3">
        <v>0.62123105999999995</v>
      </c>
      <c r="I4" s="1">
        <v>0</v>
      </c>
      <c r="J4" s="1">
        <v>0</v>
      </c>
      <c r="K4" s="1">
        <v>0</v>
      </c>
      <c r="L4" s="1">
        <v>0</v>
      </c>
      <c r="M4" s="1">
        <v>1</v>
      </c>
      <c r="N4" s="1">
        <v>1</v>
      </c>
      <c r="O4" s="1">
        <v>2</v>
      </c>
      <c r="P4" s="1">
        <v>2</v>
      </c>
      <c r="Q4" s="1">
        <v>2</v>
      </c>
      <c r="R4" s="1">
        <v>4</v>
      </c>
      <c r="S4" s="1">
        <v>4.2</v>
      </c>
      <c r="T4" s="1">
        <v>4.4000000000000004</v>
      </c>
      <c r="U4" s="1">
        <v>4.5999999999999996</v>
      </c>
      <c r="V4" s="1">
        <v>4.8</v>
      </c>
      <c r="W4" s="1">
        <v>5</v>
      </c>
      <c r="X4" s="1">
        <v>6</v>
      </c>
      <c r="Y4" s="1">
        <v>7</v>
      </c>
      <c r="Z4" s="1">
        <v>7.1</v>
      </c>
      <c r="AA4" s="1">
        <v>6.2</v>
      </c>
      <c r="AB4" s="1">
        <v>6.3</v>
      </c>
      <c r="AC4" s="1">
        <v>5.4</v>
      </c>
      <c r="AD4" s="1">
        <v>5.5</v>
      </c>
      <c r="AE4" s="1">
        <v>5.6</v>
      </c>
      <c r="AF4" s="1">
        <v>3.7</v>
      </c>
      <c r="AG4" s="1">
        <v>3.6</v>
      </c>
      <c r="AH4" s="1">
        <v>3.5</v>
      </c>
      <c r="AI4" s="1">
        <v>3.4</v>
      </c>
      <c r="AJ4" s="1">
        <v>3.45</v>
      </c>
      <c r="AK4" s="1">
        <v>3.5</v>
      </c>
      <c r="AL4" s="1">
        <v>2.75</v>
      </c>
      <c r="AM4" s="1">
        <v>2</v>
      </c>
      <c r="AN4" s="1">
        <v>2.2333333333000001</v>
      </c>
      <c r="AO4" s="1">
        <v>2.4666666667000001</v>
      </c>
      <c r="AP4" s="1">
        <v>2.7</v>
      </c>
      <c r="AQ4" s="1">
        <v>3.6</v>
      </c>
      <c r="AR4" s="1">
        <v>4.5</v>
      </c>
      <c r="AS4" s="1">
        <v>5.4</v>
      </c>
      <c r="AT4" s="1">
        <v>6.3</v>
      </c>
      <c r="AU4" s="1">
        <v>12.2</v>
      </c>
      <c r="AV4" s="1">
        <v>16.100000000000001</v>
      </c>
      <c r="AW4" s="1">
        <v>19</v>
      </c>
      <c r="AX4" s="1">
        <v>21.75</v>
      </c>
      <c r="AY4" s="1">
        <v>24.5</v>
      </c>
      <c r="AZ4" s="1">
        <v>28.25</v>
      </c>
      <c r="BA4" s="1">
        <v>40</v>
      </c>
      <c r="BB4" s="1">
        <v>44.666666666700003</v>
      </c>
      <c r="BC4" s="1">
        <v>54.333333333299997</v>
      </c>
      <c r="BD4" s="1">
        <v>67</v>
      </c>
      <c r="BE4" s="1">
        <v>68</v>
      </c>
      <c r="BF4" s="1">
        <v>96</v>
      </c>
      <c r="BG4" s="1">
        <v>104</v>
      </c>
      <c r="BH4" s="1">
        <v>177</v>
      </c>
      <c r="BI4" s="1">
        <v>176</v>
      </c>
      <c r="BJ4" s="1">
        <v>226</v>
      </c>
      <c r="BK4" s="1">
        <v>386</v>
      </c>
      <c r="BL4" s="1">
        <v>440</v>
      </c>
      <c r="BM4" s="1">
        <v>615</v>
      </c>
      <c r="BN4" s="1">
        <v>754</v>
      </c>
      <c r="BO4" s="1">
        <v>884</v>
      </c>
      <c r="BP4" s="1">
        <v>1213</v>
      </c>
      <c r="BQ4" s="1">
        <v>1392</v>
      </c>
      <c r="BR4" s="1">
        <v>1998</v>
      </c>
      <c r="BS4" s="1">
        <v>2698</v>
      </c>
      <c r="BT4" s="1">
        <v>3130</v>
      </c>
      <c r="BU4" s="1">
        <v>3912</v>
      </c>
      <c r="BV4" s="1">
        <v>4478</v>
      </c>
      <c r="BW4" s="1">
        <v>5367</v>
      </c>
      <c r="BX4" s="1">
        <v>6017</v>
      </c>
      <c r="BY4" s="1">
        <v>6972</v>
      </c>
      <c r="BZ4" s="1">
        <v>8044</v>
      </c>
      <c r="CA4" s="1">
        <v>8899</v>
      </c>
      <c r="CB4" s="1">
        <v>10480</v>
      </c>
      <c r="CC4" s="1">
        <v>11491</v>
      </c>
      <c r="CD4" s="1">
        <v>11698</v>
      </c>
      <c r="CE4" s="1">
        <v>14287</v>
      </c>
      <c r="CF4" s="1">
        <v>14475</v>
      </c>
      <c r="CG4" s="1">
        <v>15082</v>
      </c>
      <c r="CH4" s="1">
        <v>15890</v>
      </c>
      <c r="CI4" s="1">
        <v>16612</v>
      </c>
      <c r="CJ4" s="1">
        <v>17377</v>
      </c>
      <c r="CK4" s="1">
        <v>17740</v>
      </c>
      <c r="CL4" s="1">
        <v>18019</v>
      </c>
      <c r="CM4" s="1">
        <v>18282</v>
      </c>
      <c r="CN4" s="1">
        <v>18508</v>
      </c>
      <c r="CO4" s="1">
        <v>18649</v>
      </c>
      <c r="CP4" s="1">
        <v>19525</v>
      </c>
      <c r="CQ4" s="1">
        <v>20377</v>
      </c>
    </row>
    <row r="5" spans="1:95" x14ac:dyDescent="0.25">
      <c r="A5" t="s">
        <v>262</v>
      </c>
      <c r="B5" s="1">
        <v>1439323776</v>
      </c>
      <c r="C5" s="1">
        <v>9388211</v>
      </c>
      <c r="D5" s="1">
        <v>1249</v>
      </c>
      <c r="E5" s="2">
        <v>8.6776861499999997E-2</v>
      </c>
      <c r="F5" s="3">
        <v>1.49116523E-2</v>
      </c>
      <c r="I5" s="1">
        <v>531</v>
      </c>
      <c r="J5" s="1">
        <v>625</v>
      </c>
      <c r="K5" s="1">
        <v>894</v>
      </c>
      <c r="L5" s="1">
        <v>1364</v>
      </c>
      <c r="M5" s="1">
        <v>2019</v>
      </c>
      <c r="N5" s="1">
        <v>2795</v>
      </c>
      <c r="O5" s="1">
        <v>5378</v>
      </c>
      <c r="P5" s="1">
        <v>5954</v>
      </c>
      <c r="Q5" s="1">
        <v>7970</v>
      </c>
      <c r="R5" s="1">
        <v>9589</v>
      </c>
      <c r="S5" s="1">
        <v>11632</v>
      </c>
      <c r="T5" s="1">
        <v>16269</v>
      </c>
      <c r="U5" s="1">
        <v>19291</v>
      </c>
      <c r="V5" s="1">
        <v>23216</v>
      </c>
      <c r="W5" s="1">
        <v>26877</v>
      </c>
      <c r="X5" s="1">
        <v>29944</v>
      </c>
      <c r="Y5" s="1">
        <v>33190</v>
      </c>
      <c r="Z5" s="1">
        <v>35408</v>
      </c>
      <c r="AA5" s="1">
        <v>37754</v>
      </c>
      <c r="AB5" s="1">
        <v>39477</v>
      </c>
      <c r="AC5" s="1">
        <v>38877</v>
      </c>
      <c r="AD5" s="1">
        <v>38672</v>
      </c>
      <c r="AE5" s="1">
        <v>51754</v>
      </c>
      <c r="AF5" s="1">
        <v>56556</v>
      </c>
      <c r="AG5" s="1">
        <v>56522</v>
      </c>
      <c r="AH5" s="1">
        <v>53883</v>
      </c>
      <c r="AI5" s="1">
        <v>52718</v>
      </c>
      <c r="AJ5" s="1">
        <v>50504</v>
      </c>
      <c r="AK5" s="1">
        <v>47179</v>
      </c>
      <c r="AL5" s="1">
        <v>44490</v>
      </c>
      <c r="AM5" s="1">
        <v>41440</v>
      </c>
      <c r="AN5" s="1">
        <v>40187</v>
      </c>
      <c r="AO5" s="1">
        <v>37193</v>
      </c>
      <c r="AP5" s="1">
        <v>34887</v>
      </c>
      <c r="AQ5" s="1">
        <v>33368</v>
      </c>
      <c r="AR5" s="1">
        <v>33407</v>
      </c>
      <c r="AS5" s="1">
        <v>18705</v>
      </c>
      <c r="AT5" s="1">
        <v>12570</v>
      </c>
      <c r="AU5" s="1">
        <v>10943</v>
      </c>
      <c r="AV5" s="1">
        <v>9419</v>
      </c>
      <c r="AW5" s="1">
        <v>7702</v>
      </c>
      <c r="AX5" s="1">
        <v>6050</v>
      </c>
      <c r="AY5" s="1">
        <v>5767</v>
      </c>
      <c r="AZ5" s="1">
        <v>5460</v>
      </c>
      <c r="BA5" s="1">
        <v>5140</v>
      </c>
      <c r="BB5" s="1">
        <v>3769</v>
      </c>
      <c r="BC5" s="1">
        <v>3801</v>
      </c>
      <c r="BD5" s="1">
        <v>3619</v>
      </c>
      <c r="BE5" s="1">
        <v>3133</v>
      </c>
      <c r="BF5" s="1">
        <v>2755</v>
      </c>
      <c r="BG5" s="1">
        <v>2332</v>
      </c>
      <c r="BH5" s="1">
        <v>2017</v>
      </c>
      <c r="BI5" s="1">
        <v>1621</v>
      </c>
      <c r="BJ5" s="1">
        <v>1071</v>
      </c>
      <c r="BK5" s="1">
        <v>897</v>
      </c>
      <c r="BL5" s="1">
        <v>797</v>
      </c>
      <c r="BM5" s="1">
        <v>716</v>
      </c>
      <c r="BN5" s="1">
        <v>619</v>
      </c>
      <c r="BO5" s="1">
        <v>560</v>
      </c>
      <c r="BP5" s="1">
        <v>535</v>
      </c>
      <c r="BQ5" s="1">
        <v>612</v>
      </c>
      <c r="BR5" s="1">
        <v>638</v>
      </c>
      <c r="BS5" s="1">
        <v>704</v>
      </c>
      <c r="BT5" s="1">
        <v>740</v>
      </c>
      <c r="BU5" s="1">
        <v>850</v>
      </c>
      <c r="BV5" s="1">
        <v>952</v>
      </c>
      <c r="BW5" s="1">
        <v>1022</v>
      </c>
      <c r="BX5" s="1">
        <v>1119</v>
      </c>
      <c r="BY5" s="1">
        <v>1165</v>
      </c>
      <c r="BZ5" s="1">
        <v>1221</v>
      </c>
      <c r="CA5" s="1">
        <v>1259</v>
      </c>
      <c r="CB5" s="1">
        <v>1276</v>
      </c>
      <c r="CC5" s="1">
        <v>1261</v>
      </c>
      <c r="CD5" s="1">
        <v>1238</v>
      </c>
      <c r="CE5" s="1">
        <v>1167</v>
      </c>
      <c r="CF5" s="1">
        <v>1167</v>
      </c>
      <c r="CG5" s="1">
        <v>1127</v>
      </c>
      <c r="CH5" s="1">
        <v>1148</v>
      </c>
      <c r="CI5" s="1">
        <v>1101</v>
      </c>
      <c r="CJ5" s="1">
        <v>1044</v>
      </c>
      <c r="CK5" s="1">
        <v>1015</v>
      </c>
      <c r="CL5" s="1">
        <v>1012</v>
      </c>
      <c r="CM5" s="1">
        <v>1015</v>
      </c>
      <c r="CN5" s="1">
        <v>1027</v>
      </c>
      <c r="CO5" s="1">
        <v>995</v>
      </c>
      <c r="CP5" s="1">
        <v>971</v>
      </c>
      <c r="CQ5" s="1">
        <v>1249</v>
      </c>
    </row>
    <row r="6" spans="1:95" x14ac:dyDescent="0.25">
      <c r="A6" t="s">
        <v>261</v>
      </c>
      <c r="B6" s="1">
        <v>5540720</v>
      </c>
      <c r="C6" s="1">
        <v>303890</v>
      </c>
      <c r="D6" s="1">
        <v>1874</v>
      </c>
      <c r="E6" s="2">
        <v>33.822319121</v>
      </c>
      <c r="F6" s="3">
        <v>0.53711665230000005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1</v>
      </c>
      <c r="AC6" s="1">
        <v>1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1</v>
      </c>
      <c r="AS6" s="1">
        <v>1</v>
      </c>
      <c r="AT6" s="1">
        <v>1</v>
      </c>
      <c r="AU6" s="1">
        <v>2</v>
      </c>
      <c r="AV6" s="1">
        <v>5</v>
      </c>
      <c r="AW6" s="1">
        <v>6.5</v>
      </c>
      <c r="AX6" s="1">
        <v>8</v>
      </c>
      <c r="AY6" s="1">
        <v>9.5</v>
      </c>
      <c r="AZ6" s="1">
        <v>11</v>
      </c>
      <c r="BA6" s="1">
        <v>14</v>
      </c>
      <c r="BB6" s="1">
        <v>18</v>
      </c>
      <c r="BC6" s="1">
        <v>22</v>
      </c>
      <c r="BD6" s="1">
        <v>29</v>
      </c>
      <c r="BE6" s="1">
        <v>39</v>
      </c>
      <c r="BF6" s="1">
        <v>57</v>
      </c>
      <c r="BG6" s="1">
        <v>105</v>
      </c>
      <c r="BH6" s="1">
        <v>153</v>
      </c>
      <c r="BI6" s="1">
        <v>222</v>
      </c>
      <c r="BJ6" s="1">
        <v>238</v>
      </c>
      <c r="BK6" s="1">
        <v>269.5</v>
      </c>
      <c r="BL6" s="1">
        <v>312</v>
      </c>
      <c r="BM6" s="1">
        <v>325.5</v>
      </c>
      <c r="BN6" s="1">
        <v>388</v>
      </c>
      <c r="BO6" s="1">
        <v>435</v>
      </c>
      <c r="BP6" s="1">
        <v>504</v>
      </c>
      <c r="BQ6" s="1">
        <v>603</v>
      </c>
      <c r="BR6" s="1">
        <v>670</v>
      </c>
      <c r="BS6" s="1">
        <v>752</v>
      </c>
      <c r="BT6" s="1">
        <v>821</v>
      </c>
      <c r="BU6" s="1">
        <v>851</v>
      </c>
      <c r="BV6" s="1">
        <v>886</v>
      </c>
      <c r="BW6" s="1">
        <v>942</v>
      </c>
      <c r="BX6" s="1">
        <v>996</v>
      </c>
      <c r="BY6" s="1">
        <v>1075</v>
      </c>
      <c r="BZ6" s="1">
        <v>1097</v>
      </c>
      <c r="CA6" s="1">
        <v>1110</v>
      </c>
      <c r="CB6" s="1">
        <v>1118</v>
      </c>
      <c r="CC6" s="1">
        <v>1165</v>
      </c>
      <c r="CD6" s="1">
        <v>1359</v>
      </c>
      <c r="CE6" s="1">
        <v>1301</v>
      </c>
      <c r="CF6" s="1">
        <v>1476</v>
      </c>
      <c r="CG6" s="1">
        <v>1516</v>
      </c>
      <c r="CH6" s="1">
        <v>1607</v>
      </c>
      <c r="CI6" s="1">
        <v>1647</v>
      </c>
      <c r="CJ6" s="1">
        <v>1728</v>
      </c>
      <c r="CK6" s="1">
        <v>1738</v>
      </c>
      <c r="CL6" s="1">
        <v>1734</v>
      </c>
      <c r="CM6" s="1">
        <v>1712</v>
      </c>
      <c r="CN6" s="1">
        <v>1743</v>
      </c>
      <c r="CO6" s="1">
        <v>1791</v>
      </c>
      <c r="CP6" s="1">
        <v>1851</v>
      </c>
      <c r="CQ6" s="1">
        <v>1874</v>
      </c>
    </row>
    <row r="7" spans="1:95" x14ac:dyDescent="0.25">
      <c r="A7" t="s">
        <v>260</v>
      </c>
      <c r="B7" s="1">
        <v>65273511</v>
      </c>
      <c r="C7" s="1">
        <v>547557</v>
      </c>
      <c r="D7" s="1">
        <v>83631</v>
      </c>
      <c r="E7" s="2">
        <v>128.1239490856</v>
      </c>
      <c r="F7" s="3">
        <v>0.56519270929999998</v>
      </c>
      <c r="I7" s="1">
        <v>0</v>
      </c>
      <c r="J7" s="1">
        <v>0</v>
      </c>
      <c r="K7" s="1">
        <v>2</v>
      </c>
      <c r="L7" s="1">
        <v>3</v>
      </c>
      <c r="M7" s="1">
        <v>3</v>
      </c>
      <c r="N7" s="1">
        <v>3</v>
      </c>
      <c r="O7" s="1">
        <v>4</v>
      </c>
      <c r="P7" s="1">
        <v>5</v>
      </c>
      <c r="Q7" s="1">
        <v>5.3333333332999997</v>
      </c>
      <c r="R7" s="1">
        <v>5.6666666667000003</v>
      </c>
      <c r="S7" s="1">
        <v>6</v>
      </c>
      <c r="T7" s="1">
        <v>6.7142857142999999</v>
      </c>
      <c r="U7" s="1">
        <v>7.4285714285999997</v>
      </c>
      <c r="V7" s="1">
        <v>8.1428571429000005</v>
      </c>
      <c r="W7" s="1">
        <v>8.8571428570999995</v>
      </c>
      <c r="X7" s="1">
        <v>9.5714285714000003</v>
      </c>
      <c r="Y7" s="1">
        <v>8.2857142856999992</v>
      </c>
      <c r="Z7" s="1">
        <v>8</v>
      </c>
      <c r="AA7" s="1">
        <v>8.1428571429000005</v>
      </c>
      <c r="AB7" s="1">
        <v>8.2857142856999992</v>
      </c>
      <c r="AC7" s="1">
        <v>7.4285714285999997</v>
      </c>
      <c r="AD7" s="1">
        <v>6.5714285714000003</v>
      </c>
      <c r="AE7" s="1">
        <v>6.3809523810000002</v>
      </c>
      <c r="AF7" s="1">
        <v>6.1904761904000001</v>
      </c>
      <c r="AG7" s="1">
        <v>6</v>
      </c>
      <c r="AH7" s="1">
        <v>5.4857142857000003</v>
      </c>
      <c r="AI7" s="1">
        <v>4.9714285713999997</v>
      </c>
      <c r="AJ7" s="1">
        <v>4.4571428571</v>
      </c>
      <c r="AK7" s="1">
        <v>3.9428571428999999</v>
      </c>
      <c r="AL7" s="1">
        <v>3.4285714286000002</v>
      </c>
      <c r="AM7" s="1">
        <v>2.9142857143000001</v>
      </c>
      <c r="AN7" s="1">
        <v>2.4</v>
      </c>
      <c r="AO7" s="1">
        <v>2.4571428571</v>
      </c>
      <c r="AP7" s="1">
        <v>2.5142857143000001</v>
      </c>
      <c r="AQ7" s="1">
        <v>2.5714285713999998</v>
      </c>
      <c r="AR7" s="1">
        <v>6.4285714285999997</v>
      </c>
      <c r="AS7" s="1">
        <v>26.285714285699999</v>
      </c>
      <c r="AT7" s="1">
        <v>45.142857142899999</v>
      </c>
      <c r="AU7" s="1">
        <v>88</v>
      </c>
      <c r="AV7" s="1">
        <v>117.8</v>
      </c>
      <c r="AW7" s="1">
        <v>178.6</v>
      </c>
      <c r="AX7" s="1">
        <v>191.4</v>
      </c>
      <c r="AY7" s="1">
        <v>272.2</v>
      </c>
      <c r="AZ7" s="1">
        <v>364</v>
      </c>
      <c r="BA7" s="1">
        <v>639.79999999999995</v>
      </c>
      <c r="BB7" s="1">
        <v>935.6</v>
      </c>
      <c r="BC7" s="1">
        <v>1107</v>
      </c>
      <c r="BD7" s="1">
        <v>1190</v>
      </c>
      <c r="BE7" s="1">
        <v>1751</v>
      </c>
      <c r="BF7" s="1">
        <v>2233</v>
      </c>
      <c r="BG7" s="1">
        <v>2923</v>
      </c>
      <c r="BH7" s="1">
        <v>3582</v>
      </c>
      <c r="BI7" s="1">
        <v>4369</v>
      </c>
      <c r="BJ7" s="1">
        <v>4369</v>
      </c>
      <c r="BK7" s="1">
        <v>6442</v>
      </c>
      <c r="BL7" s="1">
        <v>7448</v>
      </c>
      <c r="BM7" s="1">
        <v>8758</v>
      </c>
      <c r="BN7" s="1">
        <v>10494</v>
      </c>
      <c r="BO7" s="1">
        <v>11959</v>
      </c>
      <c r="BP7" s="1">
        <v>13333</v>
      </c>
      <c r="BQ7" s="1">
        <v>14892</v>
      </c>
      <c r="BR7" s="1">
        <v>18647</v>
      </c>
      <c r="BS7" s="1">
        <v>20520</v>
      </c>
      <c r="BT7" s="1">
        <v>22952</v>
      </c>
      <c r="BU7" s="1">
        <v>26184</v>
      </c>
      <c r="BV7" s="1">
        <v>29303</v>
      </c>
      <c r="BW7" s="1">
        <v>33106</v>
      </c>
      <c r="BX7" s="1">
        <v>35675</v>
      </c>
      <c r="BY7" s="1">
        <v>37917</v>
      </c>
      <c r="BZ7" s="1">
        <v>44476</v>
      </c>
      <c r="CA7" s="1">
        <v>47946</v>
      </c>
      <c r="CB7" s="1">
        <v>48234</v>
      </c>
      <c r="CC7" s="1">
        <v>51726</v>
      </c>
      <c r="CD7" s="1">
        <v>54323</v>
      </c>
      <c r="CE7" s="1">
        <v>54460</v>
      </c>
      <c r="CF7" s="1">
        <v>54534</v>
      </c>
      <c r="CG7" s="1">
        <v>55863</v>
      </c>
      <c r="CH7" s="1">
        <v>56815</v>
      </c>
      <c r="CI7" s="1">
        <v>57179</v>
      </c>
      <c r="CJ7" s="1">
        <v>57712</v>
      </c>
      <c r="CK7" s="1">
        <v>56215</v>
      </c>
      <c r="CL7" s="1">
        <v>80459</v>
      </c>
      <c r="CM7" s="1">
        <v>79748</v>
      </c>
      <c r="CN7" s="1">
        <v>78125</v>
      </c>
      <c r="CO7" s="1">
        <v>76481</v>
      </c>
      <c r="CP7" s="1">
        <v>86855</v>
      </c>
      <c r="CQ7" s="1">
        <v>83631</v>
      </c>
    </row>
    <row r="8" spans="1:95" x14ac:dyDescent="0.25">
      <c r="A8" t="s">
        <v>259</v>
      </c>
      <c r="B8" s="1">
        <v>83783942</v>
      </c>
      <c r="C8" s="1">
        <v>348560</v>
      </c>
      <c r="D8" s="1">
        <v>50238</v>
      </c>
      <c r="E8" s="2">
        <v>59.961370640699997</v>
      </c>
      <c r="F8" s="3">
        <v>0.35529749570000002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1</v>
      </c>
      <c r="O8" s="1">
        <v>4</v>
      </c>
      <c r="P8" s="1">
        <v>4.3333333332999997</v>
      </c>
      <c r="Q8" s="1">
        <v>4.6666666667000003</v>
      </c>
      <c r="R8" s="1">
        <v>5</v>
      </c>
      <c r="S8" s="1">
        <v>8</v>
      </c>
      <c r="T8" s="1">
        <v>10</v>
      </c>
      <c r="U8" s="1">
        <v>12</v>
      </c>
      <c r="V8" s="1">
        <v>12.25</v>
      </c>
      <c r="W8" s="1">
        <v>12.5</v>
      </c>
      <c r="X8" s="1">
        <v>12.75</v>
      </c>
      <c r="Y8" s="1">
        <v>13</v>
      </c>
      <c r="Z8" s="1">
        <v>13.5</v>
      </c>
      <c r="AA8" s="1">
        <v>14</v>
      </c>
      <c r="AB8" s="1">
        <v>14</v>
      </c>
      <c r="AC8" s="1">
        <v>12</v>
      </c>
      <c r="AD8" s="1">
        <v>11.7380952381</v>
      </c>
      <c r="AE8" s="1">
        <v>11.476190476199999</v>
      </c>
      <c r="AF8" s="1">
        <v>11.214285714300001</v>
      </c>
      <c r="AG8" s="1">
        <v>8.2857142856999992</v>
      </c>
      <c r="AH8" s="1">
        <v>6.3571428571000004</v>
      </c>
      <c r="AI8" s="1">
        <v>4.4285714285999997</v>
      </c>
      <c r="AJ8" s="1">
        <v>4.25</v>
      </c>
      <c r="AK8" s="1">
        <v>4.0714285714000003</v>
      </c>
      <c r="AL8" s="1">
        <v>3.8928571429000001</v>
      </c>
      <c r="AM8" s="1">
        <v>3.7142857142999999</v>
      </c>
      <c r="AN8" s="1">
        <v>3.2857142857000001</v>
      </c>
      <c r="AO8" s="1">
        <v>2.8571428570999999</v>
      </c>
      <c r="AP8" s="1">
        <v>1.9285714286</v>
      </c>
      <c r="AQ8" s="1">
        <v>1</v>
      </c>
      <c r="AR8" s="1">
        <v>10.9285714286</v>
      </c>
      <c r="AS8" s="1">
        <v>29.857142857100001</v>
      </c>
      <c r="AT8" s="1">
        <v>31.785714285699999</v>
      </c>
      <c r="AU8" s="1">
        <v>62.714285714299997</v>
      </c>
      <c r="AV8" s="1">
        <v>113.6428571429</v>
      </c>
      <c r="AW8" s="1">
        <v>142.57142857139999</v>
      </c>
      <c r="AX8" s="1">
        <v>179.5</v>
      </c>
      <c r="AY8" s="1">
        <v>245.42857142860001</v>
      </c>
      <c r="AZ8" s="1">
        <v>465.35714285709997</v>
      </c>
      <c r="BA8" s="1">
        <v>653.28571428570001</v>
      </c>
      <c r="BB8" s="1">
        <v>782.21428571429999</v>
      </c>
      <c r="BC8" s="1">
        <v>1023.1428571429</v>
      </c>
      <c r="BD8" s="1">
        <v>1159.0714285714</v>
      </c>
      <c r="BE8" s="1">
        <v>1440</v>
      </c>
      <c r="BF8" s="1">
        <v>1881</v>
      </c>
      <c r="BG8" s="1">
        <v>2032</v>
      </c>
      <c r="BH8" s="1">
        <v>3627</v>
      </c>
      <c r="BI8" s="1">
        <v>4506</v>
      </c>
      <c r="BJ8" s="1">
        <v>5665</v>
      </c>
      <c r="BK8" s="1">
        <v>7113</v>
      </c>
      <c r="BL8" s="1">
        <v>9061</v>
      </c>
      <c r="BM8" s="1">
        <v>12065</v>
      </c>
      <c r="BN8" s="1">
        <v>14838</v>
      </c>
      <c r="BO8" s="1">
        <v>19178</v>
      </c>
      <c r="BP8" s="1">
        <v>21414</v>
      </c>
      <c r="BQ8" s="1">
        <v>23833</v>
      </c>
      <c r="BR8" s="1">
        <v>27880</v>
      </c>
      <c r="BS8" s="1">
        <v>31529</v>
      </c>
      <c r="BT8" s="1">
        <v>35415</v>
      </c>
      <c r="BU8" s="1">
        <v>41860</v>
      </c>
      <c r="BV8" s="1">
        <v>47196</v>
      </c>
      <c r="BW8" s="1">
        <v>53110</v>
      </c>
      <c r="BX8" s="1">
        <v>56300</v>
      </c>
      <c r="BY8" s="1">
        <v>59613</v>
      </c>
      <c r="BZ8" s="1">
        <v>62551</v>
      </c>
      <c r="CA8" s="1">
        <v>65545</v>
      </c>
      <c r="CB8" s="1">
        <v>69474</v>
      </c>
      <c r="CC8" s="1">
        <v>71311</v>
      </c>
      <c r="CD8" s="1">
        <v>73879</v>
      </c>
      <c r="CE8" s="1">
        <v>75250</v>
      </c>
      <c r="CF8" s="1">
        <v>74318</v>
      </c>
      <c r="CG8" s="1">
        <v>74677</v>
      </c>
      <c r="CH8" s="1">
        <v>75973</v>
      </c>
      <c r="CI8" s="1">
        <v>74243</v>
      </c>
      <c r="CJ8" s="1">
        <v>71300</v>
      </c>
      <c r="CK8" s="1">
        <v>67213</v>
      </c>
      <c r="CL8" s="1">
        <v>65759</v>
      </c>
      <c r="CM8" s="1">
        <v>63187</v>
      </c>
      <c r="CN8" s="1">
        <v>59551</v>
      </c>
      <c r="CO8" s="1">
        <v>56881</v>
      </c>
      <c r="CP8" s="1">
        <v>52904</v>
      </c>
      <c r="CQ8" s="1">
        <v>50238</v>
      </c>
    </row>
    <row r="9" spans="1:95" x14ac:dyDescent="0.25">
      <c r="A9" t="s">
        <v>258</v>
      </c>
      <c r="B9" s="1">
        <v>1380004385</v>
      </c>
      <c r="C9" s="1">
        <v>2973190</v>
      </c>
      <c r="D9" s="1">
        <v>11785</v>
      </c>
      <c r="E9" s="2">
        <v>0.85398279369999996</v>
      </c>
      <c r="F9" s="3">
        <v>0.82113991080000004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1</v>
      </c>
      <c r="R9" s="1">
        <v>1</v>
      </c>
      <c r="S9" s="1">
        <v>1</v>
      </c>
      <c r="T9" s="1">
        <v>2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3</v>
      </c>
      <c r="AE9" s="1">
        <v>2</v>
      </c>
      <c r="AF9" s="1">
        <v>2</v>
      </c>
      <c r="AG9" s="1">
        <v>2</v>
      </c>
      <c r="AH9" s="1">
        <v>1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2</v>
      </c>
      <c r="AX9" s="1">
        <v>13.5</v>
      </c>
      <c r="AY9" s="1">
        <v>25</v>
      </c>
      <c r="AZ9" s="1">
        <v>27</v>
      </c>
      <c r="BA9" s="1">
        <v>28</v>
      </c>
      <c r="BB9" s="1">
        <v>31</v>
      </c>
      <c r="BC9" s="1">
        <v>36</v>
      </c>
      <c r="BD9" s="1">
        <v>40</v>
      </c>
      <c r="BE9" s="1">
        <v>53</v>
      </c>
      <c r="BF9" s="1">
        <v>59</v>
      </c>
      <c r="BG9" s="1">
        <v>70</v>
      </c>
      <c r="BH9" s="1">
        <v>79</v>
      </c>
      <c r="BI9" s="1">
        <v>99</v>
      </c>
      <c r="BJ9" s="1">
        <v>110</v>
      </c>
      <c r="BK9" s="1">
        <v>114</v>
      </c>
      <c r="BL9" s="1">
        <v>125.5</v>
      </c>
      <c r="BM9" s="1">
        <v>128</v>
      </c>
      <c r="BN9" s="1">
        <v>164</v>
      </c>
      <c r="BO9" s="1">
        <v>213</v>
      </c>
      <c r="BP9" s="1">
        <v>296</v>
      </c>
      <c r="BQ9" s="1">
        <v>357</v>
      </c>
      <c r="BR9" s="1">
        <v>456</v>
      </c>
      <c r="BS9" s="1">
        <v>480</v>
      </c>
      <c r="BT9" s="1">
        <v>595</v>
      </c>
      <c r="BU9" s="1">
        <v>654</v>
      </c>
      <c r="BV9" s="1">
        <v>805</v>
      </c>
      <c r="BW9" s="1">
        <v>885</v>
      </c>
      <c r="BX9" s="1">
        <v>911</v>
      </c>
      <c r="BY9" s="1">
        <v>1132</v>
      </c>
      <c r="BZ9" s="1">
        <v>1255</v>
      </c>
      <c r="CA9" s="1">
        <v>1842</v>
      </c>
      <c r="CB9" s="1">
        <v>2349</v>
      </c>
      <c r="CC9" s="1">
        <v>2323</v>
      </c>
      <c r="CD9" s="1">
        <v>2752</v>
      </c>
      <c r="CE9" s="1">
        <v>3192</v>
      </c>
      <c r="CF9" s="1">
        <v>4279</v>
      </c>
      <c r="CG9" s="1">
        <v>4775</v>
      </c>
      <c r="CH9" s="1">
        <v>5259</v>
      </c>
      <c r="CI9" s="1">
        <v>5998</v>
      </c>
      <c r="CJ9" s="1">
        <v>6711</v>
      </c>
      <c r="CK9" s="1">
        <v>7459</v>
      </c>
      <c r="CL9" s="1">
        <v>8181</v>
      </c>
      <c r="CM9" s="1">
        <v>9202</v>
      </c>
      <c r="CN9" s="1">
        <v>10090</v>
      </c>
      <c r="CO9" s="1">
        <v>10324</v>
      </c>
      <c r="CP9" s="1">
        <v>10887</v>
      </c>
      <c r="CQ9" s="1">
        <v>11785</v>
      </c>
    </row>
    <row r="10" spans="1:95" x14ac:dyDescent="0.25">
      <c r="A10" t="s">
        <v>257</v>
      </c>
      <c r="B10" s="1">
        <v>83992949</v>
      </c>
      <c r="C10" s="1">
        <v>1628550</v>
      </c>
      <c r="D10" s="1">
        <v>26311</v>
      </c>
      <c r="E10" s="2">
        <v>31.325248503899999</v>
      </c>
      <c r="F10" s="3">
        <v>0.33098095449999998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3</v>
      </c>
      <c r="AM10" s="1">
        <v>14</v>
      </c>
      <c r="AN10" s="1">
        <v>23</v>
      </c>
      <c r="AO10" s="1">
        <v>35</v>
      </c>
      <c r="AP10" s="1">
        <v>49</v>
      </c>
      <c r="AQ10" s="1">
        <v>79</v>
      </c>
      <c r="AR10" s="1">
        <v>120</v>
      </c>
      <c r="AS10" s="1">
        <v>219</v>
      </c>
      <c r="AT10" s="1">
        <v>354</v>
      </c>
      <c r="AU10" s="1">
        <v>550</v>
      </c>
      <c r="AV10" s="1">
        <v>924</v>
      </c>
      <c r="AW10" s="1">
        <v>1435</v>
      </c>
      <c r="AX10" s="1">
        <v>2259</v>
      </c>
      <c r="AY10" s="1">
        <v>2830</v>
      </c>
      <c r="AZ10" s="1">
        <v>3406</v>
      </c>
      <c r="BA10" s="1">
        <v>4623</v>
      </c>
      <c r="BB10" s="1">
        <v>5678</v>
      </c>
      <c r="BC10" s="1">
        <v>6372</v>
      </c>
      <c r="BD10" s="1">
        <v>6924</v>
      </c>
      <c r="BE10" s="1">
        <v>7751</v>
      </c>
      <c r="BF10" s="1">
        <v>8646</v>
      </c>
      <c r="BG10" s="1">
        <v>9646</v>
      </c>
      <c r="BH10" s="1">
        <v>10850</v>
      </c>
      <c r="BI10" s="1">
        <v>12118</v>
      </c>
      <c r="BJ10" s="1">
        <v>12960</v>
      </c>
      <c r="BK10" s="1">
        <v>13490</v>
      </c>
      <c r="BL10" s="1">
        <v>13833</v>
      </c>
      <c r="BM10" s="1">
        <v>14439</v>
      </c>
      <c r="BN10" s="1">
        <v>14894</v>
      </c>
      <c r="BO10" s="1">
        <v>14897</v>
      </c>
      <c r="BP10" s="1">
        <v>14787</v>
      </c>
      <c r="BQ10" s="1">
        <v>15072</v>
      </c>
      <c r="BR10" s="1">
        <v>15888</v>
      </c>
      <c r="BS10" s="1">
        <v>16769</v>
      </c>
      <c r="BT10" s="1">
        <v>18017</v>
      </c>
      <c r="BU10" s="1">
        <v>19331</v>
      </c>
      <c r="BV10" s="1">
        <v>20968</v>
      </c>
      <c r="BW10" s="1">
        <v>22679</v>
      </c>
      <c r="BX10" s="1">
        <v>24371</v>
      </c>
      <c r="BY10" s="1">
        <v>26504</v>
      </c>
      <c r="BZ10" s="1">
        <v>28436</v>
      </c>
      <c r="CA10" s="1">
        <v>30232</v>
      </c>
      <c r="CB10" s="1">
        <v>32061</v>
      </c>
      <c r="CC10" s="1">
        <v>33539</v>
      </c>
      <c r="CD10" s="1">
        <v>35133</v>
      </c>
      <c r="CE10" s="1">
        <v>36588</v>
      </c>
      <c r="CF10" s="1">
        <v>37451</v>
      </c>
      <c r="CG10" s="1">
        <v>37778</v>
      </c>
      <c r="CH10" s="1">
        <v>37569</v>
      </c>
      <c r="CI10" s="1">
        <v>36814</v>
      </c>
      <c r="CJ10" s="1">
        <v>35860</v>
      </c>
      <c r="CK10" s="1">
        <v>34621</v>
      </c>
      <c r="CL10" s="1">
        <v>33377</v>
      </c>
      <c r="CM10" s="1">
        <v>31808</v>
      </c>
      <c r="CN10" s="1">
        <v>30272</v>
      </c>
      <c r="CO10" s="1">
        <v>28796</v>
      </c>
      <c r="CP10" s="1">
        <v>27527</v>
      </c>
      <c r="CQ10" s="1">
        <v>26311</v>
      </c>
    </row>
    <row r="11" spans="1:95" x14ac:dyDescent="0.25">
      <c r="A11" t="s">
        <v>256</v>
      </c>
      <c r="B11" s="1">
        <v>60461826</v>
      </c>
      <c r="C11" s="1">
        <v>294140</v>
      </c>
      <c r="D11" s="1">
        <v>52607</v>
      </c>
      <c r="E11" s="2">
        <v>87.008619289799995</v>
      </c>
      <c r="F11" s="3">
        <v>0.30508484409999997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2</v>
      </c>
      <c r="S11" s="1">
        <v>2</v>
      </c>
      <c r="T11" s="1">
        <v>2</v>
      </c>
      <c r="U11" s="1">
        <v>2</v>
      </c>
      <c r="V11" s="1">
        <v>2</v>
      </c>
      <c r="W11" s="1">
        <v>2</v>
      </c>
      <c r="X11" s="1">
        <v>2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3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17</v>
      </c>
      <c r="AN11" s="1">
        <v>59</v>
      </c>
      <c r="AO11" s="1">
        <v>152</v>
      </c>
      <c r="AP11" s="1">
        <v>222</v>
      </c>
      <c r="AQ11" s="1">
        <v>312</v>
      </c>
      <c r="AR11" s="1">
        <v>441</v>
      </c>
      <c r="AS11" s="1">
        <v>638</v>
      </c>
      <c r="AT11" s="1">
        <v>867</v>
      </c>
      <c r="AU11" s="1">
        <v>1099</v>
      </c>
      <c r="AV11" s="1">
        <v>1660</v>
      </c>
      <c r="AW11" s="1">
        <v>1984</v>
      </c>
      <c r="AX11" s="1">
        <v>2423</v>
      </c>
      <c r="AY11" s="1">
        <v>2982</v>
      </c>
      <c r="AZ11" s="1">
        <v>3710</v>
      </c>
      <c r="BA11" s="1">
        <v>4439</v>
      </c>
      <c r="BB11" s="1">
        <v>5650</v>
      </c>
      <c r="BC11" s="1">
        <v>7009</v>
      </c>
      <c r="BD11" s="1">
        <v>8709</v>
      </c>
      <c r="BE11" s="1">
        <v>9518</v>
      </c>
      <c r="BF11" s="1">
        <v>11635</v>
      </c>
      <c r="BG11" s="1">
        <v>14234</v>
      </c>
      <c r="BH11" s="1">
        <v>16394</v>
      </c>
      <c r="BI11" s="1">
        <v>19716</v>
      </c>
      <c r="BJ11" s="1">
        <v>22938</v>
      </c>
      <c r="BK11" s="1">
        <v>25822</v>
      </c>
      <c r="BL11" s="1">
        <v>29003</v>
      </c>
      <c r="BM11" s="1">
        <v>32624</v>
      </c>
      <c r="BN11" s="1">
        <v>37177</v>
      </c>
      <c r="BO11" s="1">
        <v>42385</v>
      </c>
      <c r="BP11" s="1">
        <v>47695</v>
      </c>
      <c r="BQ11" s="1">
        <v>51763</v>
      </c>
      <c r="BR11" s="1">
        <v>54755</v>
      </c>
      <c r="BS11" s="1">
        <v>59027</v>
      </c>
      <c r="BT11" s="1">
        <v>61924</v>
      </c>
      <c r="BU11" s="1">
        <v>65528</v>
      </c>
      <c r="BV11" s="1">
        <v>68838</v>
      </c>
      <c r="BW11" s="1">
        <v>71315</v>
      </c>
      <c r="BX11" s="1">
        <v>72942</v>
      </c>
      <c r="BY11" s="1">
        <v>73759</v>
      </c>
      <c r="BZ11" s="1">
        <v>74286</v>
      </c>
      <c r="CA11" s="1">
        <v>74861</v>
      </c>
      <c r="CB11" s="1">
        <v>74207</v>
      </c>
      <c r="CC11" s="1">
        <v>72806</v>
      </c>
      <c r="CD11" s="1">
        <v>71054</v>
      </c>
      <c r="CE11" s="1">
        <v>69810</v>
      </c>
      <c r="CF11" s="1">
        <v>68620</v>
      </c>
      <c r="CG11" s="1">
        <v>66410</v>
      </c>
      <c r="CH11" s="1">
        <v>65036</v>
      </c>
      <c r="CI11" s="1">
        <v>63037</v>
      </c>
      <c r="CJ11" s="1">
        <v>61079</v>
      </c>
      <c r="CK11" s="1">
        <v>59799</v>
      </c>
      <c r="CL11" s="1">
        <v>58674</v>
      </c>
      <c r="CM11" s="1">
        <v>57777</v>
      </c>
      <c r="CN11" s="1">
        <v>56696</v>
      </c>
      <c r="CO11" s="1">
        <v>54581</v>
      </c>
      <c r="CP11" s="1">
        <v>53699</v>
      </c>
      <c r="CQ11" s="1">
        <v>52607</v>
      </c>
    </row>
    <row r="12" spans="1:95" x14ac:dyDescent="0.25">
      <c r="A12" t="s">
        <v>255</v>
      </c>
      <c r="B12" s="1">
        <v>126476461</v>
      </c>
      <c r="C12" s="1">
        <v>364555</v>
      </c>
      <c r="D12" s="1">
        <v>7170</v>
      </c>
      <c r="E12" s="2">
        <v>5.6690390791</v>
      </c>
      <c r="F12" s="3">
        <v>0.73260447529999995</v>
      </c>
      <c r="I12" s="1">
        <v>2</v>
      </c>
      <c r="J12" s="1">
        <v>2</v>
      </c>
      <c r="K12" s="1">
        <v>2</v>
      </c>
      <c r="L12" s="1">
        <v>2</v>
      </c>
      <c r="M12" s="1">
        <v>4</v>
      </c>
      <c r="N12" s="1">
        <v>5.5</v>
      </c>
      <c r="O12" s="1">
        <v>7</v>
      </c>
      <c r="P12" s="1">
        <v>9</v>
      </c>
      <c r="Q12" s="1">
        <v>11</v>
      </c>
      <c r="R12" s="1">
        <v>15</v>
      </c>
      <c r="S12" s="1">
        <v>20</v>
      </c>
      <c r="T12" s="1">
        <v>20.666666666699999</v>
      </c>
      <c r="U12" s="1">
        <v>21.333333333300001</v>
      </c>
      <c r="V12" s="1">
        <v>22</v>
      </c>
      <c r="W12" s="1">
        <v>21</v>
      </c>
      <c r="X12" s="1">
        <v>22</v>
      </c>
      <c r="Y12" s="1">
        <v>23</v>
      </c>
      <c r="Z12" s="1">
        <v>23.5</v>
      </c>
      <c r="AA12" s="1">
        <v>22</v>
      </c>
      <c r="AB12" s="1">
        <v>21.166666666699999</v>
      </c>
      <c r="AC12" s="1">
        <v>20.333333333300001</v>
      </c>
      <c r="AD12" s="1">
        <v>19</v>
      </c>
      <c r="AE12" s="1">
        <v>17.5</v>
      </c>
      <c r="AF12" s="1">
        <v>14</v>
      </c>
      <c r="AG12" s="1">
        <v>23</v>
      </c>
      <c r="AH12" s="1">
        <v>38.333333333299997</v>
      </c>
      <c r="AI12" s="1">
        <v>44.666666666700003</v>
      </c>
      <c r="AJ12" s="1">
        <v>52</v>
      </c>
      <c r="AK12" s="1">
        <v>61</v>
      </c>
      <c r="AL12" s="1">
        <v>70</v>
      </c>
      <c r="AM12" s="1">
        <v>80</v>
      </c>
      <c r="AN12" s="1">
        <v>96.5</v>
      </c>
      <c r="AO12" s="1">
        <v>121</v>
      </c>
      <c r="AP12" s="1">
        <v>132.3333333333</v>
      </c>
      <c r="AQ12" s="1">
        <v>142.6666666667</v>
      </c>
      <c r="AR12" s="1">
        <v>161</v>
      </c>
      <c r="AS12" s="1">
        <v>185.5</v>
      </c>
      <c r="AT12" s="1">
        <v>199</v>
      </c>
      <c r="AU12" s="1">
        <v>198</v>
      </c>
      <c r="AV12" s="1">
        <v>197</v>
      </c>
      <c r="AW12" s="1">
        <v>208</v>
      </c>
      <c r="AX12" s="1">
        <v>219</v>
      </c>
      <c r="AY12" s="1">
        <v>247</v>
      </c>
      <c r="AZ12" s="1">
        <v>266</v>
      </c>
      <c r="BA12" s="1">
        <v>315</v>
      </c>
      <c r="BB12" s="1">
        <v>339</v>
      </c>
      <c r="BC12" s="1">
        <v>355</v>
      </c>
      <c r="BD12" s="1">
        <v>352</v>
      </c>
      <c r="BE12" s="1">
        <v>411</v>
      </c>
      <c r="BF12" s="1">
        <v>450</v>
      </c>
      <c r="BG12" s="1">
        <v>456</v>
      </c>
      <c r="BH12" s="1">
        <v>473</v>
      </c>
      <c r="BI12" s="1">
        <v>532</v>
      </c>
      <c r="BJ12" s="1">
        <v>583</v>
      </c>
      <c r="BK12" s="1">
        <v>584.5</v>
      </c>
      <c r="BL12" s="1">
        <v>585</v>
      </c>
      <c r="BM12" s="1">
        <v>558</v>
      </c>
      <c r="BN12" s="1">
        <v>564</v>
      </c>
      <c r="BO12" s="1">
        <v>543</v>
      </c>
      <c r="BP12" s="1">
        <v>546</v>
      </c>
      <c r="BQ12" s="1">
        <v>599</v>
      </c>
      <c r="BR12" s="1">
        <v>617</v>
      </c>
      <c r="BS12" s="1">
        <v>612</v>
      </c>
      <c r="BT12" s="1">
        <v>668</v>
      </c>
      <c r="BU12" s="1">
        <v>717</v>
      </c>
      <c r="BV12" s="1">
        <v>767</v>
      </c>
      <c r="BW12" s="1">
        <v>920</v>
      </c>
      <c r="BX12" s="1">
        <v>1027</v>
      </c>
      <c r="BY12" s="1">
        <v>1051</v>
      </c>
      <c r="BZ12" s="1">
        <v>1075</v>
      </c>
      <c r="CA12" s="1">
        <v>1289</v>
      </c>
      <c r="CB12" s="1">
        <v>1571</v>
      </c>
      <c r="CC12" s="1">
        <v>1654</v>
      </c>
      <c r="CD12" s="1">
        <v>2132</v>
      </c>
      <c r="CE12" s="1">
        <v>2295.5</v>
      </c>
      <c r="CF12" s="1">
        <v>2526</v>
      </c>
      <c r="CG12" s="1">
        <v>2713</v>
      </c>
      <c r="CH12" s="1">
        <v>2950</v>
      </c>
      <c r="CI12" s="1">
        <v>3280</v>
      </c>
      <c r="CJ12" s="1">
        <v>4062</v>
      </c>
      <c r="CK12" s="1">
        <v>4312</v>
      </c>
      <c r="CL12" s="1">
        <v>4882</v>
      </c>
      <c r="CM12" s="1">
        <v>5460.5</v>
      </c>
      <c r="CN12" s="1">
        <v>5692</v>
      </c>
      <c r="CO12" s="1">
        <v>5922</v>
      </c>
      <c r="CP12" s="1">
        <v>6131</v>
      </c>
      <c r="CQ12" s="1">
        <v>7170</v>
      </c>
    </row>
    <row r="13" spans="1:95" x14ac:dyDescent="0.25">
      <c r="A13" t="s">
        <v>254</v>
      </c>
      <c r="B13" s="1">
        <v>51269185</v>
      </c>
      <c r="C13" s="1">
        <v>97230</v>
      </c>
      <c r="D13" s="1">
        <v>573</v>
      </c>
      <c r="E13" s="2">
        <v>1.1176304050999999</v>
      </c>
      <c r="F13" s="3">
        <v>5.3878702399999999E-2</v>
      </c>
      <c r="I13" s="1">
        <v>1</v>
      </c>
      <c r="J13" s="1">
        <v>1</v>
      </c>
      <c r="K13" s="1">
        <v>2</v>
      </c>
      <c r="L13" s="1">
        <v>2</v>
      </c>
      <c r="M13" s="1">
        <v>3</v>
      </c>
      <c r="N13" s="1">
        <v>4</v>
      </c>
      <c r="O13" s="1">
        <v>5.75</v>
      </c>
      <c r="P13" s="1">
        <v>7.5</v>
      </c>
      <c r="Q13" s="1">
        <v>9.25</v>
      </c>
      <c r="R13" s="1">
        <v>11</v>
      </c>
      <c r="S13" s="1">
        <v>12</v>
      </c>
      <c r="T13" s="1">
        <v>15</v>
      </c>
      <c r="U13" s="1">
        <v>15.5</v>
      </c>
      <c r="V13" s="1">
        <v>16</v>
      </c>
      <c r="W13" s="1">
        <v>18</v>
      </c>
      <c r="X13" s="1">
        <v>22</v>
      </c>
      <c r="Y13" s="1">
        <v>22</v>
      </c>
      <c r="Z13" s="1">
        <v>22.5</v>
      </c>
      <c r="AA13" s="1">
        <v>22</v>
      </c>
      <c r="AB13" s="1">
        <v>23</v>
      </c>
      <c r="AC13" s="1">
        <v>22.25</v>
      </c>
      <c r="AD13" s="1">
        <v>20.7</v>
      </c>
      <c r="AE13" s="1">
        <v>19.149999999999999</v>
      </c>
      <c r="AF13" s="1">
        <v>17.600000000000001</v>
      </c>
      <c r="AG13" s="1">
        <v>16.8</v>
      </c>
      <c r="AH13" s="1">
        <v>14</v>
      </c>
      <c r="AI13" s="1">
        <v>14.5</v>
      </c>
      <c r="AJ13" s="1">
        <v>15</v>
      </c>
      <c r="AK13" s="1">
        <v>48.5</v>
      </c>
      <c r="AL13" s="1">
        <v>81</v>
      </c>
      <c r="AM13" s="1">
        <v>180</v>
      </c>
      <c r="AN13" s="1">
        <v>408.5</v>
      </c>
      <c r="AO13" s="1">
        <v>577</v>
      </c>
      <c r="AP13" s="1">
        <v>806</v>
      </c>
      <c r="AQ13" s="1">
        <v>949</v>
      </c>
      <c r="AR13" s="1">
        <v>1232.8</v>
      </c>
      <c r="AS13" s="1">
        <v>1737.6</v>
      </c>
      <c r="AT13" s="1">
        <v>2308.4</v>
      </c>
      <c r="AU13" s="1">
        <v>3121.2</v>
      </c>
      <c r="AV13" s="1">
        <v>3707</v>
      </c>
      <c r="AW13" s="1">
        <v>4305</v>
      </c>
      <c r="AX13" s="1">
        <v>5155</v>
      </c>
      <c r="AY13" s="1">
        <v>5553.5</v>
      </c>
      <c r="AZ13" s="1">
        <v>5984</v>
      </c>
      <c r="BA13" s="1">
        <v>6389</v>
      </c>
      <c r="BB13" s="1">
        <v>6608</v>
      </c>
      <c r="BC13" s="1">
        <v>6712</v>
      </c>
      <c r="BD13" s="1">
        <v>6645</v>
      </c>
      <c r="BE13" s="1">
        <v>6536</v>
      </c>
      <c r="BF13" s="1">
        <v>6494</v>
      </c>
      <c r="BG13" s="1">
        <v>6103</v>
      </c>
      <c r="BH13" s="1">
        <v>5642</v>
      </c>
      <c r="BI13" s="1">
        <v>4936</v>
      </c>
      <c r="BJ13" s="1">
        <v>4426</v>
      </c>
      <c r="BK13" s="1">
        <v>3901</v>
      </c>
      <c r="BL13" s="1">
        <v>3134</v>
      </c>
      <c r="BM13" s="1">
        <v>2792</v>
      </c>
      <c r="BN13" s="1">
        <v>2477</v>
      </c>
      <c r="BO13" s="1">
        <v>2059</v>
      </c>
      <c r="BP13" s="1">
        <v>1758</v>
      </c>
      <c r="BQ13" s="1">
        <v>1647</v>
      </c>
      <c r="BR13" s="1">
        <v>1521</v>
      </c>
      <c r="BS13" s="1">
        <v>1524</v>
      </c>
      <c r="BT13" s="1">
        <v>1382</v>
      </c>
      <c r="BU13" s="1">
        <v>1372</v>
      </c>
      <c r="BV13" s="1">
        <v>1353</v>
      </c>
      <c r="BW13" s="1">
        <v>1392</v>
      </c>
      <c r="BX13" s="1">
        <v>1421</v>
      </c>
      <c r="BY13" s="1">
        <v>1425</v>
      </c>
      <c r="BZ13" s="1">
        <v>1466</v>
      </c>
      <c r="CA13" s="1">
        <v>1474</v>
      </c>
      <c r="CB13" s="1">
        <v>1411</v>
      </c>
      <c r="CC13" s="1">
        <v>1410</v>
      </c>
      <c r="CD13" s="1">
        <v>1357</v>
      </c>
      <c r="CE13" s="1">
        <v>1276</v>
      </c>
      <c r="CF13" s="1">
        <v>1285</v>
      </c>
      <c r="CG13" s="1">
        <v>1294</v>
      </c>
      <c r="CH13" s="1">
        <v>1247</v>
      </c>
      <c r="CI13" s="1">
        <v>1182</v>
      </c>
      <c r="CJ13" s="1">
        <v>1118</v>
      </c>
      <c r="CK13" s="1">
        <v>1002</v>
      </c>
      <c r="CL13" s="1">
        <v>929</v>
      </c>
      <c r="CM13" s="1">
        <v>876</v>
      </c>
      <c r="CN13" s="1">
        <v>778</v>
      </c>
      <c r="CO13" s="1">
        <v>704</v>
      </c>
      <c r="CP13" s="1">
        <v>637</v>
      </c>
      <c r="CQ13" s="1">
        <v>573</v>
      </c>
    </row>
    <row r="14" spans="1:95" x14ac:dyDescent="0.25">
      <c r="A14" t="s">
        <v>253</v>
      </c>
      <c r="B14" s="1">
        <v>10196709</v>
      </c>
      <c r="C14" s="1">
        <v>91590</v>
      </c>
      <c r="D14" s="1">
        <v>9136</v>
      </c>
      <c r="E14" s="2">
        <v>89.597535832399998</v>
      </c>
      <c r="F14" s="3">
        <v>0.48028598459999999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2</v>
      </c>
      <c r="AY14" s="1">
        <v>5</v>
      </c>
      <c r="AZ14" s="1">
        <v>8</v>
      </c>
      <c r="BA14" s="1">
        <v>13</v>
      </c>
      <c r="BB14" s="1">
        <v>20</v>
      </c>
      <c r="BC14" s="1">
        <v>30</v>
      </c>
      <c r="BD14" s="1">
        <v>35.5</v>
      </c>
      <c r="BE14" s="1">
        <v>41</v>
      </c>
      <c r="BF14" s="1">
        <v>59</v>
      </c>
      <c r="BG14" s="1">
        <v>85.5</v>
      </c>
      <c r="BH14" s="1">
        <v>112</v>
      </c>
      <c r="BI14" s="1">
        <v>169</v>
      </c>
      <c r="BJ14" s="1">
        <v>245</v>
      </c>
      <c r="BK14" s="1">
        <v>329</v>
      </c>
      <c r="BL14" s="1">
        <v>446</v>
      </c>
      <c r="BM14" s="1">
        <v>611.5</v>
      </c>
      <c r="BN14" s="1">
        <v>777</v>
      </c>
      <c r="BO14" s="1">
        <v>1007</v>
      </c>
      <c r="BP14" s="1">
        <v>1260</v>
      </c>
      <c r="BQ14" s="1">
        <v>1570</v>
      </c>
      <c r="BR14" s="1">
        <v>2024.5</v>
      </c>
      <c r="BS14" s="1">
        <v>2321</v>
      </c>
      <c r="BT14" s="1">
        <v>2936</v>
      </c>
      <c r="BU14" s="1">
        <v>3458.5</v>
      </c>
      <c r="BV14" s="1">
        <v>4156</v>
      </c>
      <c r="BW14" s="1">
        <v>5001</v>
      </c>
      <c r="BX14" s="1">
        <v>5717</v>
      </c>
      <c r="BY14" s="1">
        <v>6077</v>
      </c>
      <c r="BZ14" s="1">
        <v>6995</v>
      </c>
      <c r="CA14" s="1">
        <v>7634.5</v>
      </c>
      <c r="CB14" s="1">
        <v>8249</v>
      </c>
      <c r="CC14" s="1">
        <v>8866</v>
      </c>
      <c r="CD14" s="1">
        <v>9244</v>
      </c>
      <c r="CE14" s="1">
        <v>9678</v>
      </c>
      <c r="CF14" s="1">
        <v>9670</v>
      </c>
      <c r="CG14" s="1">
        <v>10080</v>
      </c>
      <c r="CH14" s="1">
        <v>10146</v>
      </c>
      <c r="CI14" s="1">
        <v>10412</v>
      </c>
      <c r="CJ14" s="1">
        <v>11204</v>
      </c>
      <c r="CK14" s="1">
        <v>10817</v>
      </c>
      <c r="CL14" s="1">
        <v>10623</v>
      </c>
      <c r="CM14" s="1">
        <v>10526</v>
      </c>
      <c r="CN14" s="1">
        <v>10005</v>
      </c>
      <c r="CO14" s="1">
        <v>9840</v>
      </c>
      <c r="CP14" s="1">
        <v>9807</v>
      </c>
      <c r="CQ14" s="1">
        <v>9136</v>
      </c>
    </row>
    <row r="15" spans="1:95" x14ac:dyDescent="0.25">
      <c r="A15" t="s">
        <v>252</v>
      </c>
      <c r="B15" s="1">
        <v>145934462</v>
      </c>
      <c r="C15" s="1">
        <v>16376870</v>
      </c>
      <c r="D15" s="1">
        <v>27859</v>
      </c>
      <c r="E15" s="2">
        <v>19.090076201500001</v>
      </c>
      <c r="F15" s="3">
        <v>0.87037615599999996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2</v>
      </c>
      <c r="Z15" s="1">
        <v>2</v>
      </c>
      <c r="AA15" s="1">
        <v>2</v>
      </c>
      <c r="AB15" s="1">
        <v>2</v>
      </c>
      <c r="AC15" s="1">
        <v>2</v>
      </c>
      <c r="AD15" s="1">
        <v>2</v>
      </c>
      <c r="AE15" s="1">
        <v>2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1</v>
      </c>
      <c r="AX15" s="1">
        <v>1</v>
      </c>
      <c r="AY15" s="1">
        <v>1</v>
      </c>
      <c r="AZ15" s="1">
        <v>2</v>
      </c>
      <c r="BA15" s="1">
        <v>11</v>
      </c>
      <c r="BB15" s="1">
        <v>13</v>
      </c>
      <c r="BC15" s="1">
        <v>15</v>
      </c>
      <c r="BD15" s="1">
        <v>16.5</v>
      </c>
      <c r="BE15" s="1">
        <v>18</v>
      </c>
      <c r="BF15" s="1">
        <v>22</v>
      </c>
      <c r="BG15" s="1">
        <v>26</v>
      </c>
      <c r="BH15" s="1">
        <v>43</v>
      </c>
      <c r="BI15" s="1">
        <v>57</v>
      </c>
      <c r="BJ15" s="1">
        <v>61</v>
      </c>
      <c r="BK15" s="1">
        <v>87</v>
      </c>
      <c r="BL15" s="1">
        <v>111</v>
      </c>
      <c r="BM15" s="1">
        <v>144</v>
      </c>
      <c r="BN15" s="1">
        <v>195</v>
      </c>
      <c r="BO15" s="1">
        <v>240</v>
      </c>
      <c r="BP15" s="1">
        <v>291</v>
      </c>
      <c r="BQ15" s="1">
        <v>350</v>
      </c>
      <c r="BR15" s="1">
        <v>419.5</v>
      </c>
      <c r="BS15" s="1">
        <v>475</v>
      </c>
      <c r="BT15" s="1">
        <v>634</v>
      </c>
      <c r="BU15" s="1">
        <v>812</v>
      </c>
      <c r="BV15" s="1">
        <v>991</v>
      </c>
      <c r="BW15" s="1">
        <v>1205</v>
      </c>
      <c r="BX15" s="1">
        <v>1471</v>
      </c>
      <c r="BY15" s="1">
        <v>1746</v>
      </c>
      <c r="BZ15" s="1">
        <v>2223</v>
      </c>
      <c r="CA15" s="1">
        <v>2630</v>
      </c>
      <c r="CB15" s="1">
        <v>3349</v>
      </c>
      <c r="CC15" s="1">
        <v>3896</v>
      </c>
      <c r="CD15" s="1">
        <v>4425</v>
      </c>
      <c r="CE15" s="1">
        <v>5022</v>
      </c>
      <c r="CF15" s="1">
        <v>5905</v>
      </c>
      <c r="CG15" s="1">
        <v>7002</v>
      </c>
      <c r="CH15" s="1">
        <v>8014</v>
      </c>
      <c r="CI15" s="1">
        <v>9291</v>
      </c>
      <c r="CJ15" s="1">
        <v>10881</v>
      </c>
      <c r="CK15" s="1">
        <v>12320</v>
      </c>
      <c r="CL15" s="1">
        <v>14236</v>
      </c>
      <c r="CM15" s="1">
        <v>16492</v>
      </c>
      <c r="CN15" s="1">
        <v>18765</v>
      </c>
      <c r="CO15" s="1">
        <v>21713</v>
      </c>
      <c r="CP15" s="1">
        <v>24390</v>
      </c>
      <c r="CQ15" s="1">
        <v>27859</v>
      </c>
    </row>
    <row r="16" spans="1:95" x14ac:dyDescent="0.25">
      <c r="A16" t="s">
        <v>251</v>
      </c>
      <c r="B16" s="1">
        <v>5850342</v>
      </c>
      <c r="C16" s="1">
        <v>700</v>
      </c>
      <c r="D16" s="1">
        <v>3936</v>
      </c>
      <c r="E16" s="2">
        <v>67.278118099799997</v>
      </c>
      <c r="F16" s="3">
        <v>0.77940594060000001</v>
      </c>
      <c r="I16" s="1">
        <v>0</v>
      </c>
      <c r="J16" s="1">
        <v>1</v>
      </c>
      <c r="K16" s="1">
        <v>3</v>
      </c>
      <c r="L16" s="1">
        <v>3</v>
      </c>
      <c r="M16" s="1">
        <v>4</v>
      </c>
      <c r="N16" s="1">
        <v>5</v>
      </c>
      <c r="O16" s="1">
        <v>7</v>
      </c>
      <c r="P16" s="1">
        <v>8.5</v>
      </c>
      <c r="Q16" s="1">
        <v>10</v>
      </c>
      <c r="R16" s="1">
        <v>13</v>
      </c>
      <c r="S16" s="1">
        <v>16</v>
      </c>
      <c r="T16" s="1">
        <v>18</v>
      </c>
      <c r="U16" s="1">
        <v>21</v>
      </c>
      <c r="V16" s="1">
        <v>24</v>
      </c>
      <c r="W16" s="1">
        <v>28</v>
      </c>
      <c r="X16" s="1">
        <v>28</v>
      </c>
      <c r="Y16" s="1">
        <v>27</v>
      </c>
      <c r="Z16" s="1">
        <v>30</v>
      </c>
      <c r="AA16" s="1">
        <v>36</v>
      </c>
      <c r="AB16" s="1">
        <v>40</v>
      </c>
      <c r="AC16" s="1">
        <v>40</v>
      </c>
      <c r="AD16" s="1">
        <v>41.5</v>
      </c>
      <c r="AE16" s="1">
        <v>48</v>
      </c>
      <c r="AF16" s="1">
        <v>54</v>
      </c>
      <c r="AG16" s="1">
        <v>56</v>
      </c>
      <c r="AH16" s="1">
        <v>57</v>
      </c>
      <c r="AI16" s="1">
        <v>56</v>
      </c>
      <c r="AJ16" s="1">
        <v>57</v>
      </c>
      <c r="AK16" s="1">
        <v>56</v>
      </c>
      <c r="AL16" s="1">
        <v>55.5</v>
      </c>
      <c r="AM16" s="1">
        <v>55</v>
      </c>
      <c r="AN16" s="1">
        <v>54</v>
      </c>
      <c r="AO16" s="1">
        <v>49</v>
      </c>
      <c r="AP16" s="1">
        <v>45</v>
      </c>
      <c r="AQ16" s="1">
        <v>44</v>
      </c>
      <c r="AR16" s="1">
        <v>43</v>
      </c>
      <c r="AS16" s="1">
        <v>38</v>
      </c>
      <c r="AT16" s="1">
        <v>32</v>
      </c>
      <c r="AU16" s="1">
        <v>30</v>
      </c>
      <c r="AV16" s="1">
        <v>31</v>
      </c>
      <c r="AW16" s="1">
        <v>31</v>
      </c>
      <c r="AX16" s="1">
        <v>29</v>
      </c>
      <c r="AY16" s="1">
        <v>29.5</v>
      </c>
      <c r="AZ16" s="1">
        <v>32.5</v>
      </c>
      <c r="BA16" s="1">
        <v>45</v>
      </c>
      <c r="BB16" s="1">
        <v>51</v>
      </c>
      <c r="BC16" s="1">
        <v>61</v>
      </c>
      <c r="BD16" s="1">
        <v>65</v>
      </c>
      <c r="BE16" s="1">
        <v>69</v>
      </c>
      <c r="BF16" s="1">
        <v>85</v>
      </c>
      <c r="BG16" s="1">
        <v>93</v>
      </c>
      <c r="BH16" s="1">
        <v>101</v>
      </c>
      <c r="BI16" s="1">
        <v>110</v>
      </c>
      <c r="BJ16" s="1">
        <v>120</v>
      </c>
      <c r="BK16" s="1">
        <v>135</v>
      </c>
      <c r="BL16" s="1">
        <v>156</v>
      </c>
      <c r="BM16" s="1">
        <v>199.5</v>
      </c>
      <c r="BN16" s="1">
        <v>228</v>
      </c>
      <c r="BO16" s="1">
        <v>255</v>
      </c>
      <c r="BP16" s="1">
        <v>294</v>
      </c>
      <c r="BQ16" s="1">
        <v>305</v>
      </c>
      <c r="BR16" s="1">
        <v>354</v>
      </c>
      <c r="BS16" s="1">
        <v>398</v>
      </c>
      <c r="BT16" s="1">
        <v>453</v>
      </c>
      <c r="BU16" s="1">
        <v>494</v>
      </c>
      <c r="BV16" s="1">
        <v>532</v>
      </c>
      <c r="BW16" s="1">
        <v>590</v>
      </c>
      <c r="BX16" s="1">
        <v>618</v>
      </c>
      <c r="BY16" s="1">
        <v>636</v>
      </c>
      <c r="BZ16" s="1">
        <v>660</v>
      </c>
      <c r="CA16" s="1">
        <v>687</v>
      </c>
      <c r="CB16" s="1">
        <v>704</v>
      </c>
      <c r="CC16" s="1">
        <v>729</v>
      </c>
      <c r="CD16" s="1">
        <v>757</v>
      </c>
      <c r="CE16" s="1">
        <v>854</v>
      </c>
      <c r="CF16" s="1">
        <v>866</v>
      </c>
      <c r="CG16" s="1">
        <v>923</v>
      </c>
      <c r="CH16" s="1">
        <v>992</v>
      </c>
      <c r="CI16" s="1">
        <v>1227</v>
      </c>
      <c r="CJ16" s="1">
        <v>1376</v>
      </c>
      <c r="CK16" s="1">
        <v>1497</v>
      </c>
      <c r="CL16" s="1">
        <v>1688</v>
      </c>
      <c r="CM16" s="1">
        <v>2039</v>
      </c>
      <c r="CN16" s="1">
        <v>2326</v>
      </c>
      <c r="CO16" s="1">
        <v>2699</v>
      </c>
      <c r="CP16" s="1">
        <v>3378</v>
      </c>
      <c r="CQ16" s="1">
        <v>3936</v>
      </c>
    </row>
    <row r="17" spans="1:95" x14ac:dyDescent="0.25">
      <c r="A17" t="s">
        <v>250</v>
      </c>
      <c r="B17" s="1">
        <v>46754778</v>
      </c>
      <c r="C17" s="1">
        <v>498800</v>
      </c>
      <c r="D17" s="1">
        <v>71640</v>
      </c>
      <c r="E17" s="2">
        <v>153.22498162650001</v>
      </c>
      <c r="F17" s="3">
        <v>0.37539496639999997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1</v>
      </c>
      <c r="U17" s="1">
        <v>1</v>
      </c>
      <c r="V17" s="1">
        <v>1</v>
      </c>
      <c r="W17" s="1">
        <v>1</v>
      </c>
      <c r="X17" s="1">
        <v>1</v>
      </c>
      <c r="Y17" s="1">
        <v>1</v>
      </c>
      <c r="Z17" s="1">
        <v>1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1</v>
      </c>
      <c r="AH17" s="1">
        <v>1</v>
      </c>
      <c r="AI17" s="1">
        <v>1</v>
      </c>
      <c r="AJ17" s="1">
        <v>1</v>
      </c>
      <c r="AK17" s="1">
        <v>1</v>
      </c>
      <c r="AL17" s="1">
        <v>1</v>
      </c>
      <c r="AM17" s="1">
        <v>1</v>
      </c>
      <c r="AN17" s="1">
        <v>1</v>
      </c>
      <c r="AO17" s="1">
        <v>0</v>
      </c>
      <c r="AP17" s="1">
        <v>0</v>
      </c>
      <c r="AQ17" s="1">
        <v>4</v>
      </c>
      <c r="AR17" s="1">
        <v>11</v>
      </c>
      <c r="AS17" s="1">
        <v>13</v>
      </c>
      <c r="AT17" s="1">
        <v>30</v>
      </c>
      <c r="AU17" s="1">
        <v>43</v>
      </c>
      <c r="AV17" s="1">
        <v>82</v>
      </c>
      <c r="AW17" s="1">
        <v>118</v>
      </c>
      <c r="AX17" s="1">
        <v>163</v>
      </c>
      <c r="AY17" s="1">
        <v>220</v>
      </c>
      <c r="AZ17" s="1">
        <v>256</v>
      </c>
      <c r="BA17" s="1">
        <v>395</v>
      </c>
      <c r="BB17" s="1">
        <v>490</v>
      </c>
      <c r="BC17" s="1">
        <v>656</v>
      </c>
      <c r="BD17" s="1">
        <v>1045</v>
      </c>
      <c r="BE17" s="1">
        <v>1660</v>
      </c>
      <c r="BF17" s="1">
        <v>2223</v>
      </c>
      <c r="BG17" s="1">
        <v>3699.5</v>
      </c>
      <c r="BH17" s="1">
        <v>5099</v>
      </c>
      <c r="BI17" s="1">
        <v>6196</v>
      </c>
      <c r="BJ17" s="1">
        <v>7509</v>
      </c>
      <c r="BK17" s="1">
        <v>9600</v>
      </c>
      <c r="BL17" s="1">
        <v>11215</v>
      </c>
      <c r="BM17" s="1">
        <v>13287</v>
      </c>
      <c r="BN17" s="1">
        <v>17133</v>
      </c>
      <c r="BO17" s="1">
        <v>19367</v>
      </c>
      <c r="BP17" s="1">
        <v>23999</v>
      </c>
      <c r="BQ17" s="1">
        <v>26996</v>
      </c>
      <c r="BR17" s="1">
        <v>32825</v>
      </c>
      <c r="BS17" s="1">
        <v>37077</v>
      </c>
      <c r="BT17" s="1">
        <v>45868</v>
      </c>
      <c r="BU17" s="1">
        <v>53421</v>
      </c>
      <c r="BV17" s="1">
        <v>60487</v>
      </c>
      <c r="BW17" s="1">
        <v>66844</v>
      </c>
      <c r="BX17" s="1">
        <v>72312</v>
      </c>
      <c r="BY17" s="1">
        <v>78014</v>
      </c>
      <c r="BZ17" s="1">
        <v>84175</v>
      </c>
      <c r="CA17" s="1">
        <v>90208</v>
      </c>
      <c r="CB17" s="1">
        <v>94102</v>
      </c>
      <c r="CC17" s="1">
        <v>98789</v>
      </c>
      <c r="CD17" s="1">
        <v>100794</v>
      </c>
      <c r="CE17" s="1">
        <v>102878</v>
      </c>
      <c r="CF17" s="1">
        <v>101539</v>
      </c>
      <c r="CG17" s="1">
        <v>102057</v>
      </c>
      <c r="CH17" s="1">
        <v>98705</v>
      </c>
      <c r="CI17" s="1">
        <v>95436</v>
      </c>
      <c r="CJ17" s="1">
        <v>92554</v>
      </c>
      <c r="CK17" s="1">
        <v>89792</v>
      </c>
      <c r="CL17" s="1">
        <v>86721</v>
      </c>
      <c r="CM17" s="1">
        <v>82143</v>
      </c>
      <c r="CN17" s="1">
        <v>76618</v>
      </c>
      <c r="CO17" s="1">
        <v>73526</v>
      </c>
      <c r="CP17" s="1">
        <v>72883</v>
      </c>
      <c r="CQ17" s="1">
        <v>71640</v>
      </c>
    </row>
    <row r="18" spans="1:95" x14ac:dyDescent="0.25">
      <c r="A18" t="s">
        <v>249</v>
      </c>
      <c r="B18" s="1">
        <v>10099265</v>
      </c>
      <c r="C18" s="1">
        <v>410340</v>
      </c>
      <c r="D18" s="1">
        <v>7085</v>
      </c>
      <c r="E18" s="2">
        <v>70.153620090199993</v>
      </c>
      <c r="F18" s="3">
        <v>0.53609261500000005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1</v>
      </c>
      <c r="T18" s="1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1</v>
      </c>
      <c r="AS18" s="1">
        <v>6</v>
      </c>
      <c r="AT18" s="1">
        <v>8.5</v>
      </c>
      <c r="AU18" s="1">
        <v>11</v>
      </c>
      <c r="AV18" s="1">
        <v>13</v>
      </c>
      <c r="AW18" s="1">
        <v>14</v>
      </c>
      <c r="AX18" s="1">
        <v>20</v>
      </c>
      <c r="AY18" s="1">
        <v>34</v>
      </c>
      <c r="AZ18" s="1">
        <v>93</v>
      </c>
      <c r="BA18" s="1">
        <v>100</v>
      </c>
      <c r="BB18" s="1">
        <v>160</v>
      </c>
      <c r="BC18" s="1">
        <v>202</v>
      </c>
      <c r="BD18" s="1">
        <v>247</v>
      </c>
      <c r="BE18" s="1">
        <v>354</v>
      </c>
      <c r="BF18" s="1">
        <v>498</v>
      </c>
      <c r="BG18" s="1">
        <v>592</v>
      </c>
      <c r="BH18" s="1">
        <v>804.5</v>
      </c>
      <c r="BI18" s="1">
        <v>949</v>
      </c>
      <c r="BJ18" s="1">
        <v>1008</v>
      </c>
      <c r="BK18" s="1">
        <v>1088</v>
      </c>
      <c r="BL18" s="1">
        <v>1169</v>
      </c>
      <c r="BM18" s="1">
        <v>1244</v>
      </c>
      <c r="BN18" s="1">
        <v>1345</v>
      </c>
      <c r="BO18" s="1">
        <v>1538</v>
      </c>
      <c r="BP18" s="1">
        <v>1602</v>
      </c>
      <c r="BQ18" s="1">
        <v>1731</v>
      </c>
      <c r="BR18" s="1">
        <v>1798</v>
      </c>
      <c r="BS18" s="1">
        <v>1931</v>
      </c>
      <c r="BT18" s="1">
        <v>2026</v>
      </c>
      <c r="BU18" s="1">
        <v>2241</v>
      </c>
      <c r="BV18" s="1">
        <v>2255</v>
      </c>
      <c r="BW18" s="1">
        <v>2486</v>
      </c>
      <c r="BX18" s="1">
        <v>2678</v>
      </c>
      <c r="BY18" s="1">
        <v>2925</v>
      </c>
      <c r="BZ18" s="1">
        <v>3245</v>
      </c>
      <c r="CA18" s="1">
        <v>3668</v>
      </c>
      <c r="CB18" s="1">
        <v>4129</v>
      </c>
      <c r="CC18" s="1">
        <v>4492</v>
      </c>
      <c r="CD18" s="1">
        <v>4680</v>
      </c>
      <c r="CE18" s="1">
        <v>4896</v>
      </c>
      <c r="CF18" s="1">
        <v>5160</v>
      </c>
      <c r="CG18" s="1">
        <v>5407</v>
      </c>
      <c r="CH18" s="1">
        <v>5893</v>
      </c>
      <c r="CI18" s="1">
        <v>6301</v>
      </c>
      <c r="CJ18" s="1">
        <v>6616</v>
      </c>
      <c r="CK18" s="1">
        <v>6704</v>
      </c>
      <c r="CL18" s="1">
        <v>6783</v>
      </c>
      <c r="CM18" s="1">
        <v>6920</v>
      </c>
      <c r="CN18" s="1">
        <v>7010</v>
      </c>
      <c r="CO18" s="1">
        <v>6980</v>
      </c>
      <c r="CP18" s="1">
        <v>6972</v>
      </c>
      <c r="CQ18" s="1">
        <v>7085</v>
      </c>
    </row>
    <row r="19" spans="1:95" x14ac:dyDescent="0.25">
      <c r="A19" t="s">
        <v>0</v>
      </c>
      <c r="B19" s="1">
        <v>8654622</v>
      </c>
      <c r="C19" s="1">
        <v>39516</v>
      </c>
      <c r="D19" s="1">
        <v>7472</v>
      </c>
      <c r="E19" s="2">
        <v>86.335370857300006</v>
      </c>
      <c r="F19" s="3">
        <v>0.2759435704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>
        <v>8</v>
      </c>
      <c r="AT19" s="1">
        <v>13</v>
      </c>
      <c r="AU19" s="1">
        <v>18</v>
      </c>
      <c r="AV19" s="1">
        <v>27</v>
      </c>
      <c r="AW19" s="1">
        <v>42</v>
      </c>
      <c r="AX19" s="1">
        <v>56</v>
      </c>
      <c r="AY19" s="1">
        <v>90</v>
      </c>
      <c r="AZ19" s="1">
        <v>113</v>
      </c>
      <c r="BA19" s="1">
        <v>213</v>
      </c>
      <c r="BB19" s="1">
        <v>267</v>
      </c>
      <c r="BC19" s="1">
        <v>335</v>
      </c>
      <c r="BD19" s="1">
        <v>372</v>
      </c>
      <c r="BE19" s="1">
        <v>488</v>
      </c>
      <c r="BF19" s="1">
        <v>648</v>
      </c>
      <c r="BG19" s="1">
        <v>887.5</v>
      </c>
      <c r="BH19" s="1">
        <v>1126</v>
      </c>
      <c r="BI19" s="1">
        <v>1341</v>
      </c>
      <c r="BJ19" s="1">
        <v>2173</v>
      </c>
      <c r="BK19" s="1">
        <v>2408</v>
      </c>
      <c r="BL19" s="1">
        <v>2644</v>
      </c>
      <c r="BM19" s="1">
        <v>2938</v>
      </c>
      <c r="BN19" s="1">
        <v>3961</v>
      </c>
      <c r="BO19" s="1">
        <v>5080</v>
      </c>
      <c r="BP19" s="1">
        <v>6307</v>
      </c>
      <c r="BQ19" s="1">
        <v>7137</v>
      </c>
      <c r="BR19" s="1">
        <v>8421</v>
      </c>
      <c r="BS19" s="1">
        <v>9386</v>
      </c>
      <c r="BT19" s="1">
        <v>10245</v>
      </c>
      <c r="BU19" s="1">
        <v>10915.5</v>
      </c>
      <c r="BV19" s="1">
        <v>11789</v>
      </c>
      <c r="BW19" s="1">
        <v>12717</v>
      </c>
      <c r="BX19" s="1">
        <v>12629</v>
      </c>
      <c r="BY19" s="1">
        <v>13472</v>
      </c>
      <c r="BZ19" s="1">
        <v>13905</v>
      </c>
      <c r="CA19" s="1">
        <v>14740</v>
      </c>
      <c r="CB19" s="1">
        <v>14752</v>
      </c>
      <c r="CC19" s="1">
        <v>14312</v>
      </c>
      <c r="CD19" s="1">
        <v>13930</v>
      </c>
      <c r="CE19" s="1">
        <v>13626</v>
      </c>
      <c r="CF19" s="1">
        <v>12862</v>
      </c>
      <c r="CG19" s="1">
        <v>12376</v>
      </c>
      <c r="CH19" s="1">
        <v>12383</v>
      </c>
      <c r="CI19" s="1">
        <v>12240</v>
      </c>
      <c r="CJ19" s="1">
        <v>11623</v>
      </c>
      <c r="CK19" s="1">
        <v>11031</v>
      </c>
      <c r="CL19" s="1">
        <v>10586</v>
      </c>
      <c r="CM19" s="1">
        <v>9766</v>
      </c>
      <c r="CN19" s="1">
        <v>9331</v>
      </c>
      <c r="CO19" s="1">
        <v>8568</v>
      </c>
      <c r="CP19" s="1">
        <v>7905</v>
      </c>
      <c r="CQ19" s="1">
        <v>7472</v>
      </c>
    </row>
    <row r="20" spans="1:95" x14ac:dyDescent="0.25">
      <c r="A20" t="s">
        <v>248</v>
      </c>
      <c r="B20" s="1">
        <v>331002651</v>
      </c>
      <c r="C20" s="1">
        <v>9147420</v>
      </c>
      <c r="D20" s="1">
        <v>424120</v>
      </c>
      <c r="E20" s="2">
        <v>128.13190429700001</v>
      </c>
      <c r="F20" s="3">
        <v>0.60614029319999996</v>
      </c>
      <c r="I20" s="1">
        <v>1</v>
      </c>
      <c r="J20" s="1">
        <v>1</v>
      </c>
      <c r="K20" s="1">
        <v>2</v>
      </c>
      <c r="L20" s="1">
        <v>2</v>
      </c>
      <c r="M20" s="1">
        <v>5</v>
      </c>
      <c r="N20" s="1">
        <v>5.4</v>
      </c>
      <c r="O20" s="1">
        <v>5.8</v>
      </c>
      <c r="P20" s="1">
        <v>6.2</v>
      </c>
      <c r="Q20" s="1">
        <v>6.6</v>
      </c>
      <c r="R20" s="1">
        <v>7</v>
      </c>
      <c r="S20" s="1">
        <v>8</v>
      </c>
      <c r="T20" s="1">
        <v>9.5</v>
      </c>
      <c r="U20" s="1">
        <v>11</v>
      </c>
      <c r="V20" s="1">
        <v>11.125</v>
      </c>
      <c r="W20" s="1">
        <v>10.25</v>
      </c>
      <c r="X20" s="1">
        <v>10.375</v>
      </c>
      <c r="Y20" s="1">
        <v>9.5</v>
      </c>
      <c r="Z20" s="1">
        <v>9.625</v>
      </c>
      <c r="AA20" s="1">
        <v>6.75</v>
      </c>
      <c r="AB20" s="1">
        <v>6.4749999999999996</v>
      </c>
      <c r="AC20" s="1">
        <v>6.2</v>
      </c>
      <c r="AD20" s="1">
        <v>6.3</v>
      </c>
      <c r="AE20" s="1">
        <v>6.4</v>
      </c>
      <c r="AF20" s="1">
        <v>6.25</v>
      </c>
      <c r="AG20" s="1">
        <v>5.5</v>
      </c>
      <c r="AH20" s="1">
        <v>4.25</v>
      </c>
      <c r="AI20" s="1">
        <v>3</v>
      </c>
      <c r="AJ20" s="1">
        <v>3.125</v>
      </c>
      <c r="AK20" s="1">
        <v>3.25</v>
      </c>
      <c r="AL20" s="1">
        <v>3.375</v>
      </c>
      <c r="AM20" s="1">
        <v>3.5</v>
      </c>
      <c r="AN20" s="1">
        <v>15.375</v>
      </c>
      <c r="AO20" s="1">
        <v>27.25</v>
      </c>
      <c r="AP20" s="1">
        <v>39.125</v>
      </c>
      <c r="AQ20" s="1">
        <v>42</v>
      </c>
      <c r="AR20" s="1">
        <v>44.5</v>
      </c>
      <c r="AS20" s="1">
        <v>45</v>
      </c>
      <c r="AT20" s="1">
        <v>46.75</v>
      </c>
      <c r="AU20" s="1">
        <v>54.5</v>
      </c>
      <c r="AV20" s="1">
        <v>60.25</v>
      </c>
      <c r="AW20" s="1">
        <v>84</v>
      </c>
      <c r="AX20" s="1">
        <v>103.75</v>
      </c>
      <c r="AY20" s="1">
        <v>134.5</v>
      </c>
      <c r="AZ20" s="1">
        <v>202.25</v>
      </c>
      <c r="BA20" s="1">
        <v>247</v>
      </c>
      <c r="BB20" s="1">
        <v>375</v>
      </c>
      <c r="BC20" s="1">
        <v>479</v>
      </c>
      <c r="BD20" s="1">
        <v>532</v>
      </c>
      <c r="BE20" s="1">
        <v>905</v>
      </c>
      <c r="BF20" s="1">
        <v>1224</v>
      </c>
      <c r="BG20" s="1">
        <v>1605</v>
      </c>
      <c r="BH20" s="1">
        <v>2119</v>
      </c>
      <c r="BI20" s="1">
        <v>2659</v>
      </c>
      <c r="BJ20" s="1">
        <v>3425</v>
      </c>
      <c r="BK20" s="1">
        <v>4534</v>
      </c>
      <c r="BL20" s="1">
        <v>6303</v>
      </c>
      <c r="BM20" s="1">
        <v>7634</v>
      </c>
      <c r="BN20" s="1">
        <v>13530</v>
      </c>
      <c r="BO20" s="1">
        <v>19011</v>
      </c>
      <c r="BP20" s="1">
        <v>25198</v>
      </c>
      <c r="BQ20" s="1">
        <v>32758</v>
      </c>
      <c r="BR20" s="1">
        <v>43260</v>
      </c>
      <c r="BS20" s="1">
        <v>52777</v>
      </c>
      <c r="BT20" s="1">
        <v>64497</v>
      </c>
      <c r="BU20" s="1">
        <v>82173</v>
      </c>
      <c r="BV20" s="1">
        <v>99478</v>
      </c>
      <c r="BW20" s="1">
        <v>118738</v>
      </c>
      <c r="BX20" s="1">
        <v>137410</v>
      </c>
      <c r="BY20" s="1">
        <v>157199</v>
      </c>
      <c r="BZ20" s="1">
        <v>181751</v>
      </c>
      <c r="CA20" s="1">
        <v>205589</v>
      </c>
      <c r="CB20" s="1">
        <v>230015</v>
      </c>
      <c r="CC20" s="1">
        <v>256313</v>
      </c>
      <c r="CD20" s="1">
        <v>283253</v>
      </c>
      <c r="CE20" s="1">
        <v>303796</v>
      </c>
      <c r="CF20" s="1">
        <v>322824</v>
      </c>
      <c r="CG20" s="1">
        <v>342487</v>
      </c>
      <c r="CH20" s="1">
        <v>363274</v>
      </c>
      <c r="CI20" s="1">
        <v>377601</v>
      </c>
      <c r="CJ20" s="1">
        <v>394878</v>
      </c>
      <c r="CK20" s="1">
        <v>404931</v>
      </c>
      <c r="CL20" s="1">
        <v>414404</v>
      </c>
      <c r="CM20" s="1">
        <v>418788</v>
      </c>
      <c r="CN20" s="1">
        <v>419498</v>
      </c>
      <c r="CO20" s="1">
        <v>422978</v>
      </c>
      <c r="CP20" s="1">
        <v>424039</v>
      </c>
      <c r="CQ20" s="1">
        <v>424120</v>
      </c>
    </row>
    <row r="21" spans="1:95" x14ac:dyDescent="0.25">
      <c r="A21" t="s">
        <v>247</v>
      </c>
      <c r="B21" s="1">
        <v>67886011</v>
      </c>
      <c r="C21" s="1">
        <v>241930</v>
      </c>
      <c r="D21" s="1">
        <v>70524</v>
      </c>
      <c r="E21" s="2">
        <v>103.8859095727</v>
      </c>
      <c r="F21" s="3">
        <v>0.64884260110000003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3</v>
      </c>
      <c r="Z21" s="1">
        <v>3</v>
      </c>
      <c r="AA21" s="1">
        <v>3</v>
      </c>
      <c r="AB21" s="1">
        <v>8</v>
      </c>
      <c r="AC21" s="1">
        <v>8.5</v>
      </c>
      <c r="AD21" s="1">
        <v>9</v>
      </c>
      <c r="AE21" s="1">
        <v>9.3333333333000006</v>
      </c>
      <c r="AF21" s="1">
        <v>7.6666666667000003</v>
      </c>
      <c r="AG21" s="1">
        <v>8</v>
      </c>
      <c r="AH21" s="1">
        <v>8.3333333333000006</v>
      </c>
      <c r="AI21" s="1">
        <v>8.6666666666999994</v>
      </c>
      <c r="AJ21" s="1">
        <v>9</v>
      </c>
      <c r="AK21" s="1">
        <v>9.3333333333000006</v>
      </c>
      <c r="AL21" s="1">
        <v>9.6666666666999994</v>
      </c>
      <c r="AM21" s="1">
        <v>9</v>
      </c>
      <c r="AN21" s="1">
        <v>9.3333333333000006</v>
      </c>
      <c r="AO21" s="1">
        <v>9.6666666666999994</v>
      </c>
      <c r="AP21" s="1">
        <v>5</v>
      </c>
      <c r="AQ21" s="1">
        <v>5.1666666667000003</v>
      </c>
      <c r="AR21" s="1">
        <v>5.3333333332999997</v>
      </c>
      <c r="AS21" s="1">
        <v>5.6666666667000003</v>
      </c>
      <c r="AT21" s="1">
        <v>10.333333333300001</v>
      </c>
      <c r="AU21" s="1">
        <v>13</v>
      </c>
      <c r="AV21" s="1">
        <v>25.666666666699999</v>
      </c>
      <c r="AW21" s="1">
        <v>29.333333333300001</v>
      </c>
      <c r="AX21" s="1">
        <v>40</v>
      </c>
      <c r="AY21" s="1">
        <v>73.666666666699996</v>
      </c>
      <c r="AZ21" s="1">
        <v>103.3333333333</v>
      </c>
      <c r="BA21" s="1">
        <v>151</v>
      </c>
      <c r="BB21" s="1">
        <v>193.6666666667</v>
      </c>
      <c r="BC21" s="1">
        <v>260.3333333333</v>
      </c>
      <c r="BD21" s="1">
        <v>308</v>
      </c>
      <c r="BE21" s="1">
        <v>368.3333333333</v>
      </c>
      <c r="BF21" s="1">
        <v>441.6666666667</v>
      </c>
      <c r="BG21" s="1">
        <v>612</v>
      </c>
      <c r="BH21" s="1">
        <v>778</v>
      </c>
      <c r="BI21" s="1">
        <v>1117</v>
      </c>
      <c r="BJ21" s="1">
        <v>1305.5</v>
      </c>
      <c r="BK21" s="1">
        <v>1488</v>
      </c>
      <c r="BL21" s="1">
        <v>1895</v>
      </c>
      <c r="BM21" s="1">
        <v>2541</v>
      </c>
      <c r="BN21" s="1">
        <v>2552</v>
      </c>
      <c r="BO21" s="1">
        <v>3806</v>
      </c>
      <c r="BP21" s="1">
        <v>4785</v>
      </c>
      <c r="BQ21" s="1">
        <v>5402</v>
      </c>
      <c r="BR21" s="1">
        <v>6315</v>
      </c>
      <c r="BS21" s="1">
        <v>7655</v>
      </c>
      <c r="BT21" s="1">
        <v>9064</v>
      </c>
      <c r="BU21" s="1">
        <v>11031</v>
      </c>
      <c r="BV21" s="1">
        <v>13745</v>
      </c>
      <c r="BW21" s="1">
        <v>15949</v>
      </c>
      <c r="BX21" s="1">
        <v>18180.5</v>
      </c>
      <c r="BY21" s="1">
        <v>20598</v>
      </c>
      <c r="BZ21" s="1">
        <v>23200</v>
      </c>
      <c r="CA21" s="1">
        <v>26848</v>
      </c>
      <c r="CB21" s="1">
        <v>30797</v>
      </c>
      <c r="CC21" s="1">
        <v>34185</v>
      </c>
      <c r="CD21" s="1">
        <v>36885</v>
      </c>
      <c r="CE21" s="1">
        <v>42123</v>
      </c>
      <c r="CF21" s="1">
        <v>44958</v>
      </c>
      <c r="CG21" s="1">
        <v>47165</v>
      </c>
      <c r="CH21" s="1">
        <v>51204</v>
      </c>
      <c r="CI21" s="1">
        <v>53419</v>
      </c>
      <c r="CJ21" s="1">
        <v>59215</v>
      </c>
      <c r="CK21" s="1">
        <v>61902</v>
      </c>
      <c r="CL21" s="1">
        <v>64757</v>
      </c>
      <c r="CM21" s="1">
        <v>66480</v>
      </c>
      <c r="CN21" s="1">
        <v>68723</v>
      </c>
      <c r="CO21" s="1">
        <v>69002</v>
      </c>
      <c r="CP21" s="1">
        <v>69375</v>
      </c>
      <c r="CQ21" s="1">
        <v>70524</v>
      </c>
    </row>
  </sheetData>
  <autoFilter ref="A1:CQ21" xr:uid="{06144069-0026-4E42-8178-384E06959926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411BC-A160-46AD-8D96-23EC930760FC}">
  <dimension ref="A1:CQ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5" width="11.42578125" style="3"/>
  </cols>
  <sheetData>
    <row r="1" spans="1:95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</row>
    <row r="2" spans="1:95" x14ac:dyDescent="0.25">
      <c r="A2" t="s">
        <v>265</v>
      </c>
      <c r="B2" s="1">
        <v>9006398</v>
      </c>
      <c r="C2" s="1">
        <v>82409</v>
      </c>
      <c r="D2" s="3">
        <v>0.38484218790000002</v>
      </c>
      <c r="E2" s="3">
        <v>4.2443819899999999E-2</v>
      </c>
      <c r="F2" s="3">
        <v>4.5263100000000001E-2</v>
      </c>
      <c r="G2" s="3">
        <v>8.2205028999999992E-3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0.34800202549999998</v>
      </c>
      <c r="BC2" s="3">
        <v>0.3677823999</v>
      </c>
      <c r="BD2" s="3">
        <v>0.36292533300000002</v>
      </c>
      <c r="BE2" s="3">
        <v>0.3553755395</v>
      </c>
      <c r="BF2" s="3">
        <v>0.33964445710000002</v>
      </c>
      <c r="BG2" s="3">
        <v>0.32663049030000002</v>
      </c>
      <c r="BH2" s="3">
        <v>0.35503143190000003</v>
      </c>
      <c r="BI2" s="3">
        <v>0.37326249649999999</v>
      </c>
      <c r="BJ2" s="3">
        <v>0.38484218790000002</v>
      </c>
      <c r="BK2" s="3">
        <v>0.37139541199999998</v>
      </c>
      <c r="BL2" s="3">
        <v>0.32682041610000001</v>
      </c>
      <c r="BM2" s="3">
        <v>0.2911378342</v>
      </c>
      <c r="BN2" s="3">
        <v>0.25917858980000003</v>
      </c>
      <c r="BO2" s="3">
        <v>0.24874351710000001</v>
      </c>
      <c r="BP2" s="3">
        <v>0.23090932619999999</v>
      </c>
      <c r="BQ2" s="3">
        <v>0.2241415873</v>
      </c>
      <c r="BR2" s="3">
        <v>0.22129557050000001</v>
      </c>
      <c r="BS2" s="3">
        <v>0.2265001951</v>
      </c>
      <c r="BT2" s="3">
        <v>0.2171877492</v>
      </c>
      <c r="BU2" s="3">
        <v>0.20159038930000001</v>
      </c>
      <c r="BV2" s="3">
        <v>0.1786577164</v>
      </c>
      <c r="BW2" s="3">
        <v>0.1562497803</v>
      </c>
      <c r="BX2" s="3">
        <v>0.14028443560000001</v>
      </c>
      <c r="BY2" s="3">
        <v>0.11939128659999999</v>
      </c>
      <c r="BZ2" s="3">
        <v>0.1050557433</v>
      </c>
      <c r="CA2" s="3">
        <v>8.8731697499999998E-2</v>
      </c>
      <c r="CB2" s="3">
        <v>8.1634116399999998E-2</v>
      </c>
      <c r="CC2" s="3">
        <v>7.2544618599999999E-2</v>
      </c>
      <c r="CD2" s="3">
        <v>6.2579005199999996E-2</v>
      </c>
      <c r="CE2" s="3">
        <v>5.3431095599999999E-2</v>
      </c>
      <c r="CF2" s="3">
        <v>4.8169309799999997E-2</v>
      </c>
      <c r="CG2" s="3">
        <v>4.4857165599999999E-2</v>
      </c>
      <c r="CH2" s="3">
        <v>4.2443819899999999E-2</v>
      </c>
      <c r="CI2" s="3">
        <v>4.9495077300000002E-2</v>
      </c>
      <c r="CJ2" s="3">
        <v>5.5405639600000001E-2</v>
      </c>
      <c r="CK2" s="3">
        <v>5.8879357600000001E-2</v>
      </c>
      <c r="CL2" s="3">
        <v>5.9207681300000002E-2</v>
      </c>
      <c r="CM2" s="3">
        <v>5.8985065099999998E-2</v>
      </c>
      <c r="CN2" s="3">
        <v>5.3425086900000002E-2</v>
      </c>
      <c r="CO2" s="3">
        <v>4.7776471199999997E-2</v>
      </c>
      <c r="CP2" s="3">
        <v>4.4642590900000001E-2</v>
      </c>
      <c r="CQ2" s="3">
        <v>4.5263100000000001E-2</v>
      </c>
    </row>
    <row r="3" spans="1:95" x14ac:dyDescent="0.25">
      <c r="A3" t="s">
        <v>264</v>
      </c>
      <c r="B3" s="1">
        <v>11589623</v>
      </c>
      <c r="C3" s="1">
        <v>30280</v>
      </c>
      <c r="D3" s="3">
        <v>0.63326407330000001</v>
      </c>
      <c r="E3" s="3">
        <v>7.5514227700000006E-2</v>
      </c>
      <c r="F3" s="3">
        <v>8.0599253900000001E-2</v>
      </c>
      <c r="G3" s="3">
        <v>3.8179781099999997E-2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0.63326407330000001</v>
      </c>
      <c r="BE3" s="3">
        <v>0.40492256170000002</v>
      </c>
      <c r="BF3" s="3">
        <v>0.25991671039999997</v>
      </c>
      <c r="BG3" s="3">
        <v>0.2093265694</v>
      </c>
      <c r="BH3" s="3">
        <v>0.2125768572</v>
      </c>
      <c r="BI3" s="3">
        <v>0.24426194779999999</v>
      </c>
      <c r="BJ3" s="3">
        <v>0.27134616789999999</v>
      </c>
      <c r="BK3" s="3">
        <v>0.27036513579999999</v>
      </c>
      <c r="BL3" s="3">
        <v>0.25165118510000001</v>
      </c>
      <c r="BM3" s="3">
        <v>0.22802161060000001</v>
      </c>
      <c r="BN3" s="3">
        <v>0.2125732843</v>
      </c>
      <c r="BO3" s="3">
        <v>0.21464047989999999</v>
      </c>
      <c r="BP3" s="3">
        <v>0.2250762516</v>
      </c>
      <c r="BQ3" s="3">
        <v>0.23696012899999999</v>
      </c>
      <c r="BR3" s="3">
        <v>0.23294717370000001</v>
      </c>
      <c r="BS3" s="3">
        <v>0.2113714458</v>
      </c>
      <c r="BT3" s="3">
        <v>0.18350864380000001</v>
      </c>
      <c r="BU3" s="3">
        <v>0.17406106360000001</v>
      </c>
      <c r="BV3" s="3">
        <v>0.1806184254</v>
      </c>
      <c r="BW3" s="3">
        <v>0.2021998388</v>
      </c>
      <c r="BX3" s="3">
        <v>0.22268468199999999</v>
      </c>
      <c r="BY3" s="3">
        <v>0.2179787752</v>
      </c>
      <c r="BZ3" s="3">
        <v>0.19690962410000001</v>
      </c>
      <c r="CA3" s="3">
        <v>0.15981187399999999</v>
      </c>
      <c r="CB3" s="3">
        <v>0.12995349849999999</v>
      </c>
      <c r="CC3" s="3">
        <v>0.111600878</v>
      </c>
      <c r="CD3" s="3">
        <v>0.1089340188</v>
      </c>
      <c r="CE3" s="3">
        <v>0.11090664359999999</v>
      </c>
      <c r="CF3" s="3">
        <v>0.1070789364</v>
      </c>
      <c r="CG3" s="3">
        <v>9.9079101700000005E-2</v>
      </c>
      <c r="CH3" s="3">
        <v>8.9489795100000005E-2</v>
      </c>
      <c r="CI3" s="3">
        <v>8.6432491400000006E-2</v>
      </c>
      <c r="CJ3" s="3">
        <v>8.57108018E-2</v>
      </c>
      <c r="CK3" s="3">
        <v>9.1558203199999993E-2</v>
      </c>
      <c r="CL3" s="3">
        <v>9.6996537199999996E-2</v>
      </c>
      <c r="CM3" s="3">
        <v>9.4038905899999997E-2</v>
      </c>
      <c r="CN3" s="3">
        <v>8.5443223400000004E-2</v>
      </c>
      <c r="CO3" s="3">
        <v>7.83408139E-2</v>
      </c>
      <c r="CP3" s="3">
        <v>7.5514227700000006E-2</v>
      </c>
      <c r="CQ3" s="3">
        <v>8.0599253900000001E-2</v>
      </c>
    </row>
    <row r="4" spans="1:95" x14ac:dyDescent="0.25">
      <c r="A4" t="s">
        <v>263</v>
      </c>
      <c r="B4" s="1">
        <v>37742154</v>
      </c>
      <c r="C4" s="1">
        <v>9093510</v>
      </c>
      <c r="D4" s="3">
        <v>0.33737004520000002</v>
      </c>
      <c r="E4" s="3">
        <v>7.8919746700000001E-2</v>
      </c>
      <c r="F4" s="3">
        <v>9.3386234100000007E-2</v>
      </c>
      <c r="G4" s="3">
        <v>6.5105857899999994E-2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0.22569848470000001</v>
      </c>
      <c r="AW4" s="3">
        <v>0.262974659</v>
      </c>
      <c r="AX4" s="3">
        <v>0.27652480080000003</v>
      </c>
      <c r="AY4" s="3">
        <v>0.23753121569999999</v>
      </c>
      <c r="AZ4" s="3">
        <v>0.19107741759999999</v>
      </c>
      <c r="BA4" s="3">
        <v>0.16882497439999999</v>
      </c>
      <c r="BB4" s="3">
        <v>0.17722905920000001</v>
      </c>
      <c r="BC4" s="3">
        <v>0.19686243680000001</v>
      </c>
      <c r="BD4" s="3">
        <v>0.20882383509999999</v>
      </c>
      <c r="BE4" s="3">
        <v>0.19291650860000001</v>
      </c>
      <c r="BF4" s="3">
        <v>0.19332198680000001</v>
      </c>
      <c r="BG4" s="3">
        <v>0.18174786909999999</v>
      </c>
      <c r="BH4" s="3">
        <v>0.22504565169999999</v>
      </c>
      <c r="BI4" s="3">
        <v>0.25644187219999998</v>
      </c>
      <c r="BJ4" s="3">
        <v>0.27249156479999997</v>
      </c>
      <c r="BK4" s="3">
        <v>0.31726319079999998</v>
      </c>
      <c r="BL4" s="3">
        <v>0.30405581720000002</v>
      </c>
      <c r="BM4" s="3">
        <v>0.33737004520000002</v>
      </c>
      <c r="BN4" s="3">
        <v>0.33122289519999998</v>
      </c>
      <c r="BO4" s="3">
        <v>0.3051052622</v>
      </c>
      <c r="BP4" s="3">
        <v>0.28689419220000001</v>
      </c>
      <c r="BQ4" s="3">
        <v>0.25428204920000003</v>
      </c>
      <c r="BR4" s="3">
        <v>0.26909543670000002</v>
      </c>
      <c r="BS4" s="3">
        <v>0.28512096990000002</v>
      </c>
      <c r="BT4" s="3">
        <v>0.2921732279</v>
      </c>
      <c r="BU4" s="3">
        <v>0.29603104219999998</v>
      </c>
      <c r="BV4" s="3">
        <v>0.26679855660000001</v>
      </c>
      <c r="BW4" s="3">
        <v>0.2344702508</v>
      </c>
      <c r="BX4" s="3">
        <v>0.20312889789999999</v>
      </c>
      <c r="BY4" s="3">
        <v>0.18650056470000001</v>
      </c>
      <c r="BZ4" s="3">
        <v>0.17714522290000001</v>
      </c>
      <c r="CA4" s="3">
        <v>0.1671012201</v>
      </c>
      <c r="CB4" s="3">
        <v>0.16638159050000001</v>
      </c>
      <c r="CC4" s="3">
        <v>0.15878781180000001</v>
      </c>
      <c r="CD4" s="3">
        <v>0.1485517039</v>
      </c>
      <c r="CE4" s="3">
        <v>0.14056093289999999</v>
      </c>
      <c r="CF4" s="3">
        <v>0.1309381372</v>
      </c>
      <c r="CG4" s="3">
        <v>0.12821960969999999</v>
      </c>
      <c r="CH4" s="3">
        <v>0.1195324077</v>
      </c>
      <c r="CI4" s="3">
        <v>0.10929498579999999</v>
      </c>
      <c r="CJ4" s="3">
        <v>0.10283935399999999</v>
      </c>
      <c r="CK4" s="3">
        <v>9.3290449299999995E-2</v>
      </c>
      <c r="CL4" s="3">
        <v>9.1558012800000005E-2</v>
      </c>
      <c r="CM4" s="3">
        <v>8.6797332500000005E-2</v>
      </c>
      <c r="CN4" s="3">
        <v>8.2293705800000005E-2</v>
      </c>
      <c r="CO4" s="3">
        <v>7.8919746700000001E-2</v>
      </c>
      <c r="CP4" s="3">
        <v>8.5534884000000005E-2</v>
      </c>
      <c r="CQ4" s="3">
        <v>9.3386234100000007E-2</v>
      </c>
    </row>
    <row r="5" spans="1:95" x14ac:dyDescent="0.25">
      <c r="A5" t="s">
        <v>262</v>
      </c>
      <c r="B5" s="1">
        <v>1439323776</v>
      </c>
      <c r="C5" s="1">
        <v>9388211</v>
      </c>
      <c r="D5" s="3">
        <v>0.50399289380000001</v>
      </c>
      <c r="E5" s="3">
        <v>1.40907558E-2</v>
      </c>
      <c r="F5" s="3">
        <v>7.7721172199999994E-2</v>
      </c>
      <c r="G5" s="3">
        <v>4.2804215999999997E-3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0.50399289380000001</v>
      </c>
      <c r="P5" s="3">
        <v>0.49674528220000003</v>
      </c>
      <c r="Q5" s="3">
        <v>0.46499991950000003</v>
      </c>
      <c r="R5" s="3">
        <v>0.40306540790000001</v>
      </c>
      <c r="S5" s="3">
        <v>0.30619406430000001</v>
      </c>
      <c r="T5" s="3">
        <v>0.28174760640000002</v>
      </c>
      <c r="U5" s="3">
        <v>0.25584541890000001</v>
      </c>
      <c r="V5" s="3">
        <v>0.26276037099999999</v>
      </c>
      <c r="W5" s="3">
        <v>0.24650123979999999</v>
      </c>
      <c r="X5" s="3">
        <v>0.21294639260000001</v>
      </c>
      <c r="Y5" s="3">
        <v>0.18047824800000001</v>
      </c>
      <c r="Z5" s="3">
        <v>0.14580415999999999</v>
      </c>
      <c r="AA5" s="3">
        <v>0.1245999832</v>
      </c>
      <c r="AB5" s="3">
        <v>0.1056330266</v>
      </c>
      <c r="AC5" s="3">
        <v>9.4319771400000002E-2</v>
      </c>
      <c r="AD5" s="3">
        <v>7.7369321300000002E-2</v>
      </c>
      <c r="AE5" s="3">
        <v>8.9172893599999997E-2</v>
      </c>
      <c r="AF5" s="3">
        <v>0.1113422271</v>
      </c>
      <c r="AG5" s="3">
        <v>0.13753455919999999</v>
      </c>
      <c r="AH5" s="3">
        <v>0.15413679490000001</v>
      </c>
      <c r="AI5" s="3">
        <v>0.1253963716</v>
      </c>
      <c r="AJ5" s="3">
        <v>9.0430796499999994E-2</v>
      </c>
      <c r="AK5" s="3">
        <v>5.1459269299999999E-2</v>
      </c>
      <c r="AL5" s="3">
        <v>3.7034708200000002E-2</v>
      </c>
      <c r="AM5" s="3">
        <v>2.92332802E-2</v>
      </c>
      <c r="AN5" s="3">
        <v>2.2688998500000002E-2</v>
      </c>
      <c r="AO5" s="3">
        <v>1.91736487E-2</v>
      </c>
      <c r="AP5" s="3">
        <v>1.79669553E-2</v>
      </c>
      <c r="AQ5" s="3">
        <v>1.73176874E-2</v>
      </c>
      <c r="AR5" s="3">
        <v>1.40907558E-2</v>
      </c>
      <c r="AS5" s="3">
        <v>2.2456707499999999E-2</v>
      </c>
      <c r="AT5" s="3">
        <v>2.9856247799999999E-2</v>
      </c>
      <c r="AU5" s="3">
        <v>3.7734329099999998E-2</v>
      </c>
      <c r="AV5" s="3">
        <v>4.56268201E-2</v>
      </c>
      <c r="AW5" s="3">
        <v>5.3970574299999997E-2</v>
      </c>
      <c r="AX5" s="3">
        <v>6.4745913200000005E-2</v>
      </c>
      <c r="AY5" s="3">
        <v>5.7006539699999997E-2</v>
      </c>
      <c r="AZ5" s="3">
        <v>4.5731621200000003E-2</v>
      </c>
      <c r="BA5" s="3">
        <v>3.5759467400000002E-2</v>
      </c>
      <c r="BB5" s="3">
        <v>3.7087417400000003E-2</v>
      </c>
      <c r="BC5" s="3">
        <v>3.30392729E-2</v>
      </c>
      <c r="BD5" s="3">
        <v>2.9332100199999999E-2</v>
      </c>
      <c r="BE5" s="3">
        <v>2.5527361500000002E-2</v>
      </c>
      <c r="BF5" s="3">
        <v>2.0339538899999999E-2</v>
      </c>
      <c r="BG5" s="3">
        <v>1.6353775099999999E-2</v>
      </c>
      <c r="BH5" s="3">
        <v>1.42686892E-2</v>
      </c>
      <c r="BI5" s="3">
        <v>1.4615354400000001E-2</v>
      </c>
      <c r="BJ5" s="3">
        <v>2.0017036299999999E-2</v>
      </c>
      <c r="BK5" s="3">
        <v>2.53891204E-2</v>
      </c>
      <c r="BL5" s="3">
        <v>3.09831645E-2</v>
      </c>
      <c r="BM5" s="3">
        <v>3.9508069100000001E-2</v>
      </c>
      <c r="BN5" s="3">
        <v>5.2724509699999998E-2</v>
      </c>
      <c r="BO5" s="3">
        <v>7.3827740000000003E-2</v>
      </c>
      <c r="BP5" s="3">
        <v>9.6338856799999997E-2</v>
      </c>
      <c r="BQ5" s="3">
        <v>0.1088864591</v>
      </c>
      <c r="BR5" s="3">
        <v>0.12083989489999999</v>
      </c>
      <c r="BS5" s="3">
        <v>0.1207012286</v>
      </c>
      <c r="BT5" s="3">
        <v>0.11742761309999999</v>
      </c>
      <c r="BU5" s="3">
        <v>0.1027570433</v>
      </c>
      <c r="BV5" s="3">
        <v>9.6873698800000005E-2</v>
      </c>
      <c r="BW5" s="3">
        <v>9.4496305500000002E-2</v>
      </c>
      <c r="BX5" s="3">
        <v>9.4868919600000004E-2</v>
      </c>
      <c r="BY5" s="3">
        <v>9.2320856600000001E-2</v>
      </c>
      <c r="BZ5" s="3">
        <v>8.6285272999999996E-2</v>
      </c>
      <c r="CA5" s="3">
        <v>7.7083262599999994E-2</v>
      </c>
      <c r="CB5" s="3">
        <v>6.9081594900000001E-2</v>
      </c>
      <c r="CC5" s="3">
        <v>6.5316793799999995E-2</v>
      </c>
      <c r="CD5" s="3">
        <v>5.98751987E-2</v>
      </c>
      <c r="CE5" s="3">
        <v>5.85682155E-2</v>
      </c>
      <c r="CF5" s="3">
        <v>5.2836953300000003E-2</v>
      </c>
      <c r="CG5" s="3">
        <v>5.0475903500000002E-2</v>
      </c>
      <c r="CH5" s="3">
        <v>5.1388466600000002E-2</v>
      </c>
      <c r="CI5" s="3">
        <v>5.7232856999999998E-2</v>
      </c>
      <c r="CJ5" s="3">
        <v>6.5879400699999993E-2</v>
      </c>
      <c r="CK5" s="3">
        <v>7.0240803500000004E-2</v>
      </c>
      <c r="CL5" s="3">
        <v>7.4123358799999997E-2</v>
      </c>
      <c r="CM5" s="3">
        <v>7.8352713099999999E-2</v>
      </c>
      <c r="CN5" s="3">
        <v>8.3065410300000003E-2</v>
      </c>
      <c r="CO5" s="3">
        <v>8.7144157400000005E-2</v>
      </c>
      <c r="CP5" s="3">
        <v>8.4015724299999997E-2</v>
      </c>
      <c r="CQ5" s="3">
        <v>7.7721172199999994E-2</v>
      </c>
    </row>
    <row r="6" spans="1:95" x14ac:dyDescent="0.25">
      <c r="A6" t="s">
        <v>261</v>
      </c>
      <c r="B6" s="1">
        <v>5540720</v>
      </c>
      <c r="C6" s="1">
        <v>303890</v>
      </c>
      <c r="D6" s="3">
        <v>0.51965907820000001</v>
      </c>
      <c r="E6" s="3">
        <v>5.6218698800000001E-2</v>
      </c>
      <c r="F6" s="3">
        <v>5.7260869399999997E-2</v>
      </c>
      <c r="G6" s="3">
        <v>3.5618878E-2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0.26144716179999999</v>
      </c>
      <c r="BF6" s="3">
        <v>0.30438886380000002</v>
      </c>
      <c r="BG6" s="3">
        <v>0.38600493850000001</v>
      </c>
      <c r="BH6" s="3">
        <v>0.45901484660000003</v>
      </c>
      <c r="BI6" s="3">
        <v>0.51965907820000001</v>
      </c>
      <c r="BJ6" s="3">
        <v>0.49520296790000001</v>
      </c>
      <c r="BK6" s="3">
        <v>0.39004880829999999</v>
      </c>
      <c r="BL6" s="3">
        <v>0.28049314520000002</v>
      </c>
      <c r="BM6" s="3">
        <v>0.18250831379999999</v>
      </c>
      <c r="BN6" s="3">
        <v>0.14519007940000001</v>
      </c>
      <c r="BO6" s="3">
        <v>0.12712558330000001</v>
      </c>
      <c r="BP6" s="3">
        <v>0.13493094759999999</v>
      </c>
      <c r="BQ6" s="3">
        <v>0.14935409769999999</v>
      </c>
      <c r="BR6" s="3">
        <v>0.15676522230000001</v>
      </c>
      <c r="BS6" s="3">
        <v>0.16430483200000001</v>
      </c>
      <c r="BT6" s="3">
        <v>0.1569911672</v>
      </c>
      <c r="BU6" s="3">
        <v>0.1491263779</v>
      </c>
      <c r="BV6" s="3">
        <v>0.1375379501</v>
      </c>
      <c r="BW6" s="3">
        <v>0.13097497860000001</v>
      </c>
      <c r="BX6" s="3">
        <v>0.1220420361</v>
      </c>
      <c r="BY6" s="3">
        <v>0.11746702739999999</v>
      </c>
      <c r="BZ6" s="3">
        <v>0.11163651469999999</v>
      </c>
      <c r="CA6" s="3">
        <v>9.6700092700000004E-2</v>
      </c>
      <c r="CB6" s="3">
        <v>8.3856332199999994E-2</v>
      </c>
      <c r="CC6" s="3">
        <v>7.0102083100000004E-2</v>
      </c>
      <c r="CD6" s="3">
        <v>7.9632669399999995E-2</v>
      </c>
      <c r="CE6" s="3">
        <v>9.6294690700000005E-2</v>
      </c>
      <c r="CF6" s="3">
        <v>0.1194962891</v>
      </c>
      <c r="CG6" s="3">
        <v>0.13362996269999999</v>
      </c>
      <c r="CH6" s="3">
        <v>0.13280842879999999</v>
      </c>
      <c r="CI6" s="3">
        <v>0.12773022340000001</v>
      </c>
      <c r="CJ6" s="3">
        <v>0.11303747109999999</v>
      </c>
      <c r="CK6" s="3">
        <v>0.1103403407</v>
      </c>
      <c r="CL6" s="3">
        <v>9.4967304200000005E-2</v>
      </c>
      <c r="CM6" s="3">
        <v>8.6777390800000007E-2</v>
      </c>
      <c r="CN6" s="3">
        <v>7.2682162800000005E-2</v>
      </c>
      <c r="CO6" s="3">
        <v>6.1367652000000002E-2</v>
      </c>
      <c r="CP6" s="3">
        <v>5.6218698800000001E-2</v>
      </c>
      <c r="CQ6" s="3">
        <v>5.7260869399999997E-2</v>
      </c>
    </row>
    <row r="7" spans="1:95" x14ac:dyDescent="0.25">
      <c r="A7" t="s">
        <v>260</v>
      </c>
      <c r="B7" s="1">
        <v>65273511</v>
      </c>
      <c r="C7" s="1">
        <v>547557</v>
      </c>
      <c r="D7" s="3">
        <v>0.64246650500000002</v>
      </c>
      <c r="E7" s="3">
        <v>2.4097625300000002E-2</v>
      </c>
      <c r="F7" s="3">
        <v>0.10590794150000001</v>
      </c>
      <c r="G7" s="3">
        <v>1.3764044899999999E-2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3.1527758000000003E-2</v>
      </c>
      <c r="AF7" s="3">
        <v>2.4097625300000002E-2</v>
      </c>
      <c r="AG7" s="3">
        <v>2.4849485000000001E-2</v>
      </c>
      <c r="AH7" s="3">
        <v>2.81857605E-2</v>
      </c>
      <c r="AI7" s="3">
        <v>3.3203652600000001E-2</v>
      </c>
      <c r="AJ7" s="3">
        <v>4.0491305800000002E-2</v>
      </c>
      <c r="AK7" s="3">
        <v>4.9694132199999998E-2</v>
      </c>
      <c r="AL7" s="3">
        <v>6.0145752300000001E-2</v>
      </c>
      <c r="AM7" s="3">
        <v>7.2493608099999995E-2</v>
      </c>
      <c r="AN7" s="3">
        <v>8.7953568800000007E-2</v>
      </c>
      <c r="AO7" s="3">
        <v>8.5837749699999993E-2</v>
      </c>
      <c r="AP7" s="3">
        <v>8.3820217399999994E-2</v>
      </c>
      <c r="AQ7" s="3">
        <v>8.1894326099999998E-2</v>
      </c>
      <c r="AR7" s="3">
        <v>0.1036923765</v>
      </c>
      <c r="AS7" s="3">
        <v>0.21501197620000001</v>
      </c>
      <c r="AT7" s="3">
        <v>0.36622661890000002</v>
      </c>
      <c r="AU7" s="3">
        <v>0.53771515879999998</v>
      </c>
      <c r="AV7" s="3">
        <v>0.64246650500000002</v>
      </c>
      <c r="AW7" s="3">
        <v>0.60531316550000003</v>
      </c>
      <c r="AX7" s="3">
        <v>0.49896787929999997</v>
      </c>
      <c r="AY7" s="3">
        <v>0.38376383689999999</v>
      </c>
      <c r="AZ7" s="3">
        <v>0.3293369907</v>
      </c>
      <c r="BA7" s="3">
        <v>0.33621236920000003</v>
      </c>
      <c r="BB7" s="3">
        <v>0.39902080179999999</v>
      </c>
      <c r="BC7" s="3">
        <v>0.4223794649</v>
      </c>
      <c r="BD7" s="3">
        <v>0.40178687010000003</v>
      </c>
      <c r="BE7" s="3">
        <v>0.33657775909999998</v>
      </c>
      <c r="BF7" s="3">
        <v>0.28365340480000001</v>
      </c>
      <c r="BG7" s="3">
        <v>0.27166256560000002</v>
      </c>
      <c r="BH7" s="3">
        <v>0.28978065380000001</v>
      </c>
      <c r="BI7" s="3">
        <v>0.28771365199999999</v>
      </c>
      <c r="BJ7" s="3">
        <v>0.25122139370000002</v>
      </c>
      <c r="BK7" s="3">
        <v>0.226802899</v>
      </c>
      <c r="BL7" s="3">
        <v>0.21048379859999999</v>
      </c>
      <c r="BM7" s="3">
        <v>0.21064526920000001</v>
      </c>
      <c r="BN7" s="3">
        <v>0.22323098120000001</v>
      </c>
      <c r="BO7" s="3">
        <v>0.2126361262</v>
      </c>
      <c r="BP7" s="3">
        <v>0.20434095699999999</v>
      </c>
      <c r="BQ7" s="3">
        <v>0.17704133180000001</v>
      </c>
      <c r="BR7" s="3">
        <v>0.171880116</v>
      </c>
      <c r="BS7" s="3">
        <v>0.1700666653</v>
      </c>
      <c r="BT7" s="3">
        <v>0.1712796154</v>
      </c>
      <c r="BU7" s="3">
        <v>0.17395266049999999</v>
      </c>
      <c r="BV7" s="3">
        <v>0.16736983629999999</v>
      </c>
      <c r="BW7" s="3">
        <v>0.16359273439999999</v>
      </c>
      <c r="BX7" s="3">
        <v>0.14879200749999999</v>
      </c>
      <c r="BY7" s="3">
        <v>0.14539362980000001</v>
      </c>
      <c r="BZ7" s="3">
        <v>0.13921548049999999</v>
      </c>
      <c r="CA7" s="3">
        <v>0.1357839961</v>
      </c>
      <c r="CB7" s="3">
        <v>0.1350990121</v>
      </c>
      <c r="CC7" s="3">
        <v>0.12699959669999999</v>
      </c>
      <c r="CD7" s="3">
        <v>0.1116447132</v>
      </c>
      <c r="CE7" s="3">
        <v>9.4004552599999999E-2</v>
      </c>
      <c r="CF7" s="3">
        <v>8.3709116200000003E-2</v>
      </c>
      <c r="CG7" s="3">
        <v>7.6152040899999995E-2</v>
      </c>
      <c r="CH7" s="3">
        <v>7.4101840299999999E-2</v>
      </c>
      <c r="CI7" s="3">
        <v>7.4354375200000003E-2</v>
      </c>
      <c r="CJ7" s="3">
        <v>7.7891437100000002E-2</v>
      </c>
      <c r="CK7" s="3">
        <v>8.2935242300000003E-2</v>
      </c>
      <c r="CL7" s="3">
        <v>0.10178581220000001</v>
      </c>
      <c r="CM7" s="3">
        <v>0.12880809930000001</v>
      </c>
      <c r="CN7" s="3">
        <v>0.16174401399999999</v>
      </c>
      <c r="CO7" s="3">
        <v>0.1641939771</v>
      </c>
      <c r="CP7" s="3">
        <v>0.12850739820000001</v>
      </c>
      <c r="CQ7" s="3">
        <v>0.10590794150000001</v>
      </c>
    </row>
    <row r="8" spans="1:95" x14ac:dyDescent="0.25">
      <c r="A8" t="s">
        <v>259</v>
      </c>
      <c r="B8" s="1">
        <v>83783942</v>
      </c>
      <c r="C8" s="1">
        <v>348560</v>
      </c>
      <c r="D8" s="3">
        <v>0.49544388719999999</v>
      </c>
      <c r="E8" s="3">
        <v>1.6378665000000001E-2</v>
      </c>
      <c r="F8" s="3">
        <v>5.5348495900000003E-2</v>
      </c>
      <c r="G8" s="3">
        <v>2.68631353E-2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3.4653119099999997E-2</v>
      </c>
      <c r="AA8" s="3">
        <v>2.4588365300000001E-2</v>
      </c>
      <c r="AB8" s="3">
        <v>3.4055880900000002E-2</v>
      </c>
      <c r="AC8" s="3">
        <v>5.5288550399999997E-2</v>
      </c>
      <c r="AD8" s="3">
        <v>6.3633986000000003E-2</v>
      </c>
      <c r="AE8" s="3">
        <v>6.2668965100000001E-2</v>
      </c>
      <c r="AF8" s="3">
        <v>4.7981168300000002E-2</v>
      </c>
      <c r="AG8" s="3">
        <v>3.8624799699999997E-2</v>
      </c>
      <c r="AH8" s="3">
        <v>2.4063154E-2</v>
      </c>
      <c r="AI8" s="3">
        <v>1.6378665000000001E-2</v>
      </c>
      <c r="AJ8" s="3">
        <v>1.7065698800000001E-2</v>
      </c>
      <c r="AK8" s="3">
        <v>1.78130097E-2</v>
      </c>
      <c r="AL8" s="3">
        <v>1.8628891700000001E-2</v>
      </c>
      <c r="AM8" s="3">
        <v>1.9523234699999999E-2</v>
      </c>
      <c r="AN8" s="3">
        <v>2.20683136E-2</v>
      </c>
      <c r="AO8" s="3">
        <v>2.5376929600000001E-2</v>
      </c>
      <c r="AP8" s="3">
        <v>3.7593055899999998E-2</v>
      </c>
      <c r="AQ8" s="3">
        <v>7.2496314699999995E-2</v>
      </c>
      <c r="AR8" s="3">
        <v>0.1233124793</v>
      </c>
      <c r="AS8" s="3">
        <v>0.24070345979999999</v>
      </c>
      <c r="AT8" s="3">
        <v>0.368033422</v>
      </c>
      <c r="AU8" s="3">
        <v>0.4516606567</v>
      </c>
      <c r="AV8" s="3">
        <v>0.49544388719999999</v>
      </c>
      <c r="AW8" s="3">
        <v>0.47063357509999998</v>
      </c>
      <c r="AX8" s="3">
        <v>0.45308591609999999</v>
      </c>
      <c r="AY8" s="3">
        <v>0.39949929779999999</v>
      </c>
      <c r="AZ8" s="3">
        <v>0.3966199661</v>
      </c>
      <c r="BA8" s="3">
        <v>0.41030791490000001</v>
      </c>
      <c r="BB8" s="3">
        <v>0.42514562900000002</v>
      </c>
      <c r="BC8" s="3">
        <v>0.42697147009999997</v>
      </c>
      <c r="BD8" s="3">
        <v>0.34319841000000001</v>
      </c>
      <c r="BE8" s="3">
        <v>0.27271169010000001</v>
      </c>
      <c r="BF8" s="3">
        <v>0.23853648120000001</v>
      </c>
      <c r="BG8" s="3">
        <v>0.21846072520000001</v>
      </c>
      <c r="BH8" s="3">
        <v>0.26602740619999998</v>
      </c>
      <c r="BI8" s="3">
        <v>0.3004272831</v>
      </c>
      <c r="BJ8" s="3">
        <v>0.33387559360000002</v>
      </c>
      <c r="BK8" s="3">
        <v>0.34960184960000001</v>
      </c>
      <c r="BL8" s="3">
        <v>0.31316752170000001</v>
      </c>
      <c r="BM8" s="3">
        <v>0.29891067919999997</v>
      </c>
      <c r="BN8" s="3">
        <v>0.2818144413</v>
      </c>
      <c r="BO8" s="3">
        <v>0.29055558479999999</v>
      </c>
      <c r="BP8" s="3">
        <v>0.27612253139999998</v>
      </c>
      <c r="BQ8" s="3">
        <v>0.24432226679999999</v>
      </c>
      <c r="BR8" s="3">
        <v>0.2068719383</v>
      </c>
      <c r="BS8" s="3">
        <v>0.170622107</v>
      </c>
      <c r="BT8" s="3">
        <v>0.15506697999999999</v>
      </c>
      <c r="BU8" s="3">
        <v>0.15010780770000001</v>
      </c>
      <c r="BV8" s="3">
        <v>0.1592509144</v>
      </c>
      <c r="BW8" s="3">
        <v>0.16395324650000001</v>
      </c>
      <c r="BX8" s="3">
        <v>0.15969155269999999</v>
      </c>
      <c r="BY8" s="3">
        <v>0.14653544360000001</v>
      </c>
      <c r="BZ8" s="3">
        <v>0.12660023770000001</v>
      </c>
      <c r="CA8" s="3">
        <v>0.1088666581</v>
      </c>
      <c r="CB8" s="3">
        <v>0.1008816446</v>
      </c>
      <c r="CC8" s="3">
        <v>0.1020702941</v>
      </c>
      <c r="CD8" s="3">
        <v>0.1026050585</v>
      </c>
      <c r="CE8" s="3">
        <v>9.7507640899999998E-2</v>
      </c>
      <c r="CF8" s="3">
        <v>8.7884778699999999E-2</v>
      </c>
      <c r="CG8" s="3">
        <v>7.5306614999999993E-2</v>
      </c>
      <c r="CH8" s="3">
        <v>6.7004044200000001E-2</v>
      </c>
      <c r="CI8" s="3">
        <v>6.7296067900000006E-2</v>
      </c>
      <c r="CJ8" s="3">
        <v>7.2556612899999998E-2</v>
      </c>
      <c r="CK8" s="3">
        <v>7.5988481600000005E-2</v>
      </c>
      <c r="CL8" s="3">
        <v>7.1761425700000006E-2</v>
      </c>
      <c r="CM8" s="3">
        <v>6.3321756100000001E-2</v>
      </c>
      <c r="CN8" s="3">
        <v>5.3585609700000002E-2</v>
      </c>
      <c r="CO8" s="3">
        <v>4.8624727800000003E-2</v>
      </c>
      <c r="CP8" s="3">
        <v>4.8730444300000002E-2</v>
      </c>
      <c r="CQ8" s="3">
        <v>5.5348495900000003E-2</v>
      </c>
    </row>
    <row r="9" spans="1:95" x14ac:dyDescent="0.25">
      <c r="A9" t="s">
        <v>258</v>
      </c>
      <c r="B9" s="1">
        <v>1380004385</v>
      </c>
      <c r="C9" s="1">
        <v>2973190</v>
      </c>
      <c r="D9" s="3">
        <v>0.28030843249999998</v>
      </c>
      <c r="E9" s="3">
        <v>0.1132103809</v>
      </c>
      <c r="F9" s="3">
        <v>0.1132103809</v>
      </c>
      <c r="G9" s="3">
        <v>6.8652271000000001E-2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0.12583653689999999</v>
      </c>
      <c r="BE9" s="3">
        <v>0.1224522119</v>
      </c>
      <c r="BF9" s="3">
        <v>0.1481416716</v>
      </c>
      <c r="BG9" s="3">
        <v>0.17116002159999999</v>
      </c>
      <c r="BH9" s="3">
        <v>0.1759372958</v>
      </c>
      <c r="BI9" s="3">
        <v>0.17328673589999999</v>
      </c>
      <c r="BJ9" s="3">
        <v>0.16993194110000001</v>
      </c>
      <c r="BK9" s="3">
        <v>0.1565248675</v>
      </c>
      <c r="BL9" s="3">
        <v>0.16495145880000001</v>
      </c>
      <c r="BM9" s="3">
        <v>0.15676509790000001</v>
      </c>
      <c r="BN9" s="3">
        <v>0.15909643740000001</v>
      </c>
      <c r="BO9" s="3">
        <v>0.17733938360000001</v>
      </c>
      <c r="BP9" s="3">
        <v>0.21971519980000001</v>
      </c>
      <c r="BQ9" s="3">
        <v>0.2606469153</v>
      </c>
      <c r="BR9" s="3">
        <v>0.28030843249999998</v>
      </c>
      <c r="BS9" s="3">
        <v>0.27452462189999999</v>
      </c>
      <c r="BT9" s="3">
        <v>0.2410643888</v>
      </c>
      <c r="BU9" s="3">
        <v>0.20690623129999999</v>
      </c>
      <c r="BV9" s="3">
        <v>0.18386138630000001</v>
      </c>
      <c r="BW9" s="3">
        <v>0.17968401959999999</v>
      </c>
      <c r="BX9" s="3">
        <v>0.16185719330000001</v>
      </c>
      <c r="BY9" s="3">
        <v>0.1565776666</v>
      </c>
      <c r="BZ9" s="3">
        <v>0.14208477050000001</v>
      </c>
      <c r="CA9" s="3">
        <v>0.1692893349</v>
      </c>
      <c r="CB9" s="3">
        <v>0.21264733550000001</v>
      </c>
      <c r="CC9" s="3">
        <v>0.23755067769999999</v>
      </c>
      <c r="CD9" s="3">
        <v>0.2487801352</v>
      </c>
      <c r="CE9" s="3">
        <v>0.21069770730000001</v>
      </c>
      <c r="CF9" s="3">
        <v>0.19914256359999999</v>
      </c>
      <c r="CG9" s="3">
        <v>0.19772602850000001</v>
      </c>
      <c r="CH9" s="3">
        <v>0.20504003079999999</v>
      </c>
      <c r="CI9" s="3">
        <v>0.20262013449999999</v>
      </c>
      <c r="CJ9" s="3">
        <v>0.1733290327</v>
      </c>
      <c r="CK9" s="3">
        <v>0.1538773497</v>
      </c>
      <c r="CL9" s="3">
        <v>0.13583030039999999</v>
      </c>
      <c r="CM9" s="3">
        <v>0.13469136009999999</v>
      </c>
      <c r="CN9" s="3">
        <v>0.1295344722</v>
      </c>
      <c r="CO9" s="3">
        <v>0.12837582210000001</v>
      </c>
      <c r="CP9" s="3">
        <v>0.1258467768</v>
      </c>
      <c r="CQ9" s="3">
        <v>0.1132103809</v>
      </c>
    </row>
    <row r="10" spans="1:95" x14ac:dyDescent="0.25">
      <c r="A10" t="s">
        <v>257</v>
      </c>
      <c r="B10" s="1">
        <v>83992949</v>
      </c>
      <c r="C10" s="1">
        <v>1628550</v>
      </c>
      <c r="D10" s="3">
        <v>0.64066254430000003</v>
      </c>
      <c r="E10" s="3">
        <v>6.0961252299999998E-2</v>
      </c>
      <c r="F10" s="3">
        <v>6.4178712400000004E-2</v>
      </c>
      <c r="G10" s="3">
        <v>1.9219180700000001E-2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0.58523442150000005</v>
      </c>
      <c r="AT10" s="3">
        <v>0.60842458300000002</v>
      </c>
      <c r="AU10" s="3">
        <v>0.62045820360000004</v>
      </c>
      <c r="AV10" s="3">
        <v>0.64066254430000003</v>
      </c>
      <c r="AW10" s="3">
        <v>0.61856988729999995</v>
      </c>
      <c r="AX10" s="3">
        <v>0.60009963099999997</v>
      </c>
      <c r="AY10" s="3">
        <v>0.54961972540000004</v>
      </c>
      <c r="AZ10" s="3">
        <v>0.46891616850000001</v>
      </c>
      <c r="BA10" s="3">
        <v>0.3914834834</v>
      </c>
      <c r="BB10" s="3">
        <v>0.31560904049999999</v>
      </c>
      <c r="BC10" s="3">
        <v>0.26981927160000002</v>
      </c>
      <c r="BD10" s="3">
        <v>0.22946262249999999</v>
      </c>
      <c r="BE10" s="3">
        <v>0.1880206952</v>
      </c>
      <c r="BF10" s="3">
        <v>0.1509039683</v>
      </c>
      <c r="BG10" s="3">
        <v>0.126994724</v>
      </c>
      <c r="BH10" s="3">
        <v>0.1225904397</v>
      </c>
      <c r="BI10" s="3">
        <v>0.12531186799999999</v>
      </c>
      <c r="BJ10" s="3">
        <v>0.1286371432</v>
      </c>
      <c r="BK10" s="3">
        <v>0.12591227320000001</v>
      </c>
      <c r="BL10" s="3">
        <v>0.12070911550000001</v>
      </c>
      <c r="BM10" s="3">
        <v>0.1101793311</v>
      </c>
      <c r="BN10" s="3">
        <v>0.10013315709999999</v>
      </c>
      <c r="BO10" s="3">
        <v>9.7489379200000004E-2</v>
      </c>
      <c r="BP10" s="3">
        <v>9.4698301700000001E-2</v>
      </c>
      <c r="BQ10" s="3">
        <v>9.0069266199999998E-2</v>
      </c>
      <c r="BR10" s="3">
        <v>8.5444233600000002E-2</v>
      </c>
      <c r="BS10" s="3">
        <v>8.6199123200000005E-2</v>
      </c>
      <c r="BT10" s="3">
        <v>9.4347249699999997E-2</v>
      </c>
      <c r="BU10" s="3">
        <v>0.10701532950000001</v>
      </c>
      <c r="BV10" s="3">
        <v>0.12297847319999999</v>
      </c>
      <c r="BW10" s="3">
        <v>0.1363525176</v>
      </c>
      <c r="BX10" s="3">
        <v>0.14290468780000001</v>
      </c>
      <c r="BY10" s="3">
        <v>0.1429239752</v>
      </c>
      <c r="BZ10" s="3">
        <v>0.138178574</v>
      </c>
      <c r="CA10" s="3">
        <v>0.13083027450000001</v>
      </c>
      <c r="CB10" s="3">
        <v>0.1211598458</v>
      </c>
      <c r="CC10" s="3">
        <v>0.11162984419999999</v>
      </c>
      <c r="CD10" s="3">
        <v>0.1014019818</v>
      </c>
      <c r="CE10" s="3">
        <v>9.1390388700000005E-2</v>
      </c>
      <c r="CF10" s="3">
        <v>8.3352496799999995E-2</v>
      </c>
      <c r="CG10" s="3">
        <v>7.6838294700000004E-2</v>
      </c>
      <c r="CH10" s="3">
        <v>7.1650407700000002E-2</v>
      </c>
      <c r="CI10" s="3">
        <v>6.6789353900000001E-2</v>
      </c>
      <c r="CJ10" s="3">
        <v>6.3578061800000002E-2</v>
      </c>
      <c r="CK10" s="3">
        <v>6.1624062799999997E-2</v>
      </c>
      <c r="CL10" s="3">
        <v>6.0961252299999998E-2</v>
      </c>
      <c r="CM10" s="3">
        <v>6.1879167399999997E-2</v>
      </c>
      <c r="CN10" s="3">
        <v>6.2440984200000001E-2</v>
      </c>
      <c r="CO10" s="3">
        <v>6.3012765100000007E-2</v>
      </c>
      <c r="CP10" s="3">
        <v>6.3167840200000006E-2</v>
      </c>
      <c r="CQ10" s="3">
        <v>6.4178712400000004E-2</v>
      </c>
    </row>
    <row r="11" spans="1:95" x14ac:dyDescent="0.25">
      <c r="A11" t="s">
        <v>256</v>
      </c>
      <c r="B11" s="1">
        <v>60461826</v>
      </c>
      <c r="C11" s="1">
        <v>294140</v>
      </c>
      <c r="D11" s="3">
        <v>0.58239683850000001</v>
      </c>
      <c r="E11" s="3">
        <v>6.5208084499999999E-2</v>
      </c>
      <c r="F11" s="3">
        <v>6.5208084499999999E-2</v>
      </c>
      <c r="G11" s="3">
        <v>2.0675857299999999E-2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0.58239683850000001</v>
      </c>
      <c r="AT11" s="3">
        <v>0.46548358940000001</v>
      </c>
      <c r="AU11" s="3">
        <v>0.4050706845</v>
      </c>
      <c r="AV11" s="3">
        <v>0.39438425719999998</v>
      </c>
      <c r="AW11" s="3">
        <v>0.3669999732</v>
      </c>
      <c r="AX11" s="3">
        <v>0.34001672449999998</v>
      </c>
      <c r="AY11" s="3">
        <v>0.31069206960000001</v>
      </c>
      <c r="AZ11" s="3">
        <v>0.27379299060000001</v>
      </c>
      <c r="BA11" s="3">
        <v>0.25339493289999998</v>
      </c>
      <c r="BB11" s="3">
        <v>0.2420090959</v>
      </c>
      <c r="BC11" s="3">
        <v>0.25003148450000001</v>
      </c>
      <c r="BD11" s="3">
        <v>0.25408046870000001</v>
      </c>
      <c r="BE11" s="3">
        <v>0.24751841150000001</v>
      </c>
      <c r="BF11" s="3">
        <v>0.2349509373</v>
      </c>
      <c r="BG11" s="3">
        <v>0.2164431641</v>
      </c>
      <c r="BH11" s="3">
        <v>0.20611805899999999</v>
      </c>
      <c r="BI11" s="3">
        <v>0.2059299705</v>
      </c>
      <c r="BJ11" s="3">
        <v>0.20411879790000001</v>
      </c>
      <c r="BK11" s="3">
        <v>0.19873116399999999</v>
      </c>
      <c r="BL11" s="3">
        <v>0.1830361905</v>
      </c>
      <c r="BM11" s="3">
        <v>0.1674168164</v>
      </c>
      <c r="BN11" s="3">
        <v>0.15714832840000001</v>
      </c>
      <c r="BO11" s="3">
        <v>0.15272539460000001</v>
      </c>
      <c r="BP11" s="3">
        <v>0.15584344889999999</v>
      </c>
      <c r="BQ11" s="3">
        <v>0.15781448070000001</v>
      </c>
      <c r="BR11" s="3">
        <v>0.15203352840000001</v>
      </c>
      <c r="BS11" s="3">
        <v>0.13637958999999999</v>
      </c>
      <c r="BT11" s="3">
        <v>0.1203200289</v>
      </c>
      <c r="BU11" s="3">
        <v>0.1087032948</v>
      </c>
      <c r="BV11" s="3">
        <v>0.1021471491</v>
      </c>
      <c r="BW11" s="3">
        <v>0.1010718697</v>
      </c>
      <c r="BX11" s="3">
        <v>9.98783429E-2</v>
      </c>
      <c r="BY11" s="3">
        <v>9.4141730300000004E-2</v>
      </c>
      <c r="BZ11" s="3">
        <v>8.5899815899999996E-2</v>
      </c>
      <c r="CA11" s="3">
        <v>7.7049807999999997E-2</v>
      </c>
      <c r="CB11" s="3">
        <v>7.19547039E-2</v>
      </c>
      <c r="CC11" s="3">
        <v>7.1024523800000003E-2</v>
      </c>
      <c r="CD11" s="3">
        <v>7.3520316500000002E-2</v>
      </c>
      <c r="CE11" s="3">
        <v>7.55208869E-2</v>
      </c>
      <c r="CF11" s="3">
        <v>7.4920328300000005E-2</v>
      </c>
      <c r="CG11" s="3">
        <v>7.2053812999999994E-2</v>
      </c>
      <c r="CH11" s="3">
        <v>6.7996687099999994E-2</v>
      </c>
      <c r="CI11" s="3">
        <v>6.60619868E-2</v>
      </c>
      <c r="CJ11" s="3">
        <v>6.6790068600000002E-2</v>
      </c>
      <c r="CK11" s="3">
        <v>7.1323660799999994E-2</v>
      </c>
      <c r="CL11" s="3">
        <v>7.62070953E-2</v>
      </c>
      <c r="CM11" s="3">
        <v>7.8249557400000003E-2</v>
      </c>
      <c r="CN11" s="3">
        <v>7.6330743600000001E-2</v>
      </c>
      <c r="CO11" s="3">
        <v>7.1912391000000006E-2</v>
      </c>
      <c r="CP11" s="3">
        <v>6.7406542200000003E-2</v>
      </c>
      <c r="CQ11" s="3">
        <v>6.5208084499999999E-2</v>
      </c>
    </row>
    <row r="12" spans="1:95" x14ac:dyDescent="0.25">
      <c r="A12" t="s">
        <v>255</v>
      </c>
      <c r="B12" s="1">
        <v>126476461</v>
      </c>
      <c r="C12" s="1">
        <v>364555</v>
      </c>
      <c r="D12" s="3">
        <v>0.33464478559999999</v>
      </c>
      <c r="E12" s="3">
        <v>3.5766114600000003E-2</v>
      </c>
      <c r="F12" s="3">
        <v>9.7426471700000003E-2</v>
      </c>
      <c r="G12" s="3">
        <v>0.1345930907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0.10495752830000001</v>
      </c>
      <c r="X12" s="3">
        <v>6.0161689099999999E-2</v>
      </c>
      <c r="Y12" s="3">
        <v>4.1402678599999999E-2</v>
      </c>
      <c r="Z12" s="3">
        <v>4.2003850299999999E-2</v>
      </c>
      <c r="AA12" s="3">
        <v>4.2891272600000002E-2</v>
      </c>
      <c r="AB12" s="3">
        <v>3.9906166399999998E-2</v>
      </c>
      <c r="AC12" s="3">
        <v>3.5878489800000003E-2</v>
      </c>
      <c r="AD12" s="3">
        <v>3.5766114600000003E-2</v>
      </c>
      <c r="AE12" s="3">
        <v>3.7699572700000003E-2</v>
      </c>
      <c r="AF12" s="3">
        <v>4.6962283100000002E-2</v>
      </c>
      <c r="AG12" s="3">
        <v>0.10972572949999999</v>
      </c>
      <c r="AH12" s="3">
        <v>0.19124279180000001</v>
      </c>
      <c r="AI12" s="3">
        <v>0.2804473952</v>
      </c>
      <c r="AJ12" s="3">
        <v>0.33464478559999999</v>
      </c>
      <c r="AK12" s="3">
        <v>0.30550841810000001</v>
      </c>
      <c r="AL12" s="3">
        <v>0.23861710659999999</v>
      </c>
      <c r="AM12" s="3">
        <v>0.18276648979999999</v>
      </c>
      <c r="AN12" s="3">
        <v>0.16052373710000001</v>
      </c>
      <c r="AO12" s="3">
        <v>0.16610546600000001</v>
      </c>
      <c r="AP12" s="3">
        <v>0.1701240467</v>
      </c>
      <c r="AQ12" s="3">
        <v>0.16541649159999999</v>
      </c>
      <c r="AR12" s="3">
        <v>0.1491852521</v>
      </c>
      <c r="AS12" s="3">
        <v>0.12984564479999999</v>
      </c>
      <c r="AT12" s="3">
        <v>0.1167620001</v>
      </c>
      <c r="AU12" s="3">
        <v>0.11498491130000001</v>
      </c>
      <c r="AV12" s="3">
        <v>0.11394248260000001</v>
      </c>
      <c r="AW12" s="3">
        <v>0.1014628637</v>
      </c>
      <c r="AX12" s="3">
        <v>9.1870273000000002E-2</v>
      </c>
      <c r="AY12" s="3">
        <v>9.4896056699999995E-2</v>
      </c>
      <c r="AZ12" s="3">
        <v>0.1073976276</v>
      </c>
      <c r="BA12" s="3">
        <v>0.12751004669999999</v>
      </c>
      <c r="BB12" s="3">
        <v>0.14705193189999999</v>
      </c>
      <c r="BC12" s="3">
        <v>0.16121024049999999</v>
      </c>
      <c r="BD12" s="3">
        <v>0.1543261182</v>
      </c>
      <c r="BE12" s="3">
        <v>0.13350849889999999</v>
      </c>
      <c r="BF12" s="3">
        <v>0.1231909437</v>
      </c>
      <c r="BG12" s="3">
        <v>0.11932117</v>
      </c>
      <c r="BH12" s="3">
        <v>0.1194872825</v>
      </c>
      <c r="BI12" s="3">
        <v>0.1117677649</v>
      </c>
      <c r="BJ12" s="3">
        <v>0.1081510442</v>
      </c>
      <c r="BK12" s="3">
        <v>0.1017182296</v>
      </c>
      <c r="BL12" s="3">
        <v>9.5961844899999996E-2</v>
      </c>
      <c r="BM12" s="3">
        <v>8.2772826999999993E-2</v>
      </c>
      <c r="BN12" s="3">
        <v>6.3184223400000003E-2</v>
      </c>
      <c r="BO12" s="3">
        <v>5.2453475300000003E-2</v>
      </c>
      <c r="BP12" s="3">
        <v>5.45513189E-2</v>
      </c>
      <c r="BQ12" s="3">
        <v>7.3450393200000005E-2</v>
      </c>
      <c r="BR12" s="3">
        <v>8.6264946100000003E-2</v>
      </c>
      <c r="BS12" s="3">
        <v>0.1046711798</v>
      </c>
      <c r="BT12" s="3">
        <v>0.1137514575</v>
      </c>
      <c r="BU12" s="3">
        <v>0.1173790691</v>
      </c>
      <c r="BV12" s="3">
        <v>0.1242837339</v>
      </c>
      <c r="BW12" s="3">
        <v>0.13563384680000001</v>
      </c>
      <c r="BX12" s="3">
        <v>0.1543523453</v>
      </c>
      <c r="BY12" s="3">
        <v>0.16186077269999999</v>
      </c>
      <c r="BZ12" s="3">
        <v>0.15104463679999999</v>
      </c>
      <c r="CA12" s="3">
        <v>0.1242378126</v>
      </c>
      <c r="CB12" s="3">
        <v>0.1135278481</v>
      </c>
      <c r="CC12" s="3">
        <v>0.1179086708</v>
      </c>
      <c r="CD12" s="3">
        <v>0.1406221641</v>
      </c>
      <c r="CE12" s="3">
        <v>0.16197988369999999</v>
      </c>
      <c r="CF12" s="3">
        <v>0.16431441720000001</v>
      </c>
      <c r="CG12" s="3">
        <v>0.15437626139999999</v>
      </c>
      <c r="CH12" s="3">
        <v>0.13558440320000001</v>
      </c>
      <c r="CI12" s="3">
        <v>0.12536488909999999</v>
      </c>
      <c r="CJ12" s="3">
        <v>0.12434574700000001</v>
      </c>
      <c r="CK12" s="3">
        <v>0.14308209299999999</v>
      </c>
      <c r="CL12" s="3">
        <v>0.15934642060000001</v>
      </c>
      <c r="CM12" s="3">
        <v>0.1607401956</v>
      </c>
      <c r="CN12" s="3">
        <v>0.14468933179999999</v>
      </c>
      <c r="CO12" s="3">
        <v>0.12706993790000001</v>
      </c>
      <c r="CP12" s="3">
        <v>0.1048178318</v>
      </c>
      <c r="CQ12" s="3">
        <v>9.7426471700000003E-2</v>
      </c>
    </row>
    <row r="13" spans="1:95" x14ac:dyDescent="0.25">
      <c r="A13" t="s">
        <v>254</v>
      </c>
      <c r="B13" s="1">
        <v>51269185</v>
      </c>
      <c r="C13" s="1">
        <v>97230</v>
      </c>
      <c r="D13" s="3">
        <v>0.79516858530000001</v>
      </c>
      <c r="E13" s="3">
        <v>1.9293140899999998E-2</v>
      </c>
      <c r="F13" s="3">
        <v>4.5454752799999998E-2</v>
      </c>
      <c r="G13" s="3">
        <v>2.0729294E-3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0.116572549</v>
      </c>
      <c r="Y13" s="3">
        <v>0.12689467369999999</v>
      </c>
      <c r="Z13" s="3">
        <v>0.1236532447</v>
      </c>
      <c r="AA13" s="3">
        <v>0.1117850331</v>
      </c>
      <c r="AB13" s="3">
        <v>8.4126488900000004E-2</v>
      </c>
      <c r="AC13" s="3">
        <v>6.2000437200000001E-2</v>
      </c>
      <c r="AD13" s="3">
        <v>5.2605064299999997E-2</v>
      </c>
      <c r="AE13" s="3">
        <v>5.3074210099999998E-2</v>
      </c>
      <c r="AF13" s="3">
        <v>4.43519364E-2</v>
      </c>
      <c r="AG13" s="3">
        <v>3.0260710999999999E-2</v>
      </c>
      <c r="AH13" s="3">
        <v>1.9636589199999999E-2</v>
      </c>
      <c r="AI13" s="3">
        <v>1.9293140899999998E-2</v>
      </c>
      <c r="AJ13" s="3">
        <v>2.8512482700000001E-2</v>
      </c>
      <c r="AK13" s="3">
        <v>0.14787610879999999</v>
      </c>
      <c r="AL13" s="3">
        <v>0.30469175440000001</v>
      </c>
      <c r="AM13" s="3">
        <v>0.4964749423</v>
      </c>
      <c r="AN13" s="3">
        <v>0.73554246680000002</v>
      </c>
      <c r="AO13" s="3">
        <v>0.79516858530000001</v>
      </c>
      <c r="AP13" s="3">
        <v>0.76764310479999998</v>
      </c>
      <c r="AQ13" s="3">
        <v>0.60946219219999997</v>
      </c>
      <c r="AR13" s="3">
        <v>0.4365706801</v>
      </c>
      <c r="AS13" s="3">
        <v>0.34634408900000002</v>
      </c>
      <c r="AT13" s="3">
        <v>0.30548971920000001</v>
      </c>
      <c r="AU13" s="3">
        <v>0.31976992799999998</v>
      </c>
      <c r="AV13" s="3">
        <v>0.31890644340000002</v>
      </c>
      <c r="AW13" s="3">
        <v>0.29589906490000001</v>
      </c>
      <c r="AX13" s="3">
        <v>0.25535777700000001</v>
      </c>
      <c r="AY13" s="3">
        <v>0.2044886105</v>
      </c>
      <c r="AZ13" s="3">
        <v>0.16621922880000001</v>
      </c>
      <c r="BA13" s="3">
        <v>0.1342537342</v>
      </c>
      <c r="BB13" s="3">
        <v>0.1112410527</v>
      </c>
      <c r="BC13" s="3">
        <v>9.2106772599999998E-2</v>
      </c>
      <c r="BD13" s="3">
        <v>7.4499010099999999E-2</v>
      </c>
      <c r="BE13" s="3">
        <v>5.8270802900000002E-2</v>
      </c>
      <c r="BF13" s="3">
        <v>4.33573176E-2</v>
      </c>
      <c r="BG13" s="3">
        <v>3.24388262E-2</v>
      </c>
      <c r="BH13" s="3">
        <v>2.78302427E-2</v>
      </c>
      <c r="BI13" s="3">
        <v>2.91241504E-2</v>
      </c>
      <c r="BJ13" s="3">
        <v>2.9311276800000001E-2</v>
      </c>
      <c r="BK13" s="3">
        <v>3.0079518400000001E-2</v>
      </c>
      <c r="BL13" s="3">
        <v>3.0811906E-2</v>
      </c>
      <c r="BM13" s="3">
        <v>3.20608805E-2</v>
      </c>
      <c r="BN13" s="3">
        <v>3.7597113100000003E-2</v>
      </c>
      <c r="BO13" s="3">
        <v>4.8330032100000003E-2</v>
      </c>
      <c r="BP13" s="3">
        <v>6.4451968299999995E-2</v>
      </c>
      <c r="BQ13" s="3">
        <v>7.6959895E-2</v>
      </c>
      <c r="BR13" s="3">
        <v>8.3631852100000001E-2</v>
      </c>
      <c r="BS13" s="3">
        <v>7.7533759199999996E-2</v>
      </c>
      <c r="BT13" s="3">
        <v>7.2311922400000006E-2</v>
      </c>
      <c r="BU13" s="3">
        <v>6.3053737400000004E-2</v>
      </c>
      <c r="BV13" s="3">
        <v>6.04810603E-2</v>
      </c>
      <c r="BW13" s="3">
        <v>6.5505895100000003E-2</v>
      </c>
      <c r="BX13" s="3">
        <v>7.4453360400000002E-2</v>
      </c>
      <c r="BY13" s="3">
        <v>7.9398602400000004E-2</v>
      </c>
      <c r="BZ13" s="3">
        <v>7.8114737099999998E-2</v>
      </c>
      <c r="CA13" s="3">
        <v>7.5416753500000003E-2</v>
      </c>
      <c r="CB13" s="3">
        <v>7.6924816500000007E-2</v>
      </c>
      <c r="CC13" s="3">
        <v>7.3577545100000002E-2</v>
      </c>
      <c r="CD13" s="3">
        <v>7.3919662400000002E-2</v>
      </c>
      <c r="CE13" s="3">
        <v>7.5572668499999995E-2</v>
      </c>
      <c r="CF13" s="3">
        <v>6.8487488900000004E-2</v>
      </c>
      <c r="CG13" s="3">
        <v>6.1123672900000002E-2</v>
      </c>
      <c r="CH13" s="3">
        <v>5.4956185800000001E-2</v>
      </c>
      <c r="CI13" s="3">
        <v>4.9029445400000003E-2</v>
      </c>
      <c r="CJ13" s="3">
        <v>4.3870567499999999E-2</v>
      </c>
      <c r="CK13" s="3">
        <v>4.2204635499999997E-2</v>
      </c>
      <c r="CL13" s="3">
        <v>4.0211598899999999E-2</v>
      </c>
      <c r="CM13" s="3">
        <v>3.7584084900000002E-2</v>
      </c>
      <c r="CN13" s="3">
        <v>3.8498599699999997E-2</v>
      </c>
      <c r="CO13" s="3">
        <v>4.0501536499999997E-2</v>
      </c>
      <c r="CP13" s="3">
        <v>4.3019412299999997E-2</v>
      </c>
      <c r="CQ13" s="3">
        <v>4.5454752799999998E-2</v>
      </c>
    </row>
    <row r="14" spans="1:95" x14ac:dyDescent="0.25">
      <c r="A14" t="s">
        <v>253</v>
      </c>
      <c r="B14" s="1">
        <v>10196709</v>
      </c>
      <c r="C14" s="1">
        <v>91590</v>
      </c>
      <c r="D14" s="3">
        <v>0.41816755350000001</v>
      </c>
      <c r="E14" s="3">
        <v>6.0429426299999998E-2</v>
      </c>
      <c r="F14" s="3">
        <v>6.4716202E-2</v>
      </c>
      <c r="G14" s="3">
        <v>9.6067088000000005E-3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0.3099383027</v>
      </c>
      <c r="BH14" s="3">
        <v>0.31607401299999999</v>
      </c>
      <c r="BI14" s="3">
        <v>0.36201249819999998</v>
      </c>
      <c r="BJ14" s="3">
        <v>0.40365899230000002</v>
      </c>
      <c r="BK14" s="3">
        <v>0.41816755350000001</v>
      </c>
      <c r="BL14" s="3">
        <v>0.4153782372</v>
      </c>
      <c r="BM14" s="3">
        <v>0.40014091460000001</v>
      </c>
      <c r="BN14" s="3">
        <v>0.37316137420000001</v>
      </c>
      <c r="BO14" s="3">
        <v>0.34713371770000001</v>
      </c>
      <c r="BP14" s="3">
        <v>0.3225032531</v>
      </c>
      <c r="BQ14" s="3">
        <v>0.29855372060000002</v>
      </c>
      <c r="BR14" s="3">
        <v>0.28328596540000001</v>
      </c>
      <c r="BS14" s="3">
        <v>0.26029979559999999</v>
      </c>
      <c r="BT14" s="3">
        <v>0.25013956790000003</v>
      </c>
      <c r="BU14" s="3">
        <v>0.23478209859999999</v>
      </c>
      <c r="BV14" s="3">
        <v>0.22199632350000001</v>
      </c>
      <c r="BW14" s="3">
        <v>0.2188687553</v>
      </c>
      <c r="BX14" s="3">
        <v>0.2089797799</v>
      </c>
      <c r="BY14" s="3">
        <v>0.194873252</v>
      </c>
      <c r="BZ14" s="3">
        <v>0.17409943550000001</v>
      </c>
      <c r="CA14" s="3">
        <v>0.1537691447</v>
      </c>
      <c r="CB14" s="3">
        <v>0.13764610369999999</v>
      </c>
      <c r="CC14" s="3">
        <v>0.12892942909999999</v>
      </c>
      <c r="CD14" s="3">
        <v>0.1185238951</v>
      </c>
      <c r="CE14" s="3">
        <v>0.1098295544</v>
      </c>
      <c r="CF14" s="3">
        <v>9.5968526900000004E-2</v>
      </c>
      <c r="CG14" s="3">
        <v>8.4864507899999997E-2</v>
      </c>
      <c r="CH14" s="3">
        <v>7.9008045999999998E-2</v>
      </c>
      <c r="CI14" s="3">
        <v>7.6263556999999996E-2</v>
      </c>
      <c r="CJ14" s="3">
        <v>8.4888707899999999E-2</v>
      </c>
      <c r="CK14" s="3">
        <v>9.4422848300000001E-2</v>
      </c>
      <c r="CL14" s="3">
        <v>0.1018445654</v>
      </c>
      <c r="CM14" s="3">
        <v>9.30049243E-2</v>
      </c>
      <c r="CN14" s="3">
        <v>8.0293024500000004E-2</v>
      </c>
      <c r="CO14" s="3">
        <v>6.7609800999999997E-2</v>
      </c>
      <c r="CP14" s="3">
        <v>6.0429426299999998E-2</v>
      </c>
      <c r="CQ14" s="3">
        <v>6.4716202E-2</v>
      </c>
    </row>
    <row r="15" spans="1:95" x14ac:dyDescent="0.25">
      <c r="A15" t="s">
        <v>252</v>
      </c>
      <c r="B15" s="1">
        <v>145934462</v>
      </c>
      <c r="C15" s="1">
        <v>16376870</v>
      </c>
      <c r="D15" s="3">
        <v>0.32062583039999998</v>
      </c>
      <c r="E15" s="3">
        <v>0.13427362349999999</v>
      </c>
      <c r="F15" s="3">
        <v>0.1764389522</v>
      </c>
      <c r="G15" s="3">
        <v>0.14567971939999999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0.13427362349999999</v>
      </c>
      <c r="BH15" s="3">
        <v>0.18549812900000001</v>
      </c>
      <c r="BI15" s="3">
        <v>0.25033920700000001</v>
      </c>
      <c r="BJ15" s="3">
        <v>0.28765662939999997</v>
      </c>
      <c r="BK15" s="3">
        <v>0.32062583039999998</v>
      </c>
      <c r="BL15" s="3">
        <v>0.29584171399999998</v>
      </c>
      <c r="BM15" s="3">
        <v>0.2827480181</v>
      </c>
      <c r="BN15" s="3">
        <v>0.29419366450000001</v>
      </c>
      <c r="BO15" s="3">
        <v>0.31256110669999998</v>
      </c>
      <c r="BP15" s="3">
        <v>0.31340731910000003</v>
      </c>
      <c r="BQ15" s="3">
        <v>0.28779017029999998</v>
      </c>
      <c r="BR15" s="3">
        <v>0.25751085670000001</v>
      </c>
      <c r="BS15" s="3">
        <v>0.22274967840000001</v>
      </c>
      <c r="BT15" s="3">
        <v>0.21135921539999999</v>
      </c>
      <c r="BU15" s="3">
        <v>0.21850646200000001</v>
      </c>
      <c r="BV15" s="3">
        <v>0.2393135515</v>
      </c>
      <c r="BW15" s="3">
        <v>0.2587327593</v>
      </c>
      <c r="BX15" s="3">
        <v>0.25646819430000001</v>
      </c>
      <c r="BY15" s="3">
        <v>0.24694962030000001</v>
      </c>
      <c r="BZ15" s="3">
        <v>0.23658064919999999</v>
      </c>
      <c r="CA15" s="3">
        <v>0.23201173420000001</v>
      </c>
      <c r="CB15" s="3">
        <v>0.23943221619999999</v>
      </c>
      <c r="CC15" s="3">
        <v>0.24082238680000001</v>
      </c>
      <c r="CD15" s="3">
        <v>0.22963470599999999</v>
      </c>
      <c r="CE15" s="3">
        <v>0.2114202141</v>
      </c>
      <c r="CF15" s="3">
        <v>0.18706491310000001</v>
      </c>
      <c r="CG15" s="3">
        <v>0.1756169377</v>
      </c>
      <c r="CH15" s="3">
        <v>0.17326771560000001</v>
      </c>
      <c r="CI15" s="3">
        <v>0.18010671349999999</v>
      </c>
      <c r="CJ15" s="3">
        <v>0.18483596229999999</v>
      </c>
      <c r="CK15" s="3">
        <v>0.18383757580000001</v>
      </c>
      <c r="CL15" s="3">
        <v>0.18124063369999999</v>
      </c>
      <c r="CM15" s="3">
        <v>0.17823292560000001</v>
      </c>
      <c r="CN15" s="3">
        <v>0.17744024259999999</v>
      </c>
      <c r="CO15" s="3">
        <v>0.17742758189999999</v>
      </c>
      <c r="CP15" s="3">
        <v>0.1779222443</v>
      </c>
      <c r="CQ15" s="3">
        <v>0.1764389522</v>
      </c>
    </row>
    <row r="16" spans="1:95" x14ac:dyDescent="0.25">
      <c r="A16" t="s">
        <v>251</v>
      </c>
      <c r="B16" s="1">
        <v>5850342</v>
      </c>
      <c r="C16" s="1">
        <v>700</v>
      </c>
      <c r="D16" s="3">
        <v>0.1820833566</v>
      </c>
      <c r="E16" s="3">
        <v>3.2276369200000002E-2</v>
      </c>
      <c r="F16" s="3">
        <v>0.1820833566</v>
      </c>
      <c r="G16" s="3">
        <v>0.14072735489999999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0.16967326460000001</v>
      </c>
      <c r="X16" s="3">
        <v>0.1509742774</v>
      </c>
      <c r="Y16" s="3">
        <v>0.13497091410000001</v>
      </c>
      <c r="Z16" s="3">
        <v>0.1092177252</v>
      </c>
      <c r="AA16" s="3">
        <v>9.98664103E-2</v>
      </c>
      <c r="AB16" s="3">
        <v>0.1109524693</v>
      </c>
      <c r="AC16" s="3">
        <v>0.1290718981</v>
      </c>
      <c r="AD16" s="3">
        <v>0.1380911219</v>
      </c>
      <c r="AE16" s="3">
        <v>0.12998791900000001</v>
      </c>
      <c r="AF16" s="3">
        <v>0.1284692305</v>
      </c>
      <c r="AG16" s="3">
        <v>0.135362494</v>
      </c>
      <c r="AH16" s="3">
        <v>0.1420770546</v>
      </c>
      <c r="AI16" s="3">
        <v>0.1325848976</v>
      </c>
      <c r="AJ16" s="3">
        <v>0.105422141</v>
      </c>
      <c r="AK16" s="3">
        <v>7.9168760199999993E-2</v>
      </c>
      <c r="AL16" s="3">
        <v>5.9555581599999997E-2</v>
      </c>
      <c r="AM16" s="3">
        <v>4.8546942799999999E-2</v>
      </c>
      <c r="AN16" s="3">
        <v>3.9171618999999998E-2</v>
      </c>
      <c r="AO16" s="3">
        <v>3.4647015599999997E-2</v>
      </c>
      <c r="AP16" s="3">
        <v>3.2276369200000002E-2</v>
      </c>
      <c r="AQ16" s="3">
        <v>3.2862271200000001E-2</v>
      </c>
      <c r="AR16" s="3">
        <v>3.59817755E-2</v>
      </c>
      <c r="AS16" s="3">
        <v>4.47726606E-2</v>
      </c>
      <c r="AT16" s="3">
        <v>6.2075122000000003E-2</v>
      </c>
      <c r="AU16" s="3">
        <v>8.1986542900000001E-2</v>
      </c>
      <c r="AV16" s="3">
        <v>9.8607003999999998E-2</v>
      </c>
      <c r="AW16" s="3">
        <v>0.1069547293</v>
      </c>
      <c r="AX16" s="3">
        <v>0.11335148</v>
      </c>
      <c r="AY16" s="3">
        <v>0.10717018540000001</v>
      </c>
      <c r="AZ16" s="3">
        <v>9.4427820400000001E-2</v>
      </c>
      <c r="BA16" s="3">
        <v>9.6736980900000005E-2</v>
      </c>
      <c r="BB16" s="3">
        <v>0.11924376489999999</v>
      </c>
      <c r="BC16" s="3">
        <v>0.14674479570000001</v>
      </c>
      <c r="BD16" s="3">
        <v>0.16215619070000001</v>
      </c>
      <c r="BE16" s="3">
        <v>0.1523589514</v>
      </c>
      <c r="BF16" s="3">
        <v>0.13353577359999999</v>
      </c>
      <c r="BG16" s="3">
        <v>0.121205058</v>
      </c>
      <c r="BH16" s="3">
        <v>0.12602063520000001</v>
      </c>
      <c r="BI16" s="3">
        <v>0.12766447950000001</v>
      </c>
      <c r="BJ16" s="3">
        <v>0.12539235239999999</v>
      </c>
      <c r="BK16" s="3">
        <v>0.1191398758</v>
      </c>
      <c r="BL16" s="3">
        <v>0.1142923978</v>
      </c>
      <c r="BM16" s="3">
        <v>0.12776095000000001</v>
      </c>
      <c r="BN16" s="3">
        <v>0.14679999630000001</v>
      </c>
      <c r="BO16" s="3">
        <v>0.1697921423</v>
      </c>
      <c r="BP16" s="3">
        <v>0.17826661150000001</v>
      </c>
      <c r="BQ16" s="3">
        <v>0.17205135590000001</v>
      </c>
      <c r="BR16" s="3">
        <v>0.15625540939999999</v>
      </c>
      <c r="BS16" s="3">
        <v>0.13892279690000001</v>
      </c>
      <c r="BT16" s="3">
        <v>0.138553599</v>
      </c>
      <c r="BU16" s="3">
        <v>0.14022843709999999</v>
      </c>
      <c r="BV16" s="3">
        <v>0.13798564129999999</v>
      </c>
      <c r="BW16" s="3">
        <v>0.13402284449999999</v>
      </c>
      <c r="BX16" s="3">
        <v>0.1199747505</v>
      </c>
      <c r="BY16" s="3">
        <v>0.1073564036</v>
      </c>
      <c r="BZ16" s="3">
        <v>9.3588279799999993E-2</v>
      </c>
      <c r="CA16" s="3">
        <v>8.8174665200000002E-2</v>
      </c>
      <c r="CB16" s="3">
        <v>8.5817612700000004E-2</v>
      </c>
      <c r="CC16" s="3">
        <v>8.8533412199999995E-2</v>
      </c>
      <c r="CD16" s="3">
        <v>9.5197748700000001E-2</v>
      </c>
      <c r="CE16" s="3">
        <v>0.1000225258</v>
      </c>
      <c r="CF16" s="3">
        <v>0.10823663090000001</v>
      </c>
      <c r="CG16" s="3">
        <v>0.11427719</v>
      </c>
      <c r="CH16" s="3">
        <v>0.12295289230000001</v>
      </c>
      <c r="CI16" s="3">
        <v>0.13301244749999999</v>
      </c>
      <c r="CJ16" s="3">
        <v>0.1510046833</v>
      </c>
      <c r="CK16" s="3">
        <v>0.16854260739999999</v>
      </c>
      <c r="CL16" s="3">
        <v>0.17347880130000001</v>
      </c>
      <c r="CM16" s="3">
        <v>0.16454074129999999</v>
      </c>
      <c r="CN16" s="3">
        <v>0.16003199879999999</v>
      </c>
      <c r="CO16" s="3">
        <v>0.16171553720000001</v>
      </c>
      <c r="CP16" s="3">
        <v>0.17246458719999999</v>
      </c>
      <c r="CQ16" s="3">
        <v>0.1820833566</v>
      </c>
    </row>
    <row r="17" spans="1:95" x14ac:dyDescent="0.25">
      <c r="A17" t="s">
        <v>250</v>
      </c>
      <c r="B17" s="1">
        <v>46754778</v>
      </c>
      <c r="C17" s="1">
        <v>498800</v>
      </c>
      <c r="D17" s="3">
        <v>0.58182843520000005</v>
      </c>
      <c r="E17" s="3">
        <v>5.6254908899999997E-2</v>
      </c>
      <c r="F17" s="3">
        <v>6.85389374E-2</v>
      </c>
      <c r="G17" s="3">
        <v>3.1852196300000003E-2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0.58182843520000005</v>
      </c>
      <c r="AY17" s="3">
        <v>0.53700106830000005</v>
      </c>
      <c r="AZ17" s="3">
        <v>0.42017719520000002</v>
      </c>
      <c r="BA17" s="3">
        <v>0.37619718590000001</v>
      </c>
      <c r="BB17" s="3">
        <v>0.33802473840000002</v>
      </c>
      <c r="BC17" s="3">
        <v>0.33565988610000003</v>
      </c>
      <c r="BD17" s="3">
        <v>0.37530170829999998</v>
      </c>
      <c r="BE17" s="3">
        <v>0.41436809499999999</v>
      </c>
      <c r="BF17" s="3">
        <v>0.45521883130000002</v>
      </c>
      <c r="BG17" s="3">
        <v>0.4959874735</v>
      </c>
      <c r="BH17" s="3">
        <v>0.50941223069999997</v>
      </c>
      <c r="BI17" s="3">
        <v>0.46823941860000001</v>
      </c>
      <c r="BJ17" s="3">
        <v>0.4161468398</v>
      </c>
      <c r="BK17" s="3">
        <v>0.3411109511</v>
      </c>
      <c r="BL17" s="3">
        <v>0.28494500499999997</v>
      </c>
      <c r="BM17" s="3">
        <v>0.24445401729999999</v>
      </c>
      <c r="BN17" s="3">
        <v>0.2350719963</v>
      </c>
      <c r="BO17" s="3">
        <v>0.22472268000000001</v>
      </c>
      <c r="BP17" s="3">
        <v>0.22473951850000001</v>
      </c>
      <c r="BQ17" s="3">
        <v>0.21628552379999999</v>
      </c>
      <c r="BR17" s="3">
        <v>0.2098905868</v>
      </c>
      <c r="BS17" s="3">
        <v>0.20115345530000001</v>
      </c>
      <c r="BT17" s="3">
        <v>0.19673927329999999</v>
      </c>
      <c r="BU17" s="3">
        <v>0.2005101883</v>
      </c>
      <c r="BV17" s="3">
        <v>0.1954396135</v>
      </c>
      <c r="BW17" s="3">
        <v>0.18994707250000001</v>
      </c>
      <c r="BX17" s="3">
        <v>0.1679993042</v>
      </c>
      <c r="BY17" s="3">
        <v>0.14831281069999999</v>
      </c>
      <c r="BZ17" s="3">
        <v>0.1269534933</v>
      </c>
      <c r="CA17" s="3">
        <v>0.1153647814</v>
      </c>
      <c r="CB17" s="3">
        <v>0.1101911402</v>
      </c>
      <c r="CC17" s="3">
        <v>0.1035123287</v>
      </c>
      <c r="CD17" s="3">
        <v>9.8515827799999997E-2</v>
      </c>
      <c r="CE17" s="3">
        <v>8.9127626400000007E-2</v>
      </c>
      <c r="CF17" s="3">
        <v>8.1180452099999995E-2</v>
      </c>
      <c r="CG17" s="3">
        <v>7.1867128599999996E-2</v>
      </c>
      <c r="CH17" s="3">
        <v>6.8119299300000005E-2</v>
      </c>
      <c r="CI17" s="3">
        <v>6.6422632199999998E-2</v>
      </c>
      <c r="CJ17" s="3">
        <v>6.6683779999999998E-2</v>
      </c>
      <c r="CK17" s="3">
        <v>6.7263062299999996E-2</v>
      </c>
      <c r="CL17" s="3">
        <v>6.5628143900000005E-2</v>
      </c>
      <c r="CM17" s="3">
        <v>6.3110054200000001E-2</v>
      </c>
      <c r="CN17" s="3">
        <v>5.8606070099999998E-2</v>
      </c>
      <c r="CO17" s="3">
        <v>5.6254908899999997E-2</v>
      </c>
      <c r="CP17" s="3">
        <v>5.8996736399999999E-2</v>
      </c>
      <c r="CQ17" s="3">
        <v>6.85389374E-2</v>
      </c>
    </row>
    <row r="18" spans="1:95" x14ac:dyDescent="0.25">
      <c r="A18" t="s">
        <v>249</v>
      </c>
      <c r="B18" s="1">
        <v>10099265</v>
      </c>
      <c r="C18" s="1">
        <v>410340</v>
      </c>
      <c r="D18" s="3">
        <v>0.63746262840000001</v>
      </c>
      <c r="E18" s="3">
        <v>7.3841695900000004E-2</v>
      </c>
      <c r="F18" s="3">
        <v>8.4210805299999997E-2</v>
      </c>
      <c r="G18" s="3">
        <v>5.3907495999999999E-2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0.54438060479999995</v>
      </c>
      <c r="BB18" s="3">
        <v>0.63746262840000001</v>
      </c>
      <c r="BC18" s="3">
        <v>0.60270622240000005</v>
      </c>
      <c r="BD18" s="3">
        <v>0.4229376011</v>
      </c>
      <c r="BE18" s="3">
        <v>0.36924711199999999</v>
      </c>
      <c r="BF18" s="3">
        <v>0.32803857730000002</v>
      </c>
      <c r="BG18" s="3">
        <v>0.33367343570000002</v>
      </c>
      <c r="BH18" s="3">
        <v>0.33355369159999998</v>
      </c>
      <c r="BI18" s="3">
        <v>0.31396610870000002</v>
      </c>
      <c r="BJ18" s="3">
        <v>0.2655501623</v>
      </c>
      <c r="BK18" s="3">
        <v>0.20985557530000001</v>
      </c>
      <c r="BL18" s="3">
        <v>0.1499868422</v>
      </c>
      <c r="BM18" s="3">
        <v>0.11056109059999999</v>
      </c>
      <c r="BN18" s="3">
        <v>9.33105553E-2</v>
      </c>
      <c r="BO18" s="3">
        <v>9.59675428E-2</v>
      </c>
      <c r="BP18" s="3">
        <v>0.1092702827</v>
      </c>
      <c r="BQ18" s="3">
        <v>0.1179216609</v>
      </c>
      <c r="BR18" s="3">
        <v>0.11495626640000001</v>
      </c>
      <c r="BS18" s="3">
        <v>0.11257426</v>
      </c>
      <c r="BT18" s="3">
        <v>0.11342938380000001</v>
      </c>
      <c r="BU18" s="3">
        <v>0.1195163898</v>
      </c>
      <c r="BV18" s="3">
        <v>0.1372834409</v>
      </c>
      <c r="BW18" s="3">
        <v>0.14616332039999999</v>
      </c>
      <c r="BX18" s="3">
        <v>0.14474958339999999</v>
      </c>
      <c r="BY18" s="3">
        <v>0.13675210979999999</v>
      </c>
      <c r="BZ18" s="3">
        <v>0.13095782610000001</v>
      </c>
      <c r="CA18" s="3">
        <v>0.12700571760000001</v>
      </c>
      <c r="CB18" s="3">
        <v>0.13467137809999999</v>
      </c>
      <c r="CC18" s="3">
        <v>0.1429757083</v>
      </c>
      <c r="CD18" s="3">
        <v>0.14472556119999999</v>
      </c>
      <c r="CE18" s="3">
        <v>0.13499594030000001</v>
      </c>
      <c r="CF18" s="3">
        <v>0.1143039163</v>
      </c>
      <c r="CG18" s="3">
        <v>9.8013746099999993E-2</v>
      </c>
      <c r="CH18" s="3">
        <v>9.25183168E-2</v>
      </c>
      <c r="CI18" s="3">
        <v>9.8771031300000006E-2</v>
      </c>
      <c r="CJ18" s="3">
        <v>0.10829143400000001</v>
      </c>
      <c r="CK18" s="3">
        <v>0.1129817979</v>
      </c>
      <c r="CL18" s="3">
        <v>0.10484434820000001</v>
      </c>
      <c r="CM18" s="3">
        <v>9.0974609499999998E-2</v>
      </c>
      <c r="CN18" s="3">
        <v>7.8512868200000002E-2</v>
      </c>
      <c r="CO18" s="3">
        <v>7.3841695900000004E-2</v>
      </c>
      <c r="CP18" s="3">
        <v>7.7759281E-2</v>
      </c>
      <c r="CQ18" s="3">
        <v>8.4210805299999997E-2</v>
      </c>
    </row>
    <row r="19" spans="1:95" x14ac:dyDescent="0.25">
      <c r="A19" t="s">
        <v>0</v>
      </c>
      <c r="B19" s="1">
        <v>8654622</v>
      </c>
      <c r="C19" s="1">
        <v>39516</v>
      </c>
      <c r="D19" s="3">
        <v>0.48277588960000001</v>
      </c>
      <c r="E19" s="3">
        <v>4.3390621900000002E-2</v>
      </c>
      <c r="F19" s="3">
        <v>4.5911198399999999E-2</v>
      </c>
      <c r="G19" s="3">
        <v>1.2943288900000001E-2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0.4591054557</v>
      </c>
      <c r="BA19" s="3">
        <v>0.48277588960000001</v>
      </c>
      <c r="BB19" s="3">
        <v>0.47948158530000001</v>
      </c>
      <c r="BC19" s="3">
        <v>0.4473677767</v>
      </c>
      <c r="BD19" s="3">
        <v>0.39511683600000003</v>
      </c>
      <c r="BE19" s="3">
        <v>0.30407092679999997</v>
      </c>
      <c r="BF19" s="3">
        <v>0.26471557340000001</v>
      </c>
      <c r="BG19" s="3">
        <v>0.25835740169999999</v>
      </c>
      <c r="BH19" s="3">
        <v>0.29038092189999998</v>
      </c>
      <c r="BI19" s="3">
        <v>0.30021766890000001</v>
      </c>
      <c r="BJ19" s="3">
        <v>0.33063291839999998</v>
      </c>
      <c r="BK19" s="3">
        <v>0.31571875090000001</v>
      </c>
      <c r="BL19" s="3">
        <v>0.2921607719</v>
      </c>
      <c r="BM19" s="3">
        <v>0.2534818378</v>
      </c>
      <c r="BN19" s="3">
        <v>0.20769133789999999</v>
      </c>
      <c r="BO19" s="3">
        <v>0.20683486240000001</v>
      </c>
      <c r="BP19" s="3">
        <v>0.2226819813</v>
      </c>
      <c r="BQ19" s="3">
        <v>0.25147451529999998</v>
      </c>
      <c r="BR19" s="3">
        <v>0.24599051829999999</v>
      </c>
      <c r="BS19" s="3">
        <v>0.2158264879</v>
      </c>
      <c r="BT19" s="3">
        <v>0.17759652279999999</v>
      </c>
      <c r="BU19" s="3">
        <v>0.15068656450000001</v>
      </c>
      <c r="BV19" s="3">
        <v>0.12894168180000001</v>
      </c>
      <c r="BW19" s="3">
        <v>0.1149156197</v>
      </c>
      <c r="BX19" s="3">
        <v>0.1063977604</v>
      </c>
      <c r="BY19" s="3">
        <v>9.8100254900000003E-2</v>
      </c>
      <c r="BZ19" s="3">
        <v>8.7976912099999999E-2</v>
      </c>
      <c r="CA19" s="3">
        <v>8.06655711E-2</v>
      </c>
      <c r="CB19" s="3">
        <v>7.9044224499999996E-2</v>
      </c>
      <c r="CC19" s="3">
        <v>7.9672518799999995E-2</v>
      </c>
      <c r="CD19" s="3">
        <v>8.2758539000000006E-2</v>
      </c>
      <c r="CE19" s="3">
        <v>7.7937998999999994E-2</v>
      </c>
      <c r="CF19" s="3">
        <v>7.45215397E-2</v>
      </c>
      <c r="CG19" s="3">
        <v>6.6658830899999993E-2</v>
      </c>
      <c r="CH19" s="3">
        <v>6.2607838900000004E-2</v>
      </c>
      <c r="CI19" s="3">
        <v>6.4000676800000003E-2</v>
      </c>
      <c r="CJ19" s="3">
        <v>6.8544806900000005E-2</v>
      </c>
      <c r="CK19" s="3">
        <v>7.2592033400000006E-2</v>
      </c>
      <c r="CL19" s="3">
        <v>6.7516385600000006E-2</v>
      </c>
      <c r="CM19" s="3">
        <v>6.0498111E-2</v>
      </c>
      <c r="CN19" s="3">
        <v>4.85653396E-2</v>
      </c>
      <c r="CO19" s="3">
        <v>4.3390621900000002E-2</v>
      </c>
      <c r="CP19" s="3">
        <v>4.3424285200000003E-2</v>
      </c>
      <c r="CQ19" s="3">
        <v>4.5911198399999999E-2</v>
      </c>
    </row>
    <row r="20" spans="1:95" x14ac:dyDescent="0.25">
      <c r="A20" t="s">
        <v>248</v>
      </c>
      <c r="B20" s="1">
        <v>331002651</v>
      </c>
      <c r="C20" s="1">
        <v>9147420</v>
      </c>
      <c r="D20" s="3">
        <v>0.44114429799999999</v>
      </c>
      <c r="E20" s="3">
        <v>1.9237624700000001E-2</v>
      </c>
      <c r="F20" s="3">
        <v>7.8895882099999995E-2</v>
      </c>
      <c r="G20" s="3">
        <v>4.7776208799999997E-2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1.9237624700000001E-2</v>
      </c>
      <c r="AB20" s="3">
        <v>2.0046439700000002E-2</v>
      </c>
      <c r="AC20" s="3">
        <v>2.09271912E-2</v>
      </c>
      <c r="AD20" s="3">
        <v>2.6425619000000001E-2</v>
      </c>
      <c r="AE20" s="3">
        <v>3.7188635499999997E-2</v>
      </c>
      <c r="AF20" s="3">
        <v>5.0770981100000001E-2</v>
      </c>
      <c r="AG20" s="3">
        <v>6.8160568000000005E-2</v>
      </c>
      <c r="AH20" s="3">
        <v>8.8061176500000005E-2</v>
      </c>
      <c r="AI20" s="3">
        <v>0.1125305491</v>
      </c>
      <c r="AJ20" s="3">
        <v>9.2744865499999996E-2</v>
      </c>
      <c r="AK20" s="3">
        <v>8.1897255000000002E-2</v>
      </c>
      <c r="AL20" s="3">
        <v>7.8777105900000005E-2</v>
      </c>
      <c r="AM20" s="3">
        <v>7.5882812600000002E-2</v>
      </c>
      <c r="AN20" s="3">
        <v>0.1372388353</v>
      </c>
      <c r="AO20" s="3">
        <v>0.2479412228</v>
      </c>
      <c r="AP20" s="3">
        <v>0.365807084</v>
      </c>
      <c r="AQ20" s="3">
        <v>0.44114429799999999</v>
      </c>
      <c r="AR20" s="3">
        <v>0.38405471229999999</v>
      </c>
      <c r="AS20" s="3">
        <v>0.26016277030000001</v>
      </c>
      <c r="AT20" s="3">
        <v>0.13590525070000001</v>
      </c>
      <c r="AU20" s="3">
        <v>8.2441754699999995E-2</v>
      </c>
      <c r="AV20" s="3">
        <v>6.9661892700000005E-2</v>
      </c>
      <c r="AW20" s="3">
        <v>0.1069182996</v>
      </c>
      <c r="AX20" s="3">
        <v>0.15307893319999999</v>
      </c>
      <c r="AY20" s="3">
        <v>0.20336318859999999</v>
      </c>
      <c r="AZ20" s="3">
        <v>0.26195806589999998</v>
      </c>
      <c r="BA20" s="3">
        <v>0.28836285620000002</v>
      </c>
      <c r="BB20" s="3">
        <v>0.34326987660000002</v>
      </c>
      <c r="BC20" s="3">
        <v>0.36927298790000002</v>
      </c>
      <c r="BD20" s="3">
        <v>0.35887515980000001</v>
      </c>
      <c r="BE20" s="3">
        <v>0.3664214509</v>
      </c>
      <c r="BF20" s="3">
        <v>0.35366806649999999</v>
      </c>
      <c r="BG20" s="3">
        <v>0.36059299210000001</v>
      </c>
      <c r="BH20" s="3">
        <v>0.36891384170000002</v>
      </c>
      <c r="BI20" s="3">
        <v>0.34491313109999999</v>
      </c>
      <c r="BJ20" s="3">
        <v>0.32035572289999997</v>
      </c>
      <c r="BK20" s="3">
        <v>0.2977805999</v>
      </c>
      <c r="BL20" s="3">
        <v>0.30380696880000002</v>
      </c>
      <c r="BM20" s="3">
        <v>0.30716525459999999</v>
      </c>
      <c r="BN20" s="3">
        <v>0.35602769829999997</v>
      </c>
      <c r="BO20" s="3">
        <v>0.39771539010000001</v>
      </c>
      <c r="BP20" s="3">
        <v>0.42335745629999999</v>
      </c>
      <c r="BQ20" s="3">
        <v>0.43395144130000002</v>
      </c>
      <c r="BR20" s="3">
        <v>0.38974767850000003</v>
      </c>
      <c r="BS20" s="3">
        <v>0.34435644069999999</v>
      </c>
      <c r="BT20" s="3">
        <v>0.29783129250000001</v>
      </c>
      <c r="BU20" s="3">
        <v>0.27554316919999999</v>
      </c>
      <c r="BV20" s="3">
        <v>0.25610238749999997</v>
      </c>
      <c r="BW20" s="3">
        <v>0.2430331131</v>
      </c>
      <c r="BX20" s="3">
        <v>0.2274480002</v>
      </c>
      <c r="BY20" s="3">
        <v>0.2077482054</v>
      </c>
      <c r="BZ20" s="3">
        <v>0.18870553200000001</v>
      </c>
      <c r="CA20" s="3">
        <v>0.17014367629999999</v>
      </c>
      <c r="CB20" s="3">
        <v>0.1630660069</v>
      </c>
      <c r="CC20" s="3">
        <v>0.15742074249999999</v>
      </c>
      <c r="CD20" s="3">
        <v>0.15230436019999999</v>
      </c>
      <c r="CE20" s="3">
        <v>0.14524243680000001</v>
      </c>
      <c r="CF20" s="3">
        <v>0.13541644729999999</v>
      </c>
      <c r="CG20" s="3">
        <v>0.1236770308</v>
      </c>
      <c r="CH20" s="3">
        <v>0.1125463006</v>
      </c>
      <c r="CI20" s="3">
        <v>0.10636388369999999</v>
      </c>
      <c r="CJ20" s="3">
        <v>0.10290672820000001</v>
      </c>
      <c r="CK20" s="3">
        <v>0.1011462731</v>
      </c>
      <c r="CL20" s="3">
        <v>9.7424925199999998E-2</v>
      </c>
      <c r="CM20" s="3">
        <v>9.1679919600000007E-2</v>
      </c>
      <c r="CN20" s="3">
        <v>8.5270653299999999E-2</v>
      </c>
      <c r="CO20" s="3">
        <v>7.966471E-2</v>
      </c>
      <c r="CP20" s="3">
        <v>7.7330765199999998E-2</v>
      </c>
      <c r="CQ20" s="3">
        <v>7.8895882099999995E-2</v>
      </c>
    </row>
    <row r="21" spans="1:95" x14ac:dyDescent="0.25">
      <c r="A21" t="s">
        <v>247</v>
      </c>
      <c r="B21" s="1">
        <v>67886011</v>
      </c>
      <c r="C21" s="1">
        <v>241930</v>
      </c>
      <c r="D21" s="3">
        <v>0.42250128199999998</v>
      </c>
      <c r="E21" s="3">
        <v>3.80204019E-2</v>
      </c>
      <c r="F21" s="3">
        <v>8.2432433400000005E-2</v>
      </c>
      <c r="G21" s="3">
        <v>5.4310185900000002E-2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4.1073558500000003E-2</v>
      </c>
      <c r="AN21" s="3">
        <v>3.9489005899999999E-2</v>
      </c>
      <c r="AO21" s="3">
        <v>3.80204019E-2</v>
      </c>
      <c r="AP21" s="3">
        <v>7.3311199800000004E-2</v>
      </c>
      <c r="AQ21" s="3">
        <v>7.8325891600000003E-2</v>
      </c>
      <c r="AR21" s="3">
        <v>8.8815462900000003E-2</v>
      </c>
      <c r="AS21" s="3">
        <v>0.101343299</v>
      </c>
      <c r="AT21" s="3">
        <v>0.1305087811</v>
      </c>
      <c r="AU21" s="3">
        <v>0.1803951681</v>
      </c>
      <c r="AV21" s="3">
        <v>0.24991161840000001</v>
      </c>
      <c r="AW21" s="3">
        <v>0.31609665260000003</v>
      </c>
      <c r="AX21" s="3">
        <v>0.34001291569999997</v>
      </c>
      <c r="AY21" s="3">
        <v>0.36904574109999999</v>
      </c>
      <c r="AZ21" s="3">
        <v>0.3729265551</v>
      </c>
      <c r="BA21" s="3">
        <v>0.41428185270000001</v>
      </c>
      <c r="BB21" s="3">
        <v>0.42250128199999998</v>
      </c>
      <c r="BC21" s="3">
        <v>0.40057824209999998</v>
      </c>
      <c r="BD21" s="3">
        <v>0.35033446309999999</v>
      </c>
      <c r="BE21" s="3">
        <v>0.2909266982</v>
      </c>
      <c r="BF21" s="3">
        <v>0.25188636860000002</v>
      </c>
      <c r="BG21" s="3">
        <v>0.2346816511</v>
      </c>
      <c r="BH21" s="3">
        <v>0.24442253999999999</v>
      </c>
      <c r="BI21" s="3">
        <v>0.27886359789999998</v>
      </c>
      <c r="BJ21" s="3">
        <v>0.30516257279999998</v>
      </c>
      <c r="BK21" s="3">
        <v>0.29803857480000001</v>
      </c>
      <c r="BL21" s="3">
        <v>0.27389126930000002</v>
      </c>
      <c r="BM21" s="3">
        <v>0.25091320509999998</v>
      </c>
      <c r="BN21" s="3">
        <v>0.2318019539</v>
      </c>
      <c r="BO21" s="3">
        <v>0.24370603120000001</v>
      </c>
      <c r="BP21" s="3">
        <v>0.25902521880000001</v>
      </c>
      <c r="BQ21" s="3">
        <v>0.2573572656</v>
      </c>
      <c r="BR21" s="3">
        <v>0.25604474020000001</v>
      </c>
      <c r="BS21" s="3">
        <v>0.22917786949999999</v>
      </c>
      <c r="BT21" s="3">
        <v>0.2104635007</v>
      </c>
      <c r="BU21" s="3">
        <v>0.1988474637</v>
      </c>
      <c r="BV21" s="3">
        <v>0.20940872420000001</v>
      </c>
      <c r="BW21" s="3">
        <v>0.22158412860000001</v>
      </c>
      <c r="BX21" s="3">
        <v>0.2202101031</v>
      </c>
      <c r="BY21" s="3">
        <v>0.2046019812</v>
      </c>
      <c r="BZ21" s="3">
        <v>0.18362055529999999</v>
      </c>
      <c r="CA21" s="3">
        <v>0.16902803490000001</v>
      </c>
      <c r="CB21" s="3">
        <v>0.16024434479999999</v>
      </c>
      <c r="CC21" s="3">
        <v>0.1630886023</v>
      </c>
      <c r="CD21" s="3">
        <v>0.16174772709999999</v>
      </c>
      <c r="CE21" s="3">
        <v>0.1544343497</v>
      </c>
      <c r="CF21" s="3">
        <v>0.1430562225</v>
      </c>
      <c r="CG21" s="3">
        <v>0.13049117430000001</v>
      </c>
      <c r="CH21" s="3">
        <v>0.1205331835</v>
      </c>
      <c r="CI21" s="3">
        <v>0.1106391477</v>
      </c>
      <c r="CJ21" s="3">
        <v>0.11225258740000001</v>
      </c>
      <c r="CK21" s="3">
        <v>0.11407501220000001</v>
      </c>
      <c r="CL21" s="3">
        <v>0.1178373744</v>
      </c>
      <c r="CM21" s="3">
        <v>0.114717111</v>
      </c>
      <c r="CN21" s="3">
        <v>0.1027997623</v>
      </c>
      <c r="CO21" s="3">
        <v>9.3772641099999998E-2</v>
      </c>
      <c r="CP21" s="3">
        <v>8.4136285300000002E-2</v>
      </c>
      <c r="CQ21" s="3">
        <v>8.2432433400000005E-2</v>
      </c>
    </row>
  </sheetData>
  <autoFilter ref="A1:CQ21" xr:uid="{6C33BA6B-2EB7-4D21-A5D4-44BB7A526287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2020-04-18T08:48:08Z</dcterms:modified>
</cp:coreProperties>
</file>