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A7236F60-4426-41A2-82F7-34FCE760F66C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Tested" sheetId="177" r:id="rId3"/>
    <sheet name="Confirmed" sheetId="178" r:id="rId4"/>
    <sheet name="Confirmed Day Zero" sheetId="179" r:id="rId5"/>
    <sheet name="Confirmed Trend" sheetId="180" r:id="rId6"/>
    <sheet name="Recovered" sheetId="181" r:id="rId7"/>
    <sheet name="Recovered Predicted" sheetId="182" r:id="rId8"/>
    <sheet name="Hospitalized" sheetId="183" r:id="rId9"/>
    <sheet name="Deaths" sheetId="184" r:id="rId10"/>
  </sheets>
  <definedNames>
    <definedName name="_xlnm._FilterDatabase" localSheetId="0" hidden="1">'4 Country Dashboard'!$B$22:$C$1058</definedName>
    <definedName name="_xlnm._FilterDatabase" localSheetId="3" hidden="1">Confirmed!$A$1:$BR$1</definedName>
    <definedName name="_xlnm._FilterDatabase" localSheetId="4" hidden="1">'Confirmed Day Zero'!$A$1:$BR$1</definedName>
    <definedName name="_xlnm._FilterDatabase" localSheetId="5" hidden="1">'Confirmed Trend'!$A$1:$BS$1</definedName>
    <definedName name="_xlnm._FilterDatabase" localSheetId="9" hidden="1">Deaths!$A$1:$BT$1</definedName>
    <definedName name="_xlnm._FilterDatabase" localSheetId="8" hidden="1">Hospitalized!$A$1:$BR$1</definedName>
    <definedName name="_xlnm._FilterDatabase" localSheetId="6" hidden="1">Recovered!$A$1:$BR$1</definedName>
    <definedName name="_xlnm._FilterDatabase" localSheetId="7" hidden="1">'Recovered Predicted'!$A$1:$BR$1</definedName>
    <definedName name="_xlnm._FilterDatabase" localSheetId="2" hidden="1">Tested!$A$1:$BR$1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4" i="15" l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166" i="15"/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T225" i="15" a="1"/>
  <c r="BL225" i="15" a="1"/>
  <c r="BD225" i="15" a="1"/>
  <c r="BE225" i="15" a="1"/>
  <c r="AM225" i="15" a="1"/>
  <c r="W225" i="15" a="1"/>
  <c r="G225" i="15" a="1"/>
  <c r="BI224" i="15" a="1"/>
  <c r="AS224" i="15" a="1"/>
  <c r="AC224" i="15" a="1"/>
  <c r="M224" i="15" a="1"/>
  <c r="BO223" i="15" a="1"/>
  <c r="AY223" i="15" a="1"/>
  <c r="AN223" i="15" a="1"/>
  <c r="AF223" i="15" a="1"/>
  <c r="X223" i="15" a="1"/>
  <c r="P223" i="15" a="1"/>
  <c r="H223" i="15" a="1"/>
  <c r="BC225" i="15" a="1"/>
  <c r="AL225" i="15" a="1"/>
  <c r="V225" i="15" a="1"/>
  <c r="F225" i="15" a="1"/>
  <c r="BH224" i="15" a="1"/>
  <c r="AR224" i="15" a="1"/>
  <c r="AB224" i="15" a="1"/>
  <c r="L224" i="15" a="1"/>
  <c r="BN223" i="15" a="1"/>
  <c r="AX223" i="15" a="1"/>
  <c r="BA225" i="15" a="1"/>
  <c r="AK225" i="15" a="1"/>
  <c r="U225" i="15" a="1"/>
  <c r="E225" i="15" a="1"/>
  <c r="BG224" i="15" a="1"/>
  <c r="AQ224" i="15" a="1"/>
  <c r="AA224" i="15" a="1"/>
  <c r="K224" i="15" a="1"/>
  <c r="BM223" i="15" a="1"/>
  <c r="AW223" i="15" a="1"/>
  <c r="AM223" i="15" a="1"/>
  <c r="AE223" i="15" a="1"/>
  <c r="W223" i="15" a="1"/>
  <c r="O223" i="15" a="1"/>
  <c r="G223" i="15" a="1"/>
  <c r="L225" i="15" a="1"/>
  <c r="R224" i="15" a="1"/>
  <c r="BQ222" i="15" a="1"/>
  <c r="BA222" i="15" a="1"/>
  <c r="AK222" i="15" a="1"/>
  <c r="U222" i="15" a="1"/>
  <c r="E222" i="15" a="1"/>
  <c r="X225" i="15" a="1"/>
  <c r="AD224" i="15" a="1"/>
  <c r="BV222" i="15" a="1"/>
  <c r="BF222" i="15" a="1"/>
  <c r="AP222" i="15" a="1"/>
  <c r="Z222" i="15" a="1"/>
  <c r="J222" i="15" a="1"/>
  <c r="BO221" i="15" a="1"/>
  <c r="BG221" i="15" a="1"/>
  <c r="AY221" i="15" a="1"/>
  <c r="AJ225" i="15" a="1"/>
  <c r="AP224" i="15" a="1"/>
  <c r="AV223" i="15" a="1"/>
  <c r="BH222" i="15" a="1"/>
  <c r="AR222" i="15" a="1"/>
  <c r="AB222" i="15" a="1"/>
  <c r="L222" i="15" a="1"/>
  <c r="AV225" i="15" a="1"/>
  <c r="BG222" i="15" a="1"/>
  <c r="BN221" i="15" a="1"/>
  <c r="AN221" i="15" a="1"/>
  <c r="X221" i="15" a="1"/>
  <c r="H221" i="15" a="1"/>
  <c r="BJ220" i="15" a="1"/>
  <c r="AT220" i="15" a="1"/>
  <c r="AL224" i="15" a="1"/>
  <c r="N222" i="15" a="1"/>
  <c r="AV221" i="15" a="1"/>
  <c r="AE221" i="15" a="1"/>
  <c r="O221" i="15" a="1"/>
  <c r="BQ220" i="15" a="1"/>
  <c r="BA220" i="15" a="1"/>
  <c r="AI220" i="15" a="1"/>
  <c r="AA220" i="15" a="1"/>
  <c r="S220" i="15" a="1"/>
  <c r="K220" i="15" a="1"/>
  <c r="BU219" i="15" a="1"/>
  <c r="BM219" i="15" a="1"/>
  <c r="BE219" i="15" a="1"/>
  <c r="AW219" i="15" a="1"/>
  <c r="AO219" i="15" a="1"/>
  <c r="V224" i="15" a="1"/>
  <c r="V222" i="15" a="1"/>
  <c r="AT221" i="15" a="1"/>
  <c r="AD221" i="15" a="1"/>
  <c r="N221" i="15" a="1"/>
  <c r="BP220" i="15" a="1"/>
  <c r="AZ220" i="15" a="1"/>
  <c r="AK220" i="15" a="1"/>
  <c r="AY222" i="15" a="1"/>
  <c r="BH221" i="15" a="1"/>
  <c r="AK221" i="15" a="1"/>
  <c r="U221" i="15" a="1"/>
  <c r="E221" i="15" a="1"/>
  <c r="BG220" i="15" a="1"/>
  <c r="AR220" i="15" a="1"/>
  <c r="AF220" i="15" a="1"/>
  <c r="X220" i="15" a="1"/>
  <c r="P220" i="15" a="1"/>
  <c r="H220" i="15" a="1"/>
  <c r="BR219" i="15" a="1"/>
  <c r="BJ219" i="15" a="1"/>
  <c r="BB219" i="15" a="1"/>
  <c r="AT219" i="15" a="1"/>
  <c r="AB219" i="15" a="1"/>
  <c r="L219" i="15" a="1"/>
  <c r="BN218" i="15" a="1"/>
  <c r="AX218" i="15" a="1"/>
  <c r="AH218" i="15" a="1"/>
  <c r="R218" i="15" a="1"/>
  <c r="BT217" i="15" a="1"/>
  <c r="BD217" i="15" a="1"/>
  <c r="AN217" i="15" a="1"/>
  <c r="X217" i="15" a="1"/>
  <c r="H217" i="15" a="1"/>
  <c r="BJ216" i="15" a="1"/>
  <c r="AT216" i="15" a="1"/>
  <c r="BR225" i="15" a="1"/>
  <c r="BJ225" i="15" a="1"/>
  <c r="BH225" i="15" a="1"/>
  <c r="BM225" i="15" a="1"/>
  <c r="AI225" i="15" a="1"/>
  <c r="O225" i="15" a="1"/>
  <c r="BM224" i="15" a="1"/>
  <c r="AO224" i="15" a="1"/>
  <c r="U224" i="15" a="1"/>
  <c r="BS223" i="15" a="1"/>
  <c r="AU223" i="15" a="1"/>
  <c r="AJ223" i="15" a="1"/>
  <c r="Z223" i="15" a="1"/>
  <c r="N223" i="15" a="1"/>
  <c r="BS225" i="15" a="1"/>
  <c r="AP225" i="15" a="1"/>
  <c r="R225" i="15" a="1"/>
  <c r="BP224" i="15" a="1"/>
  <c r="AV224" i="15" a="1"/>
  <c r="X224" i="15" a="1"/>
  <c r="BV223" i="15" a="1"/>
  <c r="BB223" i="15" a="1"/>
  <c r="AW225" i="15" a="1"/>
  <c r="AC225" i="15" a="1"/>
  <c r="I225" i="15" a="1"/>
  <c r="BC224" i="15" a="1"/>
  <c r="AI224" i="15" a="1"/>
  <c r="O224" i="15" a="1"/>
  <c r="BI223" i="15" a="1"/>
  <c r="AQ223" i="15" a="1"/>
  <c r="AG223" i="15" a="1"/>
  <c r="U223" i="15" a="1"/>
  <c r="K223" i="15" a="1"/>
  <c r="AB225" i="15" a="1"/>
  <c r="BT223" i="15" a="1"/>
  <c r="BI222" i="15" a="1"/>
  <c r="AN222" i="15" a="1"/>
  <c r="P222" i="15" a="1"/>
  <c r="BG225" i="15" a="1"/>
  <c r="AT224" i="15" a="1"/>
  <c r="BS222" i="15" a="1"/>
  <c r="AX222" i="15" a="1"/>
  <c r="AE222" i="15" a="1"/>
  <c r="G222" i="15" a="1"/>
  <c r="BK221" i="15" a="1"/>
  <c r="BA221" i="15" a="1"/>
  <c r="T225" i="15" a="1"/>
  <c r="J224" i="15" a="1"/>
  <c r="BM222" i="15" a="1"/>
  <c r="AO222" i="15" a="1"/>
  <c r="T222" i="15" a="1"/>
  <c r="BS221" i="15" a="1"/>
  <c r="AL222" i="15" a="1"/>
  <c r="AX221" i="15" a="1"/>
  <c r="AB221" i="15" a="1"/>
  <c r="BV220" i="15" a="1"/>
  <c r="BB220" i="15" a="1"/>
  <c r="AF225" i="15" a="1"/>
  <c r="BU221" i="15" a="1"/>
  <c r="AM221" i="15" a="1"/>
  <c r="S221" i="15" a="1"/>
  <c r="BM220" i="15" a="1"/>
  <c r="AQ220" i="15" a="1"/>
  <c r="AC220" i="15" a="1"/>
  <c r="Q220" i="15" a="1"/>
  <c r="G220" i="15" a="1"/>
  <c r="BO219" i="15" a="1"/>
  <c r="BC219" i="15" a="1"/>
  <c r="AS219" i="15" a="1"/>
  <c r="P225" i="15" a="1"/>
  <c r="K222" i="15" a="1"/>
  <c r="AL221" i="15" a="1"/>
  <c r="R221" i="15" a="1"/>
  <c r="BL220" i="15" a="1"/>
  <c r="AS220" i="15" a="1"/>
  <c r="BJ222" i="15" a="1"/>
  <c r="AZ221" i="15" a="1"/>
  <c r="AC221" i="15" a="1"/>
  <c r="I221" i="15" a="1"/>
  <c r="BC220" i="15" a="1"/>
  <c r="AJ220" i="15" a="1"/>
  <c r="Z220" i="15" a="1"/>
  <c r="N220" i="15" a="1"/>
  <c r="BV219" i="15" a="1"/>
  <c r="BL219" i="15" a="1"/>
  <c r="AZ219" i="15" a="1"/>
  <c r="AJ219" i="15" a="1"/>
  <c r="P219" i="15" a="1"/>
  <c r="BJ218" i="15" a="1"/>
  <c r="AP218" i="15" a="1"/>
  <c r="V218" i="15" a="1"/>
  <c r="BP217" i="15" a="1"/>
  <c r="AV217" i="15" a="1"/>
  <c r="AB217" i="15" a="1"/>
  <c r="BV216" i="15" a="1"/>
  <c r="BB216" i="15" a="1"/>
  <c r="AH216" i="15" a="1"/>
  <c r="AI219" i="15" a="1"/>
  <c r="S219" i="15" a="1"/>
  <c r="BU218" i="15" a="1"/>
  <c r="BE218" i="15" a="1"/>
  <c r="AO218" i="15" a="1"/>
  <c r="Y218" i="15" a="1"/>
  <c r="I218" i="15" a="1"/>
  <c r="BK217" i="15" a="1"/>
  <c r="AU217" i="15" a="1"/>
  <c r="AE217" i="15" a="1"/>
  <c r="O217" i="15" a="1"/>
  <c r="BQ216" i="15" a="1"/>
  <c r="BA216" i="15" a="1"/>
  <c r="AK216" i="15" a="1"/>
  <c r="W216" i="15" a="1"/>
  <c r="O216" i="15" a="1"/>
  <c r="G216" i="15" a="1"/>
  <c r="BQ215" i="15" a="1"/>
  <c r="BI215" i="15" a="1"/>
  <c r="BA215" i="15" a="1"/>
  <c r="AN219" i="15" a="1"/>
  <c r="V219" i="15" a="1"/>
  <c r="F219" i="15" a="1"/>
  <c r="BH218" i="15" a="1"/>
  <c r="AR218" i="15" a="1"/>
  <c r="AB218" i="15" a="1"/>
  <c r="L218" i="15" a="1"/>
  <c r="BN217" i="15" a="1"/>
  <c r="AX217" i="15" a="1"/>
  <c r="AH217" i="15" a="1"/>
  <c r="R217" i="15" a="1"/>
  <c r="BT216" i="15" a="1"/>
  <c r="BD216" i="15" a="1"/>
  <c r="AN216" i="15" a="1"/>
  <c r="AL219" i="15" a="1"/>
  <c r="U219" i="15" a="1"/>
  <c r="E219" i="15" a="1"/>
  <c r="BG218" i="15" a="1"/>
  <c r="AQ218" i="15" a="1"/>
  <c r="AA218" i="15" a="1"/>
  <c r="K218" i="15" a="1"/>
  <c r="BM217" i="15" a="1"/>
  <c r="AW217" i="15" a="1"/>
  <c r="AG217" i="15" a="1"/>
  <c r="Q217" i="15" a="1"/>
  <c r="BS216" i="15" a="1"/>
  <c r="BC216" i="15" a="1"/>
  <c r="AM216" i="15" a="1"/>
  <c r="X216" i="15" a="1"/>
  <c r="P216" i="15" a="1"/>
  <c r="H216" i="15" a="1"/>
  <c r="BR215" i="15" a="1"/>
  <c r="BJ215" i="15" a="1"/>
  <c r="BB215" i="15" a="1"/>
  <c r="AT215" i="15" a="1"/>
  <c r="AL215" i="15" a="1"/>
  <c r="AD215" i="15" a="1"/>
  <c r="V215" i="15" a="1"/>
  <c r="N215" i="15" a="1"/>
  <c r="F215" i="15" a="1"/>
  <c r="BP214" i="15" a="1"/>
  <c r="BH214" i="15" a="1"/>
  <c r="AZ214" i="15" a="1"/>
  <c r="AR214" i="15" a="1"/>
  <c r="AS215" i="15" a="1"/>
  <c r="M215" i="15" a="1"/>
  <c r="AY214" i="15" a="1"/>
  <c r="AB214" i="15" a="1"/>
  <c r="L214" i="15" a="1"/>
  <c r="BN213" i="15" a="1"/>
  <c r="AX213" i="15" a="1"/>
  <c r="AH213" i="15" a="1"/>
  <c r="R213" i="15" a="1"/>
  <c r="BU212" i="15" a="1"/>
  <c r="BE212" i="15" a="1"/>
  <c r="AO212" i="15" a="1"/>
  <c r="Y212" i="15" a="1"/>
  <c r="I212" i="15" a="1"/>
  <c r="BK211" i="15" a="1"/>
  <c r="AQ215" i="15" a="1"/>
  <c r="K215" i="15" a="1"/>
  <c r="AW214" i="15" a="1"/>
  <c r="AA214" i="15" a="1"/>
  <c r="K214" i="15" a="1"/>
  <c r="BM213" i="15" a="1"/>
  <c r="AW213" i="15" a="1"/>
  <c r="AG213" i="15" a="1"/>
  <c r="Q213" i="15" a="1"/>
  <c r="BT212" i="15" a="1"/>
  <c r="BD212" i="15" a="1"/>
  <c r="AN212" i="15" a="1"/>
  <c r="X212" i="15" a="1"/>
  <c r="H212" i="15" a="1"/>
  <c r="BJ211" i="15" a="1"/>
  <c r="AG215" i="15" a="1"/>
  <c r="BS214" i="15" a="1"/>
  <c r="AM214" i="15" a="1"/>
  <c r="V214" i="15" a="1"/>
  <c r="F214" i="15" a="1"/>
  <c r="BH213" i="15" a="1"/>
  <c r="AR213" i="15" a="1"/>
  <c r="AB213" i="15" a="1"/>
  <c r="L213" i="15" a="1"/>
  <c r="BN212" i="15" a="1"/>
  <c r="AX212" i="15" a="1"/>
  <c r="AH212" i="15" a="1"/>
  <c r="R212" i="15" a="1"/>
  <c r="BT211" i="15" a="1"/>
  <c r="BD211" i="15" a="1"/>
  <c r="AN211" i="15" a="1"/>
  <c r="X211" i="15" a="1"/>
  <c r="H211" i="15" a="1"/>
  <c r="BJ210" i="15" a="1"/>
  <c r="AT210" i="15" a="1"/>
  <c r="AD210" i="15" a="1"/>
  <c r="N210" i="15" a="1"/>
  <c r="W215" i="15" a="1"/>
  <c r="BI214" i="15" a="1"/>
  <c r="AG214" i="15" a="1"/>
  <c r="Q214" i="15" a="1"/>
  <c r="BS213" i="15" a="1"/>
  <c r="BC213" i="15" a="1"/>
  <c r="AM213" i="15" a="1"/>
  <c r="W213" i="15" a="1"/>
  <c r="G213" i="15" a="1"/>
  <c r="BH212" i="15" a="1"/>
  <c r="AR212" i="15" a="1"/>
  <c r="AB212" i="15" a="1"/>
  <c r="L212" i="15" a="1"/>
  <c r="BN211" i="15" a="1"/>
  <c r="AX211" i="15" a="1"/>
  <c r="AH211" i="15" a="1"/>
  <c r="R211" i="15" a="1"/>
  <c r="BT210" i="15" a="1"/>
  <c r="BD210" i="15" a="1"/>
  <c r="AN210" i="15" a="1"/>
  <c r="X210" i="15" a="1"/>
  <c r="H210" i="15" a="1"/>
  <c r="Y211" i="15" a="1"/>
  <c r="BK210" i="15" a="1"/>
  <c r="AE210" i="15" a="1"/>
  <c r="BT209" i="15" a="1"/>
  <c r="BD209" i="15" a="1"/>
  <c r="AN209" i="15" a="1"/>
  <c r="X209" i="15" a="1"/>
  <c r="H209" i="15" a="1"/>
  <c r="BJ208" i="15" a="1"/>
  <c r="AB211" i="15" a="1"/>
  <c r="BN210" i="15" a="1"/>
  <c r="AH210" i="15" a="1"/>
  <c r="BV209" i="15" a="1"/>
  <c r="BF209" i="15" a="1"/>
  <c r="AP209" i="15" a="1"/>
  <c r="Z209" i="15" a="1"/>
  <c r="J209" i="15" a="1"/>
  <c r="BL208" i="15" a="1"/>
  <c r="AG211" i="15" a="1"/>
  <c r="BS210" i="15" a="1"/>
  <c r="AM210" i="15" a="1"/>
  <c r="BV225" i="15" a="1"/>
  <c r="BF225" i="15" a="1"/>
  <c r="AY225" i="15" a="1"/>
  <c r="AE225" i="15" a="1"/>
  <c r="K225" i="15" a="1"/>
  <c r="BE224" i="15" a="1"/>
  <c r="AK224" i="15" a="1"/>
  <c r="Q224" i="15" a="1"/>
  <c r="BK223" i="15" a="1"/>
  <c r="AR223" i="15" a="1"/>
  <c r="AH223" i="15" a="1"/>
  <c r="V223" i="15" a="1"/>
  <c r="L223" i="15" a="1"/>
  <c r="BK225" i="15" a="1"/>
  <c r="AH225" i="15" a="1"/>
  <c r="N225" i="15" a="1"/>
  <c r="BL224" i="15" a="1"/>
  <c r="AN224" i="15" a="1"/>
  <c r="T224" i="15" a="1"/>
  <c r="BR223" i="15" a="1"/>
  <c r="AT223" i="15" a="1"/>
  <c r="AS225" i="15" a="1"/>
  <c r="Y225" i="15" a="1"/>
  <c r="BS224" i="15" a="1"/>
  <c r="AY224" i="15" a="1"/>
  <c r="AE224" i="15" a="1"/>
  <c r="G224" i="15" a="1"/>
  <c r="BE223" i="15" a="1"/>
  <c r="AO223" i="15" a="1"/>
  <c r="AC223" i="15" a="1"/>
  <c r="S223" i="15" a="1"/>
  <c r="I223" i="15" a="1"/>
  <c r="BN224" i="15" a="1"/>
  <c r="BD223" i="15" a="1"/>
  <c r="BD222" i="15" a="1"/>
  <c r="AF222" i="15" a="1"/>
  <c r="M222" i="15" a="1"/>
  <c r="AN225" i="15" a="1"/>
  <c r="N224" i="15" a="1"/>
  <c r="BN222" i="15" a="1"/>
  <c r="AU222" i="15" a="1"/>
  <c r="W222" i="15" a="1"/>
  <c r="BT221" i="15" a="1"/>
  <c r="BI221" i="15" a="1"/>
  <c r="AW221" i="15" a="1"/>
  <c r="BV224" i="15" a="1"/>
  <c r="BL223" i="15" a="1"/>
  <c r="BE222" i="15" a="1"/>
  <c r="AJ222" i="15" a="1"/>
  <c r="Q222" i="15" a="1"/>
  <c r="BB224" i="15" a="1"/>
  <c r="AA222" i="15" a="1"/>
  <c r="AR221" i="15" a="1"/>
  <c r="T221" i="15" a="1"/>
  <c r="BR220" i="15" a="1"/>
  <c r="AX220" i="15" a="1"/>
  <c r="BO222" i="15" a="1"/>
  <c r="BL221" i="15" a="1"/>
  <c r="AI221" i="15" a="1"/>
  <c r="K221" i="15" a="1"/>
  <c r="BI220" i="15" a="1"/>
  <c r="AN220" i="15" a="1"/>
  <c r="Y220" i="15" a="1"/>
  <c r="O220" i="15" a="1"/>
  <c r="E220" i="15" a="1"/>
  <c r="BK219" i="15" a="1"/>
  <c r="BA219" i="15" a="1"/>
  <c r="AQ219" i="15" a="1"/>
  <c r="E223" i="15" a="1"/>
  <c r="BJ221" i="15" a="1"/>
  <c r="AH221" i="15" a="1"/>
  <c r="J221" i="15" a="1"/>
  <c r="BH220" i="15" a="1"/>
  <c r="AP220" i="15" a="1"/>
  <c r="AD222" i="15" a="1"/>
  <c r="AS221" i="15" a="1"/>
  <c r="Y221" i="15" a="1"/>
  <c r="BS220" i="15" a="1"/>
  <c r="AY220" i="15" a="1"/>
  <c r="AH220" i="15" a="1"/>
  <c r="V220" i="15" a="1"/>
  <c r="L220" i="15" a="1"/>
  <c r="BT219" i="15" a="1"/>
  <c r="BH219" i="15" a="1"/>
  <c r="AX219" i="15" a="1"/>
  <c r="AF219" i="15" a="1"/>
  <c r="H219" i="15" a="1"/>
  <c r="BF218" i="15" a="1"/>
  <c r="AL218" i="15" a="1"/>
  <c r="N218" i="15" a="1"/>
  <c r="BL217" i="15" a="1"/>
  <c r="AR217" i="15" a="1"/>
  <c r="T217" i="15" a="1"/>
  <c r="BR216" i="15" a="1"/>
  <c r="AX216" i="15" a="1"/>
  <c r="AD216" i="15" a="1"/>
  <c r="AE219" i="15" a="1"/>
  <c r="O219" i="15" a="1"/>
  <c r="BQ218" i="15" a="1"/>
  <c r="BA218" i="15" a="1"/>
  <c r="AK218" i="15" a="1"/>
  <c r="U218" i="15" a="1"/>
  <c r="E218" i="15" a="1"/>
  <c r="BG217" i="15" a="1"/>
  <c r="AQ217" i="15" a="1"/>
  <c r="AA217" i="15" a="1"/>
  <c r="K217" i="15" a="1"/>
  <c r="BM216" i="15" a="1"/>
  <c r="AW216" i="15" a="1"/>
  <c r="AG216" i="15" a="1"/>
  <c r="U216" i="15" a="1"/>
  <c r="M216" i="15" a="1"/>
  <c r="E216" i="15" a="1"/>
  <c r="BO215" i="15" a="1"/>
  <c r="BG215" i="15" a="1"/>
  <c r="AY215" i="15" a="1"/>
  <c r="AH219" i="15" a="1"/>
  <c r="R219" i="15" a="1"/>
  <c r="BT218" i="15" a="1"/>
  <c r="BD218" i="15" a="1"/>
  <c r="AN218" i="15" a="1"/>
  <c r="X218" i="15" a="1"/>
  <c r="H218" i="15" a="1"/>
  <c r="BJ217" i="15" a="1"/>
  <c r="AT217" i="15" a="1"/>
  <c r="AD217" i="15" a="1"/>
  <c r="N217" i="15" a="1"/>
  <c r="BP225" i="15" a="1"/>
  <c r="AU225" i="15" a="1"/>
  <c r="BU224" i="15" a="1"/>
  <c r="AG224" i="15" a="1"/>
  <c r="BG223" i="15" a="1"/>
  <c r="AD223" i="15" a="1"/>
  <c r="J223" i="15" a="1"/>
  <c r="AD225" i="15" a="1"/>
  <c r="BD224" i="15" a="1"/>
  <c r="P224" i="15" a="1"/>
  <c r="BQ225" i="15" a="1"/>
  <c r="Q225" i="15" a="1"/>
  <c r="AU224" i="15" a="1"/>
  <c r="BU223" i="15" a="1"/>
  <c r="AK223" i="15" a="1"/>
  <c r="Q223" i="15" a="1"/>
  <c r="AX224" i="15" a="1"/>
  <c r="AV222" i="15" a="1"/>
  <c r="H222" i="15" a="1"/>
  <c r="BP223" i="15" a="1"/>
  <c r="AM222" i="15" a="1"/>
  <c r="BQ221" i="15" a="1"/>
  <c r="AU221" i="15" a="1"/>
  <c r="BU222" i="15" a="1"/>
  <c r="AG222" i="15" a="1"/>
  <c r="BH223" i="15" a="1"/>
  <c r="AJ221" i="15" a="1"/>
  <c r="BN220" i="15" a="1"/>
  <c r="AT222" i="15" a="1"/>
  <c r="AA221" i="15" a="1"/>
  <c r="BE220" i="15" a="1"/>
  <c r="W220" i="15" a="1"/>
  <c r="BS219" i="15" a="1"/>
  <c r="AY219" i="15" a="1"/>
  <c r="BB222" i="15" a="1"/>
  <c r="Z221" i="15" a="1"/>
  <c r="BD220" i="15" a="1"/>
  <c r="S222" i="15" a="1"/>
  <c r="Q221" i="15" a="1"/>
  <c r="AU220" i="15" a="1"/>
  <c r="T220" i="15" a="1"/>
  <c r="BP219" i="15" a="1"/>
  <c r="AV219" i="15" a="1"/>
  <c r="BV218" i="15" a="1"/>
  <c r="AD218" i="15" a="1"/>
  <c r="BH217" i="15" a="1"/>
  <c r="P217" i="15" a="1"/>
  <c r="AP216" i="15" a="1"/>
  <c r="AA219" i="15" a="1"/>
  <c r="BM218" i="15" a="1"/>
  <c r="AG218" i="15" a="1"/>
  <c r="BS217" i="15" a="1"/>
  <c r="AM217" i="15" a="1"/>
  <c r="G217" i="15" a="1"/>
  <c r="AS216" i="15" a="1"/>
  <c r="S216" i="15" a="1"/>
  <c r="BU215" i="15" a="1"/>
  <c r="BE215" i="15" a="1"/>
  <c r="AD219" i="15" a="1"/>
  <c r="BP218" i="15" a="1"/>
  <c r="AJ218" i="15" a="1"/>
  <c r="BV217" i="15" a="1"/>
  <c r="AP217" i="15" a="1"/>
  <c r="J217" i="15" a="1"/>
  <c r="BH216" i="15" a="1"/>
  <c r="AJ216" i="15" a="1"/>
  <c r="AC219" i="15" a="1"/>
  <c r="I219" i="15" a="1"/>
  <c r="BC218" i="15" a="1"/>
  <c r="AI218" i="15" a="1"/>
  <c r="O218" i="15" a="1"/>
  <c r="BI217" i="15" a="1"/>
  <c r="AO217" i="15" a="1"/>
  <c r="U217" i="15" a="1"/>
  <c r="BO216" i="15" a="1"/>
  <c r="AU216" i="15" a="1"/>
  <c r="AA216" i="15" a="1"/>
  <c r="N216" i="15" a="1"/>
  <c r="BV215" i="15" a="1"/>
  <c r="BL215" i="15" a="1"/>
  <c r="AZ215" i="15" a="1"/>
  <c r="AP215" i="15" a="1"/>
  <c r="AF215" i="15" a="1"/>
  <c r="T215" i="15" a="1"/>
  <c r="J215" i="15" a="1"/>
  <c r="BR214" i="15" a="1"/>
  <c r="BF214" i="15" a="1"/>
  <c r="AV214" i="15" a="1"/>
  <c r="AL214" i="15" a="1"/>
  <c r="E215" i="15" a="1"/>
  <c r="AJ214" i="15" a="1"/>
  <c r="P214" i="15" a="1"/>
  <c r="BJ213" i="15" a="1"/>
  <c r="AP213" i="15" a="1"/>
  <c r="V213" i="15" a="1"/>
  <c r="BR212" i="15" a="1"/>
  <c r="AW212" i="15" a="1"/>
  <c r="AD212" i="15" a="1"/>
  <c r="F212" i="15" a="1"/>
  <c r="BC211" i="15" a="1"/>
  <c r="S215" i="15" a="1"/>
  <c r="AO214" i="15" a="1"/>
  <c r="S214" i="15" a="1"/>
  <c r="BQ213" i="15" a="1"/>
  <c r="AS213" i="15" a="1"/>
  <c r="Y213" i="15" a="1"/>
  <c r="E213" i="15" a="1"/>
  <c r="AY212" i="15" a="1"/>
  <c r="AF212" i="15" a="1"/>
  <c r="K212" i="15" a="1"/>
  <c r="BE211" i="15" a="1"/>
  <c r="Q215" i="15" a="1"/>
  <c r="AU214" i="15" a="1"/>
  <c r="R214" i="15" a="1"/>
  <c r="BP213" i="15" a="1"/>
  <c r="AV213" i="15" a="1"/>
  <c r="X213" i="15" a="1"/>
  <c r="BV212" i="15" a="1"/>
  <c r="BA212" i="15" a="1"/>
  <c r="AC212" i="15" a="1"/>
  <c r="J212" i="15" a="1"/>
  <c r="BG211" i="15" a="1"/>
  <c r="AI211" i="15" a="1"/>
  <c r="P211" i="15" a="1"/>
  <c r="BM210" i="15" a="1"/>
  <c r="AO210" i="15" a="1"/>
  <c r="V210" i="15" a="1"/>
  <c r="AE215" i="15" a="1"/>
  <c r="BA214" i="15" a="1"/>
  <c r="Y214" i="15" a="1"/>
  <c r="E214" i="15" a="1"/>
  <c r="AY213" i="15" a="1"/>
  <c r="AE213" i="15" a="1"/>
  <c r="K213" i="15" a="1"/>
  <c r="BC212" i="15" a="1"/>
  <c r="AJ212" i="15" a="1"/>
  <c r="O212" i="15" a="1"/>
  <c r="BI211" i="15" a="1"/>
  <c r="AP211" i="15" a="1"/>
  <c r="U211" i="15" a="1"/>
  <c r="BO210" i="15" a="1"/>
  <c r="AV210" i="15" a="1"/>
  <c r="AA210" i="15" a="1"/>
  <c r="AT211" i="15" a="1"/>
  <c r="I211" i="15" a="1"/>
  <c r="AJ210" i="15" a="1"/>
  <c r="BO209" i="15" a="1"/>
  <c r="AV209" i="15" a="1"/>
  <c r="AA209" i="15" a="1"/>
  <c r="BU208" i="15" a="1"/>
  <c r="AR211" i="15" a="1"/>
  <c r="G211" i="15" a="1"/>
  <c r="AC210" i="15" a="1"/>
  <c r="BN209" i="15" a="1"/>
  <c r="AS209" i="15" a="1"/>
  <c r="U209" i="15" a="1"/>
  <c r="BT208" i="15" a="1"/>
  <c r="AL211" i="15" a="1"/>
  <c r="BH210" i="15" a="1"/>
  <c r="W210" i="15" a="1"/>
  <c r="BP209" i="15" a="1"/>
  <c r="AZ209" i="15" a="1"/>
  <c r="AJ209" i="15" a="1"/>
  <c r="T209" i="15" a="1"/>
  <c r="BV208" i="15" a="1"/>
  <c r="BF208" i="15" a="1"/>
  <c r="AP208" i="15" a="1"/>
  <c r="Z208" i="15" a="1"/>
  <c r="J208" i="15" a="1"/>
  <c r="BL207" i="15" a="1"/>
  <c r="AV207" i="15" a="1"/>
  <c r="AN207" i="15" a="1"/>
  <c r="AF207" i="15" a="1"/>
  <c r="X207" i="15" a="1"/>
  <c r="P207" i="15" a="1"/>
  <c r="AU211" i="15" a="1"/>
  <c r="O211" i="15" a="1"/>
  <c r="BA210" i="15" a="1"/>
  <c r="U210" i="15" a="1"/>
  <c r="BR209" i="15" a="1"/>
  <c r="BN225" i="15" a="1"/>
  <c r="AQ225" i="15" a="1"/>
  <c r="BQ224" i="15" a="1"/>
  <c r="Y224" i="15" a="1"/>
  <c r="BC223" i="15" a="1"/>
  <c r="AB223" i="15" a="1"/>
  <c r="F223" i="15" a="1"/>
  <c r="Z225" i="15" a="1"/>
  <c r="AZ224" i="15" a="1"/>
  <c r="H224" i="15" a="1"/>
  <c r="BI225" i="15" a="1"/>
  <c r="M225" i="15" a="1"/>
  <c r="AM224" i="15" a="1"/>
  <c r="BQ223" i="15" a="1"/>
  <c r="AI223" i="15" a="1"/>
  <c r="M223" i="15" a="1"/>
  <c r="AH224" i="15" a="1"/>
  <c r="AS222" i="15" a="1"/>
  <c r="BR221" i="15" a="1"/>
  <c r="AZ223" i="15" a="1"/>
  <c r="AH222" i="15" a="1"/>
  <c r="BM221" i="15" a="1"/>
  <c r="AZ225" i="15" a="1"/>
  <c r="BP222" i="15" a="1"/>
  <c r="Y222" i="15" a="1"/>
  <c r="BR222" i="15" a="1"/>
  <c r="AF221" i="15" a="1"/>
  <c r="BF220" i="15" a="1"/>
  <c r="AI222" i="15" a="1"/>
  <c r="W221" i="15" a="1"/>
  <c r="AW220" i="15" a="1"/>
  <c r="U220" i="15" a="1"/>
  <c r="BQ219" i="15" a="1"/>
  <c r="AU219" i="15" a="1"/>
  <c r="AQ222" i="15" a="1"/>
  <c r="V221" i="15" a="1"/>
  <c r="AV220" i="15" a="1"/>
  <c r="BP221" i="15" a="1"/>
  <c r="M221" i="15" a="1"/>
  <c r="AM220" i="15" a="1"/>
  <c r="R220" i="15" a="1"/>
  <c r="BN219" i="15" a="1"/>
  <c r="AR219" i="15" a="1"/>
  <c r="BR218" i="15" a="1"/>
  <c r="Z218" i="15" a="1"/>
  <c r="AZ217" i="15" a="1"/>
  <c r="L217" i="15" a="1"/>
  <c r="AL216" i="15" a="1"/>
  <c r="W219" i="15" a="1"/>
  <c r="BI218" i="15" a="1"/>
  <c r="AC218" i="15" a="1"/>
  <c r="BO217" i="15" a="1"/>
  <c r="AI217" i="15" a="1"/>
  <c r="BU216" i="15" a="1"/>
  <c r="AO216" i="15" a="1"/>
  <c r="Q216" i="15" a="1"/>
  <c r="BS215" i="15" a="1"/>
  <c r="BC215" i="15" a="1"/>
  <c r="Z219" i="15" a="1"/>
  <c r="BL218" i="15" a="1"/>
  <c r="AF218" i="15" a="1"/>
  <c r="BR217" i="15" a="1"/>
  <c r="AL217" i="15" a="1"/>
  <c r="F217" i="15" a="1"/>
  <c r="AZ216" i="15" a="1"/>
  <c r="AF216" i="15" a="1"/>
  <c r="Y219" i="15" a="1"/>
  <c r="BS218" i="15" a="1"/>
  <c r="AY218" i="15" a="1"/>
  <c r="AE218" i="15" a="1"/>
  <c r="G218" i="15" a="1"/>
  <c r="BE217" i="15" a="1"/>
  <c r="AK217" i="15" a="1"/>
  <c r="M217" i="15" a="1"/>
  <c r="BK216" i="15" a="1"/>
  <c r="AQ216" i="15" a="1"/>
  <c r="V216" i="15" a="1"/>
  <c r="L216" i="15" a="1"/>
  <c r="BT215" i="15" a="1"/>
  <c r="BH215" i="15" a="1"/>
  <c r="AX215" i="15" a="1"/>
  <c r="AN215" i="15" a="1"/>
  <c r="AB215" i="15" a="1"/>
  <c r="R215" i="15" a="1"/>
  <c r="H215" i="15" a="1"/>
  <c r="BN214" i="15" a="1"/>
  <c r="BD214" i="15" a="1"/>
  <c r="AT214" i="15" a="1"/>
  <c r="AK215" i="15" a="1"/>
  <c r="BO214" i="15" a="1"/>
  <c r="AF214" i="15" a="1"/>
  <c r="H214" i="15" a="1"/>
  <c r="BF213" i="15" a="1"/>
  <c r="AL213" i="15" a="1"/>
  <c r="N213" i="15" a="1"/>
  <c r="BM212" i="15" a="1"/>
  <c r="AT212" i="15" a="1"/>
  <c r="V212" i="15" a="1"/>
  <c r="BS211" i="15" a="1"/>
  <c r="AZ211" i="15" a="1"/>
  <c r="BU214" i="15" a="1"/>
  <c r="AI214" i="15" a="1"/>
  <c r="O214" i="15" a="1"/>
  <c r="BI213" i="15" a="1"/>
  <c r="AO213" i="15" a="1"/>
  <c r="U213" i="15" a="1"/>
  <c r="BO212" i="15" a="1"/>
  <c r="AV212" i="15" a="1"/>
  <c r="AA212" i="15" a="1"/>
  <c r="BU211" i="15" a="1"/>
  <c r="BB211" i="15" a="1"/>
  <c r="I215" i="15" a="1"/>
  <c r="AH214" i="15" a="1"/>
  <c r="N214" i="15" a="1"/>
  <c r="BL213" i="15" a="1"/>
  <c r="AN213" i="15" a="1"/>
  <c r="T213" i="15" a="1"/>
  <c r="BQ212" i="15" a="1"/>
  <c r="AS212" i="15" a="1"/>
  <c r="Z212" i="15" a="1"/>
  <c r="E212" i="15" a="1"/>
  <c r="AY211" i="15" a="1"/>
  <c r="AF211" i="15" a="1"/>
  <c r="K211" i="15" a="1"/>
  <c r="BE210" i="15" a="1"/>
  <c r="AL210" i="15" a="1"/>
  <c r="Q210" i="15" a="1"/>
  <c r="O215" i="15" a="1"/>
  <c r="AS214" i="15" a="1"/>
  <c r="U214" i="15" a="1"/>
  <c r="BO213" i="15" a="1"/>
  <c r="AU213" i="15" a="1"/>
  <c r="AA213" i="15" a="1"/>
  <c r="BS212" i="15" a="1"/>
  <c r="AZ212" i="15" a="1"/>
  <c r="AE212" i="15" a="1"/>
  <c r="G212" i="15" a="1"/>
  <c r="BF211" i="15" a="1"/>
  <c r="AK211" i="15" a="1"/>
  <c r="M211" i="15" a="1"/>
  <c r="BL210" i="15" a="1"/>
  <c r="BB225" i="15" a="1"/>
  <c r="AA225" i="15" a="1"/>
  <c r="BA224" i="15" a="1"/>
  <c r="I224" i="15" a="1"/>
  <c r="AP223" i="15" a="1"/>
  <c r="T223" i="15" a="1"/>
  <c r="AX225" i="15" a="1"/>
  <c r="J225" i="15" a="1"/>
  <c r="AJ224" i="15" a="1"/>
  <c r="BJ223" i="15" a="1"/>
  <c r="AO225" i="15" a="1"/>
  <c r="BO224" i="15" a="1"/>
  <c r="W224" i="15" a="1"/>
  <c r="BA223" i="15" a="1"/>
  <c r="AA223" i="15" a="1"/>
  <c r="BO225" i="15" a="1"/>
  <c r="BT222" i="15" a="1"/>
  <c r="AC222" i="15" a="1"/>
  <c r="H225" i="15" a="1"/>
  <c r="BK222" i="15" a="1"/>
  <c r="R222" i="15" a="1"/>
  <c r="BE221" i="15" a="1"/>
  <c r="BF224" i="15" a="1"/>
  <c r="AZ222" i="15" a="1"/>
  <c r="I222" i="15" a="1"/>
  <c r="F222" i="15" a="1"/>
  <c r="P221" i="15" a="1"/>
  <c r="AO220" i="15" a="1"/>
  <c r="BD221" i="15" a="1"/>
  <c r="G221" i="15" a="1"/>
  <c r="AG220" i="15" a="1"/>
  <c r="M220" i="15" a="1"/>
  <c r="BI219" i="15" a="1"/>
  <c r="AM219" i="15" a="1"/>
  <c r="BB221" i="15" a="1"/>
  <c r="F221" i="15" a="1"/>
  <c r="BR224" i="15" a="1"/>
  <c r="AO221" i="15" a="1"/>
  <c r="BO220" i="15" a="1"/>
  <c r="AD220" i="15" a="1"/>
  <c r="J220" i="15" a="1"/>
  <c r="BF219" i="15" a="1"/>
  <c r="X219" i="15" a="1"/>
  <c r="BB218" i="15" a="1"/>
  <c r="J218" i="15" a="1"/>
  <c r="AJ217" i="15" a="1"/>
  <c r="BN216" i="15" a="1"/>
  <c r="Z216" i="15" a="1"/>
  <c r="K219" i="15" a="1"/>
  <c r="AW218" i="15" a="1"/>
  <c r="Q218" i="15" a="1"/>
  <c r="BC217" i="15" a="1"/>
  <c r="W217" i="15" a="1"/>
  <c r="BI216" i="15" a="1"/>
  <c r="AC216" i="15" a="1"/>
  <c r="K216" i="15" a="1"/>
  <c r="BM215" i="15" a="1"/>
  <c r="AW215" i="15" a="1"/>
  <c r="N219" i="15" a="1"/>
  <c r="AZ218" i="15" a="1"/>
  <c r="T218" i="15" a="1"/>
  <c r="BF217" i="15" a="1"/>
  <c r="Z217" i="15" a="1"/>
  <c r="BP216" i="15" a="1"/>
  <c r="AV216" i="15" a="1"/>
  <c r="AB216" i="15" a="1"/>
  <c r="Q219" i="15" a="1"/>
  <c r="BO218" i="15" a="1"/>
  <c r="AU218" i="15" a="1"/>
  <c r="W218" i="15" a="1"/>
  <c r="BU217" i="15" a="1"/>
  <c r="BA217" i="15" a="1"/>
  <c r="AC217" i="15" a="1"/>
  <c r="I217" i="15" a="1"/>
  <c r="BG216" i="15" a="1"/>
  <c r="AI216" i="15" a="1"/>
  <c r="T216" i="15" a="1"/>
  <c r="J216" i="15" a="1"/>
  <c r="BP215" i="15" a="1"/>
  <c r="BF215" i="15" a="1"/>
  <c r="AV215" i="15" a="1"/>
  <c r="AJ215" i="15" a="1"/>
  <c r="Z215" i="15" a="1"/>
  <c r="P215" i="15" a="1"/>
  <c r="BV214" i="15" a="1"/>
  <c r="BL214" i="15" a="1"/>
  <c r="BB214" i="15" a="1"/>
  <c r="AP214" i="15" a="1"/>
  <c r="AC215" i="15" a="1"/>
  <c r="BG214" i="15" a="1"/>
  <c r="X214" i="15" a="1"/>
  <c r="BV213" i="15" a="1"/>
  <c r="BB213" i="15" a="1"/>
  <c r="AD213" i="15" a="1"/>
  <c r="J213" i="15" a="1"/>
  <c r="BJ212" i="15" a="1"/>
  <c r="AL212" i="15" a="1"/>
  <c r="Q212" i="15" a="1"/>
  <c r="BP211" i="15" a="1"/>
  <c r="AI215" i="15" a="1"/>
  <c r="BM214" i="15" a="1"/>
  <c r="AE214" i="15" a="1"/>
  <c r="G214" i="15" a="1"/>
  <c r="BE213" i="15" a="1"/>
  <c r="AK213" i="15" a="1"/>
  <c r="M213" i="15" a="1"/>
  <c r="BL212" i="15" a="1"/>
  <c r="AQ212" i="15" a="1"/>
  <c r="S212" i="15" a="1"/>
  <c r="BR211" i="15" a="1"/>
  <c r="AO215" i="15" a="1"/>
  <c r="BK214" i="15" a="1"/>
  <c r="AD214" i="15" a="1"/>
  <c r="J214" i="15" a="1"/>
  <c r="BD213" i="15" a="1"/>
  <c r="AJ213" i="15" a="1"/>
  <c r="P213" i="15" a="1"/>
  <c r="BI212" i="15" a="1"/>
  <c r="AP212" i="15" a="1"/>
  <c r="U212" i="15" a="1"/>
  <c r="BO211" i="15" a="1"/>
  <c r="AV211" i="15" a="1"/>
  <c r="AA211" i="15" a="1"/>
  <c r="BU210" i="15" a="1"/>
  <c r="BB210" i="15" a="1"/>
  <c r="AG210" i="15" a="1"/>
  <c r="I210" i="15" a="1"/>
  <c r="BU225" i="15" a="1"/>
  <c r="AL223" i="15" a="1"/>
  <c r="AF224" i="15" a="1"/>
  <c r="S224" i="15" a="1"/>
  <c r="BL222" i="15" a="1"/>
  <c r="O222" i="15" a="1"/>
  <c r="BV221" i="15" a="1"/>
  <c r="AQ221" i="15" a="1"/>
  <c r="BG219" i="15" a="1"/>
  <c r="F224" i="15" a="1"/>
  <c r="F220" i="15" a="1"/>
  <c r="F218" i="15" a="1"/>
  <c r="G219" i="15" a="1"/>
  <c r="S217" i="15" a="1"/>
  <c r="BK215" i="15" a="1"/>
  <c r="P218" i="15" a="1"/>
  <c r="AR216" i="15" a="1"/>
  <c r="AM218" i="15" a="1"/>
  <c r="Y217" i="15" a="1"/>
  <c r="R216" i="15" a="1"/>
  <c r="AR215" i="15" a="1"/>
  <c r="BT214" i="15" a="1"/>
  <c r="U215" i="15" a="1"/>
  <c r="AT213" i="15" a="1"/>
  <c r="AG212" i="15" a="1"/>
  <c r="BE214" i="15" a="1"/>
  <c r="AC213" i="15" a="1"/>
  <c r="P212" i="15" a="1"/>
  <c r="Z214" i="15" a="1"/>
  <c r="H213" i="15" a="1"/>
  <c r="BL211" i="15" a="1"/>
  <c r="AW210" i="15" a="1"/>
  <c r="BQ214" i="15" a="1"/>
  <c r="I214" i="15" a="1"/>
  <c r="AI213" i="15" a="1"/>
  <c r="BK212" i="15" a="1"/>
  <c r="T212" i="15" a="1"/>
  <c r="AS211" i="15" a="1"/>
  <c r="E211" i="15" a="1"/>
  <c r="AI210" i="15" a="1"/>
  <c r="K210" i="15" a="1"/>
  <c r="BP210" i="15" a="1"/>
  <c r="O210" i="15" a="1"/>
  <c r="AY209" i="15" a="1"/>
  <c r="S209" i="15" a="1"/>
  <c r="BM208" i="15" a="1"/>
  <c r="L211" i="15" a="1"/>
  <c r="R210" i="15" a="1"/>
  <c r="BA209" i="15" a="1"/>
  <c r="AC209" i="15" a="1"/>
  <c r="BO208" i="15" a="1"/>
  <c r="Q211" i="15" a="1"/>
  <c r="AB210" i="15" a="1"/>
  <c r="BK209" i="15" a="1"/>
  <c r="AR209" i="15" a="1"/>
  <c r="W209" i="15" a="1"/>
  <c r="BQ208" i="15" a="1"/>
  <c r="AX208" i="15" a="1"/>
  <c r="AC208" i="15" a="1"/>
  <c r="E208" i="15" a="1"/>
  <c r="BD207" i="15" a="1"/>
  <c r="AP207" i="15" a="1"/>
  <c r="AD207" i="15" a="1"/>
  <c r="T207" i="15" a="1"/>
  <c r="J207" i="15" a="1"/>
  <c r="BV210" i="15" a="1"/>
  <c r="AK210" i="15" a="1"/>
  <c r="BU209" i="15" a="1"/>
  <c r="BB209" i="15" a="1"/>
  <c r="AL209" i="15" a="1"/>
  <c r="V209" i="15" a="1"/>
  <c r="F209" i="15" a="1"/>
  <c r="BH208" i="15" a="1"/>
  <c r="AR208" i="15" a="1"/>
  <c r="AB208" i="15" a="1"/>
  <c r="L208" i="15" a="1"/>
  <c r="BN207" i="15" a="1"/>
  <c r="AX207" i="15" a="1"/>
  <c r="AI208" i="15" a="1"/>
  <c r="BU207" i="15" a="1"/>
  <c r="BT206" i="15" a="1"/>
  <c r="BD206" i="15" a="1"/>
  <c r="AN206" i="15" a="1"/>
  <c r="X206" i="15" a="1"/>
  <c r="H206" i="15" a="1"/>
  <c r="BJ205" i="15" a="1"/>
  <c r="AT205" i="15" a="1"/>
  <c r="AD205" i="15" a="1"/>
  <c r="AG208" i="15" a="1"/>
  <c r="BS207" i="15" a="1"/>
  <c r="AO207" i="15" a="1"/>
  <c r="Y207" i="15" a="1"/>
  <c r="I207" i="15" a="1"/>
  <c r="BK206" i="15" a="1"/>
  <c r="AU206" i="15" a="1"/>
  <c r="AE206" i="15" a="1"/>
  <c r="O206" i="15" a="1"/>
  <c r="BQ205" i="15" a="1"/>
  <c r="BA205" i="15" a="1"/>
  <c r="AK205" i="15" a="1"/>
  <c r="U205" i="15" a="1"/>
  <c r="E205" i="15" a="1"/>
  <c r="BG204" i="15" a="1"/>
  <c r="AQ208" i="15" a="1"/>
  <c r="K208" i="15" a="1"/>
  <c r="AW207" i="15" a="1"/>
  <c r="BM206" i="15" a="1"/>
  <c r="AW206" i="15" a="1"/>
  <c r="AG206" i="15" a="1"/>
  <c r="Q206" i="15" a="1"/>
  <c r="BS205" i="15" a="1"/>
  <c r="BC205" i="15" a="1"/>
  <c r="AM205" i="15" a="1"/>
  <c r="AO208" i="15" a="1"/>
  <c r="I208" i="15" a="1"/>
  <c r="AU207" i="15" a="1"/>
  <c r="AE207" i="15" a="1"/>
  <c r="O207" i="15" a="1"/>
  <c r="BR206" i="15" a="1"/>
  <c r="BB206" i="15" a="1"/>
  <c r="AL206" i="15" a="1"/>
  <c r="V206" i="15" a="1"/>
  <c r="F206" i="15" a="1"/>
  <c r="BH205" i="15" a="1"/>
  <c r="AR205" i="15" a="1"/>
  <c r="AB205" i="15" a="1"/>
  <c r="L205" i="15" a="1"/>
  <c r="BN204" i="15" a="1"/>
  <c r="AX204" i="15" a="1"/>
  <c r="BT204" i="15" a="1"/>
  <c r="AP204" i="15" a="1"/>
  <c r="Z204" i="15" a="1"/>
  <c r="J204" i="15" a="1"/>
  <c r="BL203" i="15" a="1"/>
  <c r="AV203" i="15" a="1"/>
  <c r="AF203" i="15" a="1"/>
  <c r="P203" i="15" a="1"/>
  <c r="BR202" i="15" a="1"/>
  <c r="BB202" i="15" a="1"/>
  <c r="AL202" i="15" a="1"/>
  <c r="V202" i="15" a="1"/>
  <c r="F202" i="15" a="1"/>
  <c r="BH201" i="15" a="1"/>
  <c r="K205" i="15" a="1"/>
  <c r="AW204" i="15" a="1"/>
  <c r="AG204" i="15" a="1"/>
  <c r="Q204" i="15" a="1"/>
  <c r="BS203" i="15" a="1"/>
  <c r="BC203" i="15" a="1"/>
  <c r="AM203" i="15" a="1"/>
  <c r="W203" i="15" a="1"/>
  <c r="G203" i="15" a="1"/>
  <c r="BI202" i="15" a="1"/>
  <c r="AS202" i="15" a="1"/>
  <c r="AC202" i="15" a="1"/>
  <c r="M202" i="15" a="1"/>
  <c r="BO201" i="15" a="1"/>
  <c r="AZ201" i="15" a="1"/>
  <c r="AR201" i="15" a="1"/>
  <c r="AJ201" i="15" a="1"/>
  <c r="AB201" i="15" a="1"/>
  <c r="T201" i="15" a="1"/>
  <c r="L201" i="15" a="1"/>
  <c r="BV200" i="15" a="1"/>
  <c r="BN200" i="15" a="1"/>
  <c r="BF200" i="15" a="1"/>
  <c r="AX200" i="15" a="1"/>
  <c r="AP200" i="15" a="1"/>
  <c r="AH200" i="15" a="1"/>
  <c r="Z200" i="15" a="1"/>
  <c r="R200" i="15" a="1"/>
  <c r="J200" i="15" a="1"/>
  <c r="J205" i="15" a="1"/>
  <c r="AV204" i="15" a="1"/>
  <c r="AF204" i="15" a="1"/>
  <c r="P204" i="15" a="1"/>
  <c r="BR203" i="15" a="1"/>
  <c r="BB203" i="15" a="1"/>
  <c r="AL203" i="15" a="1"/>
  <c r="V203" i="15" a="1"/>
  <c r="F203" i="15" a="1"/>
  <c r="BH202" i="15" a="1"/>
  <c r="AR202" i="15" a="1"/>
  <c r="AB202" i="15" a="1"/>
  <c r="L202" i="15" a="1"/>
  <c r="BN201" i="15" a="1"/>
  <c r="S205" i="15" a="1"/>
  <c r="BE204" i="15" a="1"/>
  <c r="AM204" i="15" a="1"/>
  <c r="W204" i="15" a="1"/>
  <c r="G204" i="15" a="1"/>
  <c r="BI203" i="15" a="1"/>
  <c r="AS203" i="15" a="1"/>
  <c r="AC203" i="15" a="1"/>
  <c r="M203" i="15" a="1"/>
  <c r="BO202" i="15" a="1"/>
  <c r="AY202" i="15" a="1"/>
  <c r="AI202" i="15" a="1"/>
  <c r="S202" i="15" a="1"/>
  <c r="BU201" i="15" a="1"/>
  <c r="BE201" i="15" a="1"/>
  <c r="AU201" i="15" a="1"/>
  <c r="AM201" i="15" a="1"/>
  <c r="AE201" i="15" a="1"/>
  <c r="W201" i="15" a="1"/>
  <c r="O201" i="15" a="1"/>
  <c r="G201" i="15" a="1"/>
  <c r="BQ200" i="15" a="1"/>
  <c r="BI200" i="15" a="1"/>
  <c r="BA200" i="15" a="1"/>
  <c r="AS200" i="15" a="1"/>
  <c r="AK200" i="15" a="1"/>
  <c r="AC200" i="15" a="1"/>
  <c r="U200" i="15" a="1"/>
  <c r="M200" i="15" a="1"/>
  <c r="E200" i="15" a="1"/>
  <c r="BK199" i="15" a="1"/>
  <c r="AU199" i="15" a="1"/>
  <c r="AE199" i="15" a="1"/>
  <c r="O199" i="15" a="1"/>
  <c r="BQ198" i="15" a="1"/>
  <c r="BA198" i="15" a="1"/>
  <c r="AK198" i="15" a="1"/>
  <c r="U198" i="15" a="1"/>
  <c r="F198" i="15" a="1"/>
  <c r="BV199" i="15" a="1"/>
  <c r="BF199" i="15" a="1"/>
  <c r="AP199" i="15" a="1"/>
  <c r="Z199" i="15" a="1"/>
  <c r="J199" i="15" a="1"/>
  <c r="BL198" i="15" a="1"/>
  <c r="AV198" i="15" a="1"/>
  <c r="AF198" i="15" a="1"/>
  <c r="P198" i="15" a="1"/>
  <c r="BQ199" i="15" a="1"/>
  <c r="BA199" i="15" a="1"/>
  <c r="AK199" i="15" a="1"/>
  <c r="U199" i="15" a="1"/>
  <c r="E199" i="15" a="1"/>
  <c r="BG198" i="15" a="1"/>
  <c r="AQ198" i="15" a="1"/>
  <c r="AA198" i="15" a="1"/>
  <c r="K198" i="15" a="1"/>
  <c r="BS197" i="15" a="1"/>
  <c r="BH199" i="15" a="1"/>
  <c r="AR199" i="15" a="1"/>
  <c r="AB199" i="15" a="1"/>
  <c r="L199" i="15" a="1"/>
  <c r="BN198" i="15" a="1"/>
  <c r="AX198" i="15" a="1"/>
  <c r="AH198" i="15" a="1"/>
  <c r="R198" i="15" a="1"/>
  <c r="BM197" i="15" a="1"/>
  <c r="AW197" i="15" a="1"/>
  <c r="AG197" i="15" a="1"/>
  <c r="S225" i="15" a="1"/>
  <c r="R223" i="15" a="1"/>
  <c r="BF223" i="15" a="1"/>
  <c r="AS223" i="15" a="1"/>
  <c r="X222" i="15" a="1"/>
  <c r="BC221" i="15" a="1"/>
  <c r="BF221" i="15" a="1"/>
  <c r="BU220" i="15" a="1"/>
  <c r="AK219" i="15" a="1"/>
  <c r="AG221" i="15" a="1"/>
  <c r="BD219" i="15" a="1"/>
  <c r="AF217" i="15" a="1"/>
  <c r="AS218" i="15" a="1"/>
  <c r="BE216" i="15" a="1"/>
  <c r="AU215" i="15" a="1"/>
  <c r="BB217" i="15" a="1"/>
  <c r="AG219" i="15" a="1"/>
  <c r="S218" i="15" a="1"/>
  <c r="E217" i="15" a="1"/>
  <c r="F216" i="15" a="1"/>
  <c r="AH215" i="15" a="1"/>
  <c r="BJ214" i="15" a="1"/>
  <c r="AQ214" i="15" a="1"/>
  <c r="Z213" i="15" a="1"/>
  <c r="N212" i="15" a="1"/>
  <c r="W214" i="15" a="1"/>
  <c r="I213" i="15" a="1"/>
  <c r="BM211" i="15" a="1"/>
  <c r="BT213" i="15" a="1"/>
  <c r="BF212" i="15" a="1"/>
  <c r="AQ211" i="15" a="1"/>
  <c r="Y210" i="15" a="1"/>
  <c r="AK214" i="15" a="1"/>
  <c r="BK213" i="15" a="1"/>
  <c r="S213" i="15" a="1"/>
  <c r="AU212" i="15" a="1"/>
  <c r="BV211" i="15" a="1"/>
  <c r="AC211" i="15" a="1"/>
  <c r="BG210" i="15" a="1"/>
  <c r="AF210" i="15" a="1"/>
  <c r="AO211" i="15" a="1"/>
  <c r="AZ210" i="15" a="1"/>
  <c r="E210" i="15" a="1"/>
  <c r="AQ209" i="15" a="1"/>
  <c r="P209" i="15" a="1"/>
  <c r="BE208" i="15" a="1"/>
  <c r="BI210" i="15" a="1"/>
  <c r="M210" i="15" a="1"/>
  <c r="AX209" i="15" a="1"/>
  <c r="R209" i="15" a="1"/>
  <c r="BG208" i="15" a="1"/>
  <c r="F211" i="15" a="1"/>
  <c r="L210" i="15" a="1"/>
  <c r="BH209" i="15" a="1"/>
  <c r="AM209" i="15" a="1"/>
  <c r="O209" i="15" a="1"/>
  <c r="BN208" i="15" a="1"/>
  <c r="AS208" i="15" a="1"/>
  <c r="U208" i="15" a="1"/>
  <c r="BT207" i="15" a="1"/>
  <c r="AY207" i="15" a="1"/>
  <c r="AL207" i="15" a="1"/>
  <c r="AB207" i="15" a="1"/>
  <c r="R207" i="15" a="1"/>
  <c r="AJ211" i="15" a="1"/>
  <c r="BQ210" i="15" a="1"/>
  <c r="Z210" i="15" a="1"/>
  <c r="BM209" i="15" a="1"/>
  <c r="AW209" i="15" a="1"/>
  <c r="AG209" i="15" a="1"/>
  <c r="Q209" i="15" a="1"/>
  <c r="BS208" i="15" a="1"/>
  <c r="BC208" i="15" a="1"/>
  <c r="AM208" i="15" a="1"/>
  <c r="W208" i="15" a="1"/>
  <c r="G208" i="15" a="1"/>
  <c r="BI207" i="15" a="1"/>
  <c r="BD208" i="15" a="1"/>
  <c r="X208" i="15" a="1"/>
  <c r="BJ207" i="15" a="1"/>
  <c r="BQ206" i="15" a="1"/>
  <c r="BA206" i="15" a="1"/>
  <c r="AK206" i="15" a="1"/>
  <c r="U206" i="15" a="1"/>
  <c r="E206" i="15" a="1"/>
  <c r="BG205" i="15" a="1"/>
  <c r="AQ205" i="15" a="1"/>
  <c r="BB208" i="15" a="1"/>
  <c r="V208" i="15" a="1"/>
  <c r="BH207" i="15" a="1"/>
  <c r="AK207" i="15" a="1"/>
  <c r="U207" i="15" a="1"/>
  <c r="BV206" i="15" a="1"/>
  <c r="BF206" i="15" a="1"/>
  <c r="AP206" i="15" a="1"/>
  <c r="Z206" i="15" a="1"/>
  <c r="J206" i="15" a="1"/>
  <c r="BL205" i="15" a="1"/>
  <c r="AV205" i="15" a="1"/>
  <c r="AF205" i="15" a="1"/>
  <c r="P205" i="15" a="1"/>
  <c r="BR204" i="15" a="1"/>
  <c r="BB204" i="15" a="1"/>
  <c r="AF208" i="15" a="1"/>
  <c r="BR207" i="15" a="1"/>
  <c r="F207" i="15" a="1"/>
  <c r="BH206" i="15" a="1"/>
  <c r="AR206" i="15" a="1"/>
  <c r="AB206" i="15" a="1"/>
  <c r="L206" i="15" a="1"/>
  <c r="BN205" i="15" a="1"/>
  <c r="AX205" i="15" a="1"/>
  <c r="AH205" i="15" a="1"/>
  <c r="AD208" i="15" a="1"/>
  <c r="BP207" i="15" a="1"/>
  <c r="AQ207" i="15" a="1"/>
  <c r="AA207" i="15" a="1"/>
  <c r="K207" i="15" a="1"/>
  <c r="BO206" i="15" a="1"/>
  <c r="AY206" i="15" a="1"/>
  <c r="AI206" i="15" a="1"/>
  <c r="S206" i="15" a="1"/>
  <c r="BU205" i="15" a="1"/>
  <c r="BE205" i="15" a="1"/>
  <c r="AO205" i="15" a="1"/>
  <c r="Y205" i="15" a="1"/>
  <c r="I205" i="15" a="1"/>
  <c r="BK204" i="15" a="1"/>
  <c r="W205" i="15" a="1"/>
  <c r="BI204" i="15" a="1"/>
  <c r="AL204" i="15" a="1"/>
  <c r="V204" i="15" a="1"/>
  <c r="F204" i="15" a="1"/>
  <c r="BH203" i="15" a="1"/>
  <c r="AR203" i="15" a="1"/>
  <c r="AB203" i="15" a="1"/>
  <c r="L203" i="15" a="1"/>
  <c r="BN202" i="15" a="1"/>
  <c r="AX202" i="15" a="1"/>
  <c r="AH202" i="15" a="1"/>
  <c r="R202" i="15" a="1"/>
  <c r="BT201" i="15" a="1"/>
  <c r="BD201" i="15" a="1"/>
  <c r="F205" i="15" a="1"/>
  <c r="AS204" i="15" a="1"/>
  <c r="AC204" i="15" a="1"/>
  <c r="M204" i="15" a="1"/>
  <c r="BO203" i="15" a="1"/>
  <c r="AY203" i="15" a="1"/>
  <c r="AI203" i="15" a="1"/>
  <c r="S203" i="15" a="1"/>
  <c r="BU202" i="15" a="1"/>
  <c r="BE202" i="15" a="1"/>
  <c r="AO202" i="15" a="1"/>
  <c r="Y202" i="15" a="1"/>
  <c r="I202" i="15" a="1"/>
  <c r="BK201" i="15" a="1"/>
  <c r="AX201" i="15" a="1"/>
  <c r="AP201" i="15" a="1"/>
  <c r="AH201" i="15" a="1"/>
  <c r="Z201" i="15" a="1"/>
  <c r="R201" i="15" a="1"/>
  <c r="J201" i="15" a="1"/>
  <c r="BT200" i="15" a="1"/>
  <c r="BL200" i="15" a="1"/>
  <c r="BD200" i="15" a="1"/>
  <c r="AV200" i="15" a="1"/>
  <c r="AN200" i="15" a="1"/>
  <c r="AF200" i="15" a="1"/>
  <c r="X200" i="15" a="1"/>
  <c r="P200" i="15" a="1"/>
  <c r="H200" i="15" a="1"/>
  <c r="BQ204" i="15" a="1"/>
  <c r="AR204" i="15" a="1"/>
  <c r="AB204" i="15" a="1"/>
  <c r="L204" i="15" a="1"/>
  <c r="BN203" i="15" a="1"/>
  <c r="AX203" i="15" a="1"/>
  <c r="AH203" i="15" a="1"/>
  <c r="R203" i="15" a="1"/>
  <c r="BT202" i="15" a="1"/>
  <c r="BD202" i="15" a="1"/>
  <c r="AN202" i="15" a="1"/>
  <c r="X202" i="15" a="1"/>
  <c r="H202" i="15" a="1"/>
  <c r="BJ201" i="15" a="1"/>
  <c r="N205" i="15" a="1"/>
  <c r="AZ204" i="15" a="1"/>
  <c r="AI204" i="15" a="1"/>
  <c r="S204" i="15" a="1"/>
  <c r="BU203" i="15" a="1"/>
  <c r="BE203" i="15" a="1"/>
  <c r="AO203" i="15" a="1"/>
  <c r="Y203" i="15" a="1"/>
  <c r="I203" i="15" a="1"/>
  <c r="BK202" i="15" a="1"/>
  <c r="AU202" i="15" a="1"/>
  <c r="AE202" i="15" a="1"/>
  <c r="O202" i="15" a="1"/>
  <c r="BQ201" i="15" a="1"/>
  <c r="BA201" i="15" a="1"/>
  <c r="AS201" i="15" a="1"/>
  <c r="AK201" i="15" a="1"/>
  <c r="AC201" i="15" a="1"/>
  <c r="U201" i="15" a="1"/>
  <c r="M201" i="15" a="1"/>
  <c r="E201" i="15" a="1"/>
  <c r="BO200" i="15" a="1"/>
  <c r="BG200" i="15" a="1"/>
  <c r="AY200" i="15" a="1"/>
  <c r="AQ200" i="15" a="1"/>
  <c r="AI200" i="15" a="1"/>
  <c r="AA200" i="15" a="1"/>
  <c r="S200" i="15" a="1"/>
  <c r="K200" i="15" a="1"/>
  <c r="F200" i="15" a="1"/>
  <c r="BG199" i="15" a="1"/>
  <c r="AQ199" i="15" a="1"/>
  <c r="AA199" i="15" a="1"/>
  <c r="K199" i="15" a="1"/>
  <c r="BM198" i="15" a="1"/>
  <c r="AW198" i="15" a="1"/>
  <c r="AG198" i="15" a="1"/>
  <c r="Q198" i="15" a="1"/>
  <c r="BV197" i="15" a="1"/>
  <c r="BR199" i="15" a="1"/>
  <c r="BB199" i="15" a="1"/>
  <c r="AL199" i="15" a="1"/>
  <c r="V199" i="15" a="1"/>
  <c r="F199" i="15" a="1"/>
  <c r="BH198" i="15" a="1"/>
  <c r="AR198" i="15" a="1"/>
  <c r="AB198" i="15" a="1"/>
  <c r="L198" i="15" a="1"/>
  <c r="BM199" i="15" a="1"/>
  <c r="AW199" i="15" a="1"/>
  <c r="AG199" i="15" a="1"/>
  <c r="Q199" i="15" a="1"/>
  <c r="BS198" i="15" a="1"/>
  <c r="BC198" i="15" a="1"/>
  <c r="AM198" i="15" a="1"/>
  <c r="W198" i="15" a="1"/>
  <c r="G198" i="15" a="1"/>
  <c r="BT199" i="15" a="1"/>
  <c r="BD199" i="15" a="1"/>
  <c r="AN199" i="15" a="1"/>
  <c r="X199" i="15" a="1"/>
  <c r="H199" i="15" a="1"/>
  <c r="BJ198" i="15" a="1"/>
  <c r="AT198" i="15" a="1"/>
  <c r="AD198" i="15" a="1"/>
  <c r="AW224" i="15" a="1"/>
  <c r="AT225" i="15" a="1"/>
  <c r="AG225" i="15" a="1"/>
  <c r="Y223" i="15" a="1"/>
  <c r="BJ224" i="15" a="1"/>
  <c r="Z224" i="15" a="1"/>
  <c r="L221" i="15" a="1"/>
  <c r="AE220" i="15" a="1"/>
  <c r="AP221" i="15" a="1"/>
  <c r="BK220" i="15" a="1"/>
  <c r="T219" i="15" a="1"/>
  <c r="BF216" i="15" a="1"/>
  <c r="M218" i="15" a="1"/>
  <c r="Y216" i="15" a="1"/>
  <c r="J219" i="15" a="1"/>
  <c r="V217" i="15" a="1"/>
  <c r="M219" i="15" a="1"/>
  <c r="BQ217" i="15" a="1"/>
  <c r="AY216" i="15" a="1"/>
  <c r="BN215" i="15" a="1"/>
  <c r="X215" i="15" a="1"/>
  <c r="AX214" i="15" a="1"/>
  <c r="T214" i="15" a="1"/>
  <c r="F213" i="15" a="1"/>
  <c r="BH211" i="15" a="1"/>
  <c r="BU213" i="15" a="1"/>
  <c r="BG212" i="15" a="1"/>
  <c r="Y215" i="15" a="1"/>
  <c r="AZ213" i="15" a="1"/>
  <c r="AK212" i="15" a="1"/>
  <c r="S211" i="15" a="1"/>
  <c r="AM215" i="15" a="1"/>
  <c r="AC214" i="15" a="1"/>
  <c r="BG213" i="15" a="1"/>
  <c r="O213" i="15" a="1"/>
  <c r="AM212" i="15" a="1"/>
  <c r="BQ211" i="15" a="1"/>
  <c r="Z211" i="15" a="1"/>
  <c r="AY210" i="15" a="1"/>
  <c r="S210" i="15" a="1"/>
  <c r="AD211" i="15" a="1"/>
  <c r="AU210" i="15" a="1"/>
  <c r="BL209" i="15" a="1"/>
  <c r="AI209" i="15" a="1"/>
  <c r="K209" i="15" a="1"/>
  <c r="AM211" i="15" a="1"/>
  <c r="AX210" i="15" a="1"/>
  <c r="BQ209" i="15" a="1"/>
  <c r="AK209" i="15" a="1"/>
  <c r="M209" i="15" a="1"/>
  <c r="AW211" i="15" a="1"/>
  <c r="BC210" i="15" a="1"/>
  <c r="G210" i="15" a="1"/>
  <c r="BC209" i="15" a="1"/>
  <c r="AE209" i="15" a="1"/>
  <c r="L209" i="15" a="1"/>
  <c r="BI208" i="15" a="1"/>
  <c r="AK208" i="15" a="1"/>
  <c r="R208" i="15" a="1"/>
  <c r="BO207" i="15" a="1"/>
  <c r="AT207" i="15" a="1"/>
  <c r="AJ207" i="15" a="1"/>
  <c r="Z207" i="15" a="1"/>
  <c r="N207" i="15" a="1"/>
  <c r="AE211" i="15" a="1"/>
  <c r="BF210" i="15" a="1"/>
  <c r="J210" i="15" a="1"/>
  <c r="BJ209" i="15" a="1"/>
  <c r="AT209" i="15" a="1"/>
  <c r="AD209" i="15" a="1"/>
  <c r="N209" i="15" a="1"/>
  <c r="BP208" i="15" a="1"/>
  <c r="AZ208" i="15" a="1"/>
  <c r="AJ208" i="15" a="1"/>
  <c r="T208" i="15" a="1"/>
  <c r="BV207" i="15" a="1"/>
  <c r="BF207" i="15" a="1"/>
  <c r="AY208" i="15" a="1"/>
  <c r="S208" i="15" a="1"/>
  <c r="BE207" i="15" a="1"/>
  <c r="BL206" i="15" a="1"/>
  <c r="AV206" i="15" a="1"/>
  <c r="AF206" i="15" a="1"/>
  <c r="P206" i="15" a="1"/>
  <c r="BR205" i="15" a="1"/>
  <c r="BB205" i="15" a="1"/>
  <c r="AL205" i="15" a="1"/>
  <c r="AW208" i="15" a="1"/>
  <c r="Q208" i="15" a="1"/>
  <c r="BC207" i="15" a="1"/>
  <c r="AG207" i="15" a="1"/>
  <c r="Q207" i="15" a="1"/>
  <c r="BS206" i="15" a="1"/>
  <c r="BC206" i="15" a="1"/>
  <c r="AM206" i="15" a="1"/>
  <c r="W206" i="15" a="1"/>
  <c r="G206" i="15" a="1"/>
  <c r="BI205" i="15" a="1"/>
  <c r="AS205" i="15" a="1"/>
  <c r="AC205" i="15" a="1"/>
  <c r="M205" i="15" a="1"/>
  <c r="BO204" i="15" a="1"/>
  <c r="AY204" i="15" a="1"/>
  <c r="AA208" i="15" a="1"/>
  <c r="BM207" i="15" a="1"/>
  <c r="BU206" i="15" a="1"/>
  <c r="BE206" i="15" a="1"/>
  <c r="AO206" i="15" a="1"/>
  <c r="Y206" i="15" a="1"/>
  <c r="I206" i="15" a="1"/>
  <c r="BK205" i="15" a="1"/>
  <c r="AU205" i="15" a="1"/>
  <c r="AE205" i="15" a="1"/>
  <c r="Y208" i="15" a="1"/>
  <c r="BK207" i="15" a="1"/>
  <c r="AM207" i="15" a="1"/>
  <c r="W207" i="15" a="1"/>
  <c r="H207" i="15" a="1"/>
  <c r="BJ206" i="15" a="1"/>
  <c r="AT206" i="15" a="1"/>
  <c r="AD206" i="15" a="1"/>
  <c r="N206" i="15" a="1"/>
  <c r="BP205" i="15" a="1"/>
  <c r="AZ205" i="15" a="1"/>
  <c r="AJ205" i="15" a="1"/>
  <c r="T205" i="15" a="1"/>
  <c r="BV204" i="15" a="1"/>
  <c r="BF204" i="15" a="1"/>
  <c r="R205" i="15" a="1"/>
  <c r="BD204" i="15" a="1"/>
  <c r="AH204" i="15" a="1"/>
  <c r="R204" i="15" a="1"/>
  <c r="BT203" i="15" a="1"/>
  <c r="BD203" i="15" a="1"/>
  <c r="AN203" i="15" a="1"/>
  <c r="X203" i="15" a="1"/>
  <c r="H203" i="15" a="1"/>
  <c r="BJ202" i="15" a="1"/>
  <c r="AT202" i="15" a="1"/>
  <c r="AD202" i="15" a="1"/>
  <c r="N202" i="15" a="1"/>
  <c r="BP201" i="15" a="1"/>
  <c r="AA205" i="15" a="1"/>
  <c r="BM204" i="15" a="1"/>
  <c r="AO204" i="15" a="1"/>
  <c r="Y204" i="15" a="1"/>
  <c r="I204" i="15" a="1"/>
  <c r="BK203" i="15" a="1"/>
  <c r="AU203" i="15" a="1"/>
  <c r="AE203" i="15" a="1"/>
  <c r="O203" i="15" a="1"/>
  <c r="BQ202" i="15" a="1"/>
  <c r="BA202" i="15" a="1"/>
  <c r="AK202" i="15" a="1"/>
  <c r="U202" i="15" a="1"/>
  <c r="E202" i="15" a="1"/>
  <c r="BG201" i="15" a="1"/>
  <c r="AV201" i="15" a="1"/>
  <c r="AN201" i="15" a="1"/>
  <c r="AF201" i="15" a="1"/>
  <c r="X201" i="15" a="1"/>
  <c r="P201" i="15" a="1"/>
  <c r="H201" i="15" a="1"/>
  <c r="BR200" i="15" a="1"/>
  <c r="BJ200" i="15" a="1"/>
  <c r="BB200" i="15" a="1"/>
  <c r="AT200" i="15" a="1"/>
  <c r="AL200" i="15" a="1"/>
  <c r="AD200" i="15" a="1"/>
  <c r="V200" i="15" a="1"/>
  <c r="N200" i="15" a="1"/>
  <c r="Z205" i="15" a="1"/>
  <c r="BL204" i="15" a="1"/>
  <c r="AN204" i="15" a="1"/>
  <c r="X204" i="15" a="1"/>
  <c r="E224" i="15" a="1"/>
  <c r="BC222" i="15" a="1"/>
  <c r="BT220" i="15" a="1"/>
  <c r="AY217" i="15" a="1"/>
  <c r="BK218" i="15" a="1"/>
  <c r="L215" i="15" a="1"/>
  <c r="AA215" i="15" a="1"/>
  <c r="AF213" i="15" a="1"/>
  <c r="M214" i="15" a="1"/>
  <c r="BA211" i="15" a="1"/>
  <c r="N211" i="15" a="1"/>
  <c r="BR208" i="15" a="1"/>
  <c r="AH209" i="15" a="1"/>
  <c r="BS209" i="15" a="1"/>
  <c r="BA208" i="15" a="1"/>
  <c r="AR207" i="15" a="1"/>
  <c r="T211" i="15" a="1"/>
  <c r="AO209" i="15" a="1"/>
  <c r="AU208" i="15" a="1"/>
  <c r="BA207" i="15" a="1"/>
  <c r="BI206" i="15" a="1"/>
  <c r="BO205" i="15" a="1"/>
  <c r="F208" i="15" a="1"/>
  <c r="BN206" i="15" a="1"/>
  <c r="BT205" i="15" a="1"/>
  <c r="H205" i="15" a="1"/>
  <c r="BB207" i="15" a="1"/>
  <c r="T206" i="15" a="1"/>
  <c r="AT208" i="15" a="1"/>
  <c r="S207" i="15" a="1"/>
  <c r="AA206" i="15" a="1"/>
  <c r="AG205" i="15" a="1"/>
  <c r="G205" i="15" a="1"/>
  <c r="BP203" i="15" a="1"/>
  <c r="BV202" i="15" a="1"/>
  <c r="J202" i="15" a="1"/>
  <c r="AK204" i="15" a="1"/>
  <c r="AQ203" i="15" a="1"/>
  <c r="AW202" i="15" a="1"/>
  <c r="BC201" i="15" a="1"/>
  <c r="V201" i="15" a="1"/>
  <c r="BH200" i="15" a="1"/>
  <c r="AB200" i="15" a="1"/>
  <c r="BA204" i="15" a="1"/>
  <c r="BV203" i="15" a="1"/>
  <c r="AP203" i="15" a="1"/>
  <c r="J203" i="15" a="1"/>
  <c r="AV202" i="15" a="1"/>
  <c r="P202" i="15" a="1"/>
  <c r="BB201" i="15" a="1"/>
  <c r="AQ204" i="15" a="1"/>
  <c r="K204" i="15" a="1"/>
  <c r="AW203" i="15" a="1"/>
  <c r="Q203" i="15" a="1"/>
  <c r="BC202" i="15" a="1"/>
  <c r="W202" i="15" a="1"/>
  <c r="BI201" i="15" a="1"/>
  <c r="AO201" i="15" a="1"/>
  <c r="Y201" i="15" a="1"/>
  <c r="I201" i="15" a="1"/>
  <c r="BK200" i="15" a="1"/>
  <c r="AU200" i="15" a="1"/>
  <c r="AE200" i="15" a="1"/>
  <c r="O200" i="15" a="1"/>
  <c r="BO199" i="15" a="1"/>
  <c r="AI199" i="15" a="1"/>
  <c r="BU198" i="15" a="1"/>
  <c r="AO198" i="15" a="1"/>
  <c r="I198" i="15" a="1"/>
  <c r="BJ199" i="15" a="1"/>
  <c r="AD199" i="15" a="1"/>
  <c r="BP198" i="15" a="1"/>
  <c r="AJ198" i="15" a="1"/>
  <c r="BU199" i="15" a="1"/>
  <c r="AO199" i="15" a="1"/>
  <c r="I199" i="15" a="1"/>
  <c r="AU198" i="15" a="1"/>
  <c r="O198" i="15" a="1"/>
  <c r="BL199" i="15" a="1"/>
  <c r="AF199" i="15" a="1"/>
  <c r="BR198" i="15" a="1"/>
  <c r="AL198" i="15" a="1"/>
  <c r="J198" i="15" a="1"/>
  <c r="BA197" i="15" a="1"/>
  <c r="AC197" i="15" a="1"/>
  <c r="M197" i="15" a="1"/>
  <c r="BO196" i="15" a="1"/>
  <c r="AY196" i="15" a="1"/>
  <c r="AI196" i="15" a="1"/>
  <c r="S196" i="15" a="1"/>
  <c r="BU195" i="15" a="1"/>
  <c r="BE195" i="15" a="1"/>
  <c r="AO195" i="15" a="1"/>
  <c r="Y195" i="15" a="1"/>
  <c r="I195" i="15" a="1"/>
  <c r="BK194" i="15" a="1"/>
  <c r="AU194" i="15" a="1"/>
  <c r="AE194" i="15" a="1"/>
  <c r="O194" i="15" a="1"/>
  <c r="BQ193" i="15" a="1"/>
  <c r="BA193" i="15" a="1"/>
  <c r="AK193" i="15" a="1"/>
  <c r="U193" i="15" a="1"/>
  <c r="E193" i="15" a="1"/>
  <c r="BG192" i="15" a="1"/>
  <c r="AQ192" i="15" a="1"/>
  <c r="AA192" i="15" a="1"/>
  <c r="K192" i="15" a="1"/>
  <c r="BM191" i="15" a="1"/>
  <c r="AW191" i="15" a="1"/>
  <c r="AG191" i="15" a="1"/>
  <c r="Q191" i="15" a="1"/>
  <c r="BS190" i="15" a="1"/>
  <c r="BC190" i="15" a="1"/>
  <c r="AM190" i="15" a="1"/>
  <c r="W190" i="15" a="1"/>
  <c r="G190" i="15" a="1"/>
  <c r="BI189" i="15" a="1"/>
  <c r="AS189" i="15" a="1"/>
  <c r="BL197" i="15" a="1"/>
  <c r="AV197" i="15" a="1"/>
  <c r="AF197" i="15" a="1"/>
  <c r="P197" i="15" a="1"/>
  <c r="BR196" i="15" a="1"/>
  <c r="BB196" i="15" a="1"/>
  <c r="AL196" i="15" a="1"/>
  <c r="V196" i="15" a="1"/>
  <c r="F196" i="15" a="1"/>
  <c r="BH195" i="15" a="1"/>
  <c r="AR195" i="15" a="1"/>
  <c r="AB195" i="15" a="1"/>
  <c r="L195" i="15" a="1"/>
  <c r="BN194" i="15" a="1"/>
  <c r="AX194" i="15" a="1"/>
  <c r="AH194" i="15" a="1"/>
  <c r="R194" i="15" a="1"/>
  <c r="BT193" i="15" a="1"/>
  <c r="BD193" i="15" a="1"/>
  <c r="AN193" i="15" a="1"/>
  <c r="X193" i="15" a="1"/>
  <c r="H193" i="15" a="1"/>
  <c r="BJ192" i="15" a="1"/>
  <c r="AT192" i="15" a="1"/>
  <c r="AD192" i="15" a="1"/>
  <c r="N192" i="15" a="1"/>
  <c r="BP191" i="15" a="1"/>
  <c r="AZ191" i="15" a="1"/>
  <c r="AJ191" i="15" a="1"/>
  <c r="T191" i="15" a="1"/>
  <c r="BV190" i="15" a="1"/>
  <c r="BF190" i="15" a="1"/>
  <c r="AP190" i="15" a="1"/>
  <c r="Z190" i="15" a="1"/>
  <c r="J190" i="15" a="1"/>
  <c r="BL189" i="15" a="1"/>
  <c r="AV189" i="15" a="1"/>
  <c r="AF189" i="15" a="1"/>
  <c r="P189" i="15" a="1"/>
  <c r="BO197" i="15" a="1"/>
  <c r="AY197" i="15" a="1"/>
  <c r="AI197" i="15" a="1"/>
  <c r="S197" i="15" a="1"/>
  <c r="BU196" i="15" a="1"/>
  <c r="BE196" i="15" a="1"/>
  <c r="AO196" i="15" a="1"/>
  <c r="Y196" i="15" a="1"/>
  <c r="I196" i="15" a="1"/>
  <c r="BK195" i="15" a="1"/>
  <c r="AU195" i="15" a="1"/>
  <c r="AE195" i="15" a="1"/>
  <c r="O195" i="15" a="1"/>
  <c r="BQ194" i="15" a="1"/>
  <c r="BA194" i="15" a="1"/>
  <c r="AK194" i="15" a="1"/>
  <c r="U194" i="15" a="1"/>
  <c r="E194" i="15" a="1"/>
  <c r="BG193" i="15" a="1"/>
  <c r="AQ193" i="15" a="1"/>
  <c r="AA193" i="15" a="1"/>
  <c r="K193" i="15" a="1"/>
  <c r="BM192" i="15" a="1"/>
  <c r="AW192" i="15" a="1"/>
  <c r="AG192" i="15" a="1"/>
  <c r="Q192" i="15" a="1"/>
  <c r="BS191" i="15" a="1"/>
  <c r="BC191" i="15" a="1"/>
  <c r="AM191" i="15" a="1"/>
  <c r="W191" i="15" a="1"/>
  <c r="G191" i="15" a="1"/>
  <c r="BI190" i="15" a="1"/>
  <c r="AS190" i="15" a="1"/>
  <c r="AC190" i="15" a="1"/>
  <c r="M190" i="15" a="1"/>
  <c r="BO189" i="15" a="1"/>
  <c r="AY189" i="15" a="1"/>
  <c r="AI189" i="15" a="1"/>
  <c r="BB197" i="15" a="1"/>
  <c r="AL197" i="15" a="1"/>
  <c r="V197" i="15" a="1"/>
  <c r="F197" i="15" a="1"/>
  <c r="BH196" i="15" a="1"/>
  <c r="AR196" i="15" a="1"/>
  <c r="AB196" i="15" a="1"/>
  <c r="L196" i="15" a="1"/>
  <c r="BN195" i="15" a="1"/>
  <c r="AX195" i="15" a="1"/>
  <c r="AH195" i="15" a="1"/>
  <c r="R195" i="15" a="1"/>
  <c r="BT194" i="15" a="1"/>
  <c r="BD194" i="15" a="1"/>
  <c r="AN194" i="15" a="1"/>
  <c r="X194" i="15" a="1"/>
  <c r="H194" i="15" a="1"/>
  <c r="BJ193" i="15" a="1"/>
  <c r="AT193" i="15" a="1"/>
  <c r="AD193" i="15" a="1"/>
  <c r="N193" i="15" a="1"/>
  <c r="BP192" i="15" a="1"/>
  <c r="AZ192" i="15" a="1"/>
  <c r="AJ192" i="15" a="1"/>
  <c r="T192" i="15" a="1"/>
  <c r="BV191" i="15" a="1"/>
  <c r="BF191" i="15" a="1"/>
  <c r="AP191" i="15" a="1"/>
  <c r="Z191" i="15" a="1"/>
  <c r="J191" i="15" a="1"/>
  <c r="BL190" i="15" a="1"/>
  <c r="AV190" i="15" a="1"/>
  <c r="AF190" i="15" a="1"/>
  <c r="P190" i="15" a="1"/>
  <c r="BR189" i="15" a="1"/>
  <c r="BB189" i="15" a="1"/>
  <c r="AL189" i="15" a="1"/>
  <c r="V189" i="15" a="1"/>
  <c r="F189" i="15" a="1"/>
  <c r="Q189" i="15" a="1"/>
  <c r="BK188" i="15" a="1"/>
  <c r="AU188" i="15" a="1"/>
  <c r="AE188" i="15" a="1"/>
  <c r="O188" i="15" a="1"/>
  <c r="BQ187" i="15" a="1"/>
  <c r="BA187" i="15" a="1"/>
  <c r="AK187" i="15" a="1"/>
  <c r="U187" i="15" a="1"/>
  <c r="E187" i="15" a="1"/>
  <c r="BG186" i="15" a="1"/>
  <c r="AQ186" i="15" a="1"/>
  <c r="AA186" i="15" a="1"/>
  <c r="K186" i="15" a="1"/>
  <c r="BM185" i="15" a="1"/>
  <c r="AW185" i="15" a="1"/>
  <c r="AG185" i="15" a="1"/>
  <c r="Q185" i="15" a="1"/>
  <c r="BS184" i="15" a="1"/>
  <c r="BC184" i="15" a="1"/>
  <c r="AM184" i="15" a="1"/>
  <c r="W184" i="15" a="1"/>
  <c r="G184" i="15" a="1"/>
  <c r="BI183" i="15" a="1"/>
  <c r="AS183" i="15" a="1"/>
  <c r="AC183" i="15" a="1"/>
  <c r="M183" i="15" a="1"/>
  <c r="BO182" i="15" a="1"/>
  <c r="AY182" i="15" a="1"/>
  <c r="AI182" i="15" a="1"/>
  <c r="S182" i="15" a="1"/>
  <c r="G189" i="15" a="1"/>
  <c r="BF188" i="15" a="1"/>
  <c r="AP188" i="15" a="1"/>
  <c r="Z188" i="15" a="1"/>
  <c r="J188" i="15" a="1"/>
  <c r="BL187" i="15" a="1"/>
  <c r="AV187" i="15" a="1"/>
  <c r="AF187" i="15" a="1"/>
  <c r="P187" i="15" a="1"/>
  <c r="BR186" i="15" a="1"/>
  <c r="BB186" i="15" a="1"/>
  <c r="AL186" i="15" a="1"/>
  <c r="V186" i="15" a="1"/>
  <c r="F186" i="15" a="1"/>
  <c r="BH185" i="15" a="1"/>
  <c r="AR185" i="15" a="1"/>
  <c r="AB185" i="15" a="1"/>
  <c r="L185" i="15" a="1"/>
  <c r="BN184" i="15" a="1"/>
  <c r="AX184" i="15" a="1"/>
  <c r="AH184" i="15" a="1"/>
  <c r="R184" i="15" a="1"/>
  <c r="BT224" i="15" a="1"/>
  <c r="AW222" i="15" a="1"/>
  <c r="AB220" i="15" a="1"/>
  <c r="I216" i="15" a="1"/>
  <c r="AS217" i="15" a="1"/>
  <c r="AN214" i="15" a="1"/>
  <c r="BA213" i="15" a="1"/>
  <c r="M212" i="15" a="1"/>
  <c r="AQ213" i="15" a="1"/>
  <c r="J211" i="15" a="1"/>
  <c r="T210" i="15" a="1"/>
  <c r="W211" i="15" a="1"/>
  <c r="E209" i="15" a="1"/>
  <c r="AU209" i="15" a="1"/>
  <c r="AH208" i="15" a="1"/>
  <c r="AH207" i="15" a="1"/>
  <c r="AP210" i="15" a="1"/>
  <c r="Y209" i="15" a="1"/>
  <c r="AE208" i="15" a="1"/>
  <c r="AN208" i="15" a="1"/>
  <c r="AS206" i="15" a="1"/>
  <c r="AY205" i="15" a="1"/>
  <c r="AS207" i="15" a="1"/>
  <c r="AX206" i="15" a="1"/>
  <c r="BD205" i="15" a="1"/>
  <c r="BJ204" i="15" a="1"/>
  <c r="BP206" i="15" a="1"/>
  <c r="BV205" i="15" a="1"/>
  <c r="N208" i="15" a="1"/>
  <c r="E207" i="15" a="1"/>
  <c r="K206" i="15" a="1"/>
  <c r="Q205" i="15" a="1"/>
  <c r="AT204" i="15" a="1"/>
  <c r="AZ203" i="15" a="1"/>
  <c r="BF202" i="15" a="1"/>
  <c r="BL201" i="15" a="1"/>
  <c r="U204" i="15" a="1"/>
  <c r="AA203" i="15" a="1"/>
  <c r="AG202" i="15" a="1"/>
  <c r="AT201" i="15" a="1"/>
  <c r="N201" i="15" a="1"/>
  <c r="AZ200" i="15" a="1"/>
  <c r="T200" i="15" a="1"/>
  <c r="AJ204" i="15" a="1"/>
  <c r="BJ203" i="15" a="1"/>
  <c r="AD203" i="15" a="1"/>
  <c r="BP202" i="15" a="1"/>
  <c r="AJ202" i="15" a="1"/>
  <c r="BV201" i="15" a="1"/>
  <c r="BU204" i="15" a="1"/>
  <c r="AE204" i="15" a="1"/>
  <c r="BQ203" i="15" a="1"/>
  <c r="AK203" i="15" a="1"/>
  <c r="E203" i="15" a="1"/>
  <c r="AQ202" i="15" a="1"/>
  <c r="K202" i="15" a="1"/>
  <c r="AY201" i="15" a="1"/>
  <c r="AI201" i="15" a="1"/>
  <c r="S201" i="15" a="1"/>
  <c r="BU200" i="15" a="1"/>
  <c r="BE200" i="15" a="1"/>
  <c r="AO200" i="15" a="1"/>
  <c r="Y200" i="15" a="1"/>
  <c r="I200" i="15" a="1"/>
  <c r="BC199" i="15" a="1"/>
  <c r="W199" i="15" a="1"/>
  <c r="BI198" i="15" a="1"/>
  <c r="AC198" i="15" a="1"/>
  <c r="BT197" i="15" a="1"/>
  <c r="AX199" i="15" a="1"/>
  <c r="R199" i="15" a="1"/>
  <c r="BD198" i="15" a="1"/>
  <c r="X198" i="15" a="1"/>
  <c r="BI199" i="15" a="1"/>
  <c r="AC199" i="15" a="1"/>
  <c r="BO198" i="15" a="1"/>
  <c r="AI198" i="15" a="1"/>
  <c r="E198" i="15" a="1"/>
  <c r="AZ199" i="15" a="1"/>
  <c r="T199" i="15" a="1"/>
  <c r="BF198" i="15" a="1"/>
  <c r="Z198" i="15" a="1"/>
  <c r="BQ197" i="15" a="1"/>
  <c r="AS197" i="15" a="1"/>
  <c r="Y197" i="15" a="1"/>
  <c r="I197" i="15" a="1"/>
  <c r="BK196" i="15" a="1"/>
  <c r="AU196" i="15" a="1"/>
  <c r="AE196" i="15" a="1"/>
  <c r="O196" i="15" a="1"/>
  <c r="BQ195" i="15" a="1"/>
  <c r="BA195" i="15" a="1"/>
  <c r="AK195" i="15" a="1"/>
  <c r="U195" i="15" a="1"/>
  <c r="E195" i="15" a="1"/>
  <c r="BG194" i="15" a="1"/>
  <c r="AQ194" i="15" a="1"/>
  <c r="AA194" i="15" a="1"/>
  <c r="K194" i="15" a="1"/>
  <c r="BM193" i="15" a="1"/>
  <c r="AW193" i="15" a="1"/>
  <c r="AG193" i="15" a="1"/>
  <c r="Q193" i="15" a="1"/>
  <c r="BS192" i="15" a="1"/>
  <c r="BC192" i="15" a="1"/>
  <c r="AM192" i="15" a="1"/>
  <c r="W192" i="15" a="1"/>
  <c r="G192" i="15" a="1"/>
  <c r="BI191" i="15" a="1"/>
  <c r="AS191" i="15" a="1"/>
  <c r="AC191" i="15" a="1"/>
  <c r="M191" i="15" a="1"/>
  <c r="BO190" i="15" a="1"/>
  <c r="AY190" i="15" a="1"/>
  <c r="AI190" i="15" a="1"/>
  <c r="S190" i="15" a="1"/>
  <c r="BU189" i="15" a="1"/>
  <c r="BE189" i="15" a="1"/>
  <c r="AO189" i="15" a="1"/>
  <c r="BH197" i="15" a="1"/>
  <c r="AR197" i="15" a="1"/>
  <c r="AB197" i="15" a="1"/>
  <c r="L197" i="15" a="1"/>
  <c r="BN196" i="15" a="1"/>
  <c r="AX196" i="15" a="1"/>
  <c r="AH196" i="15" a="1"/>
  <c r="R196" i="15" a="1"/>
  <c r="BT195" i="15" a="1"/>
  <c r="BD195" i="15" a="1"/>
  <c r="AN195" i="15" a="1"/>
  <c r="X195" i="15" a="1"/>
  <c r="H195" i="15" a="1"/>
  <c r="BJ194" i="15" a="1"/>
  <c r="AT194" i="15" a="1"/>
  <c r="AD194" i="15" a="1"/>
  <c r="N194" i="15" a="1"/>
  <c r="BP193" i="15" a="1"/>
  <c r="AZ193" i="15" a="1"/>
  <c r="AJ193" i="15" a="1"/>
  <c r="T193" i="15" a="1"/>
  <c r="BV192" i="15" a="1"/>
  <c r="BF192" i="15" a="1"/>
  <c r="AP192" i="15" a="1"/>
  <c r="Z192" i="15" a="1"/>
  <c r="J192" i="15" a="1"/>
  <c r="BL191" i="15" a="1"/>
  <c r="AV191" i="15" a="1"/>
  <c r="AF191" i="15" a="1"/>
  <c r="P191" i="15" a="1"/>
  <c r="BR190" i="15" a="1"/>
  <c r="BB190" i="15" a="1"/>
  <c r="AL190" i="15" a="1"/>
  <c r="V190" i="15" a="1"/>
  <c r="F190" i="15" a="1"/>
  <c r="BH189" i="15" a="1"/>
  <c r="AR189" i="15" a="1"/>
  <c r="AB189" i="15" a="1"/>
  <c r="L189" i="15" a="1"/>
  <c r="BK197" i="15" a="1"/>
  <c r="AU197" i="15" a="1"/>
  <c r="AE197" i="15" a="1"/>
  <c r="O197" i="15" a="1"/>
  <c r="BQ196" i="15" a="1"/>
  <c r="BA196" i="15" a="1"/>
  <c r="AK196" i="15" a="1"/>
  <c r="U196" i="15" a="1"/>
  <c r="E196" i="15" a="1"/>
  <c r="BG195" i="15" a="1"/>
  <c r="AQ195" i="15" a="1"/>
  <c r="AA195" i="15" a="1"/>
  <c r="K195" i="15" a="1"/>
  <c r="BM194" i="15" a="1"/>
  <c r="AW194" i="15" a="1"/>
  <c r="AG194" i="15" a="1"/>
  <c r="Q194" i="15" a="1"/>
  <c r="BS193" i="15" a="1"/>
  <c r="BC193" i="15" a="1"/>
  <c r="AM193" i="15" a="1"/>
  <c r="W193" i="15" a="1"/>
  <c r="G193" i="15" a="1"/>
  <c r="BK224" i="15" a="1"/>
  <c r="AL220" i="15" a="1"/>
  <c r="AT218" i="15" a="1"/>
  <c r="AV218" i="15" a="1"/>
  <c r="AE216" i="15" a="1"/>
  <c r="BR213" i="15" a="1"/>
  <c r="AI212" i="15" a="1"/>
  <c r="BR210" i="15" a="1"/>
  <c r="BP212" i="15" a="1"/>
  <c r="AQ210" i="15" a="1"/>
  <c r="BG209" i="15" a="1"/>
  <c r="AS210" i="15" a="1"/>
  <c r="V211" i="15" a="1"/>
  <c r="AB209" i="15" a="1"/>
  <c r="M208" i="15" a="1"/>
  <c r="V207" i="15" a="1"/>
  <c r="F210" i="15" a="1"/>
  <c r="I209" i="15" a="1"/>
  <c r="O208" i="15" a="1"/>
  <c r="H208" i="15" a="1"/>
  <c r="AC206" i="15" a="1"/>
  <c r="AI205" i="15" a="1"/>
  <c r="AC207" i="15" a="1"/>
  <c r="AH206" i="15" a="1"/>
  <c r="AN205" i="15" a="1"/>
  <c r="AV208" i="15" a="1"/>
  <c r="AZ206" i="15" a="1"/>
  <c r="BF205" i="15" a="1"/>
  <c r="AZ207" i="15" a="1"/>
  <c r="BG206" i="15" a="1"/>
  <c r="BM205" i="15" a="1"/>
  <c r="BS204" i="15" a="1"/>
  <c r="AD204" i="15" a="1"/>
  <c r="AJ203" i="15" a="1"/>
  <c r="AP202" i="15" a="1"/>
  <c r="V205" i="15" a="1"/>
  <c r="E204" i="15" a="1"/>
  <c r="K203" i="15" a="1"/>
  <c r="Q202" i="15" a="1"/>
  <c r="AL201" i="15" a="1"/>
  <c r="F201" i="15" a="1"/>
  <c r="AR200" i="15" a="1"/>
  <c r="L200" i="15" a="1"/>
  <c r="T204" i="15" a="1"/>
  <c r="BF203" i="15" a="1"/>
  <c r="Z203" i="15" a="1"/>
  <c r="BL202" i="15" a="1"/>
  <c r="AF202" i="15" a="1"/>
  <c r="BR201" i="15" a="1"/>
  <c r="BP204" i="15" a="1"/>
  <c r="AA204" i="15" a="1"/>
  <c r="BM203" i="15" a="1"/>
  <c r="AG203" i="15" a="1"/>
  <c r="BS202" i="15" a="1"/>
  <c r="AM202" i="15" a="1"/>
  <c r="G202" i="15" a="1"/>
  <c r="AW201" i="15" a="1"/>
  <c r="AG201" i="15" a="1"/>
  <c r="Q201" i="15" a="1"/>
  <c r="BS200" i="15" a="1"/>
  <c r="BC200" i="15" a="1"/>
  <c r="AM200" i="15" a="1"/>
  <c r="W200" i="15" a="1"/>
  <c r="G200" i="15" a="1"/>
  <c r="AY199" i="15" a="1"/>
  <c r="S199" i="15" a="1"/>
  <c r="BE198" i="15" a="1"/>
  <c r="Y198" i="15" a="1"/>
  <c r="BR197" i="15" a="1"/>
  <c r="AT199" i="15" a="1"/>
  <c r="N199" i="15" a="1"/>
  <c r="AZ198" i="15" a="1"/>
  <c r="T198" i="15" a="1"/>
  <c r="BE199" i="15" a="1"/>
  <c r="Y199" i="15" a="1"/>
  <c r="BK198" i="15" a="1"/>
  <c r="AE198" i="15" a="1"/>
  <c r="BU197" i="15" a="1"/>
  <c r="AV199" i="15" a="1"/>
  <c r="P199" i="15" a="1"/>
  <c r="BB198" i="15" a="1"/>
  <c r="V198" i="15" a="1"/>
  <c r="BI197" i="15" a="1"/>
  <c r="AO197" i="15" a="1"/>
  <c r="U197" i="15" a="1"/>
  <c r="E197" i="15" a="1"/>
  <c r="BG196" i="15" a="1"/>
  <c r="AQ196" i="15" a="1"/>
  <c r="AA196" i="15" a="1"/>
  <c r="K196" i="15" a="1"/>
  <c r="BM195" i="15" a="1"/>
  <c r="AW195" i="15" a="1"/>
  <c r="AG195" i="15" a="1"/>
  <c r="Q195" i="15" a="1"/>
  <c r="BS194" i="15" a="1"/>
  <c r="BC194" i="15" a="1"/>
  <c r="AM194" i="15" a="1"/>
  <c r="W194" i="15" a="1"/>
  <c r="G194" i="15" a="1"/>
  <c r="BI193" i="15" a="1"/>
  <c r="AS193" i="15" a="1"/>
  <c r="AC193" i="15" a="1"/>
  <c r="M193" i="15" a="1"/>
  <c r="BO192" i="15" a="1"/>
  <c r="AY192" i="15" a="1"/>
  <c r="AI192" i="15" a="1"/>
  <c r="S192" i="15" a="1"/>
  <c r="BU191" i="15" a="1"/>
  <c r="BE191" i="15" a="1"/>
  <c r="AO191" i="15" a="1"/>
  <c r="Y191" i="15" a="1"/>
  <c r="I191" i="15" a="1"/>
  <c r="BK190" i="15" a="1"/>
  <c r="AU190" i="15" a="1"/>
  <c r="AE190" i="15" a="1"/>
  <c r="O190" i="15" a="1"/>
  <c r="BQ189" i="15" a="1"/>
  <c r="BA189" i="15" a="1"/>
  <c r="AK189" i="15" a="1"/>
  <c r="BD197" i="15" a="1"/>
  <c r="AN197" i="15" a="1"/>
  <c r="X197" i="15" a="1"/>
  <c r="H197" i="15" a="1"/>
  <c r="BJ196" i="15" a="1"/>
  <c r="AT196" i="15" a="1"/>
  <c r="AD196" i="15" a="1"/>
  <c r="N196" i="15" a="1"/>
  <c r="BP195" i="15" a="1"/>
  <c r="AZ195" i="15" a="1"/>
  <c r="AJ195" i="15" a="1"/>
  <c r="T195" i="15" a="1"/>
  <c r="BV194" i="15" a="1"/>
  <c r="BF194" i="15" a="1"/>
  <c r="AP194" i="15" a="1"/>
  <c r="Z194" i="15" a="1"/>
  <c r="J194" i="15" a="1"/>
  <c r="BL193" i="15" a="1"/>
  <c r="AV193" i="15" a="1"/>
  <c r="AF193" i="15" a="1"/>
  <c r="P193" i="15" a="1"/>
  <c r="BR192" i="15" a="1"/>
  <c r="BB192" i="15" a="1"/>
  <c r="AL192" i="15" a="1"/>
  <c r="V192" i="15" a="1"/>
  <c r="F192" i="15" a="1"/>
  <c r="BH191" i="15" a="1"/>
  <c r="AR191" i="15" a="1"/>
  <c r="AB191" i="15" a="1"/>
  <c r="L191" i="15" a="1"/>
  <c r="BN190" i="15" a="1"/>
  <c r="AX190" i="15" a="1"/>
  <c r="AH190" i="15" a="1"/>
  <c r="R190" i="15" a="1"/>
  <c r="BT189" i="15" a="1"/>
  <c r="BD189" i="15" a="1"/>
  <c r="AN189" i="15" a="1"/>
  <c r="X189" i="15" a="1"/>
  <c r="H189" i="15" a="1"/>
  <c r="BG197" i="15" a="1"/>
  <c r="AQ197" i="15" a="1"/>
  <c r="AA197" i="15" a="1"/>
  <c r="K197" i="15" a="1"/>
  <c r="BM196" i="15" a="1"/>
  <c r="AW196" i="15" a="1"/>
  <c r="AG196" i="15" a="1"/>
  <c r="Q196" i="15" a="1"/>
  <c r="BS195" i="15" a="1"/>
  <c r="BC195" i="15" a="1"/>
  <c r="AM195" i="15" a="1"/>
  <c r="W195" i="15" a="1"/>
  <c r="G195" i="15" a="1"/>
  <c r="BI194" i="15" a="1"/>
  <c r="AS194" i="15" a="1"/>
  <c r="AC194" i="15" a="1"/>
  <c r="M194" i="15" a="1"/>
  <c r="BO193" i="15" a="1"/>
  <c r="AY193" i="15" a="1"/>
  <c r="AI193" i="15" a="1"/>
  <c r="S193" i="15" a="1"/>
  <c r="BU192" i="15" a="1"/>
  <c r="BE192" i="15" a="1"/>
  <c r="AO192" i="15" a="1"/>
  <c r="Y192" i="15" a="1"/>
  <c r="I192" i="15" a="1"/>
  <c r="BK191" i="15" a="1"/>
  <c r="AU191" i="15" a="1"/>
  <c r="AE191" i="15" a="1"/>
  <c r="O191" i="15" a="1"/>
  <c r="BQ190" i="15" a="1"/>
  <c r="BA190" i="15" a="1"/>
  <c r="AK190" i="15" a="1"/>
  <c r="U190" i="15" a="1"/>
  <c r="E190" i="15" a="1"/>
  <c r="BG189" i="15" a="1"/>
  <c r="AQ189" i="15" a="1"/>
  <c r="BJ197" i="15" a="1"/>
  <c r="AT197" i="15" a="1"/>
  <c r="AD197" i="15" a="1"/>
  <c r="N197" i="15" a="1"/>
  <c r="BP196" i="15" a="1"/>
  <c r="AZ196" i="15" a="1"/>
  <c r="AJ196" i="15" a="1"/>
  <c r="T196" i="15" a="1"/>
  <c r="BV195" i="15" a="1"/>
  <c r="BF195" i="15" a="1"/>
  <c r="AP195" i="15" a="1"/>
  <c r="Z195" i="15" a="1"/>
  <c r="J195" i="15" a="1"/>
  <c r="BL194" i="15" a="1"/>
  <c r="AV194" i="15" a="1"/>
  <c r="AF194" i="15" a="1"/>
  <c r="P194" i="15" a="1"/>
  <c r="BR193" i="15" a="1"/>
  <c r="BB193" i="15" a="1"/>
  <c r="AL193" i="15" a="1"/>
  <c r="V193" i="15" a="1"/>
  <c r="F193" i="15" a="1"/>
  <c r="BH192" i="15" a="1"/>
  <c r="AR192" i="15" a="1"/>
  <c r="AB192" i="15" a="1"/>
  <c r="L192" i="15" a="1"/>
  <c r="BN191" i="15" a="1"/>
  <c r="AX191" i="15" a="1"/>
  <c r="AH191" i="15" a="1"/>
  <c r="R191" i="15" a="1"/>
  <c r="BT190" i="15" a="1"/>
  <c r="BD190" i="15" a="1"/>
  <c r="AN190" i="15" a="1"/>
  <c r="X190" i="15" a="1"/>
  <c r="H190" i="15" a="1"/>
  <c r="BJ189" i="15" a="1"/>
  <c r="AT189" i="15" a="1"/>
  <c r="AD189" i="15" a="1"/>
  <c r="N189" i="15" a="1"/>
  <c r="AG189" i="15" a="1"/>
  <c r="BS188" i="15" a="1"/>
  <c r="BC188" i="15" a="1"/>
  <c r="AM188" i="15" a="1"/>
  <c r="W188" i="15" a="1"/>
  <c r="G188" i="15" a="1"/>
  <c r="BI187" i="15" a="1"/>
  <c r="AS187" i="15" a="1"/>
  <c r="AC187" i="15" a="1"/>
  <c r="M187" i="15" a="1"/>
  <c r="BO186" i="15" a="1"/>
  <c r="AY186" i="15" a="1"/>
  <c r="AI186" i="15" a="1"/>
  <c r="S186" i="15" a="1"/>
  <c r="BU185" i="15" a="1"/>
  <c r="BE185" i="15" a="1"/>
  <c r="AO185" i="15" a="1"/>
  <c r="Y185" i="15" a="1"/>
  <c r="I185" i="15" a="1"/>
  <c r="BK184" i="15" a="1"/>
  <c r="AU184" i="15" a="1"/>
  <c r="AR225" i="15" a="1"/>
  <c r="BD215" i="15" a="1"/>
  <c r="W212" i="15" a="1"/>
  <c r="AR210" i="15" a="1"/>
  <c r="BE209" i="15" a="1"/>
  <c r="M206" i="15" a="1"/>
  <c r="X205" i="15" a="1"/>
  <c r="AI207" i="15" a="1"/>
  <c r="N204" i="15" a="1"/>
  <c r="BG203" i="15" a="1"/>
  <c r="BP200" i="15" a="1"/>
  <c r="AT203" i="15" a="1"/>
  <c r="BF201" i="15" a="1"/>
  <c r="U203" i="15" a="1"/>
  <c r="AQ201" i="15" a="1"/>
  <c r="AW200" i="15" a="1"/>
  <c r="AM199" i="15" a="1"/>
  <c r="BN199" i="15" a="1"/>
  <c r="H198" i="15" a="1"/>
  <c r="S198" i="15" a="1"/>
  <c r="AP198" i="15" a="1"/>
  <c r="Q197" i="15" a="1"/>
  <c r="W196" i="15" a="1"/>
  <c r="AC195" i="15" a="1"/>
  <c r="AI194" i="15" a="1"/>
  <c r="AO193" i="15" a="1"/>
  <c r="AU192" i="15" a="1"/>
  <c r="BA191" i="15" a="1"/>
  <c r="BG190" i="15" a="1"/>
  <c r="BM189" i="15" a="1"/>
  <c r="AJ197" i="15" a="1"/>
  <c r="AP196" i="15" a="1"/>
  <c r="AV195" i="15" a="1"/>
  <c r="BB194" i="15" a="1"/>
  <c r="BH193" i="15" a="1"/>
  <c r="BN192" i="15" a="1"/>
  <c r="BT191" i="15" a="1"/>
  <c r="H191" i="15" a="1"/>
  <c r="N190" i="15" a="1"/>
  <c r="T189" i="15" a="1"/>
  <c r="W197" i="15" a="1"/>
  <c r="AC196" i="15" a="1"/>
  <c r="AI195" i="15" a="1"/>
  <c r="AO194" i="15" a="1"/>
  <c r="AU193" i="15" a="1"/>
  <c r="BI192" i="15" a="1"/>
  <c r="AC192" i="15" a="1"/>
  <c r="BO191" i="15" a="1"/>
  <c r="AI191" i="15" a="1"/>
  <c r="BU190" i="15" a="1"/>
  <c r="AO190" i="15" a="1"/>
  <c r="I190" i="15" a="1"/>
  <c r="AU189" i="15" a="1"/>
  <c r="AX197" i="15" a="1"/>
  <c r="R197" i="15" a="1"/>
  <c r="BD196" i="15" a="1"/>
  <c r="X196" i="15" a="1"/>
  <c r="BJ195" i="15" a="1"/>
  <c r="AD195" i="15" a="1"/>
  <c r="BP194" i="15" a="1"/>
  <c r="AJ194" i="15" a="1"/>
  <c r="BV193" i="15" a="1"/>
  <c r="AP193" i="15" a="1"/>
  <c r="J193" i="15" a="1"/>
  <c r="AV192" i="15" a="1"/>
  <c r="P192" i="15" a="1"/>
  <c r="BB191" i="15" a="1"/>
  <c r="V191" i="15" a="1"/>
  <c r="BH190" i="15" a="1"/>
  <c r="AB190" i="15" a="1"/>
  <c r="BN189" i="15" a="1"/>
  <c r="AH189" i="15" a="1"/>
  <c r="BT188" i="15" a="1"/>
  <c r="BG188" i="15" a="1"/>
  <c r="AA188" i="15" a="1"/>
  <c r="BM187" i="15" a="1"/>
  <c r="AG187" i="15" a="1"/>
  <c r="BS186" i="15" a="1"/>
  <c r="AM186" i="15" a="1"/>
  <c r="G186" i="15" a="1"/>
  <c r="AS185" i="15" a="1"/>
  <c r="M185" i="15" a="1"/>
  <c r="AY184" i="15" a="1"/>
  <c r="AA184" i="15" a="1"/>
  <c r="BU183" i="15" a="1"/>
  <c r="BA183" i="15" a="1"/>
  <c r="AG183" i="15" a="1"/>
  <c r="I183" i="15" a="1"/>
  <c r="BG182" i="15" a="1"/>
  <c r="AM182" i="15" a="1"/>
  <c r="AE189" i="15" a="1"/>
  <c r="BN188" i="15" a="1"/>
  <c r="AT188" i="15" a="1"/>
  <c r="V188" i="15" a="1"/>
  <c r="BT187" i="15" a="1"/>
  <c r="AZ187" i="15" a="1"/>
  <c r="AB187" i="15" a="1"/>
  <c r="H187" i="15" a="1"/>
  <c r="BF186" i="15" a="1"/>
  <c r="AH186" i="15" a="1"/>
  <c r="N186" i="15" a="1"/>
  <c r="BL185" i="15" a="1"/>
  <c r="AN185" i="15" a="1"/>
  <c r="T185" i="15" a="1"/>
  <c r="BR184" i="15" a="1"/>
  <c r="AT184" i="15" a="1"/>
  <c r="Z184" i="15" a="1"/>
  <c r="F184" i="15" a="1"/>
  <c r="BH183" i="15" a="1"/>
  <c r="AR183" i="15" a="1"/>
  <c r="AB183" i="15" a="1"/>
  <c r="L183" i="15" a="1"/>
  <c r="BN182" i="15" a="1"/>
  <c r="AX182" i="15" a="1"/>
  <c r="AH182" i="15" a="1"/>
  <c r="P182" i="15" a="1"/>
  <c r="H182" i="15" a="1"/>
  <c r="BR181" i="15" a="1"/>
  <c r="BJ181" i="15" a="1"/>
  <c r="BB181" i="15" a="1"/>
  <c r="AT181" i="15" a="1"/>
  <c r="AL181" i="15" a="1"/>
  <c r="AD181" i="15" a="1"/>
  <c r="V181" i="15" a="1"/>
  <c r="N181" i="15" a="1"/>
  <c r="F181" i="15" a="1"/>
  <c r="BP180" i="15" a="1"/>
  <c r="BH180" i="15" a="1"/>
  <c r="U189" i="15" a="1"/>
  <c r="BM188" i="15" a="1"/>
  <c r="AW188" i="15" a="1"/>
  <c r="AG188" i="15" a="1"/>
  <c r="Q188" i="15" a="1"/>
  <c r="BS187" i="15" a="1"/>
  <c r="BC187" i="15" a="1"/>
  <c r="AM187" i="15" a="1"/>
  <c r="W187" i="15" a="1"/>
  <c r="G187" i="15" a="1"/>
  <c r="BI186" i="15" a="1"/>
  <c r="AS186" i="15" a="1"/>
  <c r="AC186" i="15" a="1"/>
  <c r="M186" i="15" a="1"/>
  <c r="BO185" i="15" a="1"/>
  <c r="AY185" i="15" a="1"/>
  <c r="AI185" i="15" a="1"/>
  <c r="S185" i="15" a="1"/>
  <c r="BU184" i="15" a="1"/>
  <c r="BE184" i="15" a="1"/>
  <c r="AO184" i="15" a="1"/>
  <c r="Y184" i="15" a="1"/>
  <c r="I184" i="15" a="1"/>
  <c r="BK183" i="15" a="1"/>
  <c r="AU183" i="15" a="1"/>
  <c r="AE183" i="15" a="1"/>
  <c r="O183" i="15" a="1"/>
  <c r="BQ182" i="15" a="1"/>
  <c r="BA182" i="15" a="1"/>
  <c r="AK182" i="15" a="1"/>
  <c r="U182" i="15" a="1"/>
  <c r="K189" i="15" a="1"/>
  <c r="BH188" i="15" a="1"/>
  <c r="AR188" i="15" a="1"/>
  <c r="AB188" i="15" a="1"/>
  <c r="L188" i="15" a="1"/>
  <c r="BN187" i="15" a="1"/>
  <c r="AX187" i="15" a="1"/>
  <c r="AH187" i="15" a="1"/>
  <c r="R187" i="15" a="1"/>
  <c r="BT186" i="15" a="1"/>
  <c r="BD186" i="15" a="1"/>
  <c r="AN186" i="15" a="1"/>
  <c r="X186" i="15" a="1"/>
  <c r="H186" i="15" a="1"/>
  <c r="BJ185" i="15" a="1"/>
  <c r="AT185" i="15" a="1"/>
  <c r="AD185" i="15" a="1"/>
  <c r="N185" i="15" a="1"/>
  <c r="BP184" i="15" a="1"/>
  <c r="AZ184" i="15" a="1"/>
  <c r="AJ184" i="15" a="1"/>
  <c r="T184" i="15" a="1"/>
  <c r="BV183" i="15" a="1"/>
  <c r="BF183" i="15" a="1"/>
  <c r="AP183" i="15" a="1"/>
  <c r="Z183" i="15" a="1"/>
  <c r="J183" i="15" a="1"/>
  <c r="BL182" i="15" a="1"/>
  <c r="AV182" i="15" a="1"/>
  <c r="AF182" i="15" a="1"/>
  <c r="Q182" i="15" a="1"/>
  <c r="I182" i="15" a="1"/>
  <c r="BS181" i="15" a="1"/>
  <c r="BK181" i="15" a="1"/>
  <c r="BC181" i="15" a="1"/>
  <c r="AU181" i="15" a="1"/>
  <c r="AM181" i="15" a="1"/>
  <c r="AE181" i="15" a="1"/>
  <c r="W181" i="15" a="1"/>
  <c r="O181" i="15" a="1"/>
  <c r="G181" i="15" a="1"/>
  <c r="BQ180" i="15" a="1"/>
  <c r="BI180" i="15" a="1"/>
  <c r="BA180" i="15" a="1"/>
  <c r="AS180" i="15" a="1"/>
  <c r="AK180" i="15" a="1"/>
  <c r="AC180" i="15" a="1"/>
  <c r="U180" i="15" a="1"/>
  <c r="M180" i="15" a="1"/>
  <c r="E180" i="15" a="1"/>
  <c r="BO179" i="15" a="1"/>
  <c r="BG179" i="15" a="1"/>
  <c r="AY179" i="15" a="1"/>
  <c r="BB180" i="15" a="1"/>
  <c r="V180" i="15" a="1"/>
  <c r="BH179" i="15" a="1"/>
  <c r="AJ179" i="15" a="1"/>
  <c r="T179" i="15" a="1"/>
  <c r="BV178" i="15" a="1"/>
  <c r="BF178" i="15" a="1"/>
  <c r="AP178" i="15" a="1"/>
  <c r="Z178" i="15" a="1"/>
  <c r="J178" i="15" a="1"/>
  <c r="BL177" i="15" a="1"/>
  <c r="AV177" i="15" a="1"/>
  <c r="AF177" i="15" a="1"/>
  <c r="P177" i="15" a="1"/>
  <c r="BR176" i="15" a="1"/>
  <c r="BB176" i="15" a="1"/>
  <c r="AL176" i="15" a="1"/>
  <c r="V176" i="15" a="1"/>
  <c r="F176" i="15" a="1"/>
  <c r="BH175" i="15" a="1"/>
  <c r="AR175" i="15" a="1"/>
  <c r="AB175" i="15" a="1"/>
  <c r="L175" i="15" a="1"/>
  <c r="BN174" i="15" a="1"/>
  <c r="AV174" i="15" a="1"/>
  <c r="AF174" i="15" a="1"/>
  <c r="P174" i="15" a="1"/>
  <c r="BR173" i="15" a="1"/>
  <c r="BB173" i="15" a="1"/>
  <c r="AL173" i="15" a="1"/>
  <c r="I220" i="15" a="1"/>
  <c r="BB212" i="15" a="1"/>
  <c r="P210" i="15" a="1"/>
  <c r="G209" i="15" a="1"/>
  <c r="BK208" i="15" a="1"/>
  <c r="AL208" i="15" a="1"/>
  <c r="P208" i="15" a="1"/>
  <c r="AQ206" i="15" a="1"/>
  <c r="T203" i="15" a="1"/>
  <c r="BM202" i="15" a="1"/>
  <c r="AJ200" i="15" a="1"/>
  <c r="N203" i="15" a="1"/>
  <c r="AU204" i="15" a="1"/>
  <c r="BG202" i="15" a="1"/>
  <c r="AA201" i="15" a="1"/>
  <c r="AG200" i="15" a="1"/>
  <c r="G199" i="15" a="1"/>
  <c r="AH199" i="15" a="1"/>
  <c r="AS199" i="15" a="1"/>
  <c r="BP199" i="15" a="1"/>
  <c r="N198" i="15" a="1"/>
  <c r="BS196" i="15" a="1"/>
  <c r="G196" i="15" a="1"/>
  <c r="M195" i="15" a="1"/>
  <c r="S194" i="15" a="1"/>
  <c r="Y193" i="15" a="1"/>
  <c r="AE192" i="15" a="1"/>
  <c r="AK191" i="15" a="1"/>
  <c r="AQ190" i="15" a="1"/>
  <c r="AW189" i="15" a="1"/>
  <c r="T197" i="15" a="1"/>
  <c r="Z196" i="15" a="1"/>
  <c r="AF195" i="15" a="1"/>
  <c r="AL194" i="15" a="1"/>
  <c r="AR193" i="15" a="1"/>
  <c r="AX192" i="15" a="1"/>
  <c r="BD191" i="15" a="1"/>
  <c r="BJ190" i="15" a="1"/>
  <c r="BP189" i="15" a="1"/>
  <c r="BV188" i="15" a="1"/>
  <c r="G197" i="15" a="1"/>
  <c r="M196" i="15" a="1"/>
  <c r="S195" i="15" a="1"/>
  <c r="Y194" i="15" a="1"/>
  <c r="AE193" i="15" a="1"/>
  <c r="BA192" i="15" a="1"/>
  <c r="U192" i="15" a="1"/>
  <c r="BG191" i="15" a="1"/>
  <c r="AA191" i="15" a="1"/>
  <c r="BM190" i="15" a="1"/>
  <c r="AG190" i="15" a="1"/>
  <c r="BS189" i="15" a="1"/>
  <c r="AM189" i="15" a="1"/>
  <c r="AP197" i="15" a="1"/>
  <c r="J197" i="15" a="1"/>
  <c r="AV196" i="15" a="1"/>
  <c r="P196" i="15" a="1"/>
  <c r="BB195" i="15" a="1"/>
  <c r="V195" i="15" a="1"/>
  <c r="BH194" i="15" a="1"/>
  <c r="AB194" i="15" a="1"/>
  <c r="BN193" i="15" a="1"/>
  <c r="AH193" i="15" a="1"/>
  <c r="BT192" i="15" a="1"/>
  <c r="AN192" i="15" a="1"/>
  <c r="H192" i="15" a="1"/>
  <c r="AT191" i="15" a="1"/>
  <c r="N191" i="15" a="1"/>
  <c r="AZ190" i="15" a="1"/>
  <c r="T190" i="15" a="1"/>
  <c r="BF189" i="15" a="1"/>
  <c r="Z189" i="15" a="1"/>
  <c r="Y189" i="15" a="1"/>
  <c r="AY188" i="15" a="1"/>
  <c r="S188" i="15" a="1"/>
  <c r="BE187" i="15" a="1"/>
  <c r="Y187" i="15" a="1"/>
  <c r="BK186" i="15" a="1"/>
  <c r="AE186" i="15" a="1"/>
  <c r="BQ185" i="15" a="1"/>
  <c r="AK185" i="15" a="1"/>
  <c r="E185" i="15" a="1"/>
  <c r="AQ184" i="15" a="1"/>
  <c r="S184" i="15" a="1"/>
  <c r="BQ183" i="15" a="1"/>
  <c r="AW183" i="15" a="1"/>
  <c r="Y183" i="15" a="1"/>
  <c r="E183" i="15" a="1"/>
  <c r="BC182" i="15" a="1"/>
  <c r="AE182" i="15" a="1"/>
  <c r="W189" i="15" a="1"/>
  <c r="BJ188" i="15" a="1"/>
  <c r="AL188" i="15" a="1"/>
  <c r="R188" i="15" a="1"/>
  <c r="BP187" i="15" a="1"/>
  <c r="AR187" i="15" a="1"/>
  <c r="X187" i="15" a="1"/>
  <c r="BV186" i="15" a="1"/>
  <c r="AX186" i="15" a="1"/>
  <c r="AD186" i="15" a="1"/>
  <c r="J186" i="15" a="1"/>
  <c r="BD185" i="15" a="1"/>
  <c r="AJ185" i="15" a="1"/>
  <c r="P185" i="15" a="1"/>
  <c r="BJ184" i="15" a="1"/>
  <c r="AP184" i="15" a="1"/>
  <c r="V184" i="15" a="1"/>
  <c r="BT183" i="15" a="1"/>
  <c r="BD183" i="15" a="1"/>
  <c r="AN183" i="15" a="1"/>
  <c r="X183" i="15" a="1"/>
  <c r="H183" i="15" a="1"/>
  <c r="BJ182" i="15" a="1"/>
  <c r="AT182" i="15" a="1"/>
  <c r="AD182" i="15" a="1"/>
  <c r="N182" i="15" a="1"/>
  <c r="F182" i="15" a="1"/>
  <c r="BP181" i="15" a="1"/>
  <c r="BH181" i="15" a="1"/>
  <c r="AZ181" i="15" a="1"/>
  <c r="AR181" i="15" a="1"/>
  <c r="AJ181" i="15" a="1"/>
  <c r="AB181" i="15" a="1"/>
  <c r="T181" i="15" a="1"/>
  <c r="L181" i="15" a="1"/>
  <c r="BV180" i="15" a="1"/>
  <c r="BN180" i="15" a="1"/>
  <c r="BF180" i="15" a="1"/>
  <c r="M189" i="15" a="1"/>
  <c r="BI188" i="15" a="1"/>
  <c r="AS188" i="15" a="1"/>
  <c r="AC188" i="15" a="1"/>
  <c r="M188" i="15" a="1"/>
  <c r="BO187" i="15" a="1"/>
  <c r="AY187" i="15" a="1"/>
  <c r="AI187" i="15" a="1"/>
  <c r="S187" i="15" a="1"/>
  <c r="BU186" i="15" a="1"/>
  <c r="BE186" i="15" a="1"/>
  <c r="AO186" i="15" a="1"/>
  <c r="Y186" i="15" a="1"/>
  <c r="I186" i="15" a="1"/>
  <c r="BK185" i="15" a="1"/>
  <c r="AU185" i="15" a="1"/>
  <c r="AE185" i="15" a="1"/>
  <c r="O185" i="15" a="1"/>
  <c r="BQ184" i="15" a="1"/>
  <c r="BA184" i="15" a="1"/>
  <c r="AK184" i="15" a="1"/>
  <c r="U184" i="15" a="1"/>
  <c r="E184" i="15" a="1"/>
  <c r="BG183" i="15" a="1"/>
  <c r="AQ183" i="15" a="1"/>
  <c r="AA183" i="15" a="1"/>
  <c r="K183" i="15" a="1"/>
  <c r="BM182" i="15" a="1"/>
  <c r="AW182" i="15" a="1"/>
  <c r="AG182" i="15" a="1"/>
  <c r="R182" i="15" a="1"/>
  <c r="BU188" i="15" a="1"/>
  <c r="BD188" i="15" a="1"/>
  <c r="AN188" i="15" a="1"/>
  <c r="X188" i="15" a="1"/>
  <c r="H188" i="15" a="1"/>
  <c r="BJ187" i="15" a="1"/>
  <c r="AT187" i="15" a="1"/>
  <c r="AD187" i="15" a="1"/>
  <c r="N187" i="15" a="1"/>
  <c r="BP186" i="15" a="1"/>
  <c r="AZ186" i="15" a="1"/>
  <c r="AJ186" i="15" a="1"/>
  <c r="T186" i="15" a="1"/>
  <c r="BV185" i="15" a="1"/>
  <c r="BF185" i="15" a="1"/>
  <c r="AP185" i="15" a="1"/>
  <c r="Z185" i="15" a="1"/>
  <c r="J185" i="15" a="1"/>
  <c r="BL184" i="15" a="1"/>
  <c r="AV184" i="15" a="1"/>
  <c r="AF184" i="15" a="1"/>
  <c r="P184" i="15" a="1"/>
  <c r="BR183" i="15" a="1"/>
  <c r="BB183" i="15" a="1"/>
  <c r="AL183" i="15" a="1"/>
  <c r="V183" i="15" a="1"/>
  <c r="F183" i="15" a="1"/>
  <c r="BH182" i="15" a="1"/>
  <c r="AR182" i="15" a="1"/>
  <c r="AB182" i="15" a="1"/>
  <c r="O182" i="15" a="1"/>
  <c r="G182" i="15" a="1"/>
  <c r="BQ181" i="15" a="1"/>
  <c r="BI181" i="15" a="1"/>
  <c r="BA181" i="15" a="1"/>
  <c r="AS181" i="15" a="1"/>
  <c r="AK181" i="15" a="1"/>
  <c r="AC181" i="15" a="1"/>
  <c r="U181" i="15" a="1"/>
  <c r="M181" i="15" a="1"/>
  <c r="E181" i="15" a="1"/>
  <c r="BO180" i="15" a="1"/>
  <c r="BG180" i="15" a="1"/>
  <c r="AY180" i="15" a="1"/>
  <c r="AQ180" i="15" a="1"/>
  <c r="AI180" i="15" a="1"/>
  <c r="AA180" i="15" a="1"/>
  <c r="S180" i="15" a="1"/>
  <c r="K180" i="15" a="1"/>
  <c r="BU179" i="15" a="1"/>
  <c r="BM179" i="15" a="1"/>
  <c r="BE179" i="15" a="1"/>
  <c r="AW179" i="15" a="1"/>
  <c r="AT180" i="15" a="1"/>
  <c r="N180" i="15" a="1"/>
  <c r="AZ179" i="15" a="1"/>
  <c r="AF179" i="15" a="1"/>
  <c r="P179" i="15" a="1"/>
  <c r="BR178" i="15" a="1"/>
  <c r="BB178" i="15" a="1"/>
  <c r="AL178" i="15" a="1"/>
  <c r="V178" i="15" a="1"/>
  <c r="F178" i="15" a="1"/>
  <c r="BH177" i="15" a="1"/>
  <c r="AR177" i="15" a="1"/>
  <c r="AB177" i="15" a="1"/>
  <c r="L177" i="15" a="1"/>
  <c r="BN176" i="15" a="1"/>
  <c r="AX176" i="15" a="1"/>
  <c r="AH176" i="15" a="1"/>
  <c r="R176" i="15" a="1"/>
  <c r="BT175" i="15" a="1"/>
  <c r="BD175" i="15" a="1"/>
  <c r="AN175" i="15" a="1"/>
  <c r="X175" i="15" a="1"/>
  <c r="H175" i="15" a="1"/>
  <c r="BJ174" i="15" a="1"/>
  <c r="AS174" i="15" a="1"/>
  <c r="AC174" i="15" a="1"/>
  <c r="M174" i="15" a="1"/>
  <c r="BO173" i="15" a="1"/>
  <c r="AY173" i="15" a="1"/>
  <c r="AI173" i="15" a="1"/>
  <c r="S173" i="15" a="1"/>
  <c r="BU172" i="15" a="1"/>
  <c r="BE172" i="15" a="1"/>
  <c r="AO172" i="15" a="1"/>
  <c r="Y172" i="15" a="1"/>
  <c r="I172" i="15" a="1"/>
  <c r="BK171" i="15" a="1"/>
  <c r="AU171" i="15" a="1"/>
  <c r="AE171" i="15" a="1"/>
  <c r="O171" i="15" a="1"/>
  <c r="BQ170" i="15" a="1"/>
  <c r="BA170" i="15" a="1"/>
  <c r="AK170" i="15" a="1"/>
  <c r="AP219" i="15" a="1"/>
  <c r="BC214" i="15" a="1"/>
  <c r="AF209" i="15" a="1"/>
  <c r="BG207" i="15" a="1"/>
  <c r="BQ207" i="15" a="1"/>
  <c r="M207" i="15" a="1"/>
  <c r="AJ206" i="15" a="1"/>
  <c r="AW205" i="15" a="1"/>
  <c r="Z202" i="15" a="1"/>
  <c r="BS201" i="15" a="1"/>
  <c r="O205" i="15" a="1"/>
  <c r="AZ202" i="15" a="1"/>
  <c r="O204" i="15" a="1"/>
  <c r="AA202" i="15" a="1"/>
  <c r="K201" i="15" a="1"/>
  <c r="Q200" i="15" a="1"/>
  <c r="AS198" i="15" a="1"/>
  <c r="BT198" i="15" a="1"/>
  <c r="M199" i="15" a="1"/>
  <c r="AJ199" i="15" a="1"/>
  <c r="BE197" i="15" a="1"/>
  <c r="BC196" i="15" a="1"/>
  <c r="BI195" i="15" a="1"/>
  <c r="BO194" i="15" a="1"/>
  <c r="BU193" i="15" a="1"/>
  <c r="I193" i="15" a="1"/>
  <c r="O192" i="15" a="1"/>
  <c r="U191" i="15" a="1"/>
  <c r="AA190" i="15" a="1"/>
  <c r="BP197" i="15" a="1"/>
  <c r="BV196" i="15" a="1"/>
  <c r="J196" i="15" a="1"/>
  <c r="P195" i="15" a="1"/>
  <c r="V194" i="15" a="1"/>
  <c r="AB193" i="15" a="1"/>
  <c r="AH192" i="15" a="1"/>
  <c r="AN191" i="15" a="1"/>
  <c r="AT190" i="15" a="1"/>
  <c r="AZ189" i="15" a="1"/>
  <c r="BC197" i="15" a="1"/>
  <c r="BI196" i="15" a="1"/>
  <c r="BO195" i="15" a="1"/>
  <c r="BU194" i="15" a="1"/>
  <c r="I194" i="15" a="1"/>
  <c r="O193" i="15" a="1"/>
  <c r="AS192" i="15" a="1"/>
  <c r="M192" i="15" a="1"/>
  <c r="AY191" i="15" a="1"/>
  <c r="S191" i="15" a="1"/>
  <c r="BE190" i="15" a="1"/>
  <c r="Y190" i="15" a="1"/>
  <c r="BK189" i="15" a="1"/>
  <c r="BN197" i="15" a="1"/>
  <c r="AH197" i="15" a="1"/>
  <c r="BT196" i="15" a="1"/>
  <c r="AN196" i="15" a="1"/>
  <c r="H196" i="15" a="1"/>
  <c r="AT195" i="15" a="1"/>
  <c r="N195" i="15" a="1"/>
  <c r="AZ194" i="15" a="1"/>
  <c r="T194" i="15" a="1"/>
  <c r="BF193" i="15" a="1"/>
  <c r="Z193" i="15" a="1"/>
  <c r="BL192" i="15" a="1"/>
  <c r="AF192" i="15" a="1"/>
  <c r="BR191" i="15" a="1"/>
  <c r="AL191" i="15" a="1"/>
  <c r="F191" i="15" a="1"/>
  <c r="AR190" i="15" a="1"/>
  <c r="L190" i="15" a="1"/>
  <c r="AX189" i="15" a="1"/>
  <c r="R189" i="15" a="1"/>
  <c r="I189" i="15" a="1"/>
  <c r="AQ188" i="15" a="1"/>
  <c r="K188" i="15" a="1"/>
  <c r="AW187" i="15" a="1"/>
  <c r="Q187" i="15" a="1"/>
  <c r="BC186" i="15" a="1"/>
  <c r="W186" i="15" a="1"/>
  <c r="BI185" i="15" a="1"/>
  <c r="AC185" i="15" a="1"/>
  <c r="BO184" i="15" a="1"/>
  <c r="AI184" i="15" a="1"/>
  <c r="O184" i="15" a="1"/>
  <c r="BM183" i="15" a="1"/>
  <c r="AO183" i="15" a="1"/>
  <c r="U183" i="15" a="1"/>
  <c r="BS182" i="15" a="1"/>
  <c r="AU182" i="15" a="1"/>
  <c r="AA182" i="15" a="1"/>
  <c r="O189" i="15" a="1"/>
  <c r="BB188" i="15" a="1"/>
  <c r="AH188" i="15" a="1"/>
  <c r="N188" i="15" a="1"/>
  <c r="BH187" i="15" a="1"/>
  <c r="AN187" i="15" a="1"/>
  <c r="T187" i="15" a="1"/>
  <c r="BN186" i="15" a="1"/>
  <c r="AT186" i="15" a="1"/>
  <c r="Z186" i="15" a="1"/>
  <c r="BT185" i="15" a="1"/>
  <c r="AZ185" i="15" a="1"/>
  <c r="AF185" i="15" a="1"/>
  <c r="H185" i="15" a="1"/>
  <c r="BF184" i="15" a="1"/>
  <c r="AL184" i="15" a="1"/>
  <c r="N184" i="15" a="1"/>
  <c r="BP183" i="15" a="1"/>
  <c r="AZ183" i="15" a="1"/>
  <c r="AJ183" i="15" a="1"/>
  <c r="T183" i="15" a="1"/>
  <c r="BV182" i="15" a="1"/>
  <c r="BF182" i="15" a="1"/>
  <c r="AP182" i="15" a="1"/>
  <c r="Z182" i="15" a="1"/>
  <c r="L182" i="15" a="1"/>
  <c r="BV181" i="15" a="1"/>
  <c r="BN181" i="15" a="1"/>
  <c r="BF181" i="15" a="1"/>
  <c r="AX181" i="15" a="1"/>
  <c r="AP181" i="15" a="1"/>
  <c r="AH181" i="15" a="1"/>
  <c r="Z181" i="15" a="1"/>
  <c r="R181" i="15" a="1"/>
  <c r="J181" i="15" a="1"/>
  <c r="BT180" i="15" a="1"/>
  <c r="BL180" i="15" a="1"/>
  <c r="BD180" i="15" a="1"/>
  <c r="E189" i="15" a="1"/>
  <c r="BE188" i="15" a="1"/>
  <c r="AO188" i="15" a="1"/>
  <c r="Y188" i="15" a="1"/>
  <c r="I188" i="15" a="1"/>
  <c r="BK187" i="15" a="1"/>
  <c r="AU187" i="15" a="1"/>
  <c r="AE187" i="15" a="1"/>
  <c r="O187" i="15" a="1"/>
  <c r="BQ186" i="15" a="1"/>
  <c r="BA186" i="15" a="1"/>
  <c r="AK186" i="15" a="1"/>
  <c r="U186" i="15" a="1"/>
  <c r="E186" i="15" a="1"/>
  <c r="BG185" i="15" a="1"/>
  <c r="AQ185" i="15" a="1"/>
  <c r="AA185" i="15" a="1"/>
  <c r="K185" i="15" a="1"/>
  <c r="BM184" i="15" a="1"/>
  <c r="AW184" i="15" a="1"/>
  <c r="AG184" i="15" a="1"/>
  <c r="Q184" i="15" a="1"/>
  <c r="BS183" i="15" a="1"/>
  <c r="BC183" i="15" a="1"/>
  <c r="AM183" i="15" a="1"/>
  <c r="W183" i="15" a="1"/>
  <c r="G183" i="15" a="1"/>
  <c r="BI182" i="15" a="1"/>
  <c r="AS182" i="15" a="1"/>
  <c r="AC182" i="15" a="1"/>
  <c r="AA189" i="15" a="1"/>
  <c r="BP188" i="15" a="1"/>
  <c r="AZ188" i="15" a="1"/>
  <c r="AJ188" i="15" a="1"/>
  <c r="T188" i="15" a="1"/>
  <c r="BV187" i="15" a="1"/>
  <c r="BF187" i="15" a="1"/>
  <c r="AP187" i="15" a="1"/>
  <c r="Z187" i="15" a="1"/>
  <c r="J187" i="15" a="1"/>
  <c r="BL186" i="15" a="1"/>
  <c r="AV186" i="15" a="1"/>
  <c r="AF186" i="15" a="1"/>
  <c r="P186" i="15" a="1"/>
  <c r="BR185" i="15" a="1"/>
  <c r="BB185" i="15" a="1"/>
  <c r="AL185" i="15" a="1"/>
  <c r="V185" i="15" a="1"/>
  <c r="F185" i="15" a="1"/>
  <c r="BH184" i="15" a="1"/>
  <c r="AR184" i="15" a="1"/>
  <c r="AB184" i="15" a="1"/>
  <c r="L184" i="15" a="1"/>
  <c r="BN183" i="15" a="1"/>
  <c r="AX183" i="15" a="1"/>
  <c r="AH183" i="15" a="1"/>
  <c r="R183" i="15" a="1"/>
  <c r="BT182" i="15" a="1"/>
  <c r="BD182" i="15" a="1"/>
  <c r="AN182" i="15" a="1"/>
  <c r="X182" i="15" a="1"/>
  <c r="M182" i="15" a="1"/>
  <c r="E182" i="15" a="1"/>
  <c r="BO181" i="15" a="1"/>
  <c r="BG181" i="15" a="1"/>
  <c r="AY181" i="15" a="1"/>
  <c r="AQ181" i="15" a="1"/>
  <c r="AI181" i="15" a="1"/>
  <c r="AA181" i="15" a="1"/>
  <c r="S181" i="15" a="1"/>
  <c r="K181" i="15" a="1"/>
  <c r="BU180" i="15" a="1"/>
  <c r="BM180" i="15" a="1"/>
  <c r="BE180" i="15" a="1"/>
  <c r="AW180" i="15" a="1"/>
  <c r="AO180" i="15" a="1"/>
  <c r="AG180" i="15" a="1"/>
  <c r="Y180" i="15" a="1"/>
  <c r="Q180" i="15" a="1"/>
  <c r="I180" i="15" a="1"/>
  <c r="BS179" i="15" a="1"/>
  <c r="BK179" i="15" a="1"/>
  <c r="BC179" i="15" a="1"/>
  <c r="AU179" i="15" a="1"/>
  <c r="AL180" i="15" a="1"/>
  <c r="F180" i="15" a="1"/>
  <c r="AR179" i="15" a="1"/>
  <c r="AB179" i="15" a="1"/>
  <c r="L179" i="15" a="1"/>
  <c r="BN178" i="15" a="1"/>
  <c r="AX178" i="15" a="1"/>
  <c r="AH178" i="15" a="1"/>
  <c r="R178" i="15" a="1"/>
  <c r="BT177" i="15" a="1"/>
  <c r="BD177" i="15" a="1"/>
  <c r="AN177" i="15" a="1"/>
  <c r="X177" i="15" a="1"/>
  <c r="H177" i="15" a="1"/>
  <c r="BJ176" i="15" a="1"/>
  <c r="AT176" i="15" a="1"/>
  <c r="AD176" i="15" a="1"/>
  <c r="N176" i="15" a="1"/>
  <c r="BP175" i="15" a="1"/>
  <c r="AZ175" i="15" a="1"/>
  <c r="AJ175" i="15" a="1"/>
  <c r="T175" i="15" a="1"/>
  <c r="BV174" i="15" a="1"/>
  <c r="BD174" i="15" a="1"/>
  <c r="AN174" i="15" a="1"/>
  <c r="X174" i="15" a="1"/>
  <c r="H174" i="15" a="1"/>
  <c r="BJ173" i="15" a="1"/>
  <c r="AT173" i="15" a="1"/>
  <c r="AD173" i="15" a="1"/>
  <c r="N173" i="15" a="1"/>
  <c r="BP172" i="15" a="1"/>
  <c r="AZ172" i="15" a="1"/>
  <c r="AJ172" i="15" a="1"/>
  <c r="T172" i="15" a="1"/>
  <c r="BV171" i="15" a="1"/>
  <c r="BF171" i="15" a="1"/>
  <c r="AP171" i="15" a="1"/>
  <c r="Z171" i="15" a="1"/>
  <c r="J171" i="15" a="1"/>
  <c r="BL170" i="15" a="1"/>
  <c r="AV170" i="15" a="1"/>
  <c r="AF170" i="15" a="1"/>
  <c r="BL216" i="15" a="1"/>
  <c r="G207" i="15" a="1"/>
  <c r="BH204" i="15" a="1"/>
  <c r="BA203" i="15" a="1"/>
  <c r="M198" i="15" a="1"/>
  <c r="AK197" i="15" a="1"/>
  <c r="BE193" i="15" a="1"/>
  <c r="K190" i="15" a="1"/>
  <c r="BR194" i="15" a="1"/>
  <c r="X191" i="15" a="1"/>
  <c r="AS196" i="15" a="1"/>
  <c r="BQ192" i="15" a="1"/>
  <c r="K191" i="15" a="1"/>
  <c r="BF197" i="15" a="1"/>
  <c r="BR195" i="15" a="1"/>
  <c r="L194" i="15" a="1"/>
  <c r="X192" i="15" a="1"/>
  <c r="AJ190" i="15" a="1"/>
  <c r="BO188" i="15" a="1"/>
  <c r="I187" i="15" a="1"/>
  <c r="U185" i="15" a="1"/>
  <c r="BE183" i="15" a="1"/>
  <c r="AQ182" i="15" a="1"/>
  <c r="AD188" i="15" a="1"/>
  <c r="L187" i="15" a="1"/>
  <c r="BP185" i="15" a="1"/>
  <c r="BB184" i="15" a="1"/>
  <c r="AV183" i="15" a="1"/>
  <c r="BB182" i="15" a="1"/>
  <c r="BT181" i="15" a="1"/>
  <c r="AN181" i="15" a="1"/>
  <c r="H181" i="15" a="1"/>
  <c r="BQ188" i="15" a="1"/>
  <c r="E188" i="15" a="1"/>
  <c r="K187" i="15" a="1"/>
  <c r="Q186" i="15" a="1"/>
  <c r="W185" i="15" a="1"/>
  <c r="AC184" i="15" a="1"/>
  <c r="AI183" i="15" a="1"/>
  <c r="AO182" i="15" a="1"/>
  <c r="AV188" i="15" a="1"/>
  <c r="BB187" i="15" a="1"/>
  <c r="BH186" i="15" a="1"/>
  <c r="BN185" i="15" a="1"/>
  <c r="BT184" i="15" a="1"/>
  <c r="H184" i="15" a="1"/>
  <c r="N183" i="15" a="1"/>
  <c r="T182" i="15" a="1"/>
  <c r="BE181" i="15" a="1"/>
  <c r="Y181" i="15" a="1"/>
  <c r="BK180" i="15" a="1"/>
  <c r="AE180" i="15" a="1"/>
  <c r="BQ179" i="15" a="1"/>
  <c r="AD180" i="15" a="1"/>
  <c r="H179" i="15" a="1"/>
  <c r="N178" i="15" a="1"/>
  <c r="T177" i="15" a="1"/>
  <c r="Z176" i="15" a="1"/>
  <c r="AF175" i="15" a="1"/>
  <c r="AK174" i="15" a="1"/>
  <c r="AQ173" i="15" a="1"/>
  <c r="F173" i="15" a="1"/>
  <c r="AR172" i="15" a="1"/>
  <c r="L172" i="15" a="1"/>
  <c r="AX171" i="15" a="1"/>
  <c r="R171" i="15" a="1"/>
  <c r="BD170" i="15" a="1"/>
  <c r="X170" i="15" a="1"/>
  <c r="H170" i="15" a="1"/>
  <c r="BJ169" i="15" a="1"/>
  <c r="AT169" i="15" a="1"/>
  <c r="AH169" i="15" a="1"/>
  <c r="Z169" i="15" a="1"/>
  <c r="R169" i="15" a="1"/>
  <c r="H169" i="15" a="1"/>
  <c r="BL168" i="15" a="1"/>
  <c r="AV168" i="15" a="1"/>
  <c r="AD168" i="15" a="1"/>
  <c r="N168" i="15" a="1"/>
  <c r="BN167" i="15" a="1"/>
  <c r="AX167" i="15" a="1"/>
  <c r="AH167" i="15" a="1"/>
  <c r="R167" i="15" a="1"/>
  <c r="AZ180" i="15" a="1"/>
  <c r="T180" i="15" a="1"/>
  <c r="BF179" i="15" a="1"/>
  <c r="AI179" i="15" a="1"/>
  <c r="S179" i="15" a="1"/>
  <c r="BU178" i="15" a="1"/>
  <c r="BE178" i="15" a="1"/>
  <c r="AO178" i="15" a="1"/>
  <c r="Y178" i="15" a="1"/>
  <c r="I178" i="15" a="1"/>
  <c r="BK177" i="15" a="1"/>
  <c r="AU177" i="15" a="1"/>
  <c r="AE177" i="15" a="1"/>
  <c r="O177" i="15" a="1"/>
  <c r="BQ176" i="15" a="1"/>
  <c r="BA176" i="15" a="1"/>
  <c r="AK176" i="15" a="1"/>
  <c r="U176" i="15" a="1"/>
  <c r="E176" i="15" a="1"/>
  <c r="BG175" i="15" a="1"/>
  <c r="AQ175" i="15" a="1"/>
  <c r="AA175" i="15" a="1"/>
  <c r="K175" i="15" a="1"/>
  <c r="BM174" i="15" a="1"/>
  <c r="AX174" i="15" a="1"/>
  <c r="AH174" i="15" a="1"/>
  <c r="R174" i="15" a="1"/>
  <c r="BT173" i="15" a="1"/>
  <c r="BD173" i="15" a="1"/>
  <c r="AN173" i="15" a="1"/>
  <c r="X173" i="15" a="1"/>
  <c r="H173" i="15" a="1"/>
  <c r="BJ172" i="15" a="1"/>
  <c r="AT172" i="15" a="1"/>
  <c r="AD172" i="15" a="1"/>
  <c r="N172" i="15" a="1"/>
  <c r="BP171" i="15" a="1"/>
  <c r="AZ171" i="15" a="1"/>
  <c r="AJ171" i="15" a="1"/>
  <c r="T171" i="15" a="1"/>
  <c r="BV170" i="15" a="1"/>
  <c r="BF170" i="15" a="1"/>
  <c r="AP170" i="15" a="1"/>
  <c r="Z170" i="15" a="1"/>
  <c r="J170" i="15" a="1"/>
  <c r="BL169" i="15" a="1"/>
  <c r="AV169" i="15" a="1"/>
  <c r="E169" i="15" a="1"/>
  <c r="BG168" i="15" a="1"/>
  <c r="AQ168" i="15" a="1"/>
  <c r="AA168" i="15" a="1"/>
  <c r="K168" i="15" a="1"/>
  <c r="BM167" i="15" a="1"/>
  <c r="AY167" i="15" a="1"/>
  <c r="AI167" i="15" a="1"/>
  <c r="U167" i="15" a="1"/>
  <c r="E167" i="15" a="1"/>
  <c r="Z180" i="15" a="1"/>
  <c r="BL179" i="15" a="1"/>
  <c r="AL179" i="15" a="1"/>
  <c r="V179" i="15" a="1"/>
  <c r="F179" i="15" a="1"/>
  <c r="BH178" i="15" a="1"/>
  <c r="AR178" i="15" a="1"/>
  <c r="AB178" i="15" a="1"/>
  <c r="L178" i="15" a="1"/>
  <c r="BN177" i="15" a="1"/>
  <c r="AX177" i="15" a="1"/>
  <c r="AH177" i="15" a="1"/>
  <c r="R177" i="15" a="1"/>
  <c r="BT176" i="15" a="1"/>
  <c r="BD176" i="15" a="1"/>
  <c r="AN176" i="15" a="1"/>
  <c r="X176" i="15" a="1"/>
  <c r="H176" i="15" a="1"/>
  <c r="BJ175" i="15" a="1"/>
  <c r="AT175" i="15" a="1"/>
  <c r="AD175" i="15" a="1"/>
  <c r="N175" i="15" a="1"/>
  <c r="BP174" i="15" a="1"/>
  <c r="AZ174" i="15" a="1"/>
  <c r="AJ174" i="15" a="1"/>
  <c r="T174" i="15" a="1"/>
  <c r="BV173" i="15" a="1"/>
  <c r="BF173" i="15" a="1"/>
  <c r="AP173" i="15" a="1"/>
  <c r="Z173" i="15" a="1"/>
  <c r="J173" i="15" a="1"/>
  <c r="BL172" i="15" a="1"/>
  <c r="AV172" i="15" a="1"/>
  <c r="AF172" i="15" a="1"/>
  <c r="P172" i="15" a="1"/>
  <c r="BR171" i="15" a="1"/>
  <c r="BB171" i="15" a="1"/>
  <c r="AL171" i="15" a="1"/>
  <c r="V171" i="15" a="1"/>
  <c r="F171" i="15" a="1"/>
  <c r="BH170" i="15" a="1"/>
  <c r="AR170" i="15" a="1"/>
  <c r="AB170" i="15" a="1"/>
  <c r="L170" i="15" a="1"/>
  <c r="BN169" i="15" a="1"/>
  <c r="AX169" i="15" a="1"/>
  <c r="AK169" i="15" a="1"/>
  <c r="AC169" i="15" a="1"/>
  <c r="U169" i="15" a="1"/>
  <c r="M169" i="15" a="1"/>
  <c r="BQ168" i="15" a="1"/>
  <c r="BA168" i="15" a="1"/>
  <c r="AK168" i="15" a="1"/>
  <c r="U168" i="15" a="1"/>
  <c r="E168" i="15" a="1"/>
  <c r="BE167" i="15" a="1"/>
  <c r="AO167" i="15" a="1"/>
  <c r="W167" i="15" a="1"/>
  <c r="G167" i="15" a="1"/>
  <c r="X180" i="15" a="1"/>
  <c r="BJ179" i="15" a="1"/>
  <c r="AK179" i="15" a="1"/>
  <c r="U179" i="15" a="1"/>
  <c r="E179" i="15" a="1"/>
  <c r="BG178" i="15" a="1"/>
  <c r="AQ178" i="15" a="1"/>
  <c r="AA178" i="15" a="1"/>
  <c r="K178" i="15" a="1"/>
  <c r="BM177" i="15" a="1"/>
  <c r="AW177" i="15" a="1"/>
  <c r="AG177" i="15" a="1"/>
  <c r="Q177" i="15" a="1"/>
  <c r="BS176" i="15" a="1"/>
  <c r="BC176" i="15" a="1"/>
  <c r="AM176" i="15" a="1"/>
  <c r="W176" i="15" a="1"/>
  <c r="G176" i="15" a="1"/>
  <c r="BI175" i="15" a="1"/>
  <c r="AS175" i="15" a="1"/>
  <c r="AC175" i="15" a="1"/>
  <c r="M175" i="15" a="1"/>
  <c r="BO174" i="15" a="1"/>
  <c r="AY174" i="15" a="1"/>
  <c r="G215" i="15" a="1"/>
  <c r="R206" i="15" a="1"/>
  <c r="AD201" i="15" a="1"/>
  <c r="BM201" i="15" a="1"/>
  <c r="AN198" i="15" a="1"/>
  <c r="AM196" i="15" a="1"/>
  <c r="BK192" i="15" a="1"/>
  <c r="AZ197" i="15" a="1"/>
  <c r="F194" i="15" a="1"/>
  <c r="AD190" i="15" a="1"/>
  <c r="AY195" i="15" a="1"/>
  <c r="AK192" i="15" a="1"/>
  <c r="AW190" i="15" a="1"/>
  <c r="Z197" i="15" a="1"/>
  <c r="AL195" i="15" a="1"/>
  <c r="AX193" i="15" a="1"/>
  <c r="BJ191" i="15" a="1"/>
  <c r="BV189" i="15" a="1"/>
  <c r="AI188" i="15" a="1"/>
  <c r="AU186" i="15" a="1"/>
  <c r="BG184" i="15" a="1"/>
  <c r="AK183" i="15" a="1"/>
  <c r="W182" i="15" a="1"/>
  <c r="F188" i="15" a="1"/>
  <c r="BJ186" i="15" a="1"/>
  <c r="AV185" i="15" a="1"/>
  <c r="AD184" i="15" a="1"/>
  <c r="AF183" i="15" a="1"/>
  <c r="AL182" i="15" a="1"/>
  <c r="BL181" i="15" a="1"/>
  <c r="AF181" i="15" a="1"/>
  <c r="BR180" i="15" a="1"/>
  <c r="BA188" i="15" a="1"/>
  <c r="BG187" i="15" a="1"/>
  <c r="BM186" i="15" a="1"/>
  <c r="BS185" i="15" a="1"/>
  <c r="G185" i="15" a="1"/>
  <c r="M184" i="15" a="1"/>
  <c r="S183" i="15" a="1"/>
  <c r="Y182" i="15" a="1"/>
  <c r="AF188" i="15" a="1"/>
  <c r="AL187" i="15" a="1"/>
  <c r="AR186" i="15" a="1"/>
  <c r="AX185" i="15" a="1"/>
  <c r="BD184" i="15" a="1"/>
  <c r="BJ183" i="15" a="1"/>
  <c r="BP182" i="15" a="1"/>
  <c r="K182" i="15" a="1"/>
  <c r="AW181" i="15" a="1"/>
  <c r="Q181" i="15" a="1"/>
  <c r="BC180" i="15" a="1"/>
  <c r="W180" i="15" a="1"/>
  <c r="BI179" i="15" a="1"/>
  <c r="BP179" i="15" a="1"/>
  <c r="BJ178" i="15" a="1"/>
  <c r="BP177" i="15" a="1"/>
  <c r="BV176" i="15" a="1"/>
  <c r="J176" i="15" a="1"/>
  <c r="P175" i="15" a="1"/>
  <c r="U174" i="15" a="1"/>
  <c r="AA173" i="15" a="1"/>
  <c r="BM172" i="15" a="1"/>
  <c r="AG172" i="15" a="1"/>
  <c r="BS171" i="15" a="1"/>
  <c r="AM171" i="15" a="1"/>
  <c r="G171" i="15" a="1"/>
  <c r="AS170" i="15" a="1"/>
  <c r="U170" i="15" a="1"/>
  <c r="E170" i="15" a="1"/>
  <c r="BG169" i="15" a="1"/>
  <c r="AQ169" i="15" a="1"/>
  <c r="AF169" i="15" a="1"/>
  <c r="X169" i="15" a="1"/>
  <c r="P169" i="15" a="1"/>
  <c r="F169" i="15" a="1"/>
  <c r="BH168" i="15" a="1"/>
  <c r="AR168" i="15" a="1"/>
  <c r="Z168" i="15" a="1"/>
  <c r="J168" i="15" a="1"/>
  <c r="BJ167" i="15" a="1"/>
  <c r="AT167" i="15" a="1"/>
  <c r="AD167" i="15" a="1"/>
  <c r="N167" i="15" a="1"/>
  <c r="AR180" i="15" a="1"/>
  <c r="L180" i="15" a="1"/>
  <c r="AX179" i="15" a="1"/>
  <c r="AE179" i="15" a="1"/>
  <c r="O179" i="15" a="1"/>
  <c r="BQ178" i="15" a="1"/>
  <c r="BA178" i="15" a="1"/>
  <c r="AK178" i="15" a="1"/>
  <c r="U178" i="15" a="1"/>
  <c r="E178" i="15" a="1"/>
  <c r="BG177" i="15" a="1"/>
  <c r="AQ177" i="15" a="1"/>
  <c r="AA177" i="15" a="1"/>
  <c r="K177" i="15" a="1"/>
  <c r="BM176" i="15" a="1"/>
  <c r="AW176" i="15" a="1"/>
  <c r="AG176" i="15" a="1"/>
  <c r="Q176" i="15" a="1"/>
  <c r="BS175" i="15" a="1"/>
  <c r="BC175" i="15" a="1"/>
  <c r="AM175" i="15" a="1"/>
  <c r="W175" i="15" a="1"/>
  <c r="G175" i="15" a="1"/>
  <c r="BI174" i="15" a="1"/>
  <c r="AU174" i="15" a="1"/>
  <c r="AE174" i="15" a="1"/>
  <c r="O174" i="15" a="1"/>
  <c r="BQ173" i="15" a="1"/>
  <c r="BA173" i="15" a="1"/>
  <c r="AK173" i="15" a="1"/>
  <c r="U173" i="15" a="1"/>
  <c r="E173" i="15" a="1"/>
  <c r="BG172" i="15" a="1"/>
  <c r="AQ172" i="15" a="1"/>
  <c r="AA172" i="15" a="1"/>
  <c r="K172" i="15" a="1"/>
  <c r="BM171" i="15" a="1"/>
  <c r="AW171" i="15" a="1"/>
  <c r="AG171" i="15" a="1"/>
  <c r="Q171" i="15" a="1"/>
  <c r="BS170" i="15" a="1"/>
  <c r="BC170" i="15" a="1"/>
  <c r="AM170" i="15" a="1"/>
  <c r="W170" i="15" a="1"/>
  <c r="G170" i="15" a="1"/>
  <c r="BI169" i="15" a="1"/>
  <c r="AS169" i="15" a="1"/>
  <c r="BS168" i="15" a="1"/>
  <c r="BC168" i="15" a="1"/>
  <c r="AM168" i="15" a="1"/>
  <c r="W168" i="15" a="1"/>
  <c r="G168" i="15" a="1"/>
  <c r="BI167" i="15" a="1"/>
  <c r="AU167" i="15" a="1"/>
  <c r="AE167" i="15" a="1"/>
  <c r="O167" i="15" a="1"/>
  <c r="AX180" i="15" a="1"/>
  <c r="R180" i="15" a="1"/>
  <c r="BD179" i="15" a="1"/>
  <c r="AH179" i="15" a="1"/>
  <c r="R179" i="15" a="1"/>
  <c r="BT178" i="15" a="1"/>
  <c r="BD178" i="15" a="1"/>
  <c r="AN178" i="15" a="1"/>
  <c r="X178" i="15" a="1"/>
  <c r="H178" i="15" a="1"/>
  <c r="BJ177" i="15" a="1"/>
  <c r="AT177" i="15" a="1"/>
  <c r="AD177" i="15" a="1"/>
  <c r="N177" i="15" a="1"/>
  <c r="BP176" i="15" a="1"/>
  <c r="AZ176" i="15" a="1"/>
  <c r="AJ176" i="15" a="1"/>
  <c r="T176" i="15" a="1"/>
  <c r="BV175" i="15" a="1"/>
  <c r="BF175" i="15" a="1"/>
  <c r="AP175" i="15" a="1"/>
  <c r="Z175" i="15" a="1"/>
  <c r="J175" i="15" a="1"/>
  <c r="BL174" i="15" a="1"/>
  <c r="AW174" i="15" a="1"/>
  <c r="AG174" i="15" a="1"/>
  <c r="Q174" i="15" a="1"/>
  <c r="BS173" i="15" a="1"/>
  <c r="BC173" i="15" a="1"/>
  <c r="AM173" i="15" a="1"/>
  <c r="W173" i="15" a="1"/>
  <c r="G173" i="15" a="1"/>
  <c r="BI172" i="15" a="1"/>
  <c r="AS172" i="15" a="1"/>
  <c r="AC172" i="15" a="1"/>
  <c r="M172" i="15" a="1"/>
  <c r="BO171" i="15" a="1"/>
  <c r="AY171" i="15" a="1"/>
  <c r="AI171" i="15" a="1"/>
  <c r="S171" i="15" a="1"/>
  <c r="BU170" i="15" a="1"/>
  <c r="BE170" i="15" a="1"/>
  <c r="AO170" i="15" a="1"/>
  <c r="Y170" i="15" a="1"/>
  <c r="I170" i="15" a="1"/>
  <c r="BK169" i="15" a="1"/>
  <c r="AU169" i="15" a="1"/>
  <c r="AI169" i="15" a="1"/>
  <c r="AA169" i="15" a="1"/>
  <c r="S169" i="15" a="1"/>
  <c r="I169" i="15" a="1"/>
  <c r="BM168" i="15" a="1"/>
  <c r="AW168" i="15" a="1"/>
  <c r="AG168" i="15" a="1"/>
  <c r="Q168" i="15" a="1"/>
  <c r="BS167" i="15" a="1"/>
  <c r="BA167" i="15" a="1"/>
  <c r="AK167" i="15" a="1"/>
  <c r="S167" i="15" a="1"/>
  <c r="AV180" i="15" a="1"/>
  <c r="P180" i="15" a="1"/>
  <c r="BB179" i="15" a="1"/>
  <c r="AG179" i="15" a="1"/>
  <c r="Q179" i="15" a="1"/>
  <c r="BS178" i="15" a="1"/>
  <c r="BC178" i="15" a="1"/>
  <c r="AM178" i="15" a="1"/>
  <c r="W178" i="15" a="1"/>
  <c r="G178" i="15" a="1"/>
  <c r="BI177" i="15" a="1"/>
  <c r="AS177" i="15" a="1"/>
  <c r="AC177" i="15" a="1"/>
  <c r="M177" i="15" a="1"/>
  <c r="BO176" i="15" a="1"/>
  <c r="AY176" i="15" a="1"/>
  <c r="AI176" i="15" a="1"/>
  <c r="S176" i="15" a="1"/>
  <c r="BU175" i="15" a="1"/>
  <c r="BE175" i="15" a="1"/>
  <c r="AO175" i="15" a="1"/>
  <c r="Y175" i="15" a="1"/>
  <c r="I175" i="15" a="1"/>
  <c r="BK174" i="15" a="1"/>
  <c r="AT174" i="15" a="1"/>
  <c r="AD174" i="15" a="1"/>
  <c r="N174" i="15" a="1"/>
  <c r="BP173" i="15" a="1"/>
  <c r="AZ173" i="15" a="1"/>
  <c r="AJ173" i="15" a="1"/>
  <c r="T173" i="15" a="1"/>
  <c r="BV172" i="15" a="1"/>
  <c r="BF172" i="15" a="1"/>
  <c r="AP172" i="15" a="1"/>
  <c r="Z172" i="15" a="1"/>
  <c r="J172" i="15" a="1"/>
  <c r="BL171" i="15" a="1"/>
  <c r="AV171" i="15" a="1"/>
  <c r="AF171" i="15" a="1"/>
  <c r="P171" i="15" a="1"/>
  <c r="BR170" i="15" a="1"/>
  <c r="BB170" i="15" a="1"/>
  <c r="AL170" i="15" a="1"/>
  <c r="V170" i="15" a="1"/>
  <c r="F170" i="15" a="1"/>
  <c r="BH169" i="15" a="1"/>
  <c r="AR169" i="15" a="1"/>
  <c r="BR168" i="15" a="1"/>
  <c r="BB168" i="15" a="1"/>
  <c r="AN168" i="15" a="1"/>
  <c r="X168" i="15" a="1"/>
  <c r="H168" i="15" a="1"/>
  <c r="BL167" i="15" a="1"/>
  <c r="AV167" i="15" a="1"/>
  <c r="AF167" i="15" a="1"/>
  <c r="P167" i="15" a="1"/>
  <c r="BS166" i="15" a="1"/>
  <c r="BI209" i="15" a="1"/>
  <c r="AP205" i="15" a="1"/>
  <c r="H204" i="15" a="1"/>
  <c r="BM200" i="15" a="1"/>
  <c r="AY198" i="15" a="1"/>
  <c r="AS195" i="15" a="1"/>
  <c r="BQ191" i="15" a="1"/>
  <c r="BF196" i="15" a="1"/>
  <c r="L193" i="15" a="1"/>
  <c r="AJ189" i="15" a="1"/>
  <c r="BE194" i="15" a="1"/>
  <c r="E192" i="15" a="1"/>
  <c r="Q190" i="15" a="1"/>
  <c r="BL196" i="15" a="1"/>
  <c r="F195" i="15" a="1"/>
  <c r="R193" i="15" a="1"/>
  <c r="AD191" i="15" a="1"/>
  <c r="AP189" i="15" a="1"/>
  <c r="BU187" i="15" a="1"/>
  <c r="O186" i="15" a="1"/>
  <c r="AE184" i="15" a="1"/>
  <c r="Q183" i="15" a="1"/>
  <c r="BR188" i="15" a="1"/>
  <c r="BD187" i="15" a="1"/>
  <c r="AP186" i="15" a="1"/>
  <c r="X185" i="15" a="1"/>
  <c r="J184" i="15" a="1"/>
  <c r="P183" i="15" a="1"/>
  <c r="V182" i="15" a="1"/>
  <c r="BD181" i="15" a="1"/>
  <c r="X181" i="15" a="1"/>
  <c r="BJ180" i="15" a="1"/>
  <c r="AK188" i="15" a="1"/>
  <c r="AQ187" i="15" a="1"/>
  <c r="AW186" i="15" a="1"/>
  <c r="BC185" i="15" a="1"/>
  <c r="BI184" i="15" a="1"/>
  <c r="BO183" i="15" a="1"/>
  <c r="BU182" i="15" a="1"/>
  <c r="S189" i="15" a="1"/>
  <c r="P188" i="15" a="1"/>
  <c r="V187" i="15" a="1"/>
  <c r="AB186" i="15" a="1"/>
  <c r="AH185" i="15" a="1"/>
  <c r="AN184" i="15" a="1"/>
  <c r="AT183" i="15" a="1"/>
  <c r="AZ182" i="15" a="1"/>
  <c r="BU181" i="15" a="1"/>
  <c r="AO181" i="15" a="1"/>
  <c r="I181" i="15" a="1"/>
  <c r="AU180" i="15" a="1"/>
  <c r="O180" i="15" a="1"/>
  <c r="BA179" i="15" a="1"/>
  <c r="AN179" i="15" a="1"/>
  <c r="AT178" i="15" a="1"/>
  <c r="AZ177" i="15" a="1"/>
  <c r="BF176" i="15" a="1"/>
  <c r="BL175" i="15" a="1"/>
  <c r="BR174" i="15" a="1"/>
  <c r="E174" i="15" a="1"/>
  <c r="V173" i="15" a="1"/>
  <c r="BH172" i="15" a="1"/>
  <c r="AB172" i="15" a="1"/>
  <c r="BN171" i="15" a="1"/>
  <c r="AH171" i="15" a="1"/>
  <c r="BT170" i="15" a="1"/>
  <c r="AN170" i="15" a="1"/>
  <c r="P170" i="15" a="1"/>
  <c r="BR169" i="15" a="1"/>
  <c r="BB169" i="15" a="1"/>
  <c r="AL169" i="15" a="1"/>
  <c r="AD169" i="15" a="1"/>
  <c r="V169" i="15" a="1"/>
  <c r="N169" i="15" a="1"/>
  <c r="BT168" i="15" a="1"/>
  <c r="BD168" i="15" a="1"/>
  <c r="AL168" i="15" a="1"/>
  <c r="V168" i="15" a="1"/>
  <c r="F168" i="15" a="1"/>
  <c r="BF167" i="15" a="1"/>
  <c r="AP167" i="15" a="1"/>
  <c r="Z167" i="15" a="1"/>
  <c r="J167" i="15" a="1"/>
  <c r="AJ180" i="15" a="1"/>
  <c r="BV179" i="15" a="1"/>
  <c r="AQ179" i="15" a="1"/>
  <c r="AA179" i="15" a="1"/>
  <c r="K179" i="15" a="1"/>
  <c r="BM178" i="15" a="1"/>
  <c r="AW178" i="15" a="1"/>
  <c r="AG178" i="15" a="1"/>
  <c r="Q178" i="15" a="1"/>
  <c r="BS177" i="15" a="1"/>
  <c r="BC177" i="15" a="1"/>
  <c r="AM177" i="15" a="1"/>
  <c r="W177" i="15" a="1"/>
  <c r="G177" i="15" a="1"/>
  <c r="BI176" i="15" a="1"/>
  <c r="AS176" i="15" a="1"/>
  <c r="AC176" i="15" a="1"/>
  <c r="M176" i="15" a="1"/>
  <c r="BO175" i="15" a="1"/>
  <c r="AY175" i="15" a="1"/>
  <c r="AI175" i="15" a="1"/>
  <c r="S175" i="15" a="1"/>
  <c r="BU174" i="15" a="1"/>
  <c r="BF174" i="15" a="1"/>
  <c r="AP174" i="15" a="1"/>
  <c r="Z174" i="15" a="1"/>
  <c r="J174" i="15" a="1"/>
  <c r="BL173" i="15" a="1"/>
  <c r="AV173" i="15" a="1"/>
  <c r="AF173" i="15" a="1"/>
  <c r="P173" i="15" a="1"/>
  <c r="BR172" i="15" a="1"/>
  <c r="BB172" i="15" a="1"/>
  <c r="AL172" i="15" a="1"/>
  <c r="V172" i="15" a="1"/>
  <c r="F172" i="15" a="1"/>
  <c r="BH171" i="15" a="1"/>
  <c r="AR171" i="15" a="1"/>
  <c r="AB171" i="15" a="1"/>
  <c r="L171" i="15" a="1"/>
  <c r="BN170" i="15" a="1"/>
  <c r="AX170" i="15" a="1"/>
  <c r="AH170" i="15" a="1"/>
  <c r="R170" i="15" a="1"/>
  <c r="BT169" i="15" a="1"/>
  <c r="BD169" i="15" a="1"/>
  <c r="AN169" i="15" a="1"/>
  <c r="BO168" i="15" a="1"/>
  <c r="AY168" i="15" a="1"/>
  <c r="AI168" i="15" a="1"/>
  <c r="S168" i="15" a="1"/>
  <c r="BU167" i="15" a="1"/>
  <c r="BG167" i="15" a="1"/>
  <c r="AQ167" i="15" a="1"/>
  <c r="AC167" i="15" a="1"/>
  <c r="K167" i="15" a="1"/>
  <c r="AP180" i="15" a="1"/>
  <c r="J180" i="15" a="1"/>
  <c r="AV179" i="15" a="1"/>
  <c r="AD179" i="15" a="1"/>
  <c r="N179" i="15" a="1"/>
  <c r="BP178" i="15" a="1"/>
  <c r="AZ178" i="15" a="1"/>
  <c r="AJ178" i="15" a="1"/>
  <c r="T178" i="15" a="1"/>
  <c r="BV177" i="15" a="1"/>
  <c r="BF177" i="15" a="1"/>
  <c r="AP177" i="15" a="1"/>
  <c r="Z177" i="15" a="1"/>
  <c r="J177" i="15" a="1"/>
  <c r="BL176" i="15" a="1"/>
  <c r="AV176" i="15" a="1"/>
  <c r="AF176" i="15" a="1"/>
  <c r="P176" i="15" a="1"/>
  <c r="BR175" i="15" a="1"/>
  <c r="BB175" i="15" a="1"/>
  <c r="AL175" i="15" a="1"/>
  <c r="V175" i="15" a="1"/>
  <c r="F175" i="15" a="1"/>
  <c r="BH174" i="15" a="1"/>
  <c r="AR174" i="15" a="1"/>
  <c r="AB174" i="15" a="1"/>
  <c r="L174" i="15" a="1"/>
  <c r="BN173" i="15" a="1"/>
  <c r="AX173" i="15" a="1"/>
  <c r="AH173" i="15" a="1"/>
  <c r="R173" i="15" a="1"/>
  <c r="BT172" i="15" a="1"/>
  <c r="BD172" i="15" a="1"/>
  <c r="AN172" i="15" a="1"/>
  <c r="X172" i="15" a="1"/>
  <c r="H172" i="15" a="1"/>
  <c r="BJ171" i="15" a="1"/>
  <c r="AT171" i="15" a="1"/>
  <c r="AD171" i="15" a="1"/>
  <c r="N171" i="15" a="1"/>
  <c r="BP170" i="15" a="1"/>
  <c r="AZ170" i="15" a="1"/>
  <c r="AJ170" i="15" a="1"/>
  <c r="T170" i="15" a="1"/>
  <c r="BV169" i="15" a="1"/>
  <c r="BF169" i="15" a="1"/>
  <c r="AP169" i="15" a="1"/>
  <c r="AG169" i="15" a="1"/>
  <c r="Y169" i="15" a="1"/>
  <c r="Q169" i="15" a="1"/>
  <c r="G169" i="15" a="1"/>
  <c r="BI168" i="15" a="1"/>
  <c r="AS168" i="15" a="1"/>
  <c r="AC168" i="15" a="1"/>
  <c r="M168" i="15" a="1"/>
  <c r="BO167" i="15" a="1"/>
  <c r="AW167" i="15" a="1"/>
  <c r="AG167" i="15" a="1"/>
  <c r="Q167" i="15" a="1"/>
  <c r="AN180" i="15" a="1"/>
  <c r="H180" i="15" a="1"/>
  <c r="AT179" i="15" a="1"/>
  <c r="AC179" i="15" a="1"/>
  <c r="M179" i="15" a="1"/>
  <c r="BO178" i="15" a="1"/>
  <c r="AY178" i="15" a="1"/>
  <c r="AI178" i="15" a="1"/>
  <c r="S178" i="15" a="1"/>
  <c r="BU177" i="15" a="1"/>
  <c r="BE177" i="15" a="1"/>
  <c r="AO177" i="15" a="1"/>
  <c r="Y177" i="15" a="1"/>
  <c r="I177" i="15" a="1"/>
  <c r="BK176" i="15" a="1"/>
  <c r="AU176" i="15" a="1"/>
  <c r="AE176" i="15" a="1"/>
  <c r="O176" i="15" a="1"/>
  <c r="BQ175" i="15" a="1"/>
  <c r="BA175" i="15" a="1"/>
  <c r="AK175" i="15" a="1"/>
  <c r="U175" i="15" a="1"/>
  <c r="L207" i="15" a="1"/>
  <c r="BC204" i="15" a="1"/>
  <c r="T202" i="15" a="1"/>
  <c r="BS199" i="15" a="1"/>
  <c r="BV198" i="15" a="1"/>
  <c r="AY194" i="15" a="1"/>
  <c r="E191" i="15" a="1"/>
  <c r="BL195" i="15" a="1"/>
  <c r="R192" i="15" a="1"/>
  <c r="AM197" i="15" a="1"/>
  <c r="BK193" i="15" a="1"/>
  <c r="AQ191" i="15" a="1"/>
  <c r="BC189" i="15" a="1"/>
  <c r="AF196" i="15" a="1"/>
  <c r="AR194" i="15" a="1"/>
  <c r="BD192" i="15" a="1"/>
  <c r="BP190" i="15" a="1"/>
  <c r="J189" i="15" a="1"/>
  <c r="AO187" i="15" a="1"/>
  <c r="BA185" i="15" a="1"/>
  <c r="K184" i="15" a="1"/>
  <c r="BK182" i="15" a="1"/>
  <c r="AX188" i="15" a="1"/>
  <c r="AJ187" i="15" a="1"/>
  <c r="R186" i="15" a="1"/>
  <c r="BV184" i="15" a="1"/>
  <c r="BL183" i="15" a="1"/>
  <c r="BR182" i="15" a="1"/>
  <c r="J182" i="15" a="1"/>
  <c r="AV181" i="15" a="1"/>
  <c r="P181" i="15" a="1"/>
  <c r="AC189" i="15" a="1"/>
  <c r="U188" i="15" a="1"/>
  <c r="AA187" i="15" a="1"/>
  <c r="AG186" i="15" a="1"/>
  <c r="AM185" i="15" a="1"/>
  <c r="AS184" i="15" a="1"/>
  <c r="AY183" i="15" a="1"/>
  <c r="BE182" i="15" a="1"/>
  <c r="BL188" i="15" a="1"/>
  <c r="BR187" i="15" a="1"/>
  <c r="F187" i="15" a="1"/>
  <c r="L186" i="15" a="1"/>
  <c r="R185" i="15" a="1"/>
  <c r="X184" i="15" a="1"/>
  <c r="AD183" i="15" a="1"/>
  <c r="AJ182" i="15" a="1"/>
  <c r="BM181" i="15" a="1"/>
  <c r="AG181" i="15" a="1"/>
  <c r="BS180" i="15" a="1"/>
  <c r="AM180" i="15" a="1"/>
  <c r="G180" i="15" a="1"/>
  <c r="AS179" i="15" a="1"/>
  <c r="X179" i="15" a="1"/>
  <c r="AD178" i="15" a="1"/>
  <c r="AJ177" i="15" a="1"/>
  <c r="AP176" i="15" a="1"/>
  <c r="AV175" i="15" a="1"/>
  <c r="BA174" i="15" a="1"/>
  <c r="BG173" i="15" a="1"/>
  <c r="K173" i="15" a="1"/>
  <c r="AW172" i="15" a="1"/>
  <c r="Q172" i="15" a="1"/>
  <c r="BC171" i="15" a="1"/>
  <c r="W171" i="15" a="1"/>
  <c r="BI170" i="15" a="1"/>
  <c r="AC170" i="15" a="1"/>
  <c r="M170" i="15" a="1"/>
  <c r="BO169" i="15" a="1"/>
  <c r="AY169" i="15" a="1"/>
  <c r="AJ169" i="15" a="1"/>
  <c r="AB169" i="15" a="1"/>
  <c r="T169" i="15" a="1"/>
  <c r="L169" i="15" a="1"/>
  <c r="BP168" i="15" a="1"/>
  <c r="AZ168" i="15" a="1"/>
  <c r="AH168" i="15" a="1"/>
  <c r="R168" i="15" a="1"/>
  <c r="BR167" i="15" a="1"/>
  <c r="BB167" i="15" a="1"/>
  <c r="AL167" i="15" a="1"/>
  <c r="V167" i="15" a="1"/>
  <c r="F167" i="15" a="1"/>
  <c r="AB180" i="15" a="1"/>
  <c r="BN179" i="15" a="1"/>
  <c r="AM179" i="15" a="1"/>
  <c r="W179" i="15" a="1"/>
  <c r="G179" i="15" a="1"/>
  <c r="BI178" i="15" a="1"/>
  <c r="AS178" i="15" a="1"/>
  <c r="AC178" i="15" a="1"/>
  <c r="M178" i="15" a="1"/>
  <c r="BO177" i="15" a="1"/>
  <c r="AY177" i="15" a="1"/>
  <c r="AI177" i="15" a="1"/>
  <c r="S177" i="15" a="1"/>
  <c r="BU176" i="15" a="1"/>
  <c r="BE176" i="15" a="1"/>
  <c r="AO176" i="15" a="1"/>
  <c r="Y176" i="15" a="1"/>
  <c r="I176" i="15" a="1"/>
  <c r="BK175" i="15" a="1"/>
  <c r="AU175" i="15" a="1"/>
  <c r="AE175" i="15" a="1"/>
  <c r="O175" i="15" a="1"/>
  <c r="BQ174" i="15" a="1"/>
  <c r="BC174" i="15" a="1"/>
  <c r="AM174" i="15" a="1"/>
  <c r="W174" i="15" a="1"/>
  <c r="G174" i="15" a="1"/>
  <c r="BI173" i="15" a="1"/>
  <c r="AS173" i="15" a="1"/>
  <c r="AC173" i="15" a="1"/>
  <c r="M173" i="15" a="1"/>
  <c r="BO172" i="15" a="1"/>
  <c r="AY172" i="15" a="1"/>
  <c r="AI172" i="15" a="1"/>
  <c r="S172" i="15" a="1"/>
  <c r="BU171" i="15" a="1"/>
  <c r="BE171" i="15" a="1"/>
  <c r="AO171" i="15" a="1"/>
  <c r="Y171" i="15" a="1"/>
  <c r="I171" i="15" a="1"/>
  <c r="BK170" i="15" a="1"/>
  <c r="AU170" i="15" a="1"/>
  <c r="AE170" i="15" a="1"/>
  <c r="O170" i="15" a="1"/>
  <c r="BQ169" i="15" a="1"/>
  <c r="AU168" i="15" a="1"/>
  <c r="BC167" i="15" a="1"/>
  <c r="AH180" i="15" a="1"/>
  <c r="J179" i="15" a="1"/>
  <c r="P178" i="15" a="1"/>
  <c r="V177" i="15" a="1"/>
  <c r="AB176" i="15" a="1"/>
  <c r="AH175" i="15" a="1"/>
  <c r="AO174" i="15" a="1"/>
  <c r="AU173" i="15" a="1"/>
  <c r="BA172" i="15" a="1"/>
  <c r="BG171" i="15" a="1"/>
  <c r="BM170" i="15" a="1"/>
  <c r="BS169" i="15" a="1"/>
  <c r="W169" i="15" a="1"/>
  <c r="AO168" i="15" a="1"/>
  <c r="AS167" i="15" a="1"/>
  <c r="BR179" i="15" a="1"/>
  <c r="BK178" i="15" a="1"/>
  <c r="BQ177" i="15" a="1"/>
  <c r="E177" i="15" a="1"/>
  <c r="K176" i="15" a="1"/>
  <c r="Q175" i="15" a="1"/>
  <c r="BB174" i="15" a="1"/>
  <c r="AA174" i="15" a="1"/>
  <c r="F174" i="15" a="1"/>
  <c r="BE173" i="15" a="1"/>
  <c r="AG173" i="15" a="1"/>
  <c r="L173" i="15" a="1"/>
  <c r="BK172" i="15" a="1"/>
  <c r="AM172" i="15" a="1"/>
  <c r="R172" i="15" a="1"/>
  <c r="BQ171" i="15" a="1"/>
  <c r="AS171" i="15" a="1"/>
  <c r="X171" i="15" a="1"/>
  <c r="E171" i="15" a="1"/>
  <c r="AY170" i="15" a="1"/>
  <c r="AD170" i="15" a="1"/>
  <c r="K170" i="15" a="1"/>
  <c r="BE169" i="15" a="1"/>
  <c r="J169" i="15" a="1"/>
  <c r="BF168" i="15" a="1"/>
  <c r="AJ168" i="15" a="1"/>
  <c r="P168" i="15" a="1"/>
  <c r="BP167" i="15" a="1"/>
  <c r="AR167" i="15" a="1"/>
  <c r="X167" i="15" a="1"/>
  <c r="BU166" i="15" a="1"/>
  <c r="BK166" i="15" a="1"/>
  <c r="BC166" i="15" a="1"/>
  <c r="AU166" i="15" a="1"/>
  <c r="AM166" i="15" a="1"/>
  <c r="BT166" i="15" a="1"/>
  <c r="BL166" i="15" a="1"/>
  <c r="BD166" i="15" a="1"/>
  <c r="AV166" i="15" a="1"/>
  <c r="AN166" i="15" a="1"/>
  <c r="AF166" i="15" a="1"/>
  <c r="Z166" i="15" a="1"/>
  <c r="R166" i="15" a="1"/>
  <c r="J166" i="15" a="1"/>
  <c r="AC166" i="15" a="1"/>
  <c r="U166" i="15" a="1"/>
  <c r="M166" i="15" a="1"/>
  <c r="E166" i="15" a="1"/>
  <c r="BD165" i="15" a="1"/>
  <c r="AN165" i="15" a="1"/>
  <c r="X165" i="15" a="1"/>
  <c r="H165" i="15" a="1"/>
  <c r="BG165" i="15" a="1"/>
  <c r="AQ165" i="15" a="1"/>
  <c r="AA165" i="15" a="1"/>
  <c r="K165" i="15" a="1"/>
  <c r="BP165" i="15" a="1"/>
  <c r="BB165" i="15" a="1"/>
  <c r="AL165" i="15" a="1"/>
  <c r="V165" i="15" a="1"/>
  <c r="F165" i="15" a="1"/>
  <c r="BI165" i="15" a="1"/>
  <c r="AS165" i="15" a="1"/>
  <c r="AC165" i="15" a="1"/>
  <c r="M165" i="15" a="1"/>
  <c r="C203" i="15" a="1"/>
  <c r="C185" i="15" a="1"/>
  <c r="C171" i="15" a="1"/>
  <c r="C225" i="15" a="1"/>
  <c r="C217" i="15" a="1"/>
  <c r="C207" i="15" a="1"/>
  <c r="C195" i="15" a="1"/>
  <c r="C177" i="15" a="1"/>
  <c r="C174" i="15" a="1"/>
  <c r="C220" i="15" a="1"/>
  <c r="C212" i="15" a="1"/>
  <c r="C204" i="15" a="1"/>
  <c r="C196" i="15" a="1"/>
  <c r="C188" i="15" a="1"/>
  <c r="C178" i="15" a="1"/>
  <c r="AT165" i="15" a="1"/>
  <c r="BQ165" i="15" a="1"/>
  <c r="AK165" i="15" a="1"/>
  <c r="E165" i="15" a="1"/>
  <c r="C179" i="15" a="1"/>
  <c r="C221" i="15" a="1"/>
  <c r="C201" i="15" a="1"/>
  <c r="C187" i="15" a="1"/>
  <c r="C224" i="15" a="1"/>
  <c r="C216" i="15" a="1"/>
  <c r="C200" i="15" a="1"/>
  <c r="C184" i="15" a="1"/>
  <c r="C190" i="15" a="1"/>
  <c r="BA169" i="15" a="1"/>
  <c r="AE168" i="15" a="1"/>
  <c r="AM167" i="15" a="1"/>
  <c r="BT179" i="15" a="1"/>
  <c r="BL178" i="15" a="1"/>
  <c r="BR177" i="15" a="1"/>
  <c r="F177" i="15" a="1"/>
  <c r="L176" i="15" a="1"/>
  <c r="R175" i="15" a="1"/>
  <c r="Y174" i="15" a="1"/>
  <c r="AE173" i="15" a="1"/>
  <c r="AK172" i="15" a="1"/>
  <c r="AQ171" i="15" a="1"/>
  <c r="AW170" i="15" a="1"/>
  <c r="BC169" i="15" a="1"/>
  <c r="O169" i="15" a="1"/>
  <c r="Y168" i="15" a="1"/>
  <c r="AA167" i="15" a="1"/>
  <c r="AO179" i="15" a="1"/>
  <c r="AU178" i="15" a="1"/>
  <c r="BA177" i="15" a="1"/>
  <c r="BG176" i="15" a="1"/>
  <c r="BM175" i="15" a="1"/>
  <c r="E175" i="15" a="1"/>
  <c r="AQ174" i="15" a="1"/>
  <c r="V174" i="15" a="1"/>
  <c r="BU173" i="15" a="1"/>
  <c r="AW173" i="15" a="1"/>
  <c r="AB173" i="15" a="1"/>
  <c r="I173" i="15" a="1"/>
  <c r="BC172" i="15" a="1"/>
  <c r="AH172" i="15" a="1"/>
  <c r="O172" i="15" a="1"/>
  <c r="BI171" i="15" a="1"/>
  <c r="AN171" i="15" a="1"/>
  <c r="U171" i="15" a="1"/>
  <c r="BO170" i="15" a="1"/>
  <c r="AT170" i="15" a="1"/>
  <c r="AA170" i="15" a="1"/>
  <c r="BU169" i="15" a="1"/>
  <c r="AZ169" i="15" a="1"/>
  <c r="BV168" i="15" a="1"/>
  <c r="AX168" i="15" a="1"/>
  <c r="AF168" i="15" a="1"/>
  <c r="L168" i="15" a="1"/>
  <c r="BH167" i="15" a="1"/>
  <c r="AN167" i="15" a="1"/>
  <c r="T167" i="15" a="1"/>
  <c r="BQ166" i="15" a="1"/>
  <c r="BI166" i="15" a="1"/>
  <c r="BA166" i="15" a="1"/>
  <c r="AS166" i="15" a="1"/>
  <c r="AK166" i="15" a="1"/>
  <c r="BR166" i="15" a="1"/>
  <c r="BJ166" i="15" a="1"/>
  <c r="BB166" i="15" a="1"/>
  <c r="AT166" i="15" a="1"/>
  <c r="AL166" i="15" a="1"/>
  <c r="BV166" i="15" a="1"/>
  <c r="X166" i="15" a="1"/>
  <c r="P166" i="15" a="1"/>
  <c r="H166" i="15" a="1"/>
  <c r="AA166" i="15" a="1"/>
  <c r="S166" i="15" a="1"/>
  <c r="K166" i="15" a="1"/>
  <c r="BR165" i="15" a="1"/>
  <c r="AZ165" i="15" a="1"/>
  <c r="AJ165" i="15" a="1"/>
  <c r="T165" i="15" a="1"/>
  <c r="BS165" i="15" a="1"/>
  <c r="BC165" i="15" a="1"/>
  <c r="AM165" i="15" a="1"/>
  <c r="W165" i="15" a="1"/>
  <c r="G165" i="15" a="1"/>
  <c r="BN165" i="15" a="1"/>
  <c r="AX165" i="15" a="1"/>
  <c r="AH165" i="15" a="1"/>
  <c r="R165" i="15" a="1"/>
  <c r="BU165" i="15" a="1"/>
  <c r="BE165" i="15" a="1"/>
  <c r="AO165" i="15" a="1"/>
  <c r="Y165" i="15" a="1"/>
  <c r="I165" i="15" a="1"/>
  <c r="C197" i="15" a="1"/>
  <c r="C181" i="15" a="1"/>
  <c r="C167" i="15" a="1"/>
  <c r="C223" i="15" a="1"/>
  <c r="C215" i="15" a="1"/>
  <c r="C205" i="15" a="1"/>
  <c r="C191" i="15" a="1"/>
  <c r="C173" i="15" a="1"/>
  <c r="C168" i="15" a="1"/>
  <c r="C218" i="15" a="1"/>
  <c r="C210" i="15" a="1"/>
  <c r="C202" i="15" a="1"/>
  <c r="C194" i="15" a="1"/>
  <c r="C186" i="15" a="1"/>
  <c r="C172" i="15" a="1"/>
  <c r="AD165" i="15" a="1"/>
  <c r="N165" i="15" a="1"/>
  <c r="BA165" i="15" a="1"/>
  <c r="U165" i="15" a="1"/>
  <c r="C193" i="15" a="1"/>
  <c r="C176" i="15" a="1"/>
  <c r="C211" i="15" a="1"/>
  <c r="C169" i="15" a="1"/>
  <c r="C208" i="15" a="1"/>
  <c r="C192" i="15" a="1"/>
  <c r="C166" i="15" a="1"/>
  <c r="K169" i="15" a="1"/>
  <c r="O168" i="15" a="1"/>
  <c r="Y167" i="15" a="1"/>
  <c r="AP179" i="15" a="1"/>
  <c r="AV178" i="15" a="1"/>
  <c r="BB177" i="15" a="1"/>
  <c r="BH176" i="15" a="1"/>
  <c r="BN175" i="15" a="1"/>
  <c r="BT174" i="15" a="1"/>
  <c r="I174" i="15" a="1"/>
  <c r="O173" i="15" a="1"/>
  <c r="U172" i="15" a="1"/>
  <c r="AA171" i="15" a="1"/>
  <c r="AG170" i="15" a="1"/>
  <c r="AM169" i="15" a="1"/>
  <c r="BU168" i="15" a="1"/>
  <c r="I168" i="15" a="1"/>
  <c r="M167" i="15" a="1"/>
  <c r="Y179" i="15" a="1"/>
  <c r="AE178" i="15" a="1"/>
  <c r="AK177" i="15" a="1"/>
  <c r="AQ176" i="15" a="1"/>
  <c r="AW175" i="15" a="1"/>
  <c r="BS174" i="15" a="1"/>
  <c r="AL174" i="15" a="1"/>
  <c r="S174" i="15" a="1"/>
  <c r="BM173" i="15" a="1"/>
  <c r="AR173" i="15" a="1"/>
  <c r="Y173" i="15" a="1"/>
  <c r="BS172" i="15" a="1"/>
  <c r="AX172" i="15" a="1"/>
  <c r="AE172" i="15" a="1"/>
  <c r="G172" i="15" a="1"/>
  <c r="BD171" i="15" a="1"/>
  <c r="AK171" i="15" a="1"/>
  <c r="M171" i="15" a="1"/>
  <c r="BJ170" i="15" a="1"/>
  <c r="AQ170" i="15" a="1"/>
  <c r="S170" i="15" a="1"/>
  <c r="BP169" i="15" a="1"/>
  <c r="AW169" i="15" a="1"/>
  <c r="BN168" i="15" a="1"/>
  <c r="AT168" i="15" a="1"/>
  <c r="AB168" i="15" a="1"/>
  <c r="BV167" i="15" a="1"/>
  <c r="BD167" i="15" a="1"/>
  <c r="AJ167" i="15" a="1"/>
  <c r="L167" i="15" a="1"/>
  <c r="BO166" i="15" a="1"/>
  <c r="BG166" i="15" a="1"/>
  <c r="AY166" i="15" a="1"/>
  <c r="AQ166" i="15" a="1"/>
  <c r="AI166" i="15" a="1"/>
  <c r="BP166" i="15" a="1"/>
  <c r="BH166" i="15" a="1"/>
  <c r="AZ166" i="15" a="1"/>
  <c r="AR166" i="15" a="1"/>
  <c r="AJ166" i="15" a="1"/>
  <c r="AD166" i="15" a="1"/>
  <c r="V166" i="15" a="1"/>
  <c r="N166" i="15" a="1"/>
  <c r="F166" i="15" a="1"/>
  <c r="Y166" i="15" a="1"/>
  <c r="Q166" i="15" a="1"/>
  <c r="I166" i="15" a="1"/>
  <c r="BL165" i="15" a="1"/>
  <c r="AV165" i="15" a="1"/>
  <c r="AF165" i="15" a="1"/>
  <c r="P165" i="15" a="1"/>
  <c r="BO165" i="15" a="1"/>
  <c r="AY165" i="15" a="1"/>
  <c r="AI165" i="15" a="1"/>
  <c r="S165" i="15" a="1"/>
  <c r="BV165" i="15" a="1"/>
  <c r="BJ165" i="15" a="1"/>
  <c r="BK168" i="15" a="1"/>
  <c r="BQ167" i="15" a="1"/>
  <c r="I167" i="15" a="1"/>
  <c r="Z179" i="15" a="1"/>
  <c r="AF178" i="15" a="1"/>
  <c r="AL177" i="15" a="1"/>
  <c r="AR176" i="15" a="1"/>
  <c r="AX175" i="15" a="1"/>
  <c r="BE174" i="15" a="1"/>
  <c r="BK173" i="15" a="1"/>
  <c r="BQ172" i="15" a="1"/>
  <c r="E172" i="15" a="1"/>
  <c r="K171" i="15" a="1"/>
  <c r="Q170" i="15" a="1"/>
  <c r="AE169" i="15" a="1"/>
  <c r="BE168" i="15" a="1"/>
  <c r="BK167" i="15" a="1"/>
  <c r="AF180" i="15" a="1"/>
  <c r="I179" i="15" a="1"/>
  <c r="O178" i="15" a="1"/>
  <c r="U177" i="15" a="1"/>
  <c r="AA176" i="15" a="1"/>
  <c r="AG175" i="15" a="1"/>
  <c r="BG174" i="15" a="1"/>
  <c r="AI174" i="15" a="1"/>
  <c r="K174" i="15" a="1"/>
  <c r="BH173" i="15" a="1"/>
  <c r="AO173" i="15" a="1"/>
  <c r="Q173" i="15" a="1"/>
  <c r="BN172" i="15" a="1"/>
  <c r="AU172" i="15" a="1"/>
  <c r="W172" i="15" a="1"/>
  <c r="BT171" i="15" a="1"/>
  <c r="BA171" i="15" a="1"/>
  <c r="AC171" i="15" a="1"/>
  <c r="H171" i="15" a="1"/>
  <c r="BG170" i="15" a="1"/>
  <c r="AI170" i="15" a="1"/>
  <c r="N170" i="15" a="1"/>
  <c r="BM169" i="15" a="1"/>
  <c r="AO169" i="15" a="1"/>
  <c r="BJ168" i="15" a="1"/>
  <c r="AP168" i="15" a="1"/>
  <c r="T168" i="15" a="1"/>
  <c r="BT167" i="15" a="1"/>
  <c r="AZ167" i="15" a="1"/>
  <c r="AB167" i="15" a="1"/>
  <c r="H167" i="15" a="1"/>
  <c r="BM166" i="15" a="1"/>
  <c r="BE166" i="15" a="1"/>
  <c r="AW166" i="15" a="1"/>
  <c r="AO166" i="15" a="1"/>
  <c r="AG166" i="15" a="1"/>
  <c r="BN166" i="15" a="1"/>
  <c r="BF166" i="15" a="1"/>
  <c r="AX166" i="15" a="1"/>
  <c r="AP166" i="15" a="1"/>
  <c r="AH166" i="15" a="1"/>
  <c r="AB166" i="15" a="1"/>
  <c r="T166" i="15" a="1"/>
  <c r="L166" i="15" a="1"/>
  <c r="AE166" i="15" a="1"/>
  <c r="W166" i="15" a="1"/>
  <c r="O166" i="15" a="1"/>
  <c r="G166" i="15" a="1"/>
  <c r="BH165" i="15" a="1"/>
  <c r="AR165" i="15" a="1"/>
  <c r="AB165" i="15" a="1"/>
  <c r="L165" i="15" a="1"/>
  <c r="BK165" i="15" a="1"/>
  <c r="AU165" i="15" a="1"/>
  <c r="AE165" i="15" a="1"/>
  <c r="O165" i="15" a="1"/>
  <c r="BT165" i="15" a="1"/>
  <c r="BF165" i="15" a="1"/>
  <c r="AP165" i="15" a="1"/>
  <c r="Z165" i="15" a="1"/>
  <c r="J165" i="15" a="1"/>
  <c r="BM165" i="15" a="1"/>
  <c r="AW165" i="15" a="1"/>
  <c r="AG165" i="15" a="1"/>
  <c r="Q165" i="15" a="1"/>
  <c r="C213" i="15" a="1"/>
  <c r="C189" i="15" a="1"/>
  <c r="C175" i="15" a="1"/>
  <c r="C170" i="15" a="1"/>
  <c r="C219" i="15" a="1"/>
  <c r="C209" i="15" a="1"/>
  <c r="C199" i="15" a="1"/>
  <c r="C183" i="15" a="1"/>
  <c r="C180" i="15" a="1"/>
  <c r="C222" i="15" a="1"/>
  <c r="C214" i="15" a="1"/>
  <c r="C206" i="15" a="1"/>
  <c r="C198" i="15" a="1"/>
  <c r="C182" i="15" a="1"/>
  <c r="B78" i="8"/>
  <c r="B79" i="8"/>
  <c r="B14" i="8"/>
  <c r="B80" i="8"/>
  <c r="B56" i="8"/>
  <c r="B13" i="8"/>
  <c r="B77" i="8"/>
  <c r="B12" i="8"/>
  <c r="B15" i="8"/>
  <c r="B52" i="8"/>
  <c r="B53" i="8"/>
  <c r="B55" i="8"/>
  <c r="B54" i="8"/>
  <c r="B76" i="8"/>
  <c r="C182" i="15" l="1"/>
  <c r="C198" i="15"/>
  <c r="C206" i="15"/>
  <c r="C214" i="15"/>
  <c r="C222" i="15"/>
  <c r="C180" i="15"/>
  <c r="C183" i="15"/>
  <c r="C199" i="15"/>
  <c r="C209" i="15"/>
  <c r="C219" i="15"/>
  <c r="C170" i="15"/>
  <c r="C175" i="15"/>
  <c r="C189" i="15"/>
  <c r="C213" i="15"/>
  <c r="Q165" i="15"/>
  <c r="AG165" i="15"/>
  <c r="AW165" i="15"/>
  <c r="BM165" i="15"/>
  <c r="J165" i="15"/>
  <c r="Z165" i="15"/>
  <c r="AP165" i="15"/>
  <c r="BF165" i="15"/>
  <c r="BT165" i="15"/>
  <c r="O165" i="15"/>
  <c r="AE165" i="15"/>
  <c r="AU165" i="15"/>
  <c r="BK165" i="15"/>
  <c r="L165" i="15"/>
  <c r="AB165" i="15"/>
  <c r="AR165" i="15"/>
  <c r="BH165" i="15"/>
  <c r="G166" i="15"/>
  <c r="O166" i="15"/>
  <c r="W166" i="15"/>
  <c r="AE166" i="15"/>
  <c r="L166" i="15"/>
  <c r="T166" i="15"/>
  <c r="AB166" i="15"/>
  <c r="AH166" i="15"/>
  <c r="AP166" i="15"/>
  <c r="AX166" i="15"/>
  <c r="BF166" i="15"/>
  <c r="BN166" i="15"/>
  <c r="AG166" i="15"/>
  <c r="AO166" i="15"/>
  <c r="AW166" i="15"/>
  <c r="BE166" i="15"/>
  <c r="BM166" i="15"/>
  <c r="H167" i="15"/>
  <c r="AB167" i="15"/>
  <c r="AZ167" i="15"/>
  <c r="BT167" i="15"/>
  <c r="T168" i="15"/>
  <c r="AP168" i="15"/>
  <c r="BJ168" i="15"/>
  <c r="AO169" i="15"/>
  <c r="BM169" i="15"/>
  <c r="N170" i="15"/>
  <c r="AI170" i="15"/>
  <c r="BG170" i="15"/>
  <c r="H171" i="15"/>
  <c r="AC171" i="15"/>
  <c r="BA171" i="15"/>
  <c r="BT171" i="15"/>
  <c r="W172" i="15"/>
  <c r="AU172" i="15"/>
  <c r="BN172" i="15"/>
  <c r="Q173" i="15"/>
  <c r="AO173" i="15"/>
  <c r="BH173" i="15"/>
  <c r="K174" i="15"/>
  <c r="AI174" i="15"/>
  <c r="BG174" i="15"/>
  <c r="AG175" i="15"/>
  <c r="AA176" i="15"/>
  <c r="U177" i="15"/>
  <c r="O178" i="15"/>
  <c r="I179" i="15"/>
  <c r="AF180" i="15"/>
  <c r="BK167" i="15"/>
  <c r="BE168" i="15"/>
  <c r="AE169" i="15"/>
  <c r="Q170" i="15"/>
  <c r="K171" i="15"/>
  <c r="E172" i="15"/>
  <c r="BQ172" i="15"/>
  <c r="BK173" i="15"/>
  <c r="BE174" i="15"/>
  <c r="AX175" i="15"/>
  <c r="AR176" i="15"/>
  <c r="AL177" i="15"/>
  <c r="AF178" i="15"/>
  <c r="Z179" i="15"/>
  <c r="I167" i="15"/>
  <c r="BQ167" i="15"/>
  <c r="BK168" i="15"/>
  <c r="BJ165" i="15"/>
  <c r="BV165" i="15"/>
  <c r="S165" i="15"/>
  <c r="AI165" i="15"/>
  <c r="AY165" i="15"/>
  <c r="BO165" i="15"/>
  <c r="P165" i="15"/>
  <c r="AF165" i="15"/>
  <c r="AV165" i="15"/>
  <c r="BL165" i="15"/>
  <c r="I166" i="15"/>
  <c r="Q166" i="15"/>
  <c r="Y166" i="15"/>
  <c r="F166" i="15"/>
  <c r="N166" i="15"/>
  <c r="V166" i="15"/>
  <c r="AD166" i="15"/>
  <c r="AJ166" i="15"/>
  <c r="AR166" i="15"/>
  <c r="AZ166" i="15"/>
  <c r="BH166" i="15"/>
  <c r="BP166" i="15"/>
  <c r="AI166" i="15"/>
  <c r="AQ166" i="15"/>
  <c r="AY166" i="15"/>
  <c r="BG166" i="15"/>
  <c r="BO166" i="15"/>
  <c r="L167" i="15"/>
  <c r="AJ167" i="15"/>
  <c r="BD167" i="15"/>
  <c r="BV167" i="15"/>
  <c r="AB168" i="15"/>
  <c r="AT168" i="15"/>
  <c r="BN168" i="15"/>
  <c r="AW169" i="15"/>
  <c r="BP169" i="15"/>
  <c r="S170" i="15"/>
  <c r="AQ170" i="15"/>
  <c r="BJ170" i="15"/>
  <c r="M171" i="15"/>
  <c r="AK171" i="15"/>
  <c r="BD171" i="15"/>
  <c r="G172" i="15"/>
  <c r="AE172" i="15"/>
  <c r="AX172" i="15"/>
  <c r="BS172" i="15"/>
  <c r="Y173" i="15"/>
  <c r="AR173" i="15"/>
  <c r="BM173" i="15"/>
  <c r="S174" i="15"/>
  <c r="AL174" i="15"/>
  <c r="BS174" i="15"/>
  <c r="AW175" i="15"/>
  <c r="AQ176" i="15"/>
  <c r="AK177" i="15"/>
  <c r="AE178" i="15"/>
  <c r="Y179" i="15"/>
  <c r="M167" i="15"/>
  <c r="I168" i="15"/>
  <c r="BU168" i="15"/>
  <c r="AM169" i="15"/>
  <c r="AG170" i="15"/>
  <c r="AA171" i="15"/>
  <c r="U172" i="15"/>
  <c r="O173" i="15"/>
  <c r="I174" i="15"/>
  <c r="BT174" i="15"/>
  <c r="BN175" i="15"/>
  <c r="BH176" i="15"/>
  <c r="BB177" i="15"/>
  <c r="AV178" i="15"/>
  <c r="AP179" i="15"/>
  <c r="Y167" i="15"/>
  <c r="O168" i="15"/>
  <c r="K169" i="15"/>
  <c r="C166" i="15"/>
  <c r="C192" i="15"/>
  <c r="C208" i="15"/>
  <c r="C169" i="15"/>
  <c r="C211" i="15"/>
  <c r="C176" i="15"/>
  <c r="C193" i="15"/>
  <c r="U165" i="15"/>
  <c r="BA165" i="15"/>
  <c r="N165" i="15"/>
  <c r="AD165" i="15"/>
  <c r="C172" i="15"/>
  <c r="C186" i="15"/>
  <c r="C194" i="15"/>
  <c r="C202" i="15"/>
  <c r="C210" i="15"/>
  <c r="C218" i="15"/>
  <c r="C168" i="15"/>
  <c r="C173" i="15"/>
  <c r="C191" i="15"/>
  <c r="C205" i="15"/>
  <c r="C215" i="15"/>
  <c r="C223" i="15"/>
  <c r="C167" i="15"/>
  <c r="C181" i="15"/>
  <c r="C197" i="15"/>
  <c r="I165" i="15"/>
  <c r="Y165" i="15"/>
  <c r="AO165" i="15"/>
  <c r="BE165" i="15"/>
  <c r="BU165" i="15"/>
  <c r="R165" i="15"/>
  <c r="AH165" i="15"/>
  <c r="AX165" i="15"/>
  <c r="BN165" i="15"/>
  <c r="G165" i="15"/>
  <c r="W165" i="15"/>
  <c r="AM165" i="15"/>
  <c r="BC165" i="15"/>
  <c r="BS165" i="15"/>
  <c r="T165" i="15"/>
  <c r="AJ165" i="15"/>
  <c r="AZ165" i="15"/>
  <c r="BR165" i="15"/>
  <c r="K166" i="15"/>
  <c r="S166" i="15"/>
  <c r="AA166" i="15"/>
  <c r="H166" i="15"/>
  <c r="P166" i="15"/>
  <c r="X166" i="15"/>
  <c r="BV166" i="15"/>
  <c r="AL166" i="15"/>
  <c r="AT166" i="15"/>
  <c r="BB166" i="15"/>
  <c r="BJ166" i="15"/>
  <c r="BR166" i="15"/>
  <c r="AK166" i="15"/>
  <c r="AS166" i="15"/>
  <c r="BA166" i="15"/>
  <c r="BI166" i="15"/>
  <c r="BQ166" i="15"/>
  <c r="T167" i="15"/>
  <c r="AN167" i="15"/>
  <c r="BH167" i="15"/>
  <c r="L168" i="15"/>
  <c r="AF168" i="15"/>
  <c r="AX168" i="15"/>
  <c r="BV168" i="15"/>
  <c r="AZ169" i="15"/>
  <c r="BU169" i="15"/>
  <c r="AA170" i="15"/>
  <c r="AT170" i="15"/>
  <c r="BO170" i="15"/>
  <c r="U171" i="15"/>
  <c r="AN171" i="15"/>
  <c r="BI171" i="15"/>
  <c r="O172" i="15"/>
  <c r="AH172" i="15"/>
  <c r="BC172" i="15"/>
  <c r="I173" i="15"/>
  <c r="AB173" i="15"/>
  <c r="AW173" i="15"/>
  <c r="BU173" i="15"/>
  <c r="V174" i="15"/>
  <c r="AQ174" i="15"/>
  <c r="E175" i="15"/>
  <c r="BM175" i="15"/>
  <c r="BG176" i="15"/>
  <c r="BA177" i="15"/>
  <c r="AU178" i="15"/>
  <c r="AO179" i="15"/>
  <c r="AA167" i="15"/>
  <c r="Y168" i="15"/>
  <c r="O169" i="15"/>
  <c r="BC169" i="15"/>
  <c r="AW170" i="15"/>
  <c r="AQ171" i="15"/>
  <c r="AK172" i="15"/>
  <c r="AE173" i="15"/>
  <c r="Y174" i="15"/>
  <c r="R175" i="15"/>
  <c r="L176" i="15"/>
  <c r="F177" i="15"/>
  <c r="BR177" i="15"/>
  <c r="BL178" i="15"/>
  <c r="BT179" i="15"/>
  <c r="AM167" i="15"/>
  <c r="AE168" i="15"/>
  <c r="BA169" i="15"/>
  <c r="C190" i="15"/>
  <c r="C184" i="15"/>
  <c r="C200" i="15"/>
  <c r="C216" i="15"/>
  <c r="C224" i="15"/>
  <c r="C187" i="15"/>
  <c r="C201" i="15"/>
  <c r="C221" i="15"/>
  <c r="C179" i="15"/>
  <c r="E165" i="15"/>
  <c r="AK165" i="15"/>
  <c r="BQ165" i="15"/>
  <c r="AT165" i="15"/>
  <c r="C178" i="15"/>
  <c r="C188" i="15"/>
  <c r="C196" i="15"/>
  <c r="C204" i="15"/>
  <c r="C212" i="15"/>
  <c r="C220" i="15"/>
  <c r="C174" i="15"/>
  <c r="C177" i="15"/>
  <c r="C195" i="15"/>
  <c r="C207" i="15"/>
  <c r="C217" i="15"/>
  <c r="C225" i="15"/>
  <c r="C171" i="15"/>
  <c r="C185" i="15"/>
  <c r="C203" i="15"/>
  <c r="M165" i="15"/>
  <c r="AC165" i="15"/>
  <c r="AS165" i="15"/>
  <c r="BI165" i="15"/>
  <c r="F165" i="15"/>
  <c r="V165" i="15"/>
  <c r="AL165" i="15"/>
  <c r="BB165" i="15"/>
  <c r="BP165" i="15"/>
  <c r="K165" i="15"/>
  <c r="AA165" i="15"/>
  <c r="AQ165" i="15"/>
  <c r="BG165" i="15"/>
  <c r="H165" i="15"/>
  <c r="X165" i="15"/>
  <c r="AN165" i="15"/>
  <c r="BD165" i="15"/>
  <c r="E166" i="15"/>
  <c r="M166" i="15"/>
  <c r="U166" i="15"/>
  <c r="AC166" i="15"/>
  <c r="J166" i="15"/>
  <c r="R166" i="15"/>
  <c r="Z166" i="15"/>
  <c r="AF166" i="15"/>
  <c r="AN166" i="15"/>
  <c r="AV166" i="15"/>
  <c r="BD166" i="15"/>
  <c r="BL166" i="15"/>
  <c r="BT166" i="15"/>
  <c r="AM166" i="15"/>
  <c r="AU166" i="15"/>
  <c r="BC166" i="15"/>
  <c r="BK166" i="15"/>
  <c r="BU166" i="15"/>
  <c r="X167" i="15"/>
  <c r="AR167" i="15"/>
  <c r="BP167" i="15"/>
  <c r="P168" i="15"/>
  <c r="AJ168" i="15"/>
  <c r="BF168" i="15"/>
  <c r="J169" i="15"/>
  <c r="BE169" i="15"/>
  <c r="K170" i="15"/>
  <c r="AD170" i="15"/>
  <c r="AY170" i="15"/>
  <c r="E171" i="15"/>
  <c r="X171" i="15"/>
  <c r="AS171" i="15"/>
  <c r="BQ171" i="15"/>
  <c r="R172" i="15"/>
  <c r="AM172" i="15"/>
  <c r="BK172" i="15"/>
  <c r="L173" i="15"/>
  <c r="AG173" i="15"/>
  <c r="BE173" i="15"/>
  <c r="F174" i="15"/>
  <c r="AA174" i="15"/>
  <c r="BB174" i="15"/>
  <c r="Q175" i="15"/>
  <c r="K176" i="15"/>
  <c r="E177" i="15"/>
  <c r="BQ177" i="15"/>
  <c r="BK178" i="15"/>
  <c r="BR179" i="15"/>
  <c r="AS167" i="15"/>
  <c r="AO168" i="15"/>
  <c r="W169" i="15"/>
  <c r="BS169" i="15"/>
  <c r="BM170" i="15"/>
  <c r="BG171" i="15"/>
  <c r="BA172" i="15"/>
  <c r="AU173" i="15"/>
  <c r="AO174" i="15"/>
  <c r="AH175" i="15"/>
  <c r="AB176" i="15"/>
  <c r="V177" i="15"/>
  <c r="P178" i="15"/>
  <c r="J179" i="15"/>
  <c r="AH180" i="15"/>
  <c r="BC167" i="15"/>
  <c r="AU168" i="15"/>
  <c r="BQ169" i="15"/>
  <c r="O170" i="15"/>
  <c r="AE170" i="15"/>
  <c r="AU170" i="15"/>
  <c r="BK170" i="15"/>
  <c r="I171" i="15"/>
  <c r="Y171" i="15"/>
  <c r="AO171" i="15"/>
  <c r="BE171" i="15"/>
  <c r="BU171" i="15"/>
  <c r="S172" i="15"/>
  <c r="AI172" i="15"/>
  <c r="AY172" i="15"/>
  <c r="BO172" i="15"/>
  <c r="M173" i="15"/>
  <c r="AC173" i="15"/>
  <c r="AS173" i="15"/>
  <c r="BI173" i="15"/>
  <c r="G174" i="15"/>
  <c r="W174" i="15"/>
  <c r="AM174" i="15"/>
  <c r="BC174" i="15"/>
  <c r="BQ174" i="15"/>
  <c r="O175" i="15"/>
  <c r="AE175" i="15"/>
  <c r="AU175" i="15"/>
  <c r="BK175" i="15"/>
  <c r="I176" i="15"/>
  <c r="Y176" i="15"/>
  <c r="AO176" i="15"/>
  <c r="BE176" i="15"/>
  <c r="BU176" i="15"/>
  <c r="S177" i="15"/>
  <c r="AI177" i="15"/>
  <c r="AY177" i="15"/>
  <c r="BO177" i="15"/>
  <c r="M178" i="15"/>
  <c r="AC178" i="15"/>
  <c r="AS178" i="15"/>
  <c r="BI178" i="15"/>
  <c r="G179" i="15"/>
  <c r="W179" i="15"/>
  <c r="AM179" i="15"/>
  <c r="BN179" i="15"/>
  <c r="AB180" i="15"/>
  <c r="F167" i="15"/>
  <c r="V167" i="15"/>
  <c r="AL167" i="15"/>
  <c r="BB167" i="15"/>
  <c r="BR167" i="15"/>
  <c r="R168" i="15"/>
  <c r="AH168" i="15"/>
  <c r="AZ168" i="15"/>
  <c r="BP168" i="15"/>
  <c r="L169" i="15"/>
  <c r="T169" i="15"/>
  <c r="AB169" i="15"/>
  <c r="AJ169" i="15"/>
  <c r="AY169" i="15"/>
  <c r="BO169" i="15"/>
  <c r="M170" i="15"/>
  <c r="AC170" i="15"/>
  <c r="BI170" i="15"/>
  <c r="W171" i="15"/>
  <c r="BC171" i="15"/>
  <c r="Q172" i="15"/>
  <c r="AW172" i="15"/>
  <c r="K173" i="15"/>
  <c r="BG173" i="15"/>
  <c r="BA174" i="15"/>
  <c r="AV175" i="15"/>
  <c r="AP176" i="15"/>
  <c r="AJ177" i="15"/>
  <c r="AD178" i="15"/>
  <c r="X179" i="15"/>
  <c r="AS179" i="15"/>
  <c r="G180" i="15"/>
  <c r="AM180" i="15"/>
  <c r="BS180" i="15"/>
  <c r="AG181" i="15"/>
  <c r="BM181" i="15"/>
  <c r="AJ182" i="15"/>
  <c r="AD183" i="15"/>
  <c r="X184" i="15"/>
  <c r="R185" i="15"/>
  <c r="L186" i="15"/>
  <c r="F187" i="15"/>
  <c r="BR187" i="15"/>
  <c r="BL188" i="15"/>
  <c r="BE182" i="15"/>
  <c r="AY183" i="15"/>
  <c r="AS184" i="15"/>
  <c r="AM185" i="15"/>
  <c r="AG186" i="15"/>
  <c r="AA187" i="15"/>
  <c r="U188" i="15"/>
  <c r="AC189" i="15"/>
  <c r="P181" i="15"/>
  <c r="AV181" i="15"/>
  <c r="J182" i="15"/>
  <c r="BR182" i="15"/>
  <c r="BL183" i="15"/>
  <c r="BV184" i="15"/>
  <c r="R186" i="15"/>
  <c r="AJ187" i="15"/>
  <c r="AX188" i="15"/>
  <c r="BK182" i="15"/>
  <c r="K184" i="15"/>
  <c r="BA185" i="15"/>
  <c r="AO187" i="15"/>
  <c r="J189" i="15"/>
  <c r="BP190" i="15"/>
  <c r="BD192" i="15"/>
  <c r="AR194" i="15"/>
  <c r="AF196" i="15"/>
  <c r="BC189" i="15"/>
  <c r="AQ191" i="15"/>
  <c r="BK193" i="15"/>
  <c r="AM197" i="15"/>
  <c r="R192" i="15"/>
  <c r="BL195" i="15"/>
  <c r="E191" i="15"/>
  <c r="AY194" i="15"/>
  <c r="BV198" i="15"/>
  <c r="BS199" i="15"/>
  <c r="T202" i="15"/>
  <c r="BC204" i="15"/>
  <c r="L207" i="15"/>
  <c r="U175" i="15"/>
  <c r="AK175" i="15"/>
  <c r="BA175" i="15"/>
  <c r="BQ175" i="15"/>
  <c r="O176" i="15"/>
  <c r="AE176" i="15"/>
  <c r="AU176" i="15"/>
  <c r="BK176" i="15"/>
  <c r="I177" i="15"/>
  <c r="Y177" i="15"/>
  <c r="AO177" i="15"/>
  <c r="BE177" i="15"/>
  <c r="BU177" i="15"/>
  <c r="S178" i="15"/>
  <c r="AI178" i="15"/>
  <c r="AY178" i="15"/>
  <c r="BO178" i="15"/>
  <c r="M179" i="15"/>
  <c r="AC179" i="15"/>
  <c r="AT179" i="15"/>
  <c r="H180" i="15"/>
  <c r="AN180" i="15"/>
  <c r="Q167" i="15"/>
  <c r="AG167" i="15"/>
  <c r="AW167" i="15"/>
  <c r="BO167" i="15"/>
  <c r="M168" i="15"/>
  <c r="AC168" i="15"/>
  <c r="AS168" i="15"/>
  <c r="BI168" i="15"/>
  <c r="G169" i="15"/>
  <c r="Q169" i="15"/>
  <c r="Y169" i="15"/>
  <c r="AG169" i="15"/>
  <c r="AP169" i="15"/>
  <c r="BF169" i="15"/>
  <c r="BV169" i="15"/>
  <c r="T170" i="15"/>
  <c r="AJ170" i="15"/>
  <c r="AZ170" i="15"/>
  <c r="BP170" i="15"/>
  <c r="N171" i="15"/>
  <c r="AD171" i="15"/>
  <c r="AT171" i="15"/>
  <c r="BJ171" i="15"/>
  <c r="H172" i="15"/>
  <c r="X172" i="15"/>
  <c r="AN172" i="15"/>
  <c r="BD172" i="15"/>
  <c r="BT172" i="15"/>
  <c r="R173" i="15"/>
  <c r="AH173" i="15"/>
  <c r="AX173" i="15"/>
  <c r="BN173" i="15"/>
  <c r="L174" i="15"/>
  <c r="AB174" i="15"/>
  <c r="AR174" i="15"/>
  <c r="BH174" i="15"/>
  <c r="F175" i="15"/>
  <c r="V175" i="15"/>
  <c r="AL175" i="15"/>
  <c r="BB175" i="15"/>
  <c r="BR175" i="15"/>
  <c r="P176" i="15"/>
  <c r="AF176" i="15"/>
  <c r="AV176" i="15"/>
  <c r="BL176" i="15"/>
  <c r="J177" i="15"/>
  <c r="Z177" i="15"/>
  <c r="AP177" i="15"/>
  <c r="BF177" i="15"/>
  <c r="BV177" i="15"/>
  <c r="T178" i="15"/>
  <c r="AJ178" i="15"/>
  <c r="AZ178" i="15"/>
  <c r="BP178" i="15"/>
  <c r="N179" i="15"/>
  <c r="AD179" i="15"/>
  <c r="AV179" i="15"/>
  <c r="J180" i="15"/>
  <c r="AP180" i="15"/>
  <c r="K167" i="15"/>
  <c r="AC167" i="15"/>
  <c r="AQ167" i="15"/>
  <c r="BG167" i="15"/>
  <c r="BU167" i="15"/>
  <c r="S168" i="15"/>
  <c r="AI168" i="15"/>
  <c r="AY168" i="15"/>
  <c r="BO168" i="15"/>
  <c r="AN169" i="15"/>
  <c r="BD169" i="15"/>
  <c r="BT169" i="15"/>
  <c r="R170" i="15"/>
  <c r="AH170" i="15"/>
  <c r="AX170" i="15"/>
  <c r="BN170" i="15"/>
  <c r="L171" i="15"/>
  <c r="AB171" i="15"/>
  <c r="AR171" i="15"/>
  <c r="BH171" i="15"/>
  <c r="F172" i="15"/>
  <c r="V172" i="15"/>
  <c r="AL172" i="15"/>
  <c r="BB172" i="15"/>
  <c r="BR172" i="15"/>
  <c r="P173" i="15"/>
  <c r="AF173" i="15"/>
  <c r="AV173" i="15"/>
  <c r="BL173" i="15"/>
  <c r="J174" i="15"/>
  <c r="Z174" i="15"/>
  <c r="AP174" i="15"/>
  <c r="BF174" i="15"/>
  <c r="BU174" i="15"/>
  <c r="S175" i="15"/>
  <c r="AI175" i="15"/>
  <c r="AY175" i="15"/>
  <c r="BO175" i="15"/>
  <c r="M176" i="15"/>
  <c r="AC176" i="15"/>
  <c r="AS176" i="15"/>
  <c r="BI176" i="15"/>
  <c r="G177" i="15"/>
  <c r="W177" i="15"/>
  <c r="AM177" i="15"/>
  <c r="BC177" i="15"/>
  <c r="BS177" i="15"/>
  <c r="Q178" i="15"/>
  <c r="AG178" i="15"/>
  <c r="AW178" i="15"/>
  <c r="BM178" i="15"/>
  <c r="K179" i="15"/>
  <c r="AA179" i="15"/>
  <c r="AQ179" i="15"/>
  <c r="BV179" i="15"/>
  <c r="AJ180" i="15"/>
  <c r="J167" i="15"/>
  <c r="Z167" i="15"/>
  <c r="AP167" i="15"/>
  <c r="BF167" i="15"/>
  <c r="F168" i="15"/>
  <c r="V168" i="15"/>
  <c r="AL168" i="15"/>
  <c r="BD168" i="15"/>
  <c r="BT168" i="15"/>
  <c r="N169" i="15"/>
  <c r="V169" i="15"/>
  <c r="AD169" i="15"/>
  <c r="AL169" i="15"/>
  <c r="BB169" i="15"/>
  <c r="BR169" i="15"/>
  <c r="P170" i="15"/>
  <c r="AN170" i="15"/>
  <c r="BT170" i="15"/>
  <c r="AH171" i="15"/>
  <c r="BN171" i="15"/>
  <c r="AB172" i="15"/>
  <c r="BH172" i="15"/>
  <c r="V173" i="15"/>
  <c r="E174" i="15"/>
  <c r="BR174" i="15"/>
  <c r="BL175" i="15"/>
  <c r="BF176" i="15"/>
  <c r="AZ177" i="15"/>
  <c r="AT178" i="15"/>
  <c r="AN179" i="15"/>
  <c r="BA179" i="15"/>
  <c r="O180" i="15"/>
  <c r="AU180" i="15"/>
  <c r="I181" i="15"/>
  <c r="AO181" i="15"/>
  <c r="BU181" i="15"/>
  <c r="AZ182" i="15"/>
  <c r="AT183" i="15"/>
  <c r="AN184" i="15"/>
  <c r="AH185" i="15"/>
  <c r="AB186" i="15"/>
  <c r="V187" i="15"/>
  <c r="P188" i="15"/>
  <c r="S189" i="15"/>
  <c r="BU182" i="15"/>
  <c r="BO183" i="15"/>
  <c r="BI184" i="15"/>
  <c r="BC185" i="15"/>
  <c r="AW186" i="15"/>
  <c r="AQ187" i="15"/>
  <c r="AK188" i="15"/>
  <c r="BJ180" i="15"/>
  <c r="X181" i="15"/>
  <c r="BD181" i="15"/>
  <c r="V182" i="15"/>
  <c r="P183" i="15"/>
  <c r="J184" i="15"/>
  <c r="X185" i="15"/>
  <c r="AP186" i="15"/>
  <c r="BD187" i="15"/>
  <c r="BR188" i="15"/>
  <c r="Q183" i="15"/>
  <c r="AE184" i="15"/>
  <c r="O186" i="15"/>
  <c r="BU187" i="15"/>
  <c r="AP189" i="15"/>
  <c r="AD191" i="15"/>
  <c r="R193" i="15"/>
  <c r="F195" i="15"/>
  <c r="BL196" i="15"/>
  <c r="Q190" i="15"/>
  <c r="E192" i="15"/>
  <c r="BE194" i="15"/>
  <c r="AJ189" i="15"/>
  <c r="L193" i="15"/>
  <c r="BF196" i="15"/>
  <c r="BQ191" i="15"/>
  <c r="AS195" i="15"/>
  <c r="AY198" i="15"/>
  <c r="BM200" i="15"/>
  <c r="H204" i="15"/>
  <c r="AP205" i="15"/>
  <c r="BI209" i="15"/>
  <c r="BS166" i="15"/>
  <c r="P167" i="15"/>
  <c r="AF167" i="15"/>
  <c r="AV167" i="15"/>
  <c r="BL167" i="15"/>
  <c r="H168" i="15"/>
  <c r="X168" i="15"/>
  <c r="AN168" i="15"/>
  <c r="BB168" i="15"/>
  <c r="BR168" i="15"/>
  <c r="AR169" i="15"/>
  <c r="BH169" i="15"/>
  <c r="F170" i="15"/>
  <c r="V170" i="15"/>
  <c r="AL170" i="15"/>
  <c r="BB170" i="15"/>
  <c r="BR170" i="15"/>
  <c r="P171" i="15"/>
  <c r="AF171" i="15"/>
  <c r="AV171" i="15"/>
  <c r="BL171" i="15"/>
  <c r="J172" i="15"/>
  <c r="Z172" i="15"/>
  <c r="AP172" i="15"/>
  <c r="BF172" i="15"/>
  <c r="BV172" i="15"/>
  <c r="T173" i="15"/>
  <c r="AJ173" i="15"/>
  <c r="AZ173" i="15"/>
  <c r="BP173" i="15"/>
  <c r="N174" i="15"/>
  <c r="AD174" i="15"/>
  <c r="AT174" i="15"/>
  <c r="BK174" i="15"/>
  <c r="I175" i="15"/>
  <c r="Y175" i="15"/>
  <c r="AO175" i="15"/>
  <c r="BE175" i="15"/>
  <c r="BU175" i="15"/>
  <c r="S176" i="15"/>
  <c r="AI176" i="15"/>
  <c r="AY176" i="15"/>
  <c r="BO176" i="15"/>
  <c r="M177" i="15"/>
  <c r="AC177" i="15"/>
  <c r="AS177" i="15"/>
  <c r="BI177" i="15"/>
  <c r="G178" i="15"/>
  <c r="W178" i="15"/>
  <c r="AM178" i="15"/>
  <c r="BC178" i="15"/>
  <c r="BS178" i="15"/>
  <c r="Q179" i="15"/>
  <c r="AG179" i="15"/>
  <c r="BB179" i="15"/>
  <c r="P180" i="15"/>
  <c r="AV180" i="15"/>
  <c r="S167" i="15"/>
  <c r="AK167" i="15"/>
  <c r="BA167" i="15"/>
  <c r="BS167" i="15"/>
  <c r="Q168" i="15"/>
  <c r="AG168" i="15"/>
  <c r="AW168" i="15"/>
  <c r="BM168" i="15"/>
  <c r="I169" i="15"/>
  <c r="S169" i="15"/>
  <c r="AA169" i="15"/>
  <c r="AI169" i="15"/>
  <c r="AU169" i="15"/>
  <c r="BK169" i="15"/>
  <c r="I170" i="15"/>
  <c r="Y170" i="15"/>
  <c r="AO170" i="15"/>
  <c r="BE170" i="15"/>
  <c r="BU170" i="15"/>
  <c r="S171" i="15"/>
  <c r="AI171" i="15"/>
  <c r="AY171" i="15"/>
  <c r="BO171" i="15"/>
  <c r="M172" i="15"/>
  <c r="AC172" i="15"/>
  <c r="AS172" i="15"/>
  <c r="BI172" i="15"/>
  <c r="G173" i="15"/>
  <c r="W173" i="15"/>
  <c r="AM173" i="15"/>
  <c r="BC173" i="15"/>
  <c r="BS173" i="15"/>
  <c r="Q174" i="15"/>
  <c r="AG174" i="15"/>
  <c r="AW174" i="15"/>
  <c r="BL174" i="15"/>
  <c r="J175" i="15"/>
  <c r="Z175" i="15"/>
  <c r="AP175" i="15"/>
  <c r="BF175" i="15"/>
  <c r="BV175" i="15"/>
  <c r="T176" i="15"/>
  <c r="AJ176" i="15"/>
  <c r="AZ176" i="15"/>
  <c r="BP176" i="15"/>
  <c r="N177" i="15"/>
  <c r="AD177" i="15"/>
  <c r="AT177" i="15"/>
  <c r="BJ177" i="15"/>
  <c r="H178" i="15"/>
  <c r="X178" i="15"/>
  <c r="AN178" i="15"/>
  <c r="BD178" i="15"/>
  <c r="BT178" i="15"/>
  <c r="R179" i="15"/>
  <c r="AH179" i="15"/>
  <c r="BD179" i="15"/>
  <c r="R180" i="15"/>
  <c r="AX180" i="15"/>
  <c r="O167" i="15"/>
  <c r="AE167" i="15"/>
  <c r="AU167" i="15"/>
  <c r="BI167" i="15"/>
  <c r="G168" i="15"/>
  <c r="W168" i="15"/>
  <c r="AM168" i="15"/>
  <c r="BC168" i="15"/>
  <c r="BS168" i="15"/>
  <c r="AS169" i="15"/>
  <c r="BI169" i="15"/>
  <c r="G170" i="15"/>
  <c r="W170" i="15"/>
  <c r="AM170" i="15"/>
  <c r="BC170" i="15"/>
  <c r="BS170" i="15"/>
  <c r="Q171" i="15"/>
  <c r="AG171" i="15"/>
  <c r="AW171" i="15"/>
  <c r="BM171" i="15"/>
  <c r="K172" i="15"/>
  <c r="AA172" i="15"/>
  <c r="AQ172" i="15"/>
  <c r="BG172" i="15"/>
  <c r="E173" i="15"/>
  <c r="U173" i="15"/>
  <c r="AK173" i="15"/>
  <c r="BA173" i="15"/>
  <c r="BQ173" i="15"/>
  <c r="O174" i="15"/>
  <c r="AE174" i="15"/>
  <c r="AU174" i="15"/>
  <c r="BI174" i="15"/>
  <c r="G175" i="15"/>
  <c r="W175" i="15"/>
  <c r="AM175" i="15"/>
  <c r="BC175" i="15"/>
  <c r="BS175" i="15"/>
  <c r="Q176" i="15"/>
  <c r="AG176" i="15"/>
  <c r="AW176" i="15"/>
  <c r="BM176" i="15"/>
  <c r="K177" i="15"/>
  <c r="AA177" i="15"/>
  <c r="AQ177" i="15"/>
  <c r="BG177" i="15"/>
  <c r="E178" i="15"/>
  <c r="U178" i="15"/>
  <c r="AK178" i="15"/>
  <c r="BA178" i="15"/>
  <c r="BQ178" i="15"/>
  <c r="O179" i="15"/>
  <c r="AE179" i="15"/>
  <c r="AX179" i="15"/>
  <c r="L180" i="15"/>
  <c r="AR180" i="15"/>
  <c r="N167" i="15"/>
  <c r="AD167" i="15"/>
  <c r="AT167" i="15"/>
  <c r="BJ167" i="15"/>
  <c r="J168" i="15"/>
  <c r="Z168" i="15"/>
  <c r="AR168" i="15"/>
  <c r="BH168" i="15"/>
  <c r="F169" i="15"/>
  <c r="P169" i="15"/>
  <c r="X169" i="15"/>
  <c r="AF169" i="15"/>
  <c r="AQ169" i="15"/>
  <c r="BG169" i="15"/>
  <c r="E170" i="15"/>
  <c r="U170" i="15"/>
  <c r="AS170" i="15"/>
  <c r="G171" i="15"/>
  <c r="AM171" i="15"/>
  <c r="BS171" i="15"/>
  <c r="AG172" i="15"/>
  <c r="BM172" i="15"/>
  <c r="AA173" i="15"/>
  <c r="U174" i="15"/>
  <c r="P175" i="15"/>
  <c r="J176" i="15"/>
  <c r="BV176" i="15"/>
  <c r="BP177" i="15"/>
  <c r="BJ178" i="15"/>
  <c r="BP179" i="15"/>
  <c r="BI179" i="15"/>
  <c r="W180" i="15"/>
  <c r="BC180" i="15"/>
  <c r="Q181" i="15"/>
  <c r="AW181" i="15"/>
  <c r="K182" i="15"/>
  <c r="BP182" i="15"/>
  <c r="BJ183" i="15"/>
  <c r="BD184" i="15"/>
  <c r="AX185" i="15"/>
  <c r="AR186" i="15"/>
  <c r="AL187" i="15"/>
  <c r="AF188" i="15"/>
  <c r="Y182" i="15"/>
  <c r="S183" i="15"/>
  <c r="M184" i="15"/>
  <c r="G185" i="15"/>
  <c r="BS185" i="15"/>
  <c r="BM186" i="15"/>
  <c r="BG187" i="15"/>
  <c r="BA188" i="15"/>
  <c r="BR180" i="15"/>
  <c r="AF181" i="15"/>
  <c r="BL181" i="15"/>
  <c r="AL182" i="15"/>
  <c r="AF183" i="15"/>
  <c r="AD184" i="15"/>
  <c r="AV185" i="15"/>
  <c r="BJ186" i="15"/>
  <c r="F188" i="15"/>
  <c r="W182" i="15"/>
  <c r="AK183" i="15"/>
  <c r="BG184" i="15"/>
  <c r="AU186" i="15"/>
  <c r="AI188" i="15"/>
  <c r="BV189" i="15"/>
  <c r="BJ191" i="15"/>
  <c r="AX193" i="15"/>
  <c r="AL195" i="15"/>
  <c r="Z197" i="15"/>
  <c r="AW190" i="15"/>
  <c r="AK192" i="15"/>
  <c r="AY195" i="15"/>
  <c r="AD190" i="15"/>
  <c r="F194" i="15"/>
  <c r="AZ197" i="15"/>
  <c r="BK192" i="15"/>
  <c r="AM196" i="15"/>
  <c r="AN198" i="15"/>
  <c r="BM201" i="15"/>
  <c r="AD201" i="15"/>
  <c r="R206" i="15"/>
  <c r="G215" i="15"/>
  <c r="AY174" i="15"/>
  <c r="BO174" i="15"/>
  <c r="M175" i="15"/>
  <c r="AC175" i="15"/>
  <c r="AS175" i="15"/>
  <c r="BI175" i="15"/>
  <c r="G176" i="15"/>
  <c r="W176" i="15"/>
  <c r="AM176" i="15"/>
  <c r="BC176" i="15"/>
  <c r="BS176" i="15"/>
  <c r="Q177" i="15"/>
  <c r="AG177" i="15"/>
  <c r="AW177" i="15"/>
  <c r="BM177" i="15"/>
  <c r="K178" i="15"/>
  <c r="AA178" i="15"/>
  <c r="AQ178" i="15"/>
  <c r="BG178" i="15"/>
  <c r="E179" i="15"/>
  <c r="U179" i="15"/>
  <c r="AK179" i="15"/>
  <c r="BJ179" i="15"/>
  <c r="X180" i="15"/>
  <c r="G167" i="15"/>
  <c r="W167" i="15"/>
  <c r="AO167" i="15"/>
  <c r="BE167" i="15"/>
  <c r="E168" i="15"/>
  <c r="U168" i="15"/>
  <c r="AK168" i="15"/>
  <c r="BA168" i="15"/>
  <c r="BQ168" i="15"/>
  <c r="M169" i="15"/>
  <c r="U169" i="15"/>
  <c r="AC169" i="15"/>
  <c r="AK169" i="15"/>
  <c r="AX169" i="15"/>
  <c r="BN169" i="15"/>
  <c r="L170" i="15"/>
  <c r="AB170" i="15"/>
  <c r="AR170" i="15"/>
  <c r="BH170" i="15"/>
  <c r="F171" i="15"/>
  <c r="V171" i="15"/>
  <c r="AL171" i="15"/>
  <c r="BB171" i="15"/>
  <c r="BR171" i="15"/>
  <c r="P172" i="15"/>
  <c r="AF172" i="15"/>
  <c r="AV172" i="15"/>
  <c r="BL172" i="15"/>
  <c r="J173" i="15"/>
  <c r="Z173" i="15"/>
  <c r="AP173" i="15"/>
  <c r="BF173" i="15"/>
  <c r="BV173" i="15"/>
  <c r="T174" i="15"/>
  <c r="AJ174" i="15"/>
  <c r="AZ174" i="15"/>
  <c r="BP174" i="15"/>
  <c r="N175" i="15"/>
  <c r="AD175" i="15"/>
  <c r="AT175" i="15"/>
  <c r="BJ175" i="15"/>
  <c r="H176" i="15"/>
  <c r="X176" i="15"/>
  <c r="AN176" i="15"/>
  <c r="BD176" i="15"/>
  <c r="BT176" i="15"/>
  <c r="R177" i="15"/>
  <c r="AH177" i="15"/>
  <c r="AX177" i="15"/>
  <c r="BN177" i="15"/>
  <c r="L178" i="15"/>
  <c r="AB178" i="15"/>
  <c r="AR178" i="15"/>
  <c r="BH178" i="15"/>
  <c r="F179" i="15"/>
  <c r="V179" i="15"/>
  <c r="AL179" i="15"/>
  <c r="BL179" i="15"/>
  <c r="Z180" i="15"/>
  <c r="E167" i="15"/>
  <c r="U167" i="15"/>
  <c r="AI167" i="15"/>
  <c r="AY167" i="15"/>
  <c r="BM167" i="15"/>
  <c r="K168" i="15"/>
  <c r="AA168" i="15"/>
  <c r="AQ168" i="15"/>
  <c r="BG168" i="15"/>
  <c r="E169" i="15"/>
  <c r="AV169" i="15"/>
  <c r="BL169" i="15"/>
  <c r="J170" i="15"/>
  <c r="Z170" i="15"/>
  <c r="AP170" i="15"/>
  <c r="BF170" i="15"/>
  <c r="BV170" i="15"/>
  <c r="T171" i="15"/>
  <c r="AJ171" i="15"/>
  <c r="AZ171" i="15"/>
  <c r="BP171" i="15"/>
  <c r="N172" i="15"/>
  <c r="AD172" i="15"/>
  <c r="AT172" i="15"/>
  <c r="BJ172" i="15"/>
  <c r="H173" i="15"/>
  <c r="X173" i="15"/>
  <c r="AN173" i="15"/>
  <c r="BD173" i="15"/>
  <c r="BT173" i="15"/>
  <c r="R174" i="15"/>
  <c r="AH174" i="15"/>
  <c r="AX174" i="15"/>
  <c r="BM174" i="15"/>
  <c r="K175" i="15"/>
  <c r="AA175" i="15"/>
  <c r="AQ175" i="15"/>
  <c r="BG175" i="15"/>
  <c r="E176" i="15"/>
  <c r="U176" i="15"/>
  <c r="AK176" i="15"/>
  <c r="BA176" i="15"/>
  <c r="BQ176" i="15"/>
  <c r="O177" i="15"/>
  <c r="AE177" i="15"/>
  <c r="AU177" i="15"/>
  <c r="BK177" i="15"/>
  <c r="I178" i="15"/>
  <c r="Y178" i="15"/>
  <c r="AO178" i="15"/>
  <c r="BE178" i="15"/>
  <c r="BU178" i="15"/>
  <c r="S179" i="15"/>
  <c r="AI179" i="15"/>
  <c r="BF179" i="15"/>
  <c r="T180" i="15"/>
  <c r="AZ180" i="15"/>
  <c r="R167" i="15"/>
  <c r="AH167" i="15"/>
  <c r="AX167" i="15"/>
  <c r="BN167" i="15"/>
  <c r="N168" i="15"/>
  <c r="AD168" i="15"/>
  <c r="AV168" i="15"/>
  <c r="BL168" i="15"/>
  <c r="H169" i="15"/>
  <c r="R169" i="15"/>
  <c r="Z169" i="15"/>
  <c r="AH169" i="15"/>
  <c r="AT169" i="15"/>
  <c r="BJ169" i="15"/>
  <c r="H170" i="15"/>
  <c r="X170" i="15"/>
  <c r="BD170" i="15"/>
  <c r="R171" i="15"/>
  <c r="AX171" i="15"/>
  <c r="L172" i="15"/>
  <c r="AR172" i="15"/>
  <c r="F173" i="15"/>
  <c r="AQ173" i="15"/>
  <c r="AK174" i="15"/>
  <c r="AF175" i="15"/>
  <c r="Z176" i="15"/>
  <c r="T177" i="15"/>
  <c r="N178" i="15"/>
  <c r="H179" i="15"/>
  <c r="AD180" i="15"/>
  <c r="BQ179" i="15"/>
  <c r="AE180" i="15"/>
  <c r="BK180" i="15"/>
  <c r="Y181" i="15"/>
  <c r="BE181" i="15"/>
  <c r="T182" i="15"/>
  <c r="N183" i="15"/>
  <c r="H184" i="15"/>
  <c r="BT184" i="15"/>
  <c r="BN185" i="15"/>
  <c r="BH186" i="15"/>
  <c r="BB187" i="15"/>
  <c r="AV188" i="15"/>
  <c r="AO182" i="15"/>
  <c r="AI183" i="15"/>
  <c r="AC184" i="15"/>
  <c r="W185" i="15"/>
  <c r="Q186" i="15"/>
  <c r="K187" i="15"/>
  <c r="E188" i="15"/>
  <c r="BQ188" i="15"/>
  <c r="H181" i="15"/>
  <c r="AN181" i="15"/>
  <c r="BT181" i="15"/>
  <c r="BB182" i="15"/>
  <c r="AV183" i="15"/>
  <c r="BB184" i="15"/>
  <c r="BP185" i="15"/>
  <c r="L187" i="15"/>
  <c r="AD188" i="15"/>
  <c r="AQ182" i="15"/>
  <c r="BE183" i="15"/>
  <c r="U185" i="15"/>
  <c r="I187" i="15"/>
  <c r="BO188" i="15"/>
  <c r="AJ190" i="15"/>
  <c r="X192" i="15"/>
  <c r="L194" i="15"/>
  <c r="BR195" i="15"/>
  <c r="BF197" i="15"/>
  <c r="K191" i="15"/>
  <c r="BQ192" i="15"/>
  <c r="AS196" i="15"/>
  <c r="X191" i="15"/>
  <c r="BR194" i="15"/>
  <c r="K190" i="15"/>
  <c r="BE193" i="15"/>
  <c r="AK197" i="15"/>
  <c r="M198" i="15"/>
  <c r="BA203" i="15"/>
  <c r="BH204" i="15"/>
  <c r="G207" i="15"/>
  <c r="BL216" i="15"/>
  <c r="AF170" i="15"/>
  <c r="AV170" i="15"/>
  <c r="BL170" i="15"/>
  <c r="J171" i="15"/>
  <c r="Z171" i="15"/>
  <c r="AP171" i="15"/>
  <c r="BF171" i="15"/>
  <c r="BV171" i="15"/>
  <c r="T172" i="15"/>
  <c r="AJ172" i="15"/>
  <c r="AZ172" i="15"/>
  <c r="BP172" i="15"/>
  <c r="N173" i="15"/>
  <c r="AD173" i="15"/>
  <c r="AT173" i="15"/>
  <c r="BJ173" i="15"/>
  <c r="H174" i="15"/>
  <c r="X174" i="15"/>
  <c r="AN174" i="15"/>
  <c r="BD174" i="15"/>
  <c r="BV174" i="15"/>
  <c r="T175" i="15"/>
  <c r="AJ175" i="15"/>
  <c r="AZ175" i="15"/>
  <c r="BP175" i="15"/>
  <c r="N176" i="15"/>
  <c r="AD176" i="15"/>
  <c r="AT176" i="15"/>
  <c r="BJ176" i="15"/>
  <c r="H177" i="15"/>
  <c r="X177" i="15"/>
  <c r="AN177" i="15"/>
  <c r="BD177" i="15"/>
  <c r="BT177" i="15"/>
  <c r="R178" i="15"/>
  <c r="AH178" i="15"/>
  <c r="AX178" i="15"/>
  <c r="BN178" i="15"/>
  <c r="L179" i="15"/>
  <c r="AB179" i="15"/>
  <c r="AR179" i="15"/>
  <c r="F180" i="15"/>
  <c r="AL180" i="15"/>
  <c r="AU179" i="15"/>
  <c r="BC179" i="15"/>
  <c r="BK179" i="15"/>
  <c r="BS179" i="15"/>
  <c r="I180" i="15"/>
  <c r="Q180" i="15"/>
  <c r="Y180" i="15"/>
  <c r="AG180" i="15"/>
  <c r="AO180" i="15"/>
  <c r="AW180" i="15"/>
  <c r="BE180" i="15"/>
  <c r="BM180" i="15"/>
  <c r="BU180" i="15"/>
  <c r="K181" i="15"/>
  <c r="S181" i="15"/>
  <c r="AA181" i="15"/>
  <c r="AI181" i="15"/>
  <c r="AQ181" i="15"/>
  <c r="AY181" i="15"/>
  <c r="BG181" i="15"/>
  <c r="BO181" i="15"/>
  <c r="E182" i="15"/>
  <c r="M182" i="15"/>
  <c r="X182" i="15"/>
  <c r="AN182" i="15"/>
  <c r="BD182" i="15"/>
  <c r="BT182" i="15"/>
  <c r="R183" i="15"/>
  <c r="AH183" i="15"/>
  <c r="AX183" i="15"/>
  <c r="BN183" i="15"/>
  <c r="L184" i="15"/>
  <c r="AB184" i="15"/>
  <c r="AR184" i="15"/>
  <c r="BH184" i="15"/>
  <c r="F185" i="15"/>
  <c r="V185" i="15"/>
  <c r="AL185" i="15"/>
  <c r="BB185" i="15"/>
  <c r="BR185" i="15"/>
  <c r="P186" i="15"/>
  <c r="AF186" i="15"/>
  <c r="AV186" i="15"/>
  <c r="BL186" i="15"/>
  <c r="J187" i="15"/>
  <c r="Z187" i="15"/>
  <c r="AP187" i="15"/>
  <c r="BF187" i="15"/>
  <c r="BV187" i="15"/>
  <c r="T188" i="15"/>
  <c r="AJ188" i="15"/>
  <c r="AZ188" i="15"/>
  <c r="BP188" i="15"/>
  <c r="AA189" i="15"/>
  <c r="AC182" i="15"/>
  <c r="AS182" i="15"/>
  <c r="BI182" i="15"/>
  <c r="G183" i="15"/>
  <c r="W183" i="15"/>
  <c r="AM183" i="15"/>
  <c r="BC183" i="15"/>
  <c r="BS183" i="15"/>
  <c r="Q184" i="15"/>
  <c r="AG184" i="15"/>
  <c r="AW184" i="15"/>
  <c r="BM184" i="15"/>
  <c r="K185" i="15"/>
  <c r="AA185" i="15"/>
  <c r="AQ185" i="15"/>
  <c r="BG185" i="15"/>
  <c r="E186" i="15"/>
  <c r="U186" i="15"/>
  <c r="AK186" i="15"/>
  <c r="BA186" i="15"/>
  <c r="BQ186" i="15"/>
  <c r="O187" i="15"/>
  <c r="AE187" i="15"/>
  <c r="AU187" i="15"/>
  <c r="BK187" i="15"/>
  <c r="I188" i="15"/>
  <c r="Y188" i="15"/>
  <c r="AO188" i="15"/>
  <c r="BE188" i="15"/>
  <c r="E189" i="15"/>
  <c r="BD180" i="15"/>
  <c r="BL180" i="15"/>
  <c r="BT180" i="15"/>
  <c r="J181" i="15"/>
  <c r="R181" i="15"/>
  <c r="Z181" i="15"/>
  <c r="AH181" i="15"/>
  <c r="AP181" i="15"/>
  <c r="AX181" i="15"/>
  <c r="BF181" i="15"/>
  <c r="BN181" i="15"/>
  <c r="BV181" i="15"/>
  <c r="L182" i="15"/>
  <c r="Z182" i="15"/>
  <c r="AP182" i="15"/>
  <c r="BF182" i="15"/>
  <c r="BV182" i="15"/>
  <c r="T183" i="15"/>
  <c r="AJ183" i="15"/>
  <c r="AZ183" i="15"/>
  <c r="BP183" i="15"/>
  <c r="N184" i="15"/>
  <c r="AL184" i="15"/>
  <c r="BF184" i="15"/>
  <c r="H185" i="15"/>
  <c r="AF185" i="15"/>
  <c r="AZ185" i="15"/>
  <c r="BT185" i="15"/>
  <c r="Z186" i="15"/>
  <c r="AT186" i="15"/>
  <c r="BN186" i="15"/>
  <c r="T187" i="15"/>
  <c r="AN187" i="15"/>
  <c r="BH187" i="15"/>
  <c r="N188" i="15"/>
  <c r="AH188" i="15"/>
  <c r="BB188" i="15"/>
  <c r="O189" i="15"/>
  <c r="AA182" i="15"/>
  <c r="AU182" i="15"/>
  <c r="BS182" i="15"/>
  <c r="U183" i="15"/>
  <c r="AO183" i="15"/>
  <c r="BM183" i="15"/>
  <c r="O184" i="15"/>
  <c r="AI184" i="15"/>
  <c r="BO184" i="15"/>
  <c r="AC185" i="15"/>
  <c r="BI185" i="15"/>
  <c r="W186" i="15"/>
  <c r="BC186" i="15"/>
  <c r="Q187" i="15"/>
  <c r="AW187" i="15"/>
  <c r="K188" i="15"/>
  <c r="AQ188" i="15"/>
  <c r="I189" i="15"/>
  <c r="R189" i="15"/>
  <c r="AX189" i="15"/>
  <c r="L190" i="15"/>
  <c r="AR190" i="15"/>
  <c r="F191" i="15"/>
  <c r="AL191" i="15"/>
  <c r="BR191" i="15"/>
  <c r="AF192" i="15"/>
  <c r="BL192" i="15"/>
  <c r="Z193" i="15"/>
  <c r="BF193" i="15"/>
  <c r="T194" i="15"/>
  <c r="AZ194" i="15"/>
  <c r="N195" i="15"/>
  <c r="AT195" i="15"/>
  <c r="H196" i="15"/>
  <c r="AN196" i="15"/>
  <c r="BT196" i="15"/>
  <c r="AH197" i="15"/>
  <c r="BN197" i="15"/>
  <c r="BK189" i="15"/>
  <c r="Y190" i="15"/>
  <c r="BE190" i="15"/>
  <c r="S191" i="15"/>
  <c r="AY191" i="15"/>
  <c r="M192" i="15"/>
  <c r="AS192" i="15"/>
  <c r="O193" i="15"/>
  <c r="I194" i="15"/>
  <c r="BU194" i="15"/>
  <c r="BO195" i="15"/>
  <c r="BI196" i="15"/>
  <c r="BC197" i="15"/>
  <c r="AZ189" i="15"/>
  <c r="AT190" i="15"/>
  <c r="AN191" i="15"/>
  <c r="AH192" i="15"/>
  <c r="AB193" i="15"/>
  <c r="V194" i="15"/>
  <c r="P195" i="15"/>
  <c r="J196" i="15"/>
  <c r="BV196" i="15"/>
  <c r="BP197" i="15"/>
  <c r="AA190" i="15"/>
  <c r="U191" i="15"/>
  <c r="O192" i="15"/>
  <c r="I193" i="15"/>
  <c r="BU193" i="15"/>
  <c r="BO194" i="15"/>
  <c r="BI195" i="15"/>
  <c r="BC196" i="15"/>
  <c r="BE197" i="15"/>
  <c r="AJ199" i="15"/>
  <c r="M199" i="15"/>
  <c r="BT198" i="15"/>
  <c r="AS198" i="15"/>
  <c r="Q200" i="15"/>
  <c r="K201" i="15"/>
  <c r="AA202" i="15"/>
  <c r="O204" i="15"/>
  <c r="AZ202" i="15"/>
  <c r="O205" i="15"/>
  <c r="BS201" i="15"/>
  <c r="Z202" i="15"/>
  <c r="AW205" i="15"/>
  <c r="AJ206" i="15"/>
  <c r="M207" i="15"/>
  <c r="BQ207" i="15"/>
  <c r="BG207" i="15"/>
  <c r="AF209" i="15"/>
  <c r="BC214" i="15"/>
  <c r="AP219" i="15"/>
  <c r="AK170" i="15"/>
  <c r="BA170" i="15"/>
  <c r="BQ170" i="15"/>
  <c r="O171" i="15"/>
  <c r="AE171" i="15"/>
  <c r="AU171" i="15"/>
  <c r="BK171" i="15"/>
  <c r="I172" i="15"/>
  <c r="Y172" i="15"/>
  <c r="AO172" i="15"/>
  <c r="BE172" i="15"/>
  <c r="BU172" i="15"/>
  <c r="S173" i="15"/>
  <c r="AI173" i="15"/>
  <c r="AY173" i="15"/>
  <c r="BO173" i="15"/>
  <c r="M174" i="15"/>
  <c r="AC174" i="15"/>
  <c r="AS174" i="15"/>
  <c r="BJ174" i="15"/>
  <c r="H175" i="15"/>
  <c r="X175" i="15"/>
  <c r="AN175" i="15"/>
  <c r="BD175" i="15"/>
  <c r="BT175" i="15"/>
  <c r="R176" i="15"/>
  <c r="AH176" i="15"/>
  <c r="AX176" i="15"/>
  <c r="BN176" i="15"/>
  <c r="L177" i="15"/>
  <c r="AB177" i="15"/>
  <c r="AR177" i="15"/>
  <c r="BH177" i="15"/>
  <c r="F178" i="15"/>
  <c r="V178" i="15"/>
  <c r="AL178" i="15"/>
  <c r="BB178" i="15"/>
  <c r="BR178" i="15"/>
  <c r="P179" i="15"/>
  <c r="AF179" i="15"/>
  <c r="AZ179" i="15"/>
  <c r="N180" i="15"/>
  <c r="AT180" i="15"/>
  <c r="AW179" i="15"/>
  <c r="BE179" i="15"/>
  <c r="BM179" i="15"/>
  <c r="BU179" i="15"/>
  <c r="K180" i="15"/>
  <c r="S180" i="15"/>
  <c r="AA180" i="15"/>
  <c r="AI180" i="15"/>
  <c r="AQ180" i="15"/>
  <c r="AY180" i="15"/>
  <c r="BG180" i="15"/>
  <c r="BO180" i="15"/>
  <c r="E181" i="15"/>
  <c r="M181" i="15"/>
  <c r="U181" i="15"/>
  <c r="AC181" i="15"/>
  <c r="AK181" i="15"/>
  <c r="AS181" i="15"/>
  <c r="BA181" i="15"/>
  <c r="BI181" i="15"/>
  <c r="BQ181" i="15"/>
  <c r="G182" i="15"/>
  <c r="O182" i="15"/>
  <c r="AB182" i="15"/>
  <c r="AR182" i="15"/>
  <c r="BH182" i="15"/>
  <c r="F183" i="15"/>
  <c r="V183" i="15"/>
  <c r="AL183" i="15"/>
  <c r="BB183" i="15"/>
  <c r="BR183" i="15"/>
  <c r="P184" i="15"/>
  <c r="AF184" i="15"/>
  <c r="AV184" i="15"/>
  <c r="BL184" i="15"/>
  <c r="J185" i="15"/>
  <c r="Z185" i="15"/>
  <c r="AP185" i="15"/>
  <c r="BF185" i="15"/>
  <c r="BV185" i="15"/>
  <c r="T186" i="15"/>
  <c r="AJ186" i="15"/>
  <c r="AZ186" i="15"/>
  <c r="BP186" i="15"/>
  <c r="N187" i="15"/>
  <c r="AD187" i="15"/>
  <c r="AT187" i="15"/>
  <c r="BJ187" i="15"/>
  <c r="H188" i="15"/>
  <c r="X188" i="15"/>
  <c r="AN188" i="15"/>
  <c r="BD188" i="15"/>
  <c r="BU188" i="15"/>
  <c r="R182" i="15"/>
  <c r="AG182" i="15"/>
  <c r="AW182" i="15"/>
  <c r="BM182" i="15"/>
  <c r="K183" i="15"/>
  <c r="AA183" i="15"/>
  <c r="AQ183" i="15"/>
  <c r="BG183" i="15"/>
  <c r="E184" i="15"/>
  <c r="U184" i="15"/>
  <c r="AK184" i="15"/>
  <c r="BA184" i="15"/>
  <c r="BQ184" i="15"/>
  <c r="O185" i="15"/>
  <c r="AE185" i="15"/>
  <c r="AU185" i="15"/>
  <c r="BK185" i="15"/>
  <c r="I186" i="15"/>
  <c r="Y186" i="15"/>
  <c r="AO186" i="15"/>
  <c r="BE186" i="15"/>
  <c r="BU186" i="15"/>
  <c r="S187" i="15"/>
  <c r="AI187" i="15"/>
  <c r="AY187" i="15"/>
  <c r="BO187" i="15"/>
  <c r="M188" i="15"/>
  <c r="AC188" i="15"/>
  <c r="AS188" i="15"/>
  <c r="BI188" i="15"/>
  <c r="M189" i="15"/>
  <c r="BF180" i="15"/>
  <c r="BN180" i="15"/>
  <c r="BV180" i="15"/>
  <c r="L181" i="15"/>
  <c r="T181" i="15"/>
  <c r="AB181" i="15"/>
  <c r="AJ181" i="15"/>
  <c r="AR181" i="15"/>
  <c r="AZ181" i="15"/>
  <c r="BH181" i="15"/>
  <c r="BP181" i="15"/>
  <c r="F182" i="15"/>
  <c r="N182" i="15"/>
  <c r="AD182" i="15"/>
  <c r="AT182" i="15"/>
  <c r="BJ182" i="15"/>
  <c r="H183" i="15"/>
  <c r="X183" i="15"/>
  <c r="AN183" i="15"/>
  <c r="BD183" i="15"/>
  <c r="BT183" i="15"/>
  <c r="V184" i="15"/>
  <c r="AP184" i="15"/>
  <c r="BJ184" i="15"/>
  <c r="P185" i="15"/>
  <c r="AJ185" i="15"/>
  <c r="BD185" i="15"/>
  <c r="J186" i="15"/>
  <c r="AD186" i="15"/>
  <c r="AX186" i="15"/>
  <c r="BV186" i="15"/>
  <c r="X187" i="15"/>
  <c r="AR187" i="15"/>
  <c r="BP187" i="15"/>
  <c r="R188" i="15"/>
  <c r="AL188" i="15"/>
  <c r="BJ188" i="15"/>
  <c r="W189" i="15"/>
  <c r="AE182" i="15"/>
  <c r="BC182" i="15"/>
  <c r="E183" i="15"/>
  <c r="Y183" i="15"/>
  <c r="AW183" i="15"/>
  <c r="BQ183" i="15"/>
  <c r="S184" i="15"/>
  <c r="AQ184" i="15"/>
  <c r="E185" i="15"/>
  <c r="AK185" i="15"/>
  <c r="BQ185" i="15"/>
  <c r="AE186" i="15"/>
  <c r="BK186" i="15"/>
  <c r="Y187" i="15"/>
  <c r="BE187" i="15"/>
  <c r="S188" i="15"/>
  <c r="AY188" i="15"/>
  <c r="Y189" i="15"/>
  <c r="Z189" i="15"/>
  <c r="BF189" i="15"/>
  <c r="T190" i="15"/>
  <c r="AZ190" i="15"/>
  <c r="N191" i="15"/>
  <c r="AT191" i="15"/>
  <c r="H192" i="15"/>
  <c r="AN192" i="15"/>
  <c r="BT192" i="15"/>
  <c r="AH193" i="15"/>
  <c r="BN193" i="15"/>
  <c r="AB194" i="15"/>
  <c r="BH194" i="15"/>
  <c r="V195" i="15"/>
  <c r="BB195" i="15"/>
  <c r="P196" i="15"/>
  <c r="AV196" i="15"/>
  <c r="J197" i="15"/>
  <c r="AP197" i="15"/>
  <c r="AM189" i="15"/>
  <c r="BS189" i="15"/>
  <c r="AG190" i="15"/>
  <c r="BM190" i="15"/>
  <c r="AA191" i="15"/>
  <c r="BG191" i="15"/>
  <c r="U192" i="15"/>
  <c r="BA192" i="15"/>
  <c r="AE193" i="15"/>
  <c r="Y194" i="15"/>
  <c r="S195" i="15"/>
  <c r="M196" i="15"/>
  <c r="G197" i="15"/>
  <c r="BV188" i="15"/>
  <c r="BP189" i="15"/>
  <c r="BJ190" i="15"/>
  <c r="BD191" i="15"/>
  <c r="AX192" i="15"/>
  <c r="AR193" i="15"/>
  <c r="AL194" i="15"/>
  <c r="AF195" i="15"/>
  <c r="Z196" i="15"/>
  <c r="T197" i="15"/>
  <c r="AW189" i="15"/>
  <c r="AQ190" i="15"/>
  <c r="AK191" i="15"/>
  <c r="AE192" i="15"/>
  <c r="Y193" i="15"/>
  <c r="S194" i="15"/>
  <c r="M195" i="15"/>
  <c r="G196" i="15"/>
  <c r="BS196" i="15"/>
  <c r="N198" i="15"/>
  <c r="BP199" i="15"/>
  <c r="AS199" i="15"/>
  <c r="AH199" i="15"/>
  <c r="G199" i="15"/>
  <c r="AG200" i="15"/>
  <c r="AA201" i="15"/>
  <c r="BG202" i="15"/>
  <c r="AU204" i="15"/>
  <c r="N203" i="15"/>
  <c r="AJ200" i="15"/>
  <c r="BM202" i="15"/>
  <c r="T203" i="15"/>
  <c r="AQ206" i="15"/>
  <c r="P208" i="15"/>
  <c r="AL208" i="15"/>
  <c r="BK208" i="15"/>
  <c r="G209" i="15"/>
  <c r="P210" i="15"/>
  <c r="BB212" i="15"/>
  <c r="I220" i="15"/>
  <c r="AL173" i="15"/>
  <c r="BB173" i="15"/>
  <c r="BR173" i="15"/>
  <c r="P174" i="15"/>
  <c r="AF174" i="15"/>
  <c r="AV174" i="15"/>
  <c r="BN174" i="15"/>
  <c r="L175" i="15"/>
  <c r="AB175" i="15"/>
  <c r="AR175" i="15"/>
  <c r="BH175" i="15"/>
  <c r="F176" i="15"/>
  <c r="V176" i="15"/>
  <c r="AL176" i="15"/>
  <c r="BB176" i="15"/>
  <c r="BR176" i="15"/>
  <c r="P177" i="15"/>
  <c r="AF177" i="15"/>
  <c r="AV177" i="15"/>
  <c r="BL177" i="15"/>
  <c r="J178" i="15"/>
  <c r="Z178" i="15"/>
  <c r="AP178" i="15"/>
  <c r="BF178" i="15"/>
  <c r="BV178" i="15"/>
  <c r="T179" i="15"/>
  <c r="AJ179" i="15"/>
  <c r="BH179" i="15"/>
  <c r="V180" i="15"/>
  <c r="BB180" i="15"/>
  <c r="AY179" i="15"/>
  <c r="BG179" i="15"/>
  <c r="BO179" i="15"/>
  <c r="E180" i="15"/>
  <c r="M180" i="15"/>
  <c r="U180" i="15"/>
  <c r="AC180" i="15"/>
  <c r="AK180" i="15"/>
  <c r="AS180" i="15"/>
  <c r="BA180" i="15"/>
  <c r="BI180" i="15"/>
  <c r="BQ180" i="15"/>
  <c r="G181" i="15"/>
  <c r="O181" i="15"/>
  <c r="W181" i="15"/>
  <c r="AE181" i="15"/>
  <c r="AM181" i="15"/>
  <c r="AU181" i="15"/>
  <c r="BC181" i="15"/>
  <c r="BK181" i="15"/>
  <c r="BS181" i="15"/>
  <c r="I182" i="15"/>
  <c r="Q182" i="15"/>
  <c r="AF182" i="15"/>
  <c r="AV182" i="15"/>
  <c r="BL182" i="15"/>
  <c r="J183" i="15"/>
  <c r="Z183" i="15"/>
  <c r="AP183" i="15"/>
  <c r="BF183" i="15"/>
  <c r="BV183" i="15"/>
  <c r="T184" i="15"/>
  <c r="AJ184" i="15"/>
  <c r="AZ184" i="15"/>
  <c r="BP184" i="15"/>
  <c r="N185" i="15"/>
  <c r="AD185" i="15"/>
  <c r="AT185" i="15"/>
  <c r="BJ185" i="15"/>
  <c r="H186" i="15"/>
  <c r="X186" i="15"/>
  <c r="AN186" i="15"/>
  <c r="BD186" i="15"/>
  <c r="BT186" i="15"/>
  <c r="R187" i="15"/>
  <c r="AH187" i="15"/>
  <c r="AX187" i="15"/>
  <c r="BN187" i="15"/>
  <c r="L188" i="15"/>
  <c r="AB188" i="15"/>
  <c r="AR188" i="15"/>
  <c r="BH188" i="15"/>
  <c r="K189" i="15"/>
  <c r="U182" i="15"/>
  <c r="AK182" i="15"/>
  <c r="BA182" i="15"/>
  <c r="BQ182" i="15"/>
  <c r="O183" i="15"/>
  <c r="AE183" i="15"/>
  <c r="AU183" i="15"/>
  <c r="BK183" i="15"/>
  <c r="I184" i="15"/>
  <c r="Y184" i="15"/>
  <c r="AO184" i="15"/>
  <c r="BE184" i="15"/>
  <c r="BU184" i="15"/>
  <c r="S185" i="15"/>
  <c r="AI185" i="15"/>
  <c r="AY185" i="15"/>
  <c r="BO185" i="15"/>
  <c r="M186" i="15"/>
  <c r="AC186" i="15"/>
  <c r="AS186" i="15"/>
  <c r="BI186" i="15"/>
  <c r="G187" i="15"/>
  <c r="W187" i="15"/>
  <c r="AM187" i="15"/>
  <c r="BC187" i="15"/>
  <c r="BS187" i="15"/>
  <c r="Q188" i="15"/>
  <c r="AG188" i="15"/>
  <c r="AW188" i="15"/>
  <c r="BM188" i="15"/>
  <c r="U189" i="15"/>
  <c r="BH180" i="15"/>
  <c r="BP180" i="15"/>
  <c r="F181" i="15"/>
  <c r="N181" i="15"/>
  <c r="V181" i="15"/>
  <c r="AD181" i="15"/>
  <c r="AL181" i="15"/>
  <c r="AT181" i="15"/>
  <c r="BB181" i="15"/>
  <c r="BJ181" i="15"/>
  <c r="BR181" i="15"/>
  <c r="H182" i="15"/>
  <c r="P182" i="15"/>
  <c r="AH182" i="15"/>
  <c r="AX182" i="15"/>
  <c r="BN182" i="15"/>
  <c r="L183" i="15"/>
  <c r="AB183" i="15"/>
  <c r="AR183" i="15"/>
  <c r="BH183" i="15"/>
  <c r="F184" i="15"/>
  <c r="Z184" i="15"/>
  <c r="AT184" i="15"/>
  <c r="BR184" i="15"/>
  <c r="T185" i="15"/>
  <c r="AN185" i="15"/>
  <c r="BL185" i="15"/>
  <c r="N186" i="15"/>
  <c r="AH186" i="15"/>
  <c r="BF186" i="15"/>
  <c r="H187" i="15"/>
  <c r="AB187" i="15"/>
  <c r="AZ187" i="15"/>
  <c r="BT187" i="15"/>
  <c r="V188" i="15"/>
  <c r="AT188" i="15"/>
  <c r="BN188" i="15"/>
  <c r="AE189" i="15"/>
  <c r="AM182" i="15"/>
  <c r="BG182" i="15"/>
  <c r="I183" i="15"/>
  <c r="AG183" i="15"/>
  <c r="BA183" i="15"/>
  <c r="BU183" i="15"/>
  <c r="AA184" i="15"/>
  <c r="AY184" i="15"/>
  <c r="M185" i="15"/>
  <c r="AS185" i="15"/>
  <c r="G186" i="15"/>
  <c r="AM186" i="15"/>
  <c r="BS186" i="15"/>
  <c r="AG187" i="15"/>
  <c r="BM187" i="15"/>
  <c r="AA188" i="15"/>
  <c r="BG188" i="15"/>
  <c r="BT188" i="15"/>
  <c r="AH189" i="15"/>
  <c r="BN189" i="15"/>
  <c r="AB190" i="15"/>
  <c r="BH190" i="15"/>
  <c r="V191" i="15"/>
  <c r="BB191" i="15"/>
  <c r="P192" i="15"/>
  <c r="AV192" i="15"/>
  <c r="J193" i="15"/>
  <c r="AP193" i="15"/>
  <c r="BV193" i="15"/>
  <c r="AJ194" i="15"/>
  <c r="BP194" i="15"/>
  <c r="AD195" i="15"/>
  <c r="BJ195" i="15"/>
  <c r="X196" i="15"/>
  <c r="BD196" i="15"/>
  <c r="R197" i="15"/>
  <c r="AX197" i="15"/>
  <c r="AU189" i="15"/>
  <c r="I190" i="15"/>
  <c r="AO190" i="15"/>
  <c r="BU190" i="15"/>
  <c r="AI191" i="15"/>
  <c r="BO191" i="15"/>
  <c r="AC192" i="15"/>
  <c r="BI192" i="15"/>
  <c r="AU193" i="15"/>
  <c r="AO194" i="15"/>
  <c r="AI195" i="15"/>
  <c r="AC196" i="15"/>
  <c r="W197" i="15"/>
  <c r="T189" i="15"/>
  <c r="N190" i="15"/>
  <c r="H191" i="15"/>
  <c r="BT191" i="15"/>
  <c r="BN192" i="15"/>
  <c r="BH193" i="15"/>
  <c r="BB194" i="15"/>
  <c r="AV195" i="15"/>
  <c r="AP196" i="15"/>
  <c r="AJ197" i="15"/>
  <c r="BM189" i="15"/>
  <c r="BG190" i="15"/>
  <c r="BA191" i="15"/>
  <c r="AU192" i="15"/>
  <c r="AO193" i="15"/>
  <c r="AI194" i="15"/>
  <c r="AC195" i="15"/>
  <c r="W196" i="15"/>
  <c r="Q197" i="15"/>
  <c r="AP198" i="15"/>
  <c r="S198" i="15"/>
  <c r="H198" i="15"/>
  <c r="BN199" i="15"/>
  <c r="AM199" i="15"/>
  <c r="AW200" i="15"/>
  <c r="AQ201" i="15"/>
  <c r="U203" i="15"/>
  <c r="BF201" i="15"/>
  <c r="AT203" i="15"/>
  <c r="BP200" i="15"/>
  <c r="BG203" i="15"/>
  <c r="N204" i="15"/>
  <c r="AI207" i="15"/>
  <c r="X205" i="15"/>
  <c r="M206" i="15"/>
  <c r="BE209" i="15"/>
  <c r="AR210" i="15"/>
  <c r="W212" i="15"/>
  <c r="BD215" i="15"/>
  <c r="AR225" i="15"/>
  <c r="AU184" i="15"/>
  <c r="BK184" i="15"/>
  <c r="I185" i="15"/>
  <c r="Y185" i="15"/>
  <c r="AO185" i="15"/>
  <c r="BE185" i="15"/>
  <c r="BU185" i="15"/>
  <c r="S186" i="15"/>
  <c r="AI186" i="15"/>
  <c r="AY186" i="15"/>
  <c r="BO186" i="15"/>
  <c r="M187" i="15"/>
  <c r="AC187" i="15"/>
  <c r="AS187" i="15"/>
  <c r="BI187" i="15"/>
  <c r="G188" i="15"/>
  <c r="W188" i="15"/>
  <c r="AM188" i="15"/>
  <c r="BC188" i="15"/>
  <c r="BS188" i="15"/>
  <c r="AG189" i="15"/>
  <c r="N189" i="15"/>
  <c r="AD189" i="15"/>
  <c r="AT189" i="15"/>
  <c r="BJ189" i="15"/>
  <c r="H190" i="15"/>
  <c r="X190" i="15"/>
  <c r="AN190" i="15"/>
  <c r="BD190" i="15"/>
  <c r="BT190" i="15"/>
  <c r="R191" i="15"/>
  <c r="AH191" i="15"/>
  <c r="AX191" i="15"/>
  <c r="BN191" i="15"/>
  <c r="L192" i="15"/>
  <c r="AB192" i="15"/>
  <c r="AR192" i="15"/>
  <c r="BH192" i="15"/>
  <c r="F193" i="15"/>
  <c r="V193" i="15"/>
  <c r="AL193" i="15"/>
  <c r="BB193" i="15"/>
  <c r="BR193" i="15"/>
  <c r="P194" i="15"/>
  <c r="AF194" i="15"/>
  <c r="AV194" i="15"/>
  <c r="BL194" i="15"/>
  <c r="J195" i="15"/>
  <c r="Z195" i="15"/>
  <c r="AP195" i="15"/>
  <c r="BF195" i="15"/>
  <c r="BV195" i="15"/>
  <c r="T196" i="15"/>
  <c r="AJ196" i="15"/>
  <c r="AZ196" i="15"/>
  <c r="BP196" i="15"/>
  <c r="N197" i="15"/>
  <c r="AD197" i="15"/>
  <c r="AT197" i="15"/>
  <c r="BJ197" i="15"/>
  <c r="AQ189" i="15"/>
  <c r="BG189" i="15"/>
  <c r="E190" i="15"/>
  <c r="U190" i="15"/>
  <c r="AK190" i="15"/>
  <c r="BA190" i="15"/>
  <c r="BQ190" i="15"/>
  <c r="O191" i="15"/>
  <c r="AE191" i="15"/>
  <c r="AU191" i="15"/>
  <c r="BK191" i="15"/>
  <c r="I192" i="15"/>
  <c r="Y192" i="15"/>
  <c r="AO192" i="15"/>
  <c r="BE192" i="15"/>
  <c r="BU192" i="15"/>
  <c r="S193" i="15"/>
  <c r="AI193" i="15"/>
  <c r="AY193" i="15"/>
  <c r="BO193" i="15"/>
  <c r="M194" i="15"/>
  <c r="AC194" i="15"/>
  <c r="AS194" i="15"/>
  <c r="BI194" i="15"/>
  <c r="G195" i="15"/>
  <c r="W195" i="15"/>
  <c r="AM195" i="15"/>
  <c r="BC195" i="15"/>
  <c r="BS195" i="15"/>
  <c r="Q196" i="15"/>
  <c r="AG196" i="15"/>
  <c r="AW196" i="15"/>
  <c r="BM196" i="15"/>
  <c r="K197" i="15"/>
  <c r="AA197" i="15"/>
  <c r="AQ197" i="15"/>
  <c r="BG197" i="15"/>
  <c r="H189" i="15"/>
  <c r="X189" i="15"/>
  <c r="AN189" i="15"/>
  <c r="BD189" i="15"/>
  <c r="BT189" i="15"/>
  <c r="R190" i="15"/>
  <c r="AH190" i="15"/>
  <c r="AX190" i="15"/>
  <c r="BN190" i="15"/>
  <c r="L191" i="15"/>
  <c r="AB191" i="15"/>
  <c r="AR191" i="15"/>
  <c r="BH191" i="15"/>
  <c r="F192" i="15"/>
  <c r="V192" i="15"/>
  <c r="AL192" i="15"/>
  <c r="BB192" i="15"/>
  <c r="BR192" i="15"/>
  <c r="P193" i="15"/>
  <c r="AF193" i="15"/>
  <c r="AV193" i="15"/>
  <c r="BL193" i="15"/>
  <c r="J194" i="15"/>
  <c r="Z194" i="15"/>
  <c r="AP194" i="15"/>
  <c r="BF194" i="15"/>
  <c r="BV194" i="15"/>
  <c r="T195" i="15"/>
  <c r="AJ195" i="15"/>
  <c r="AZ195" i="15"/>
  <c r="BP195" i="15"/>
  <c r="N196" i="15"/>
  <c r="AD196" i="15"/>
  <c r="AT196" i="15"/>
  <c r="BJ196" i="15"/>
  <c r="H197" i="15"/>
  <c r="X197" i="15"/>
  <c r="AN197" i="15"/>
  <c r="BD197" i="15"/>
  <c r="AK189" i="15"/>
  <c r="BA189" i="15"/>
  <c r="BQ189" i="15"/>
  <c r="O190" i="15"/>
  <c r="AE190" i="15"/>
  <c r="AU190" i="15"/>
  <c r="BK190" i="15"/>
  <c r="I191" i="15"/>
  <c r="Y191" i="15"/>
  <c r="AO191" i="15"/>
  <c r="BE191" i="15"/>
  <c r="BU191" i="15"/>
  <c r="S192" i="15"/>
  <c r="AI192" i="15"/>
  <c r="AY192" i="15"/>
  <c r="BO192" i="15"/>
  <c r="M193" i="15"/>
  <c r="AC193" i="15"/>
  <c r="AS193" i="15"/>
  <c r="BI193" i="15"/>
  <c r="G194" i="15"/>
  <c r="W194" i="15"/>
  <c r="AM194" i="15"/>
  <c r="BC194" i="15"/>
  <c r="BS194" i="15"/>
  <c r="Q195" i="15"/>
  <c r="AG195" i="15"/>
  <c r="AW195" i="15"/>
  <c r="BM195" i="15"/>
  <c r="K196" i="15"/>
  <c r="AA196" i="15"/>
  <c r="AQ196" i="15"/>
  <c r="BG196" i="15"/>
  <c r="E197" i="15"/>
  <c r="U197" i="15"/>
  <c r="AO197" i="15"/>
  <c r="BI197" i="15"/>
  <c r="V198" i="15"/>
  <c r="BB198" i="15"/>
  <c r="P199" i="15"/>
  <c r="AV199" i="15"/>
  <c r="BU197" i="15"/>
  <c r="AE198" i="15"/>
  <c r="BK198" i="15"/>
  <c r="Y199" i="15"/>
  <c r="BE199" i="15"/>
  <c r="T198" i="15"/>
  <c r="AZ198" i="15"/>
  <c r="N199" i="15"/>
  <c r="AT199" i="15"/>
  <c r="BR197" i="15"/>
  <c r="Y198" i="15"/>
  <c r="BE198" i="15"/>
  <c r="S199" i="15"/>
  <c r="AY199" i="15"/>
  <c r="G200" i="15"/>
  <c r="W200" i="15"/>
  <c r="AM200" i="15"/>
  <c r="BC200" i="15"/>
  <c r="BS200" i="15"/>
  <c r="Q201" i="15"/>
  <c r="AG201" i="15"/>
  <c r="AW201" i="15"/>
  <c r="G202" i="15"/>
  <c r="AM202" i="15"/>
  <c r="BS202" i="15"/>
  <c r="AG203" i="15"/>
  <c r="BM203" i="15"/>
  <c r="AA204" i="15"/>
  <c r="BP204" i="15"/>
  <c r="BR201" i="15"/>
  <c r="AF202" i="15"/>
  <c r="BL202" i="15"/>
  <c r="Z203" i="15"/>
  <c r="BF203" i="15"/>
  <c r="T204" i="15"/>
  <c r="L200" i="15"/>
  <c r="AR200" i="15"/>
  <c r="F201" i="15"/>
  <c r="AL201" i="15"/>
  <c r="Q202" i="15"/>
  <c r="K203" i="15"/>
  <c r="E204" i="15"/>
  <c r="V205" i="15"/>
  <c r="AP202" i="15"/>
  <c r="AJ203" i="15"/>
  <c r="AD204" i="15"/>
  <c r="BS204" i="15"/>
  <c r="BM205" i="15"/>
  <c r="BG206" i="15"/>
  <c r="AZ207" i="15"/>
  <c r="BF205" i="15"/>
  <c r="AZ206" i="15"/>
  <c r="AV208" i="15"/>
  <c r="AN205" i="15"/>
  <c r="AH206" i="15"/>
  <c r="AC207" i="15"/>
  <c r="AI205" i="15"/>
  <c r="AC206" i="15"/>
  <c r="H208" i="15"/>
  <c r="O208" i="15"/>
  <c r="I209" i="15"/>
  <c r="F210" i="15"/>
  <c r="V207" i="15"/>
  <c r="M208" i="15"/>
  <c r="AB209" i="15"/>
  <c r="V211" i="15"/>
  <c r="AS210" i="15"/>
  <c r="BG209" i="15"/>
  <c r="AQ210" i="15"/>
  <c r="BP212" i="15"/>
  <c r="BR210" i="15"/>
  <c r="AI212" i="15"/>
  <c r="BR213" i="15"/>
  <c r="AE216" i="15"/>
  <c r="AV218" i="15"/>
  <c r="AT218" i="15"/>
  <c r="AL220" i="15"/>
  <c r="BK224" i="15"/>
  <c r="G193" i="15"/>
  <c r="W193" i="15"/>
  <c r="AM193" i="15"/>
  <c r="BC193" i="15"/>
  <c r="BS193" i="15"/>
  <c r="Q194" i="15"/>
  <c r="AG194" i="15"/>
  <c r="AW194" i="15"/>
  <c r="BM194" i="15"/>
  <c r="K195" i="15"/>
  <c r="AA195" i="15"/>
  <c r="AQ195" i="15"/>
  <c r="BG195" i="15"/>
  <c r="E196" i="15"/>
  <c r="U196" i="15"/>
  <c r="AK196" i="15"/>
  <c r="BA196" i="15"/>
  <c r="BQ196" i="15"/>
  <c r="O197" i="15"/>
  <c r="AE197" i="15"/>
  <c r="AU197" i="15"/>
  <c r="BK197" i="15"/>
  <c r="L189" i="15"/>
  <c r="AB189" i="15"/>
  <c r="AR189" i="15"/>
  <c r="BH189" i="15"/>
  <c r="F190" i="15"/>
  <c r="V190" i="15"/>
  <c r="AL190" i="15"/>
  <c r="BB190" i="15"/>
  <c r="BR190" i="15"/>
  <c r="P191" i="15"/>
  <c r="AF191" i="15"/>
  <c r="AV191" i="15"/>
  <c r="BL191" i="15"/>
  <c r="J192" i="15"/>
  <c r="Z192" i="15"/>
  <c r="AP192" i="15"/>
  <c r="BF192" i="15"/>
  <c r="BV192" i="15"/>
  <c r="T193" i="15"/>
  <c r="AJ193" i="15"/>
  <c r="AZ193" i="15"/>
  <c r="BP193" i="15"/>
  <c r="N194" i="15"/>
  <c r="AD194" i="15"/>
  <c r="AT194" i="15"/>
  <c r="BJ194" i="15"/>
  <c r="H195" i="15"/>
  <c r="X195" i="15"/>
  <c r="AN195" i="15"/>
  <c r="BD195" i="15"/>
  <c r="BT195" i="15"/>
  <c r="R196" i="15"/>
  <c r="AH196" i="15"/>
  <c r="AX196" i="15"/>
  <c r="BN196" i="15"/>
  <c r="L197" i="15"/>
  <c r="AB197" i="15"/>
  <c r="AR197" i="15"/>
  <c r="BH197" i="15"/>
  <c r="AO189" i="15"/>
  <c r="BE189" i="15"/>
  <c r="BU189" i="15"/>
  <c r="S190" i="15"/>
  <c r="AI190" i="15"/>
  <c r="AY190" i="15"/>
  <c r="BO190" i="15"/>
  <c r="M191" i="15"/>
  <c r="AC191" i="15"/>
  <c r="AS191" i="15"/>
  <c r="BI191" i="15"/>
  <c r="G192" i="15"/>
  <c r="W192" i="15"/>
  <c r="AM192" i="15"/>
  <c r="BC192" i="15"/>
  <c r="BS192" i="15"/>
  <c r="Q193" i="15"/>
  <c r="AG193" i="15"/>
  <c r="AW193" i="15"/>
  <c r="BM193" i="15"/>
  <c r="K194" i="15"/>
  <c r="AA194" i="15"/>
  <c r="AQ194" i="15"/>
  <c r="BG194" i="15"/>
  <c r="E195" i="15"/>
  <c r="U195" i="15"/>
  <c r="AK195" i="15"/>
  <c r="BA195" i="15"/>
  <c r="BQ195" i="15"/>
  <c r="O196" i="15"/>
  <c r="AE196" i="15"/>
  <c r="AU196" i="15"/>
  <c r="BK196" i="15"/>
  <c r="I197" i="15"/>
  <c r="Y197" i="15"/>
  <c r="AS197" i="15"/>
  <c r="BQ197" i="15"/>
  <c r="Z198" i="15"/>
  <c r="BF198" i="15"/>
  <c r="T199" i="15"/>
  <c r="AZ199" i="15"/>
  <c r="E198" i="15"/>
  <c r="AI198" i="15"/>
  <c r="BO198" i="15"/>
  <c r="AC199" i="15"/>
  <c r="BI199" i="15"/>
  <c r="X198" i="15"/>
  <c r="BD198" i="15"/>
  <c r="R199" i="15"/>
  <c r="AX199" i="15"/>
  <c r="BT197" i="15"/>
  <c r="AC198" i="15"/>
  <c r="BI198" i="15"/>
  <c r="W199" i="15"/>
  <c r="BC199" i="15"/>
  <c r="I200" i="15"/>
  <c r="Y200" i="15"/>
  <c r="AO200" i="15"/>
  <c r="BE200" i="15"/>
  <c r="BU200" i="15"/>
  <c r="S201" i="15"/>
  <c r="AI201" i="15"/>
  <c r="AY201" i="15"/>
  <c r="K202" i="15"/>
  <c r="AQ202" i="15"/>
  <c r="E203" i="15"/>
  <c r="AK203" i="15"/>
  <c r="BQ203" i="15"/>
  <c r="AE204" i="15"/>
  <c r="BU204" i="15"/>
  <c r="BV201" i="15"/>
  <c r="AJ202" i="15"/>
  <c r="BP202" i="15"/>
  <c r="AD203" i="15"/>
  <c r="BJ203" i="15"/>
  <c r="AJ204" i="15"/>
  <c r="T200" i="15"/>
  <c r="AZ200" i="15"/>
  <c r="N201" i="15"/>
  <c r="AT201" i="15"/>
  <c r="AG202" i="15"/>
  <c r="AA203" i="15"/>
  <c r="U204" i="15"/>
  <c r="BL201" i="15"/>
  <c r="BF202" i="15"/>
  <c r="AZ203" i="15"/>
  <c r="AT204" i="15"/>
  <c r="Q205" i="15"/>
  <c r="K206" i="15"/>
  <c r="E207" i="15"/>
  <c r="N208" i="15"/>
  <c r="BV205" i="15"/>
  <c r="BP206" i="15"/>
  <c r="BJ204" i="15"/>
  <c r="BD205" i="15"/>
  <c r="AX206" i="15"/>
  <c r="AS207" i="15"/>
  <c r="AY205" i="15"/>
  <c r="AS206" i="15"/>
  <c r="AN208" i="15"/>
  <c r="AE208" i="15"/>
  <c r="Y209" i="15"/>
  <c r="AP210" i="15"/>
  <c r="AH207" i="15"/>
  <c r="AH208" i="15"/>
  <c r="AU209" i="15"/>
  <c r="E209" i="15"/>
  <c r="W211" i="15"/>
  <c r="T210" i="15"/>
  <c r="J211" i="15"/>
  <c r="AQ213" i="15"/>
  <c r="M212" i="15"/>
  <c r="BA213" i="15"/>
  <c r="AN214" i="15"/>
  <c r="AS217" i="15"/>
  <c r="I216" i="15"/>
  <c r="AB220" i="15"/>
  <c r="AW222" i="15"/>
  <c r="BT224" i="15"/>
  <c r="R184" i="15"/>
  <c r="AH184" i="15"/>
  <c r="AX184" i="15"/>
  <c r="BN184" i="15"/>
  <c r="L185" i="15"/>
  <c r="AB185" i="15"/>
  <c r="AR185" i="15"/>
  <c r="BH185" i="15"/>
  <c r="F186" i="15"/>
  <c r="V186" i="15"/>
  <c r="AL186" i="15"/>
  <c r="BB186" i="15"/>
  <c r="BR186" i="15"/>
  <c r="P187" i="15"/>
  <c r="AF187" i="15"/>
  <c r="AV187" i="15"/>
  <c r="BL187" i="15"/>
  <c r="J188" i="15"/>
  <c r="Z188" i="15"/>
  <c r="AP188" i="15"/>
  <c r="BF188" i="15"/>
  <c r="G189" i="15"/>
  <c r="S182" i="15"/>
  <c r="AI182" i="15"/>
  <c r="AY182" i="15"/>
  <c r="BO182" i="15"/>
  <c r="M183" i="15"/>
  <c r="AC183" i="15"/>
  <c r="AS183" i="15"/>
  <c r="BI183" i="15"/>
  <c r="G184" i="15"/>
  <c r="W184" i="15"/>
  <c r="AM184" i="15"/>
  <c r="BC184" i="15"/>
  <c r="BS184" i="15"/>
  <c r="Q185" i="15"/>
  <c r="AG185" i="15"/>
  <c r="AW185" i="15"/>
  <c r="BM185" i="15"/>
  <c r="K186" i="15"/>
  <c r="AA186" i="15"/>
  <c r="AQ186" i="15"/>
  <c r="BG186" i="15"/>
  <c r="E187" i="15"/>
  <c r="U187" i="15"/>
  <c r="AK187" i="15"/>
  <c r="BA187" i="15"/>
  <c r="BQ187" i="15"/>
  <c r="O188" i="15"/>
  <c r="AE188" i="15"/>
  <c r="AU188" i="15"/>
  <c r="BK188" i="15"/>
  <c r="Q189" i="15"/>
  <c r="F189" i="15"/>
  <c r="V189" i="15"/>
  <c r="AL189" i="15"/>
  <c r="BB189" i="15"/>
  <c r="BR189" i="15"/>
  <c r="P190" i="15"/>
  <c r="AF190" i="15"/>
  <c r="AV190" i="15"/>
  <c r="BL190" i="15"/>
  <c r="J191" i="15"/>
  <c r="Z191" i="15"/>
  <c r="AP191" i="15"/>
  <c r="BF191" i="15"/>
  <c r="BV191" i="15"/>
  <c r="T192" i="15"/>
  <c r="AJ192" i="15"/>
  <c r="AZ192" i="15"/>
  <c r="BP192" i="15"/>
  <c r="N193" i="15"/>
  <c r="AD193" i="15"/>
  <c r="AT193" i="15"/>
  <c r="BJ193" i="15"/>
  <c r="H194" i="15"/>
  <c r="X194" i="15"/>
  <c r="AN194" i="15"/>
  <c r="BD194" i="15"/>
  <c r="BT194" i="15"/>
  <c r="R195" i="15"/>
  <c r="AH195" i="15"/>
  <c r="AX195" i="15"/>
  <c r="BN195" i="15"/>
  <c r="L196" i="15"/>
  <c r="AB196" i="15"/>
  <c r="AR196" i="15"/>
  <c r="BH196" i="15"/>
  <c r="F197" i="15"/>
  <c r="V197" i="15"/>
  <c r="AL197" i="15"/>
  <c r="BB197" i="15"/>
  <c r="AI189" i="15"/>
  <c r="AY189" i="15"/>
  <c r="BO189" i="15"/>
  <c r="M190" i="15"/>
  <c r="AC190" i="15"/>
  <c r="AS190" i="15"/>
  <c r="BI190" i="15"/>
  <c r="G191" i="15"/>
  <c r="W191" i="15"/>
  <c r="AM191" i="15"/>
  <c r="BC191" i="15"/>
  <c r="BS191" i="15"/>
  <c r="Q192" i="15"/>
  <c r="AG192" i="15"/>
  <c r="AW192" i="15"/>
  <c r="BM192" i="15"/>
  <c r="K193" i="15"/>
  <c r="AA193" i="15"/>
  <c r="AQ193" i="15"/>
  <c r="BG193" i="15"/>
  <c r="E194" i="15"/>
  <c r="U194" i="15"/>
  <c r="AK194" i="15"/>
  <c r="BA194" i="15"/>
  <c r="BQ194" i="15"/>
  <c r="O195" i="15"/>
  <c r="AE195" i="15"/>
  <c r="AU195" i="15"/>
  <c r="BK195" i="15"/>
  <c r="I196" i="15"/>
  <c r="Y196" i="15"/>
  <c r="AO196" i="15"/>
  <c r="BE196" i="15"/>
  <c r="BU196" i="15"/>
  <c r="S197" i="15"/>
  <c r="AI197" i="15"/>
  <c r="AY197" i="15"/>
  <c r="BO197" i="15"/>
  <c r="P189" i="15"/>
  <c r="AF189" i="15"/>
  <c r="AV189" i="15"/>
  <c r="BL189" i="15"/>
  <c r="J190" i="15"/>
  <c r="Z190" i="15"/>
  <c r="AP190" i="15"/>
  <c r="BF190" i="15"/>
  <c r="BV190" i="15"/>
  <c r="T191" i="15"/>
  <c r="AJ191" i="15"/>
  <c r="AZ191" i="15"/>
  <c r="BP191" i="15"/>
  <c r="N192" i="15"/>
  <c r="AD192" i="15"/>
  <c r="AT192" i="15"/>
  <c r="BJ192" i="15"/>
  <c r="H193" i="15"/>
  <c r="X193" i="15"/>
  <c r="AN193" i="15"/>
  <c r="BD193" i="15"/>
  <c r="BT193" i="15"/>
  <c r="R194" i="15"/>
  <c r="AH194" i="15"/>
  <c r="AX194" i="15"/>
  <c r="BN194" i="15"/>
  <c r="L195" i="15"/>
  <c r="AB195" i="15"/>
  <c r="AR195" i="15"/>
  <c r="BH195" i="15"/>
  <c r="F196" i="15"/>
  <c r="V196" i="15"/>
  <c r="AL196" i="15"/>
  <c r="BB196" i="15"/>
  <c r="BR196" i="15"/>
  <c r="P197" i="15"/>
  <c r="AF197" i="15"/>
  <c r="AV197" i="15"/>
  <c r="BL197" i="15"/>
  <c r="AS189" i="15"/>
  <c r="BI189" i="15"/>
  <c r="G190" i="15"/>
  <c r="W190" i="15"/>
  <c r="AM190" i="15"/>
  <c r="BC190" i="15"/>
  <c r="BS190" i="15"/>
  <c r="Q191" i="15"/>
  <c r="AG191" i="15"/>
  <c r="AW191" i="15"/>
  <c r="BM191" i="15"/>
  <c r="K192" i="15"/>
  <c r="AA192" i="15"/>
  <c r="AQ192" i="15"/>
  <c r="BG192" i="15"/>
  <c r="E193" i="15"/>
  <c r="U193" i="15"/>
  <c r="AK193" i="15"/>
  <c r="BA193" i="15"/>
  <c r="BQ193" i="15"/>
  <c r="O194" i="15"/>
  <c r="AE194" i="15"/>
  <c r="AU194" i="15"/>
  <c r="BK194" i="15"/>
  <c r="I195" i="15"/>
  <c r="Y195" i="15"/>
  <c r="AO195" i="15"/>
  <c r="BE195" i="15"/>
  <c r="BU195" i="15"/>
  <c r="S196" i="15"/>
  <c r="AI196" i="15"/>
  <c r="AY196" i="15"/>
  <c r="BO196" i="15"/>
  <c r="M197" i="15"/>
  <c r="AC197" i="15"/>
  <c r="BA197" i="15"/>
  <c r="J198" i="15"/>
  <c r="AL198" i="15"/>
  <c r="BR198" i="15"/>
  <c r="AF199" i="15"/>
  <c r="BL199" i="15"/>
  <c r="O198" i="15"/>
  <c r="AU198" i="15"/>
  <c r="I199" i="15"/>
  <c r="AO199" i="15"/>
  <c r="BU199" i="15"/>
  <c r="AJ198" i="15"/>
  <c r="BP198" i="15"/>
  <c r="AD199" i="15"/>
  <c r="BJ199" i="15"/>
  <c r="I198" i="15"/>
  <c r="AO198" i="15"/>
  <c r="BU198" i="15"/>
  <c r="AI199" i="15"/>
  <c r="BO199" i="15"/>
  <c r="O200" i="15"/>
  <c r="AE200" i="15"/>
  <c r="AU200" i="15"/>
  <c r="BK200" i="15"/>
  <c r="I201" i="15"/>
  <c r="Y201" i="15"/>
  <c r="AO201" i="15"/>
  <c r="BI201" i="15"/>
  <c r="W202" i="15"/>
  <c r="BC202" i="15"/>
  <c r="Q203" i="15"/>
  <c r="AW203" i="15"/>
  <c r="K204" i="15"/>
  <c r="AQ204" i="15"/>
  <c r="BB201" i="15"/>
  <c r="P202" i="15"/>
  <c r="AV202" i="15"/>
  <c r="J203" i="15"/>
  <c r="AP203" i="15"/>
  <c r="BV203" i="15"/>
  <c r="BA204" i="15"/>
  <c r="AB200" i="15"/>
  <c r="BH200" i="15"/>
  <c r="V201" i="15"/>
  <c r="BC201" i="15"/>
  <c r="AW202" i="15"/>
  <c r="AQ203" i="15"/>
  <c r="AK204" i="15"/>
  <c r="J202" i="15"/>
  <c r="BV202" i="15"/>
  <c r="BP203" i="15"/>
  <c r="G205" i="15"/>
  <c r="AG205" i="15"/>
  <c r="AA206" i="15"/>
  <c r="S207" i="15"/>
  <c r="AT208" i="15"/>
  <c r="T206" i="15"/>
  <c r="BB207" i="15"/>
  <c r="H205" i="15"/>
  <c r="BT205" i="15"/>
  <c r="BN206" i="15"/>
  <c r="F208" i="15"/>
  <c r="BO205" i="15"/>
  <c r="BI206" i="15"/>
  <c r="BA207" i="15"/>
  <c r="AU208" i="15"/>
  <c r="AO209" i="15"/>
  <c r="T211" i="15"/>
  <c r="AR207" i="15"/>
  <c r="BA208" i="15"/>
  <c r="BS209" i="15"/>
  <c r="AH209" i="15"/>
  <c r="BR208" i="15"/>
  <c r="N211" i="15"/>
  <c r="BA211" i="15"/>
  <c r="M214" i="15"/>
  <c r="AF213" i="15"/>
  <c r="AA215" i="15"/>
  <c r="L215" i="15"/>
  <c r="BK218" i="15"/>
  <c r="AY217" i="15"/>
  <c r="BT220" i="15"/>
  <c r="BC222" i="15"/>
  <c r="E224" i="15"/>
  <c r="X204" i="15"/>
  <c r="AN204" i="15"/>
  <c r="BL204" i="15"/>
  <c r="Z205" i="15"/>
  <c r="N200" i="15"/>
  <c r="V200" i="15"/>
  <c r="AD200" i="15"/>
  <c r="AL200" i="15"/>
  <c r="AT200" i="15"/>
  <c r="BB200" i="15"/>
  <c r="BJ200" i="15"/>
  <c r="BR200" i="15"/>
  <c r="H201" i="15"/>
  <c r="P201" i="15"/>
  <c r="X201" i="15"/>
  <c r="AF201" i="15"/>
  <c r="AN201" i="15"/>
  <c r="AV201" i="15"/>
  <c r="BG201" i="15"/>
  <c r="E202" i="15"/>
  <c r="U202" i="15"/>
  <c r="AK202" i="15"/>
  <c r="BA202" i="15"/>
  <c r="BQ202" i="15"/>
  <c r="O203" i="15"/>
  <c r="AE203" i="15"/>
  <c r="AU203" i="15"/>
  <c r="BK203" i="15"/>
  <c r="I204" i="15"/>
  <c r="Y204" i="15"/>
  <c r="AO204" i="15"/>
  <c r="BM204" i="15"/>
  <c r="AA205" i="15"/>
  <c r="BP201" i="15"/>
  <c r="N202" i="15"/>
  <c r="AD202" i="15"/>
  <c r="AT202" i="15"/>
  <c r="BJ202" i="15"/>
  <c r="H203" i="15"/>
  <c r="X203" i="15"/>
  <c r="AN203" i="15"/>
  <c r="BD203" i="15"/>
  <c r="BT203" i="15"/>
  <c r="R204" i="15"/>
  <c r="AH204" i="15"/>
  <c r="BD204" i="15"/>
  <c r="R205" i="15"/>
  <c r="BF204" i="15"/>
  <c r="BV204" i="15"/>
  <c r="T205" i="15"/>
  <c r="AJ205" i="15"/>
  <c r="AZ205" i="15"/>
  <c r="BP205" i="15"/>
  <c r="N206" i="15"/>
  <c r="AD206" i="15"/>
  <c r="AT206" i="15"/>
  <c r="BJ206" i="15"/>
  <c r="H207" i="15"/>
  <c r="W207" i="15"/>
  <c r="AM207" i="15"/>
  <c r="BK207" i="15"/>
  <c r="Y208" i="15"/>
  <c r="AE205" i="15"/>
  <c r="AU205" i="15"/>
  <c r="BK205" i="15"/>
  <c r="I206" i="15"/>
  <c r="Y206" i="15"/>
  <c r="AO206" i="15"/>
  <c r="BE206" i="15"/>
  <c r="BU206" i="15"/>
  <c r="BM207" i="15"/>
  <c r="AA208" i="15"/>
  <c r="AY204" i="15"/>
  <c r="BO204" i="15"/>
  <c r="M205" i="15"/>
  <c r="AC205" i="15"/>
  <c r="AS205" i="15"/>
  <c r="BI205" i="15"/>
  <c r="G206" i="15"/>
  <c r="W206" i="15"/>
  <c r="AM206" i="15"/>
  <c r="BC206" i="15"/>
  <c r="BS206" i="15"/>
  <c r="Q207" i="15"/>
  <c r="AG207" i="15"/>
  <c r="BC207" i="15"/>
  <c r="Q208" i="15"/>
  <c r="AW208" i="15"/>
  <c r="AL205" i="15"/>
  <c r="BB205" i="15"/>
  <c r="BR205" i="15"/>
  <c r="P206" i="15"/>
  <c r="AF206" i="15"/>
  <c r="AV206" i="15"/>
  <c r="BL206" i="15"/>
  <c r="BE207" i="15"/>
  <c r="S208" i="15"/>
  <c r="AY208" i="15"/>
  <c r="BF207" i="15"/>
  <c r="BV207" i="15"/>
  <c r="T208" i="15"/>
  <c r="AJ208" i="15"/>
  <c r="AZ208" i="15"/>
  <c r="BP208" i="15"/>
  <c r="N209" i="15"/>
  <c r="AD209" i="15"/>
  <c r="AT209" i="15"/>
  <c r="BJ209" i="15"/>
  <c r="J210" i="15"/>
  <c r="BF210" i="15"/>
  <c r="AE211" i="15"/>
  <c r="N207" i="15"/>
  <c r="Z207" i="15"/>
  <c r="AJ207" i="15"/>
  <c r="AT207" i="15"/>
  <c r="BO207" i="15"/>
  <c r="R208" i="15"/>
  <c r="AK208" i="15"/>
  <c r="BI208" i="15"/>
  <c r="L209" i="15"/>
  <c r="AE209" i="15"/>
  <c r="BC209" i="15"/>
  <c r="G210" i="15"/>
  <c r="BC210" i="15"/>
  <c r="AW211" i="15"/>
  <c r="M209" i="15"/>
  <c r="AK209" i="15"/>
  <c r="BQ209" i="15"/>
  <c r="AX210" i="15"/>
  <c r="AM211" i="15"/>
  <c r="K209" i="15"/>
  <c r="AI209" i="15"/>
  <c r="BL209" i="15"/>
  <c r="AU210" i="15"/>
  <c r="AD211" i="15"/>
  <c r="S210" i="15"/>
  <c r="AY210" i="15"/>
  <c r="Z211" i="15"/>
  <c r="BQ211" i="15"/>
  <c r="AM212" i="15"/>
  <c r="O213" i="15"/>
  <c r="BG213" i="15"/>
  <c r="AC214" i="15"/>
  <c r="AM215" i="15"/>
  <c r="S211" i="15"/>
  <c r="AK212" i="15"/>
  <c r="AZ213" i="15"/>
  <c r="Y215" i="15"/>
  <c r="BG212" i="15"/>
  <c r="BU213" i="15"/>
  <c r="BH211" i="15"/>
  <c r="F213" i="15"/>
  <c r="T214" i="15"/>
  <c r="AX214" i="15"/>
  <c r="X215" i="15"/>
  <c r="BN215" i="15"/>
  <c r="AY216" i="15"/>
  <c r="BQ217" i="15"/>
  <c r="M219" i="15"/>
  <c r="V217" i="15"/>
  <c r="J219" i="15"/>
  <c r="Y216" i="15"/>
  <c r="M218" i="15"/>
  <c r="BF216" i="15"/>
  <c r="T219" i="15"/>
  <c r="BK220" i="15"/>
  <c r="AP221" i="15"/>
  <c r="AE220" i="15"/>
  <c r="L221" i="15"/>
  <c r="Z224" i="15"/>
  <c r="BJ224" i="15"/>
  <c r="Y223" i="15"/>
  <c r="AG225" i="15"/>
  <c r="AT225" i="15"/>
  <c r="AW224" i="15"/>
  <c r="AD198" i="15"/>
  <c r="AT198" i="15"/>
  <c r="BJ198" i="15"/>
  <c r="H199" i="15"/>
  <c r="X199" i="15"/>
  <c r="AN199" i="15"/>
  <c r="BD199" i="15"/>
  <c r="BT199" i="15"/>
  <c r="G198" i="15"/>
  <c r="W198" i="15"/>
  <c r="AM198" i="15"/>
  <c r="BC198" i="15"/>
  <c r="BS198" i="15"/>
  <c r="Q199" i="15"/>
  <c r="AG199" i="15"/>
  <c r="AW199" i="15"/>
  <c r="BM199" i="15"/>
  <c r="L198" i="15"/>
  <c r="AB198" i="15"/>
  <c r="AR198" i="15"/>
  <c r="BH198" i="15"/>
  <c r="F199" i="15"/>
  <c r="V199" i="15"/>
  <c r="AL199" i="15"/>
  <c r="BB199" i="15"/>
  <c r="BR199" i="15"/>
  <c r="BV197" i="15"/>
  <c r="Q198" i="15"/>
  <c r="AG198" i="15"/>
  <c r="AW198" i="15"/>
  <c r="BM198" i="15"/>
  <c r="K199" i="15"/>
  <c r="AA199" i="15"/>
  <c r="AQ199" i="15"/>
  <c r="BG199" i="15"/>
  <c r="F200" i="15"/>
  <c r="K200" i="15"/>
  <c r="S200" i="15"/>
  <c r="AA200" i="15"/>
  <c r="AI200" i="15"/>
  <c r="AQ200" i="15"/>
  <c r="AY200" i="15"/>
  <c r="BG200" i="15"/>
  <c r="BO200" i="15"/>
  <c r="E201" i="15"/>
  <c r="M201" i="15"/>
  <c r="U201" i="15"/>
  <c r="AC201" i="15"/>
  <c r="AK201" i="15"/>
  <c r="AS201" i="15"/>
  <c r="BA201" i="15"/>
  <c r="BQ201" i="15"/>
  <c r="O202" i="15"/>
  <c r="AE202" i="15"/>
  <c r="AU202" i="15"/>
  <c r="BK202" i="15"/>
  <c r="I203" i="15"/>
  <c r="Y203" i="15"/>
  <c r="AO203" i="15"/>
  <c r="BE203" i="15"/>
  <c r="BU203" i="15"/>
  <c r="S204" i="15"/>
  <c r="AI204" i="15"/>
  <c r="AZ204" i="15"/>
  <c r="N205" i="15"/>
  <c r="BJ201" i="15"/>
  <c r="H202" i="15"/>
  <c r="X202" i="15"/>
  <c r="AN202" i="15"/>
  <c r="BD202" i="15"/>
  <c r="BT202" i="15"/>
  <c r="R203" i="15"/>
  <c r="AH203" i="15"/>
  <c r="AX203" i="15"/>
  <c r="BN203" i="15"/>
  <c r="L204" i="15"/>
  <c r="AB204" i="15"/>
  <c r="AR204" i="15"/>
  <c r="BQ204" i="15"/>
  <c r="H200" i="15"/>
  <c r="P200" i="15"/>
  <c r="X200" i="15"/>
  <c r="AF200" i="15"/>
  <c r="AN200" i="15"/>
  <c r="AV200" i="15"/>
  <c r="BD200" i="15"/>
  <c r="BL200" i="15"/>
  <c r="BT200" i="15"/>
  <c r="J201" i="15"/>
  <c r="R201" i="15"/>
  <c r="Z201" i="15"/>
  <c r="AH201" i="15"/>
  <c r="AP201" i="15"/>
  <c r="AX201" i="15"/>
  <c r="BK201" i="15"/>
  <c r="I202" i="15"/>
  <c r="Y202" i="15"/>
  <c r="AO202" i="15"/>
  <c r="BE202" i="15"/>
  <c r="BU202" i="15"/>
  <c r="S203" i="15"/>
  <c r="AI203" i="15"/>
  <c r="AY203" i="15"/>
  <c r="BO203" i="15"/>
  <c r="M204" i="15"/>
  <c r="AC204" i="15"/>
  <c r="AS204" i="15"/>
  <c r="F205" i="15"/>
  <c r="BD201" i="15"/>
  <c r="BT201" i="15"/>
  <c r="R202" i="15"/>
  <c r="AH202" i="15"/>
  <c r="AX202" i="15"/>
  <c r="BN202" i="15"/>
  <c r="L203" i="15"/>
  <c r="AB203" i="15"/>
  <c r="AR203" i="15"/>
  <c r="BH203" i="15"/>
  <c r="F204" i="15"/>
  <c r="V204" i="15"/>
  <c r="AL204" i="15"/>
  <c r="BI204" i="15"/>
  <c r="W205" i="15"/>
  <c r="BK204" i="15"/>
  <c r="I205" i="15"/>
  <c r="Y205" i="15"/>
  <c r="AO205" i="15"/>
  <c r="BE205" i="15"/>
  <c r="BU205" i="15"/>
  <c r="S206" i="15"/>
  <c r="AI206" i="15"/>
  <c r="AY206" i="15"/>
  <c r="BO206" i="15"/>
  <c r="K207" i="15"/>
  <c r="AA207" i="15"/>
  <c r="AQ207" i="15"/>
  <c r="BP207" i="15"/>
  <c r="AD208" i="15"/>
  <c r="AH205" i="15"/>
  <c r="AX205" i="15"/>
  <c r="BN205" i="15"/>
  <c r="L206" i="15"/>
  <c r="AB206" i="15"/>
  <c r="AR206" i="15"/>
  <c r="BH206" i="15"/>
  <c r="F207" i="15"/>
  <c r="BR207" i="15"/>
  <c r="AF208" i="15"/>
  <c r="BB204" i="15"/>
  <c r="BR204" i="15"/>
  <c r="P205" i="15"/>
  <c r="AF205" i="15"/>
  <c r="AV205" i="15"/>
  <c r="BL205" i="15"/>
  <c r="J206" i="15"/>
  <c r="Z206" i="15"/>
  <c r="AP206" i="15"/>
  <c r="BF206" i="15"/>
  <c r="BV206" i="15"/>
  <c r="U207" i="15"/>
  <c r="AK207" i="15"/>
  <c r="BH207" i="15"/>
  <c r="V208" i="15"/>
  <c r="BB208" i="15"/>
  <c r="AQ205" i="15"/>
  <c r="BG205" i="15"/>
  <c r="E206" i="15"/>
  <c r="U206" i="15"/>
  <c r="AK206" i="15"/>
  <c r="BA206" i="15"/>
  <c r="BQ206" i="15"/>
  <c r="BJ207" i="15"/>
  <c r="X208" i="15"/>
  <c r="BD208" i="15"/>
  <c r="BI207" i="15"/>
  <c r="G208" i="15"/>
  <c r="W208" i="15"/>
  <c r="AM208" i="15"/>
  <c r="BC208" i="15"/>
  <c r="BS208" i="15"/>
  <c r="Q209" i="15"/>
  <c r="AG209" i="15"/>
  <c r="AW209" i="15"/>
  <c r="BM209" i="15"/>
  <c r="Z210" i="15"/>
  <c r="BQ210" i="15"/>
  <c r="AJ211" i="15"/>
  <c r="R207" i="15"/>
  <c r="AB207" i="15"/>
  <c r="AL207" i="15"/>
  <c r="AY207" i="15"/>
  <c r="BT207" i="15"/>
  <c r="U208" i="15"/>
  <c r="AS208" i="15"/>
  <c r="BN208" i="15"/>
  <c r="O209" i="15"/>
  <c r="AM209" i="15"/>
  <c r="BH209" i="15"/>
  <c r="L210" i="15"/>
  <c r="F211" i="15"/>
  <c r="BG208" i="15"/>
  <c r="R209" i="15"/>
  <c r="AX209" i="15"/>
  <c r="M210" i="15"/>
  <c r="BI210" i="15"/>
  <c r="BE208" i="15"/>
  <c r="P209" i="15"/>
  <c r="AQ209" i="15"/>
  <c r="E210" i="15"/>
  <c r="AZ210" i="15"/>
  <c r="AO211" i="15"/>
  <c r="AF210" i="15"/>
  <c r="BG210" i="15"/>
  <c r="AC211" i="15"/>
  <c r="BV211" i="15"/>
  <c r="AU212" i="15"/>
  <c r="S213" i="15"/>
  <c r="BK213" i="15"/>
  <c r="AK214" i="15"/>
  <c r="Y210" i="15"/>
  <c r="AQ211" i="15"/>
  <c r="BF212" i="15"/>
  <c r="BT213" i="15"/>
  <c r="BM211" i="15"/>
  <c r="I213" i="15"/>
  <c r="W214" i="15"/>
  <c r="N212" i="15"/>
  <c r="Z213" i="15"/>
  <c r="AQ214" i="15"/>
  <c r="BJ214" i="15"/>
  <c r="AH215" i="15"/>
  <c r="F216" i="15"/>
  <c r="E217" i="15"/>
  <c r="S218" i="15"/>
  <c r="AG219" i="15"/>
  <c r="BB217" i="15"/>
  <c r="AU215" i="15"/>
  <c r="BE216" i="15"/>
  <c r="AS218" i="15"/>
  <c r="AF217" i="15"/>
  <c r="BD219" i="15"/>
  <c r="AG221" i="15"/>
  <c r="AK219" i="15"/>
  <c r="BU220" i="15"/>
  <c r="BF221" i="15"/>
  <c r="BC221" i="15"/>
  <c r="X222" i="15"/>
  <c r="AS223" i="15"/>
  <c r="BF223" i="15"/>
  <c r="R223" i="15"/>
  <c r="S225" i="15"/>
  <c r="AG197" i="15"/>
  <c r="AW197" i="15"/>
  <c r="BM197" i="15"/>
  <c r="R198" i="15"/>
  <c r="AH198" i="15"/>
  <c r="AX198" i="15"/>
  <c r="BN198" i="15"/>
  <c r="L199" i="15"/>
  <c r="AB199" i="15"/>
  <c r="AR199" i="15"/>
  <c r="BH199" i="15"/>
  <c r="BS197" i="15"/>
  <c r="K198" i="15"/>
  <c r="AA198" i="15"/>
  <c r="AQ198" i="15"/>
  <c r="BG198" i="15"/>
  <c r="E199" i="15"/>
  <c r="U199" i="15"/>
  <c r="AK199" i="15"/>
  <c r="BA199" i="15"/>
  <c r="BQ199" i="15"/>
  <c r="P198" i="15"/>
  <c r="AF198" i="15"/>
  <c r="AV198" i="15"/>
  <c r="BL198" i="15"/>
  <c r="J199" i="15"/>
  <c r="Z199" i="15"/>
  <c r="AP199" i="15"/>
  <c r="BF199" i="15"/>
  <c r="BV199" i="15"/>
  <c r="F198" i="15"/>
  <c r="U198" i="15"/>
  <c r="AK198" i="15"/>
  <c r="BA198" i="15"/>
  <c r="BQ198" i="15"/>
  <c r="O199" i="15"/>
  <c r="AE199" i="15"/>
  <c r="AU199" i="15"/>
  <c r="BK199" i="15"/>
  <c r="E200" i="15"/>
  <c r="M200" i="15"/>
  <c r="U200" i="15"/>
  <c r="AC200" i="15"/>
  <c r="AK200" i="15"/>
  <c r="AS200" i="15"/>
  <c r="BA200" i="15"/>
  <c r="BI200" i="15"/>
  <c r="BQ200" i="15"/>
  <c r="G201" i="15"/>
  <c r="O201" i="15"/>
  <c r="W201" i="15"/>
  <c r="AE201" i="15"/>
  <c r="AM201" i="15"/>
  <c r="AU201" i="15"/>
  <c r="BE201" i="15"/>
  <c r="BU201" i="15"/>
  <c r="S202" i="15"/>
  <c r="AI202" i="15"/>
  <c r="AY202" i="15"/>
  <c r="BO202" i="15"/>
  <c r="M203" i="15"/>
  <c r="AC203" i="15"/>
  <c r="AS203" i="15"/>
  <c r="BI203" i="15"/>
  <c r="G204" i="15"/>
  <c r="W204" i="15"/>
  <c r="AM204" i="15"/>
  <c r="BE204" i="15"/>
  <c r="S205" i="15"/>
  <c r="BN201" i="15"/>
  <c r="L202" i="15"/>
  <c r="AB202" i="15"/>
  <c r="AR202" i="15"/>
  <c r="BH202" i="15"/>
  <c r="F203" i="15"/>
  <c r="V203" i="15"/>
  <c r="AL203" i="15"/>
  <c r="BB203" i="15"/>
  <c r="BR203" i="15"/>
  <c r="P204" i="15"/>
  <c r="AF204" i="15"/>
  <c r="AV204" i="15"/>
  <c r="J205" i="15"/>
  <c r="J200" i="15"/>
  <c r="R200" i="15"/>
  <c r="Z200" i="15"/>
  <c r="AH200" i="15"/>
  <c r="AP200" i="15"/>
  <c r="AX200" i="15"/>
  <c r="BF200" i="15"/>
  <c r="BN200" i="15"/>
  <c r="BV200" i="15"/>
  <c r="L201" i="15"/>
  <c r="T201" i="15"/>
  <c r="AB201" i="15"/>
  <c r="AJ201" i="15"/>
  <c r="AR201" i="15"/>
  <c r="AZ201" i="15"/>
  <c r="BO201" i="15"/>
  <c r="M202" i="15"/>
  <c r="AC202" i="15"/>
  <c r="AS202" i="15"/>
  <c r="BI202" i="15"/>
  <c r="G203" i="15"/>
  <c r="W203" i="15"/>
  <c r="AM203" i="15"/>
  <c r="BC203" i="15"/>
  <c r="BS203" i="15"/>
  <c r="Q204" i="15"/>
  <c r="AG204" i="15"/>
  <c r="AW204" i="15"/>
  <c r="K205" i="15"/>
  <c r="BH201" i="15"/>
  <c r="F202" i="15"/>
  <c r="V202" i="15"/>
  <c r="AL202" i="15"/>
  <c r="BB202" i="15"/>
  <c r="BR202" i="15"/>
  <c r="P203" i="15"/>
  <c r="AF203" i="15"/>
  <c r="AV203" i="15"/>
  <c r="BL203" i="15"/>
  <c r="J204" i="15"/>
  <c r="Z204" i="15"/>
  <c r="AP204" i="15"/>
  <c r="BT204" i="15"/>
  <c r="AX204" i="15"/>
  <c r="BN204" i="15"/>
  <c r="L205" i="15"/>
  <c r="AB205" i="15"/>
  <c r="AR205" i="15"/>
  <c r="BH205" i="15"/>
  <c r="F206" i="15"/>
  <c r="V206" i="15"/>
  <c r="AL206" i="15"/>
  <c r="BB206" i="15"/>
  <c r="BR206" i="15"/>
  <c r="O207" i="15"/>
  <c r="AE207" i="15"/>
  <c r="AU207" i="15"/>
  <c r="I208" i="15"/>
  <c r="AO208" i="15"/>
  <c r="AM205" i="15"/>
  <c r="BC205" i="15"/>
  <c r="BS205" i="15"/>
  <c r="Q206" i="15"/>
  <c r="AG206" i="15"/>
  <c r="AW206" i="15"/>
  <c r="BM206" i="15"/>
  <c r="AW207" i="15"/>
  <c r="K208" i="15"/>
  <c r="AQ208" i="15"/>
  <c r="BG204" i="15"/>
  <c r="E205" i="15"/>
  <c r="U205" i="15"/>
  <c r="AK205" i="15"/>
  <c r="BA205" i="15"/>
  <c r="BQ205" i="15"/>
  <c r="O206" i="15"/>
  <c r="AE206" i="15"/>
  <c r="AU206" i="15"/>
  <c r="BK206" i="15"/>
  <c r="I207" i="15"/>
  <c r="Y207" i="15"/>
  <c r="AO207" i="15"/>
  <c r="BS207" i="15"/>
  <c r="AG208" i="15"/>
  <c r="AD205" i="15"/>
  <c r="AT205" i="15"/>
  <c r="BJ205" i="15"/>
  <c r="H206" i="15"/>
  <c r="X206" i="15"/>
  <c r="AN206" i="15"/>
  <c r="BD206" i="15"/>
  <c r="BT206" i="15"/>
  <c r="BU207" i="15"/>
  <c r="AI208" i="15"/>
  <c r="AX207" i="15"/>
  <c r="BN207" i="15"/>
  <c r="L208" i="15"/>
  <c r="AB208" i="15"/>
  <c r="AR208" i="15"/>
  <c r="BH208" i="15"/>
  <c r="F209" i="15"/>
  <c r="V209" i="15"/>
  <c r="AL209" i="15"/>
  <c r="BB209" i="15"/>
  <c r="BU209" i="15"/>
  <c r="AK210" i="15"/>
  <c r="BV210" i="15"/>
  <c r="J207" i="15"/>
  <c r="T207" i="15"/>
  <c r="AD207" i="15"/>
  <c r="AP207" i="15"/>
  <c r="BD207" i="15"/>
  <c r="E208" i="15"/>
  <c r="AC208" i="15"/>
  <c r="AX208" i="15"/>
  <c r="BQ208" i="15"/>
  <c r="W209" i="15"/>
  <c r="AR209" i="15"/>
  <c r="BK209" i="15"/>
  <c r="AB210" i="15"/>
  <c r="Q211" i="15"/>
  <c r="BO208" i="15"/>
  <c r="AC209" i="15"/>
  <c r="BA209" i="15"/>
  <c r="R210" i="15"/>
  <c r="L211" i="15"/>
  <c r="BM208" i="15"/>
  <c r="S209" i="15"/>
  <c r="AY209" i="15"/>
  <c r="O210" i="15"/>
  <c r="BP210" i="15"/>
  <c r="K210" i="15"/>
  <c r="AI210" i="15"/>
  <c r="E211" i="15"/>
  <c r="AS211" i="15"/>
  <c r="T212" i="15"/>
  <c r="BK212" i="15"/>
  <c r="AI213" i="15"/>
  <c r="I214" i="15"/>
  <c r="BQ214" i="15"/>
  <c r="AW210" i="15"/>
  <c r="BL211" i="15"/>
  <c r="H213" i="15"/>
  <c r="Z214" i="15"/>
  <c r="P212" i="15"/>
  <c r="AC213" i="15"/>
  <c r="BE214" i="15"/>
  <c r="AG212" i="15"/>
  <c r="AT213" i="15"/>
  <c r="U215" i="15"/>
  <c r="BT214" i="15"/>
  <c r="AR215" i="15"/>
  <c r="R216" i="15"/>
  <c r="Y217" i="15"/>
  <c r="AM218" i="15"/>
  <c r="AR216" i="15"/>
  <c r="P218" i="15"/>
  <c r="BK215" i="15"/>
  <c r="S217" i="15"/>
  <c r="G219" i="15"/>
  <c r="F218" i="15"/>
  <c r="F220" i="15"/>
  <c r="F224" i="15"/>
  <c r="BG219" i="15"/>
  <c r="AQ221" i="15"/>
  <c r="BV221" i="15"/>
  <c r="O222" i="15"/>
  <c r="BL222" i="15"/>
  <c r="S224" i="15"/>
  <c r="AF224" i="15"/>
  <c r="AL223" i="15"/>
  <c r="BU225" i="15"/>
  <c r="I210" i="15"/>
  <c r="AG210" i="15"/>
  <c r="BB210" i="15"/>
  <c r="BU210" i="15"/>
  <c r="AA211" i="15"/>
  <c r="AV211" i="15"/>
  <c r="BO211" i="15"/>
  <c r="U212" i="15"/>
  <c r="AP212" i="15"/>
  <c r="BI212" i="15"/>
  <c r="P213" i="15"/>
  <c r="AJ213" i="15"/>
  <c r="BD213" i="15"/>
  <c r="J214" i="15"/>
  <c r="AD214" i="15"/>
  <c r="BK214" i="15"/>
  <c r="AO215" i="15"/>
  <c r="BR211" i="15"/>
  <c r="S212" i="15"/>
  <c r="AQ212" i="15"/>
  <c r="BL212" i="15"/>
  <c r="M213" i="15"/>
  <c r="AK213" i="15"/>
  <c r="BE213" i="15"/>
  <c r="G214" i="15"/>
  <c r="AE214" i="15"/>
  <c r="BM214" i="15"/>
  <c r="AI215" i="15"/>
  <c r="BP211" i="15"/>
  <c r="Q212" i="15"/>
  <c r="AL212" i="15"/>
  <c r="BJ212" i="15"/>
  <c r="J213" i="15"/>
  <c r="AD213" i="15"/>
  <c r="BB213" i="15"/>
  <c r="BV213" i="15"/>
  <c r="X214" i="15"/>
  <c r="BG214" i="15"/>
  <c r="AC215" i="15"/>
  <c r="AP214" i="15"/>
  <c r="BB214" i="15"/>
  <c r="BL214" i="15"/>
  <c r="BV214" i="15"/>
  <c r="P215" i="15"/>
  <c r="Z215" i="15"/>
  <c r="AJ215" i="15"/>
  <c r="AV215" i="15"/>
  <c r="BF215" i="15"/>
  <c r="BP215" i="15"/>
  <c r="J216" i="15"/>
  <c r="T216" i="15"/>
  <c r="AI216" i="15"/>
  <c r="BG216" i="15"/>
  <c r="I217" i="15"/>
  <c r="AC217" i="15"/>
  <c r="BA217" i="15"/>
  <c r="BU217" i="15"/>
  <c r="W218" i="15"/>
  <c r="AU218" i="15"/>
  <c r="BO218" i="15"/>
  <c r="Q219" i="15"/>
  <c r="AB216" i="15"/>
  <c r="AV216" i="15"/>
  <c r="BP216" i="15"/>
  <c r="Z217" i="15"/>
  <c r="BF217" i="15"/>
  <c r="T218" i="15"/>
  <c r="AZ218" i="15"/>
  <c r="N219" i="15"/>
  <c r="AW215" i="15"/>
  <c r="BM215" i="15"/>
  <c r="K216" i="15"/>
  <c r="AC216" i="15"/>
  <c r="BI216" i="15"/>
  <c r="W217" i="15"/>
  <c r="BC217" i="15"/>
  <c r="Q218" i="15"/>
  <c r="AW218" i="15"/>
  <c r="K219" i="15"/>
  <c r="Z216" i="15"/>
  <c r="BN216" i="15"/>
  <c r="AJ217" i="15"/>
  <c r="J218" i="15"/>
  <c r="BB218" i="15"/>
  <c r="X219" i="15"/>
  <c r="BF219" i="15"/>
  <c r="J220" i="15"/>
  <c r="AD220" i="15"/>
  <c r="BO220" i="15"/>
  <c r="AO221" i="15"/>
  <c r="BR224" i="15"/>
  <c r="F221" i="15"/>
  <c r="BB221" i="15"/>
  <c r="AM219" i="15"/>
  <c r="BI219" i="15"/>
  <c r="M220" i="15"/>
  <c r="AG220" i="15"/>
  <c r="G221" i="15"/>
  <c r="BD221" i="15"/>
  <c r="AO220" i="15"/>
  <c r="P221" i="15"/>
  <c r="F222" i="15"/>
  <c r="I222" i="15"/>
  <c r="AZ222" i="15"/>
  <c r="BF224" i="15"/>
  <c r="BE221" i="15"/>
  <c r="R222" i="15"/>
  <c r="BK222" i="15"/>
  <c r="H225" i="15"/>
  <c r="AC222" i="15"/>
  <c r="BT222" i="15"/>
  <c r="BO225" i="15"/>
  <c r="AA223" i="15"/>
  <c r="BA223" i="15"/>
  <c r="W224" i="15"/>
  <c r="BO224" i="15"/>
  <c r="AO225" i="15"/>
  <c r="BJ223" i="15"/>
  <c r="AJ224" i="15"/>
  <c r="J225" i="15"/>
  <c r="AX225" i="15"/>
  <c r="T223" i="15"/>
  <c r="AP223" i="15"/>
  <c r="I224" i="15"/>
  <c r="BA224" i="15"/>
  <c r="AA225" i="15"/>
  <c r="BB225" i="15"/>
  <c r="BL210" i="15"/>
  <c r="M211" i="15"/>
  <c r="AK211" i="15"/>
  <c r="BF211" i="15"/>
  <c r="G212" i="15"/>
  <c r="AE212" i="15"/>
  <c r="AZ212" i="15"/>
  <c r="BS212" i="15"/>
  <c r="AA213" i="15"/>
  <c r="AU213" i="15"/>
  <c r="BO213" i="15"/>
  <c r="U214" i="15"/>
  <c r="AS214" i="15"/>
  <c r="O215" i="15"/>
  <c r="Q210" i="15"/>
  <c r="AL210" i="15"/>
  <c r="BE210" i="15"/>
  <c r="K211" i="15"/>
  <c r="AF211" i="15"/>
  <c r="AY211" i="15"/>
  <c r="E212" i="15"/>
  <c r="Z212" i="15"/>
  <c r="AS212" i="15"/>
  <c r="BQ212" i="15"/>
  <c r="T213" i="15"/>
  <c r="AN213" i="15"/>
  <c r="BL213" i="15"/>
  <c r="N214" i="15"/>
  <c r="AH214" i="15"/>
  <c r="I215" i="15"/>
  <c r="BB211" i="15"/>
  <c r="BU211" i="15"/>
  <c r="AA212" i="15"/>
  <c r="AV212" i="15"/>
  <c r="BO212" i="15"/>
  <c r="U213" i="15"/>
  <c r="AO213" i="15"/>
  <c r="BI213" i="15"/>
  <c r="O214" i="15"/>
  <c r="AI214" i="15"/>
  <c r="BU214" i="15"/>
  <c r="AZ211" i="15"/>
  <c r="BS211" i="15"/>
  <c r="V212" i="15"/>
  <c r="AT212" i="15"/>
  <c r="BM212" i="15"/>
  <c r="N213" i="15"/>
  <c r="AL213" i="15"/>
  <c r="BF213" i="15"/>
  <c r="H214" i="15"/>
  <c r="AF214" i="15"/>
  <c r="BO214" i="15"/>
  <c r="AK215" i="15"/>
  <c r="AT214" i="15"/>
  <c r="BD214" i="15"/>
  <c r="BN214" i="15"/>
  <c r="H215" i="15"/>
  <c r="R215" i="15"/>
  <c r="AB215" i="15"/>
  <c r="AN215" i="15"/>
  <c r="AX215" i="15"/>
  <c r="BH215" i="15"/>
  <c r="BT215" i="15"/>
  <c r="L216" i="15"/>
  <c r="V216" i="15"/>
  <c r="AQ216" i="15"/>
  <c r="BK216" i="15"/>
  <c r="M217" i="15"/>
  <c r="AK217" i="15"/>
  <c r="BE217" i="15"/>
  <c r="G218" i="15"/>
  <c r="AE218" i="15"/>
  <c r="AY218" i="15"/>
  <c r="BS218" i="15"/>
  <c r="Y219" i="15"/>
  <c r="AF216" i="15"/>
  <c r="AZ216" i="15"/>
  <c r="F217" i="15"/>
  <c r="AL217" i="15"/>
  <c r="BR217" i="15"/>
  <c r="AF218" i="15"/>
  <c r="BL218" i="15"/>
  <c r="Z219" i="15"/>
  <c r="BC215" i="15"/>
  <c r="BS215" i="15"/>
  <c r="Q216" i="15"/>
  <c r="AO216" i="15"/>
  <c r="BU216" i="15"/>
  <c r="AI217" i="15"/>
  <c r="BO217" i="15"/>
  <c r="AC218" i="15"/>
  <c r="BI218" i="15"/>
  <c r="W219" i="15"/>
  <c r="AL216" i="15"/>
  <c r="L217" i="15"/>
  <c r="AZ217" i="15"/>
  <c r="Z218" i="15"/>
  <c r="BR218" i="15"/>
  <c r="AR219" i="15"/>
  <c r="BN219" i="15"/>
  <c r="R220" i="15"/>
  <c r="AM220" i="15"/>
  <c r="M221" i="15"/>
  <c r="BP221" i="15"/>
  <c r="AV220" i="15"/>
  <c r="V221" i="15"/>
  <c r="AQ222" i="15"/>
  <c r="AU219" i="15"/>
  <c r="BQ219" i="15"/>
  <c r="U220" i="15"/>
  <c r="AW220" i="15"/>
  <c r="W221" i="15"/>
  <c r="AI222" i="15"/>
  <c r="BF220" i="15"/>
  <c r="AF221" i="15"/>
  <c r="BR222" i="15"/>
  <c r="Y222" i="15"/>
  <c r="BP222" i="15"/>
  <c r="AZ225" i="15"/>
  <c r="BM221" i="15"/>
  <c r="AH222" i="15"/>
  <c r="AZ223" i="15"/>
  <c r="BR221" i="15"/>
  <c r="AS222" i="15"/>
  <c r="AH224" i="15"/>
  <c r="M223" i="15"/>
  <c r="AI223" i="15"/>
  <c r="BQ223" i="15"/>
  <c r="AM224" i="15"/>
  <c r="M225" i="15"/>
  <c r="BI225" i="15"/>
  <c r="H224" i="15"/>
  <c r="AZ224" i="15"/>
  <c r="Z225" i="15"/>
  <c r="F223" i="15"/>
  <c r="AB223" i="15"/>
  <c r="BC223" i="15"/>
  <c r="Y224" i="15"/>
  <c r="BQ224" i="15"/>
  <c r="AQ225" i="15"/>
  <c r="BN225" i="15"/>
  <c r="BR209" i="15"/>
  <c r="U210" i="15"/>
  <c r="BA210" i="15"/>
  <c r="O211" i="15"/>
  <c r="AU211" i="15"/>
  <c r="P207" i="15"/>
  <c r="X207" i="15"/>
  <c r="AF207" i="15"/>
  <c r="AN207" i="15"/>
  <c r="AV207" i="15"/>
  <c r="BL207" i="15"/>
  <c r="J208" i="15"/>
  <c r="Z208" i="15"/>
  <c r="AP208" i="15"/>
  <c r="BF208" i="15"/>
  <c r="BV208" i="15"/>
  <c r="T209" i="15"/>
  <c r="AJ209" i="15"/>
  <c r="AZ209" i="15"/>
  <c r="BP209" i="15"/>
  <c r="W210" i="15"/>
  <c r="BH210" i="15"/>
  <c r="AL211" i="15"/>
  <c r="BT208" i="15"/>
  <c r="U209" i="15"/>
  <c r="AS209" i="15"/>
  <c r="BN209" i="15"/>
  <c r="AC210" i="15"/>
  <c r="G211" i="15"/>
  <c r="AR211" i="15"/>
  <c r="BU208" i="15"/>
  <c r="AA209" i="15"/>
  <c r="AV209" i="15"/>
  <c r="BO209" i="15"/>
  <c r="AJ210" i="15"/>
  <c r="I211" i="15"/>
  <c r="AT211" i="15"/>
  <c r="AA210" i="15"/>
  <c r="AV210" i="15"/>
  <c r="BO210" i="15"/>
  <c r="U211" i="15"/>
  <c r="AP211" i="15"/>
  <c r="BI211" i="15"/>
  <c r="O212" i="15"/>
  <c r="AJ212" i="15"/>
  <c r="BC212" i="15"/>
  <c r="K213" i="15"/>
  <c r="AE213" i="15"/>
  <c r="AY213" i="15"/>
  <c r="E214" i="15"/>
  <c r="Y214" i="15"/>
  <c r="BA214" i="15"/>
  <c r="AE215" i="15"/>
  <c r="V210" i="15"/>
  <c r="AO210" i="15"/>
  <c r="BM210" i="15"/>
  <c r="P211" i="15"/>
  <c r="AI211" i="15"/>
  <c r="BG211" i="15"/>
  <c r="J212" i="15"/>
  <c r="AC212" i="15"/>
  <c r="BA212" i="15"/>
  <c r="BV212" i="15"/>
  <c r="X213" i="15"/>
  <c r="AV213" i="15"/>
  <c r="BP213" i="15"/>
  <c r="R214" i="15"/>
  <c r="AU214" i="15"/>
  <c r="Q215" i="15"/>
  <c r="BE211" i="15"/>
  <c r="K212" i="15"/>
  <c r="AF212" i="15"/>
  <c r="AY212" i="15"/>
  <c r="E213" i="15"/>
  <c r="Y213" i="15"/>
  <c r="AS213" i="15"/>
  <c r="BQ213" i="15"/>
  <c r="S214" i="15"/>
  <c r="AO214" i="15"/>
  <c r="S215" i="15"/>
  <c r="BC211" i="15"/>
  <c r="F212" i="15"/>
  <c r="AD212" i="15"/>
  <c r="AW212" i="15"/>
  <c r="BR212" i="15"/>
  <c r="V213" i="15"/>
  <c r="AP213" i="15"/>
  <c r="BJ213" i="15"/>
  <c r="P214" i="15"/>
  <c r="AJ214" i="15"/>
  <c r="E215" i="15"/>
  <c r="AL214" i="15"/>
  <c r="AV214" i="15"/>
  <c r="BF214" i="15"/>
  <c r="BR214" i="15"/>
  <c r="J215" i="15"/>
  <c r="T215" i="15"/>
  <c r="AF215" i="15"/>
  <c r="AP215" i="15"/>
  <c r="AZ215" i="15"/>
  <c r="BL215" i="15"/>
  <c r="BV215" i="15"/>
  <c r="N216" i="15"/>
  <c r="AA216" i="15"/>
  <c r="AU216" i="15"/>
  <c r="BO216" i="15"/>
  <c r="U217" i="15"/>
  <c r="AO217" i="15"/>
  <c r="BI217" i="15"/>
  <c r="O218" i="15"/>
  <c r="AI218" i="15"/>
  <c r="BC218" i="15"/>
  <c r="I219" i="15"/>
  <c r="AC219" i="15"/>
  <c r="AJ216" i="15"/>
  <c r="BH216" i="15"/>
  <c r="J217" i="15"/>
  <c r="AP217" i="15"/>
  <c r="BV217" i="15"/>
  <c r="AJ218" i="15"/>
  <c r="BP218" i="15"/>
  <c r="AD219" i="15"/>
  <c r="BE215" i="15"/>
  <c r="BU215" i="15"/>
  <c r="S216" i="15"/>
  <c r="AS216" i="15"/>
  <c r="G217" i="15"/>
  <c r="AM217" i="15"/>
  <c r="BS217" i="15"/>
  <c r="AG218" i="15"/>
  <c r="BM218" i="15"/>
  <c r="AA219" i="15"/>
  <c r="AP216" i="15"/>
  <c r="P217" i="15"/>
  <c r="BH217" i="15"/>
  <c r="AD218" i="15"/>
  <c r="BV218" i="15"/>
  <c r="AV219" i="15"/>
  <c r="BP219" i="15"/>
  <c r="T220" i="15"/>
  <c r="AU220" i="15"/>
  <c r="Q221" i="15"/>
  <c r="S222" i="15"/>
  <c r="BD220" i="15"/>
  <c r="Z221" i="15"/>
  <c r="BB222" i="15"/>
  <c r="AY219" i="15"/>
  <c r="BS219" i="15"/>
  <c r="W220" i="15"/>
  <c r="BE220" i="15"/>
  <c r="AA221" i="15"/>
  <c r="AT222" i="15"/>
  <c r="BN220" i="15"/>
  <c r="AJ221" i="15"/>
  <c r="BH223" i="15"/>
  <c r="AG222" i="15"/>
  <c r="BU222" i="15"/>
  <c r="AU221" i="15"/>
  <c r="BQ221" i="15"/>
  <c r="AM222" i="15"/>
  <c r="BP223" i="15"/>
  <c r="H222" i="15"/>
  <c r="AV222" i="15"/>
  <c r="AX224" i="15"/>
  <c r="Q223" i="15"/>
  <c r="AK223" i="15"/>
  <c r="BU223" i="15"/>
  <c r="AU224" i="15"/>
  <c r="Q225" i="15"/>
  <c r="BQ225" i="15"/>
  <c r="P224" i="15"/>
  <c r="BD224" i="15"/>
  <c r="AD225" i="15"/>
  <c r="J223" i="15"/>
  <c r="AD223" i="15"/>
  <c r="BG223" i="15"/>
  <c r="AG224" i="15"/>
  <c r="BU224" i="15"/>
  <c r="AU225" i="15"/>
  <c r="BP225" i="15"/>
  <c r="N217" i="15"/>
  <c r="AD217" i="15"/>
  <c r="AT217" i="15"/>
  <c r="BJ217" i="15"/>
  <c r="H218" i="15"/>
  <c r="X218" i="15"/>
  <c r="AN218" i="15"/>
  <c r="BD218" i="15"/>
  <c r="BT218" i="15"/>
  <c r="R219" i="15"/>
  <c r="AH219" i="15"/>
  <c r="AY215" i="15"/>
  <c r="BG215" i="15"/>
  <c r="BO215" i="15"/>
  <c r="E216" i="15"/>
  <c r="M216" i="15"/>
  <c r="U216" i="15"/>
  <c r="AG216" i="15"/>
  <c r="AW216" i="15"/>
  <c r="BM216" i="15"/>
  <c r="K217" i="15"/>
  <c r="AA217" i="15"/>
  <c r="AQ217" i="15"/>
  <c r="BG217" i="15"/>
  <c r="E218" i="15"/>
  <c r="U218" i="15"/>
  <c r="AK218" i="15"/>
  <c r="BA218" i="15"/>
  <c r="BQ218" i="15"/>
  <c r="O219" i="15"/>
  <c r="AE219" i="15"/>
  <c r="AD216" i="15"/>
  <c r="AX216" i="15"/>
  <c r="BR216" i="15"/>
  <c r="T217" i="15"/>
  <c r="AR217" i="15"/>
  <c r="BL217" i="15"/>
  <c r="N218" i="15"/>
  <c r="AL218" i="15"/>
  <c r="BF218" i="15"/>
  <c r="H219" i="15"/>
  <c r="AF219" i="15"/>
  <c r="AX219" i="15"/>
  <c r="BH219" i="15"/>
  <c r="BT219" i="15"/>
  <c r="L220" i="15"/>
  <c r="V220" i="15"/>
  <c r="AH220" i="15"/>
  <c r="AY220" i="15"/>
  <c r="BS220" i="15"/>
  <c r="Y221" i="15"/>
  <c r="AS221" i="15"/>
  <c r="AD222" i="15"/>
  <c r="AP220" i="15"/>
  <c r="BH220" i="15"/>
  <c r="J221" i="15"/>
  <c r="AH221" i="15"/>
  <c r="BJ221" i="15"/>
  <c r="E223" i="15"/>
  <c r="AQ219" i="15"/>
  <c r="BA219" i="15"/>
  <c r="BK219" i="15"/>
  <c r="E220" i="15"/>
  <c r="O220" i="15"/>
  <c r="Y220" i="15"/>
  <c r="AN220" i="15"/>
  <c r="BI220" i="15"/>
  <c r="K221" i="15"/>
  <c r="AI221" i="15"/>
  <c r="BL221" i="15"/>
  <c r="BO222" i="15"/>
  <c r="AX220" i="15"/>
  <c r="BR220" i="15"/>
  <c r="T221" i="15"/>
  <c r="AR221" i="15"/>
  <c r="AA222" i="15"/>
  <c r="BB224" i="15"/>
  <c r="Q222" i="15"/>
  <c r="AJ222" i="15"/>
  <c r="BE222" i="15"/>
  <c r="BL223" i="15"/>
  <c r="BV224" i="15"/>
  <c r="AW221" i="15"/>
  <c r="BI221" i="15"/>
  <c r="BT221" i="15"/>
  <c r="W222" i="15"/>
  <c r="AU222" i="15"/>
  <c r="BN222" i="15"/>
  <c r="N224" i="15"/>
  <c r="AN225" i="15"/>
  <c r="M222" i="15"/>
  <c r="AF222" i="15"/>
  <c r="BD222" i="15"/>
  <c r="BD223" i="15"/>
  <c r="BN224" i="15"/>
  <c r="I223" i="15"/>
  <c r="S223" i="15"/>
  <c r="AC223" i="15"/>
  <c r="AO223" i="15"/>
  <c r="BE223" i="15"/>
  <c r="G224" i="15"/>
  <c r="AE224" i="15"/>
  <c r="AY224" i="15"/>
  <c r="BS224" i="15"/>
  <c r="Y225" i="15"/>
  <c r="AS225" i="15"/>
  <c r="AT223" i="15"/>
  <c r="BR223" i="15"/>
  <c r="T224" i="15"/>
  <c r="AN224" i="15"/>
  <c r="BL224" i="15"/>
  <c r="N225" i="15"/>
  <c r="AH225" i="15"/>
  <c r="BK225" i="15"/>
  <c r="L223" i="15"/>
  <c r="V223" i="15"/>
  <c r="AH223" i="15"/>
  <c r="AR223" i="15"/>
  <c r="BK223" i="15"/>
  <c r="Q224" i="15"/>
  <c r="AK224" i="15"/>
  <c r="BE224" i="15"/>
  <c r="K225" i="15"/>
  <c r="AE225" i="15"/>
  <c r="AY225" i="15"/>
  <c r="BF225" i="15"/>
  <c r="BV225" i="15"/>
  <c r="AM210" i="15"/>
  <c r="BS210" i="15"/>
  <c r="AG211" i="15"/>
  <c r="BL208" i="15"/>
  <c r="J209" i="15"/>
  <c r="Z209" i="15"/>
  <c r="AP209" i="15"/>
  <c r="BF209" i="15"/>
  <c r="BV209" i="15"/>
  <c r="AH210" i="15"/>
  <c r="BN210" i="15"/>
  <c r="AB211" i="15"/>
  <c r="BJ208" i="15"/>
  <c r="H209" i="15"/>
  <c r="X209" i="15"/>
  <c r="AN209" i="15"/>
  <c r="BD209" i="15"/>
  <c r="BT209" i="15"/>
  <c r="AE210" i="15"/>
  <c r="BK210" i="15"/>
  <c r="Y211" i="15"/>
  <c r="H210" i="15"/>
  <c r="X210" i="15"/>
  <c r="AN210" i="15"/>
  <c r="BD210" i="15"/>
  <c r="BT210" i="15"/>
  <c r="R211" i="15"/>
  <c r="AH211" i="15"/>
  <c r="AX211" i="15"/>
  <c r="BN211" i="15"/>
  <c r="L212" i="15"/>
  <c r="AB212" i="15"/>
  <c r="AR212" i="15"/>
  <c r="BH212" i="15"/>
  <c r="G213" i="15"/>
  <c r="W213" i="15"/>
  <c r="AM213" i="15"/>
  <c r="BC213" i="15"/>
  <c r="BS213" i="15"/>
  <c r="Q214" i="15"/>
  <c r="AG214" i="15"/>
  <c r="BI214" i="15"/>
  <c r="W215" i="15"/>
  <c r="N210" i="15"/>
  <c r="AD210" i="15"/>
  <c r="AT210" i="15"/>
  <c r="BJ210" i="15"/>
  <c r="H211" i="15"/>
  <c r="X211" i="15"/>
  <c r="AN211" i="15"/>
  <c r="BD211" i="15"/>
  <c r="BT211" i="15"/>
  <c r="R212" i="15"/>
  <c r="AH212" i="15"/>
  <c r="AX212" i="15"/>
  <c r="BN212" i="15"/>
  <c r="L213" i="15"/>
  <c r="AB213" i="15"/>
  <c r="AR213" i="15"/>
  <c r="BH213" i="15"/>
  <c r="F214" i="15"/>
  <c r="V214" i="15"/>
  <c r="AM214" i="15"/>
  <c r="BS214" i="15"/>
  <c r="AG215" i="15"/>
  <c r="BJ211" i="15"/>
  <c r="H212" i="15"/>
  <c r="X212" i="15"/>
  <c r="AN212" i="15"/>
  <c r="BD212" i="15"/>
  <c r="BT212" i="15"/>
  <c r="Q213" i="15"/>
  <c r="AG213" i="15"/>
  <c r="AW213" i="15"/>
  <c r="BM213" i="15"/>
  <c r="K214" i="15"/>
  <c r="AA214" i="15"/>
  <c r="AW214" i="15"/>
  <c r="K215" i="15"/>
  <c r="AQ215" i="15"/>
  <c r="BK211" i="15"/>
  <c r="I212" i="15"/>
  <c r="Y212" i="15"/>
  <c r="AO212" i="15"/>
  <c r="BE212" i="15"/>
  <c r="BU212" i="15"/>
  <c r="R213" i="15"/>
  <c r="AH213" i="15"/>
  <c r="AX213" i="15"/>
  <c r="BN213" i="15"/>
  <c r="L214" i="15"/>
  <c r="AB214" i="15"/>
  <c r="AY214" i="15"/>
  <c r="M215" i="15"/>
  <c r="AS215" i="15"/>
  <c r="AR214" i="15"/>
  <c r="AZ214" i="15"/>
  <c r="BH214" i="15"/>
  <c r="BP214" i="15"/>
  <c r="F215" i="15"/>
  <c r="N215" i="15"/>
  <c r="V215" i="15"/>
  <c r="AD215" i="15"/>
  <c r="AL215" i="15"/>
  <c r="AT215" i="15"/>
  <c r="BB215" i="15"/>
  <c r="BJ215" i="15"/>
  <c r="BR215" i="15"/>
  <c r="H216" i="15"/>
  <c r="P216" i="15"/>
  <c r="X216" i="15"/>
  <c r="AM216" i="15"/>
  <c r="BC216" i="15"/>
  <c r="BS216" i="15"/>
  <c r="Q217" i="15"/>
  <c r="AG217" i="15"/>
  <c r="AW217" i="15"/>
  <c r="BM217" i="15"/>
  <c r="K218" i="15"/>
  <c r="AA218" i="15"/>
  <c r="AQ218" i="15"/>
  <c r="BG218" i="15"/>
  <c r="E219" i="15"/>
  <c r="U219" i="15"/>
  <c r="AL219" i="15"/>
  <c r="AN216" i="15"/>
  <c r="BD216" i="15"/>
  <c r="BT216" i="15"/>
  <c r="R217" i="15"/>
  <c r="AH217" i="15"/>
  <c r="AX217" i="15"/>
  <c r="BN217" i="15"/>
  <c r="L218" i="15"/>
  <c r="AB218" i="15"/>
  <c r="AR218" i="15"/>
  <c r="BH218" i="15"/>
  <c r="F219" i="15"/>
  <c r="V219" i="15"/>
  <c r="AN219" i="15"/>
  <c r="BA215" i="15"/>
  <c r="BI215" i="15"/>
  <c r="BQ215" i="15"/>
  <c r="G216" i="15"/>
  <c r="O216" i="15"/>
  <c r="W216" i="15"/>
  <c r="AK216" i="15"/>
  <c r="BA216" i="15"/>
  <c r="BQ216" i="15"/>
  <c r="O217" i="15"/>
  <c r="AE217" i="15"/>
  <c r="AU217" i="15"/>
  <c r="BK217" i="15"/>
  <c r="I218" i="15"/>
  <c r="Y218" i="15"/>
  <c r="AO218" i="15"/>
  <c r="BE218" i="15"/>
  <c r="BU218" i="15"/>
  <c r="S219" i="15"/>
  <c r="AI219" i="15"/>
  <c r="AH216" i="15"/>
  <c r="BB216" i="15"/>
  <c r="BV216" i="15"/>
  <c r="AB217" i="15"/>
  <c r="AV217" i="15"/>
  <c r="BP217" i="15"/>
  <c r="V218" i="15"/>
  <c r="AP218" i="15"/>
  <c r="BJ218" i="15"/>
  <c r="P219" i="15"/>
  <c r="AJ219" i="15"/>
  <c r="AZ219" i="15"/>
  <c r="BL219" i="15"/>
  <c r="BV219" i="15"/>
  <c r="N220" i="15"/>
  <c r="Z220" i="15"/>
  <c r="AJ220" i="15"/>
  <c r="BC220" i="15"/>
  <c r="I221" i="15"/>
  <c r="AC221" i="15"/>
  <c r="AZ221" i="15"/>
  <c r="BJ222" i="15"/>
  <c r="AS220" i="15"/>
  <c r="BL220" i="15"/>
  <c r="R221" i="15"/>
  <c r="AL221" i="15"/>
  <c r="K222" i="15"/>
  <c r="P225" i="15"/>
  <c r="AS219" i="15"/>
  <c r="BC219" i="15"/>
  <c r="BO219" i="15"/>
  <c r="G220" i="15"/>
  <c r="Q220" i="15"/>
  <c r="AC220" i="15"/>
  <c r="AQ220" i="15"/>
  <c r="BM220" i="15"/>
  <c r="S221" i="15"/>
  <c r="AM221" i="15"/>
  <c r="BU221" i="15"/>
  <c r="AF225" i="15"/>
  <c r="BB220" i="15"/>
  <c r="BV220" i="15"/>
  <c r="AB221" i="15"/>
  <c r="AX221" i="15"/>
  <c r="AL222" i="15"/>
  <c r="BS221" i="15"/>
  <c r="T222" i="15"/>
  <c r="AO222" i="15"/>
  <c r="BM222" i="15"/>
  <c r="J224" i="15"/>
  <c r="T225" i="15"/>
  <c r="BA221" i="15"/>
  <c r="BK221" i="15"/>
  <c r="G222" i="15"/>
  <c r="AE222" i="15"/>
  <c r="AX222" i="15"/>
  <c r="BS222" i="15"/>
  <c r="AT224" i="15"/>
  <c r="BG225" i="15"/>
  <c r="P222" i="15"/>
  <c r="AN222" i="15"/>
  <c r="BI222" i="15"/>
  <c r="BT223" i="15"/>
  <c r="AB225" i="15"/>
  <c r="K223" i="15"/>
  <c r="U223" i="15"/>
  <c r="AG223" i="15"/>
  <c r="AQ223" i="15"/>
  <c r="BI223" i="15"/>
  <c r="O224" i="15"/>
  <c r="AI224" i="15"/>
  <c r="BC224" i="15"/>
  <c r="I225" i="15"/>
  <c r="AC225" i="15"/>
  <c r="AW225" i="15"/>
  <c r="BB223" i="15"/>
  <c r="BV223" i="15"/>
  <c r="X224" i="15"/>
  <c r="AV224" i="15"/>
  <c r="BP224" i="15"/>
  <c r="R225" i="15"/>
  <c r="AP225" i="15"/>
  <c r="BS225" i="15"/>
  <c r="N223" i="15"/>
  <c r="Z223" i="15"/>
  <c r="AJ223" i="15"/>
  <c r="AU223" i="15"/>
  <c r="BS223" i="15"/>
  <c r="U224" i="15"/>
  <c r="AO224" i="15"/>
  <c r="BM224" i="15"/>
  <c r="O225" i="15"/>
  <c r="AI225" i="15"/>
  <c r="BM225" i="15"/>
  <c r="BH225" i="15"/>
  <c r="BJ225" i="15"/>
  <c r="BR225" i="15"/>
  <c r="AT216" i="15"/>
  <c r="BJ216" i="15"/>
  <c r="H217" i="15"/>
  <c r="X217" i="15"/>
  <c r="AN217" i="15"/>
  <c r="BD217" i="15"/>
  <c r="BT217" i="15"/>
  <c r="R218" i="15"/>
  <c r="AH218" i="15"/>
  <c r="AX218" i="15"/>
  <c r="BN218" i="15"/>
  <c r="L219" i="15"/>
  <c r="AB219" i="15"/>
  <c r="AT219" i="15"/>
  <c r="BB219" i="15"/>
  <c r="BJ219" i="15"/>
  <c r="BR219" i="15"/>
  <c r="H220" i="15"/>
  <c r="P220" i="15"/>
  <c r="X220" i="15"/>
  <c r="AF220" i="15"/>
  <c r="AR220" i="15"/>
  <c r="BG220" i="15"/>
  <c r="E221" i="15"/>
  <c r="U221" i="15"/>
  <c r="AK221" i="15"/>
  <c r="BH221" i="15"/>
  <c r="AY222" i="15"/>
  <c r="AK220" i="15"/>
  <c r="AZ220" i="15"/>
  <c r="BP220" i="15"/>
  <c r="N221" i="15"/>
  <c r="AD221" i="15"/>
  <c r="AT221" i="15"/>
  <c r="V222" i="15"/>
  <c r="V224" i="15"/>
  <c r="AO219" i="15"/>
  <c r="AW219" i="15"/>
  <c r="BE219" i="15"/>
  <c r="BM219" i="15"/>
  <c r="BU219" i="15"/>
  <c r="K220" i="15"/>
  <c r="S220" i="15"/>
  <c r="AA220" i="15"/>
  <c r="AI220" i="15"/>
  <c r="BA220" i="15"/>
  <c r="BQ220" i="15"/>
  <c r="O221" i="15"/>
  <c r="AE221" i="15"/>
  <c r="AV221" i="15"/>
  <c r="N222" i="15"/>
  <c r="AL224" i="15"/>
  <c r="AT220" i="15"/>
  <c r="BJ220" i="15"/>
  <c r="H221" i="15"/>
  <c r="X221" i="15"/>
  <c r="AN221" i="15"/>
  <c r="BN221" i="15"/>
  <c r="BG222" i="15"/>
  <c r="AV225" i="15"/>
  <c r="L222" i="15"/>
  <c r="AB222" i="15"/>
  <c r="AR222" i="15"/>
  <c r="BH222" i="15"/>
  <c r="AV223" i="15"/>
  <c r="AP224" i="15"/>
  <c r="AJ225" i="15"/>
  <c r="AY221" i="15"/>
  <c r="BG221" i="15"/>
  <c r="BO221" i="15"/>
  <c r="J222" i="15"/>
  <c r="Z222" i="15"/>
  <c r="AP222" i="15"/>
  <c r="BF222" i="15"/>
  <c r="BV222" i="15"/>
  <c r="AD224" i="15"/>
  <c r="X225" i="15"/>
  <c r="E222" i="15"/>
  <c r="U222" i="15"/>
  <c r="AK222" i="15"/>
  <c r="BA222" i="15"/>
  <c r="BQ222" i="15"/>
  <c r="R224" i="15"/>
  <c r="L225" i="15"/>
  <c r="G223" i="15"/>
  <c r="O223" i="15"/>
  <c r="W223" i="15"/>
  <c r="AE223" i="15"/>
  <c r="AM223" i="15"/>
  <c r="AW223" i="15"/>
  <c r="BM223" i="15"/>
  <c r="K224" i="15"/>
  <c r="AA224" i="15"/>
  <c r="AQ224" i="15"/>
  <c r="BG224" i="15"/>
  <c r="E225" i="15"/>
  <c r="U225" i="15"/>
  <c r="AK225" i="15"/>
  <c r="BA225" i="15"/>
  <c r="AX223" i="15"/>
  <c r="BN223" i="15"/>
  <c r="L224" i="15"/>
  <c r="AB224" i="15"/>
  <c r="AR224" i="15"/>
  <c r="BH224" i="15"/>
  <c r="F225" i="15"/>
  <c r="V225" i="15"/>
  <c r="AL225" i="15"/>
  <c r="BC225" i="15"/>
  <c r="H223" i="15"/>
  <c r="P223" i="15"/>
  <c r="X223" i="15"/>
  <c r="AF223" i="15"/>
  <c r="AN223" i="15"/>
  <c r="AY223" i="15"/>
  <c r="BO223" i="15"/>
  <c r="M224" i="15"/>
  <c r="AC224" i="15"/>
  <c r="AS224" i="15"/>
  <c r="BI224" i="15"/>
  <c r="G225" i="15"/>
  <c r="W225" i="15"/>
  <c r="AM225" i="15"/>
  <c r="BE225" i="15"/>
  <c r="BD225" i="15"/>
  <c r="BL225" i="15"/>
  <c r="BT225" i="15"/>
  <c r="C105" i="15"/>
  <c r="G13" i="8" a="1"/>
  <c r="E12" i="8" a="1"/>
  <c r="E80" i="8" a="1"/>
  <c r="E56" i="8" a="1"/>
  <c r="F12" i="8" a="1"/>
  <c r="O13" i="8" a="1"/>
  <c r="J13" i="8" a="1"/>
  <c r="E13" i="8" a="1"/>
  <c r="E14" i="8" a="1"/>
  <c r="E76" i="8" a="1"/>
  <c r="N12" i="8" a="1"/>
  <c r="O15" i="8" a="1"/>
  <c r="F13" i="8" a="1"/>
  <c r="L12" i="8" a="1"/>
  <c r="O12" i="8" a="1"/>
  <c r="J14" i="8" a="1"/>
  <c r="E54" i="8" a="1"/>
  <c r="L14" i="8" a="1"/>
  <c r="N15" i="8" a="1"/>
  <c r="E77" i="8" a="1"/>
  <c r="K12" i="8" a="1"/>
  <c r="N14" i="8" a="1"/>
  <c r="E78" i="8" a="1"/>
  <c r="L15" i="8" a="1"/>
  <c r="N13" i="8" a="1"/>
  <c r="E53" i="8" a="1"/>
  <c r="J15" i="8" a="1"/>
  <c r="J12" i="8" a="1"/>
  <c r="K15" i="8" a="1"/>
  <c r="G14" i="8" a="1"/>
  <c r="F14" i="8" a="1"/>
  <c r="G15" i="8" a="1"/>
  <c r="E52" i="8" a="1"/>
  <c r="E55" i="8" a="1"/>
  <c r="L13" i="8" a="1"/>
  <c r="F15" i="8" a="1"/>
  <c r="K13" i="8" a="1"/>
  <c r="G12" i="8" a="1"/>
  <c r="E79" i="8" a="1"/>
  <c r="K14" i="8" a="1"/>
  <c r="E15" i="8" a="1"/>
  <c r="O14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D42" i="15"/>
  <c r="D41" i="15"/>
  <c r="D40" i="15"/>
  <c r="B45" i="15" l="1"/>
  <c r="B167" i="15"/>
  <c r="M13" i="8"/>
  <c r="M15" i="8"/>
  <c r="M12" i="8"/>
  <c r="M14" i="8"/>
  <c r="H15" i="8"/>
  <c r="H12" i="8"/>
  <c r="H14" i="8"/>
  <c r="H13" i="8"/>
  <c r="I13" i="8"/>
  <c r="I15" i="8"/>
  <c r="I14" i="8"/>
  <c r="D39" i="15" a="1"/>
  <c r="B46" i="15" l="1"/>
  <c r="B168" i="15"/>
  <c r="D39" i="15"/>
  <c r="D165" i="15" s="1"/>
  <c r="B106" i="15"/>
  <c r="E38" i="15"/>
  <c r="D43" i="15" a="1"/>
  <c r="P5" i="8"/>
  <c r="C43" i="15" a="1"/>
  <c r="B47" i="15" l="1"/>
  <c r="B170" i="15" s="1"/>
  <c r="B169" i="15"/>
  <c r="D43" i="15"/>
  <c r="D106" i="15" s="1"/>
  <c r="C43" i="15"/>
  <c r="C106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B66" i="8"/>
  <c r="E44" i="15" a="1"/>
  <c r="P14" i="8" a="1"/>
  <c r="D44" i="15" a="1"/>
  <c r="B71" i="8"/>
  <c r="B67" i="8"/>
  <c r="B11" i="8"/>
  <c r="B65" i="8"/>
  <c r="B10" i="8"/>
  <c r="F39" i="15" a="1"/>
  <c r="E39" i="15" a="1"/>
  <c r="B86" i="8"/>
  <c r="P15" i="8" a="1"/>
  <c r="B73" i="8"/>
  <c r="B8" i="8"/>
  <c r="B104" i="8"/>
  <c r="B68" i="8"/>
  <c r="P12" i="8" a="1"/>
  <c r="P13" i="8" a="1"/>
  <c r="E43" i="15" a="1"/>
  <c r="E45" i="15" a="1"/>
  <c r="B74" i="8"/>
  <c r="B7" i="8"/>
  <c r="B62" i="8"/>
  <c r="B9" i="8"/>
  <c r="C44" i="15" a="1"/>
  <c r="B72" i="8"/>
  <c r="E39" i="15" l="1"/>
  <c r="E105" i="15" s="1"/>
  <c r="P12" i="8"/>
  <c r="P14" i="8"/>
  <c r="P13" i="8"/>
  <c r="P15" i="8"/>
  <c r="E45" i="15"/>
  <c r="D105" i="15"/>
  <c r="D44" i="15"/>
  <c r="D107" i="15" s="1"/>
  <c r="B107" i="15"/>
  <c r="C44" i="15"/>
  <c r="C107" i="15" s="1"/>
  <c r="E44" i="15"/>
  <c r="E43" i="15"/>
  <c r="G38" i="15"/>
  <c r="F39" i="15"/>
  <c r="F105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E8" i="8" a="1"/>
  <c r="E9" i="8" a="1"/>
  <c r="P8" i="8" a="1"/>
  <c r="J8" i="8" a="1"/>
  <c r="B102" i="8"/>
  <c r="K8" i="8" a="1"/>
  <c r="L8" i="8" a="1"/>
  <c r="B58" i="8"/>
  <c r="N9" i="8" a="1"/>
  <c r="J10" i="8" a="1"/>
  <c r="L9" i="8" a="1"/>
  <c r="C45" i="15" a="1"/>
  <c r="F44" i="15" a="1"/>
  <c r="B61" i="8"/>
  <c r="P11" i="8" a="1"/>
  <c r="G8" i="8" a="1"/>
  <c r="B82" i="8"/>
  <c r="F9" i="8" a="1"/>
  <c r="L11" i="8" a="1"/>
  <c r="N10" i="8" a="1"/>
  <c r="F10" i="8" a="1"/>
  <c r="K11" i="8" a="1"/>
  <c r="N8" i="8" a="1"/>
  <c r="P10" i="8" a="1"/>
  <c r="O9" i="8" a="1"/>
  <c r="J11" i="8" a="1"/>
  <c r="G10" i="8" a="1"/>
  <c r="B60" i="8"/>
  <c r="F45" i="15" a="1"/>
  <c r="G11" i="8" a="1"/>
  <c r="E62" i="8" a="1"/>
  <c r="F8" i="8" a="1"/>
  <c r="P9" i="8" a="1"/>
  <c r="B70" i="8"/>
  <c r="K9" i="8" a="1"/>
  <c r="B84" i="8"/>
  <c r="F43" i="15" a="1"/>
  <c r="B103" i="8"/>
  <c r="E104" i="8" a="1"/>
  <c r="L10" i="8" a="1"/>
  <c r="F11" i="8" a="1"/>
  <c r="J9" i="8" a="1"/>
  <c r="N11" i="8" a="1"/>
  <c r="B64" i="8"/>
  <c r="O11" i="8" a="1"/>
  <c r="O8" i="8" a="1"/>
  <c r="E10" i="8" a="1"/>
  <c r="D45" i="15" a="1"/>
  <c r="E74" i="8" a="1"/>
  <c r="E86" i="8" a="1"/>
  <c r="K10" i="8" a="1"/>
  <c r="E68" i="8" a="1"/>
  <c r="B59" i="8"/>
  <c r="G39" i="15" a="1"/>
  <c r="G9" i="8" a="1"/>
  <c r="E11" i="8" a="1"/>
  <c r="B85" i="8"/>
  <c r="B83" i="8"/>
  <c r="O10" i="8" a="1"/>
  <c r="L10" i="8" l="1"/>
  <c r="L9" i="8"/>
  <c r="L8" i="8"/>
  <c r="L11" i="8"/>
  <c r="J8" i="8"/>
  <c r="G10" i="8"/>
  <c r="G9" i="8"/>
  <c r="G8" i="8"/>
  <c r="G11" i="8"/>
  <c r="R5" i="8"/>
  <c r="E106" i="15"/>
  <c r="E107" i="15"/>
  <c r="D45" i="15"/>
  <c r="D108" i="15" s="1"/>
  <c r="B108" i="15"/>
  <c r="C45" i="15"/>
  <c r="C108" i="15" s="1"/>
  <c r="F45" i="15"/>
  <c r="F43" i="15"/>
  <c r="F106" i="15" s="1"/>
  <c r="F44" i="15"/>
  <c r="F107" i="15" s="1"/>
  <c r="H38" i="15"/>
  <c r="G39" i="15"/>
  <c r="G105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F52" i="8" a="1"/>
  <c r="F83" i="8" a="1"/>
  <c r="C46" i="15" a="1"/>
  <c r="E82" i="8" a="1"/>
  <c r="F79" i="8" a="1"/>
  <c r="B100" i="8"/>
  <c r="Q15" i="8" a="1"/>
  <c r="E72" i="8" a="1"/>
  <c r="E61" i="8" a="1"/>
  <c r="F54" i="8" a="1"/>
  <c r="F70" i="8" a="1"/>
  <c r="F102" i="8" a="1"/>
  <c r="F61" i="8" a="1"/>
  <c r="Q12" i="8" a="1"/>
  <c r="E66" i="8" a="1"/>
  <c r="E83" i="8" a="1"/>
  <c r="E71" i="8" a="1"/>
  <c r="F58" i="8" a="1"/>
  <c r="F78" i="8" a="1"/>
  <c r="D46" i="15" a="1"/>
  <c r="G43" i="15" a="1"/>
  <c r="F76" i="8" a="1"/>
  <c r="F60" i="8" a="1"/>
  <c r="F82" i="8" a="1"/>
  <c r="R11" i="8" a="1"/>
  <c r="Q10" i="8" a="1"/>
  <c r="G46" i="15" a="1"/>
  <c r="F85" i="8" a="1"/>
  <c r="F64" i="8" a="1"/>
  <c r="F56" i="8" a="1"/>
  <c r="F67" i="8" a="1"/>
  <c r="F77" i="8" a="1"/>
  <c r="F59" i="8" a="1"/>
  <c r="Q14" i="8" a="1"/>
  <c r="G45" i="15" a="1"/>
  <c r="E70" i="8" a="1"/>
  <c r="R10" i="8" a="1"/>
  <c r="E58" i="8" a="1"/>
  <c r="E67" i="8" a="1"/>
  <c r="R8" i="8" a="1"/>
  <c r="F66" i="8" a="1"/>
  <c r="F46" i="15" a="1"/>
  <c r="F68" i="8" a="1"/>
  <c r="F73" i="8" a="1"/>
  <c r="H39" i="15" a="1"/>
  <c r="Q9" i="8" a="1"/>
  <c r="F84" i="8" a="1"/>
  <c r="G44" i="15" a="1"/>
  <c r="E73" i="8" a="1"/>
  <c r="F86" i="8" a="1"/>
  <c r="E46" i="15" a="1"/>
  <c r="F62" i="8" a="1"/>
  <c r="F80" i="8" a="1"/>
  <c r="F65" i="8" a="1"/>
  <c r="F103" i="8" a="1"/>
  <c r="Q11" i="8" a="1"/>
  <c r="E103" i="8" a="1"/>
  <c r="E65" i="8" a="1"/>
  <c r="F72" i="8" a="1"/>
  <c r="E64" i="8" a="1"/>
  <c r="E60" i="8" a="1"/>
  <c r="R9" i="8" a="1"/>
  <c r="F74" i="8" a="1"/>
  <c r="E84" i="8" a="1"/>
  <c r="F71" i="8" a="1"/>
  <c r="E85" i="8" a="1"/>
  <c r="E102" i="8" a="1"/>
  <c r="F104" i="8" a="1"/>
  <c r="F55" i="8" a="1"/>
  <c r="Q13" i="8" a="1"/>
  <c r="Q8" i="8" a="1"/>
  <c r="B101" i="8"/>
  <c r="E59" i="8" a="1"/>
  <c r="F53" i="8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8" i="15"/>
  <c r="E108" i="15"/>
  <c r="D46" i="15"/>
  <c r="D109" i="15" s="1"/>
  <c r="B109" i="15"/>
  <c r="Q9" i="8"/>
  <c r="Q10" i="8"/>
  <c r="R10" i="8"/>
  <c r="C46" i="15"/>
  <c r="C109" i="15" s="1"/>
  <c r="E46" i="15"/>
  <c r="F46" i="15"/>
  <c r="G45" i="15"/>
  <c r="G108" i="15" s="1"/>
  <c r="G43" i="15"/>
  <c r="G106" i="15" s="1"/>
  <c r="G44" i="15"/>
  <c r="G107" i="15" s="1"/>
  <c r="G46" i="15"/>
  <c r="I38" i="15"/>
  <c r="H39" i="15"/>
  <c r="H105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E100" i="8" a="1"/>
  <c r="E47" i="15" a="1"/>
  <c r="G58" i="8" a="1"/>
  <c r="G80" i="8" a="1"/>
  <c r="G61" i="8" a="1"/>
  <c r="G60" i="8" a="1"/>
  <c r="R15" i="8" a="1"/>
  <c r="H45" i="15" a="1"/>
  <c r="F100" i="8" a="1"/>
  <c r="G65" i="8" a="1"/>
  <c r="C47" i="15" a="1"/>
  <c r="G86" i="8" a="1"/>
  <c r="G47" i="15" a="1"/>
  <c r="G74" i="8" a="1"/>
  <c r="R12" i="8" a="1"/>
  <c r="F47" i="15" a="1"/>
  <c r="G64" i="8" a="1"/>
  <c r="G66" i="8" a="1"/>
  <c r="H46" i="15" a="1"/>
  <c r="G83" i="8" a="1"/>
  <c r="G104" i="8" a="1"/>
  <c r="G76" i="8" a="1"/>
  <c r="R14" i="8" a="1"/>
  <c r="G82" i="8" a="1"/>
  <c r="G70" i="8" a="1"/>
  <c r="G102" i="8" a="1"/>
  <c r="G54" i="8" a="1"/>
  <c r="E101" i="8" a="1"/>
  <c r="H47" i="15" a="1"/>
  <c r="G77" i="8" a="1"/>
  <c r="G67" i="8" a="1"/>
  <c r="G103" i="8" a="1"/>
  <c r="G71" i="8" a="1"/>
  <c r="G59" i="8" a="1"/>
  <c r="H44" i="15" a="1"/>
  <c r="G78" i="8" a="1"/>
  <c r="D47" i="15" a="1"/>
  <c r="G62" i="8" a="1"/>
  <c r="R13" i="8" a="1"/>
  <c r="G85" i="8" a="1"/>
  <c r="G72" i="8" a="1"/>
  <c r="G68" i="8" a="1"/>
  <c r="G55" i="8" a="1"/>
  <c r="F101" i="8" a="1"/>
  <c r="H43" i="15" a="1"/>
  <c r="G53" i="8" a="1"/>
  <c r="G84" i="8" a="1"/>
  <c r="G73" i="8" a="1"/>
  <c r="G52" i="8" a="1"/>
  <c r="G79" i="8" a="1"/>
  <c r="G56" i="8" a="1"/>
  <c r="G100" i="8" a="1"/>
  <c r="G101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9" i="15"/>
  <c r="F109" i="15"/>
  <c r="E109" i="15"/>
  <c r="D47" i="15"/>
  <c r="D110" i="15" s="1"/>
  <c r="B110" i="15"/>
  <c r="C47" i="15"/>
  <c r="C110" i="15" s="1"/>
  <c r="E47" i="15"/>
  <c r="F47" i="15"/>
  <c r="G47" i="15"/>
  <c r="H46" i="15"/>
  <c r="H109" i="15" s="1"/>
  <c r="H45" i="15"/>
  <c r="H108" i="15" s="1"/>
  <c r="H47" i="15"/>
  <c r="H44" i="15"/>
  <c r="H107" i="15" s="1"/>
  <c r="H43" i="15"/>
  <c r="H106" i="15" s="1"/>
  <c r="J38" i="15"/>
  <c r="B48" i="15"/>
  <c r="B171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52" i="8" a="1"/>
  <c r="H84" i="8" a="1"/>
  <c r="I46" i="15" a="1"/>
  <c r="H56" i="8" a="1"/>
  <c r="I39" i="15" a="1"/>
  <c r="H59" i="8" a="1"/>
  <c r="H71" i="8" a="1"/>
  <c r="I48" i="15" a="1"/>
  <c r="H64" i="8" a="1"/>
  <c r="H103" i="8" a="1"/>
  <c r="H77" i="8" a="1"/>
  <c r="G48" i="15" a="1"/>
  <c r="I44" i="15" a="1"/>
  <c r="H100" i="8" a="1"/>
  <c r="H53" i="8" a="1"/>
  <c r="I47" i="15" a="1"/>
  <c r="H68" i="8" a="1"/>
  <c r="H58" i="8" a="1"/>
  <c r="H62" i="8" a="1"/>
  <c r="C48" i="15" a="1"/>
  <c r="H82" i="8" a="1"/>
  <c r="H67" i="8" a="1"/>
  <c r="H72" i="8" a="1"/>
  <c r="H55" i="8" a="1"/>
  <c r="F48" i="15" a="1"/>
  <c r="H102" i="8" a="1"/>
  <c r="H86" i="8" a="1"/>
  <c r="D48" i="15" a="1"/>
  <c r="H78" i="8" a="1"/>
  <c r="H60" i="8" a="1"/>
  <c r="H101" i="8" a="1"/>
  <c r="H70" i="8" a="1"/>
  <c r="E48" i="15" a="1"/>
  <c r="I45" i="15" a="1"/>
  <c r="H66" i="8" a="1"/>
  <c r="H65" i="8" a="1"/>
  <c r="H104" i="8" a="1"/>
  <c r="H80" i="8" a="1"/>
  <c r="H74" i="8" a="1"/>
  <c r="H61" i="8" a="1"/>
  <c r="H76" i="8" a="1"/>
  <c r="H73" i="8" a="1"/>
  <c r="H83" i="8" a="1"/>
  <c r="I43" i="15" a="1"/>
  <c r="H48" i="15" a="1"/>
  <c r="H79" i="8" a="1"/>
  <c r="H54" i="8" a="1"/>
  <c r="H85" i="8" a="1"/>
  <c r="K38" i="15" l="1"/>
  <c r="H55" i="8"/>
  <c r="H56" i="8"/>
  <c r="H54" i="8"/>
  <c r="H52" i="8"/>
  <c r="H53" i="8"/>
  <c r="H76" i="8"/>
  <c r="H80" i="8"/>
  <c r="H78" i="8"/>
  <c r="H77" i="8"/>
  <c r="H79" i="8"/>
  <c r="H110" i="15"/>
  <c r="F110" i="15"/>
  <c r="E110" i="15"/>
  <c r="G110" i="15"/>
  <c r="D48" i="15"/>
  <c r="D111" i="15" s="1"/>
  <c r="B111" i="15"/>
  <c r="I39" i="15"/>
  <c r="I105" i="15" s="1"/>
  <c r="C48" i="15"/>
  <c r="C111" i="15" s="1"/>
  <c r="E48" i="15"/>
  <c r="F48" i="15"/>
  <c r="G48" i="15"/>
  <c r="H48" i="15"/>
  <c r="I43" i="15"/>
  <c r="I106" i="15" s="1"/>
  <c r="I45" i="15"/>
  <c r="I108" i="15" s="1"/>
  <c r="I46" i="15"/>
  <c r="I109" i="15" s="1"/>
  <c r="I47" i="15"/>
  <c r="I110" i="15" s="1"/>
  <c r="I48" i="15"/>
  <c r="I44" i="15"/>
  <c r="I107" i="15" s="1"/>
  <c r="B49" i="15"/>
  <c r="B172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J47" i="15" a="1"/>
  <c r="K44" i="15" a="1"/>
  <c r="I65" i="8" a="1"/>
  <c r="I52" i="8" a="1"/>
  <c r="K45" i="15" a="1"/>
  <c r="I83" i="8" a="1"/>
  <c r="J43" i="15" a="1"/>
  <c r="D49" i="15" a="1"/>
  <c r="K47" i="15" a="1"/>
  <c r="I60" i="8" a="1"/>
  <c r="I55" i="8" a="1"/>
  <c r="F49" i="15" a="1"/>
  <c r="I86" i="8" a="1"/>
  <c r="I62" i="8" a="1"/>
  <c r="I76" i="8" a="1"/>
  <c r="K48" i="15" a="1"/>
  <c r="I104" i="8" a="1"/>
  <c r="H49" i="15" a="1"/>
  <c r="J49" i="15" a="1"/>
  <c r="I80" i="8" a="1"/>
  <c r="I84" i="8" a="1"/>
  <c r="J39" i="15" a="1"/>
  <c r="I71" i="8" a="1"/>
  <c r="J45" i="15" a="1"/>
  <c r="I72" i="8" a="1"/>
  <c r="I54" i="8" a="1"/>
  <c r="J44" i="15" a="1"/>
  <c r="I67" i="8" a="1"/>
  <c r="J46" i="15" a="1"/>
  <c r="I53" i="8" a="1"/>
  <c r="I82" i="8" a="1"/>
  <c r="C49" i="15" a="1"/>
  <c r="I85" i="8" a="1"/>
  <c r="I74" i="8" a="1"/>
  <c r="I78" i="8" a="1"/>
  <c r="I68" i="8" a="1"/>
  <c r="I58" i="8" a="1"/>
  <c r="I73" i="8" a="1"/>
  <c r="I79" i="8" a="1"/>
  <c r="I59" i="8" a="1"/>
  <c r="I64" i="8" a="1"/>
  <c r="K46" i="15" a="1"/>
  <c r="I61" i="8" a="1"/>
  <c r="K49" i="15" a="1"/>
  <c r="I49" i="15" a="1"/>
  <c r="J48" i="15" a="1"/>
  <c r="K43" i="15" a="1"/>
  <c r="I66" i="8" a="1"/>
  <c r="K39" i="15" a="1"/>
  <c r="I56" i="8" a="1"/>
  <c r="E49" i="15" a="1"/>
  <c r="I70" i="8" a="1"/>
  <c r="I102" i="8" a="1"/>
  <c r="I100" i="8" a="1"/>
  <c r="I77" i="8" a="1"/>
  <c r="I101" i="8" a="1"/>
  <c r="I103" i="8" a="1"/>
  <c r="G49" i="15" a="1"/>
  <c r="L38" i="15" l="1"/>
  <c r="I54" i="8"/>
  <c r="I56" i="8"/>
  <c r="I53" i="8"/>
  <c r="I52" i="8"/>
  <c r="I55" i="8"/>
  <c r="I78" i="8"/>
  <c r="I76" i="8"/>
  <c r="I79" i="8"/>
  <c r="I77" i="8"/>
  <c r="I80" i="8"/>
  <c r="J39" i="15"/>
  <c r="J105" i="15" s="1"/>
  <c r="H111" i="15"/>
  <c r="F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J45" i="15"/>
  <c r="J108" i="15" s="1"/>
  <c r="J43" i="15"/>
  <c r="J106" i="15" s="1"/>
  <c r="J49" i="15"/>
  <c r="J48" i="15"/>
  <c r="J111" i="15" s="1"/>
  <c r="K48" i="15"/>
  <c r="K111" i="15" s="1"/>
  <c r="J44" i="15"/>
  <c r="J107" i="15" s="1"/>
  <c r="J47" i="15"/>
  <c r="J110" i="15" s="1"/>
  <c r="K46" i="15"/>
  <c r="K109" i="15" s="1"/>
  <c r="K43" i="15"/>
  <c r="K106" i="15" s="1"/>
  <c r="K47" i="15"/>
  <c r="K110" i="15" s="1"/>
  <c r="K44" i="15"/>
  <c r="K107" i="15" s="1"/>
  <c r="J46" i="15"/>
  <c r="J109" i="15" s="1"/>
  <c r="K45" i="15"/>
  <c r="K108" i="15" s="1"/>
  <c r="K49" i="15"/>
  <c r="K39" i="15"/>
  <c r="K105" i="15" s="1"/>
  <c r="M38" i="15"/>
  <c r="B50" i="15"/>
  <c r="B173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D50" i="15" a="1"/>
  <c r="J67" i="8" a="1"/>
  <c r="F50" i="15" a="1"/>
  <c r="J50" i="15" a="1"/>
  <c r="J64" i="8" a="1"/>
  <c r="J59" i="8" a="1"/>
  <c r="J77" i="8" a="1"/>
  <c r="J73" i="8" a="1"/>
  <c r="L43" i="15" a="1"/>
  <c r="J68" i="8" a="1"/>
  <c r="G50" i="15" a="1"/>
  <c r="J79" i="8" a="1"/>
  <c r="J61" i="8" a="1"/>
  <c r="J72" i="8" a="1"/>
  <c r="E50" i="15" a="1"/>
  <c r="C50" i="15" a="1"/>
  <c r="I50" i="15" a="1"/>
  <c r="J52" i="8" a="1"/>
  <c r="J86" i="8" a="1"/>
  <c r="J56" i="8" a="1"/>
  <c r="J60" i="8" a="1"/>
  <c r="J85" i="8" a="1"/>
  <c r="J78" i="8" a="1"/>
  <c r="J104" i="8" a="1"/>
  <c r="J65" i="8" a="1"/>
  <c r="J74" i="8" a="1"/>
  <c r="J76" i="8" a="1"/>
  <c r="K50" i="15" a="1"/>
  <c r="H50" i="15" a="1"/>
  <c r="L47" i="15" a="1"/>
  <c r="J82" i="8" a="1"/>
  <c r="J71" i="8" a="1"/>
  <c r="L46" i="15" a="1"/>
  <c r="J102" i="8" a="1"/>
  <c r="J103" i="8" a="1"/>
  <c r="L49" i="15" a="1"/>
  <c r="J53" i="8" a="1"/>
  <c r="L50" i="15" a="1"/>
  <c r="J62" i="8" a="1"/>
  <c r="L48" i="15" a="1"/>
  <c r="J54" i="8" a="1"/>
  <c r="J83" i="8" a="1"/>
  <c r="J58" i="8" a="1"/>
  <c r="J55" i="8" a="1"/>
  <c r="J100" i="8" a="1"/>
  <c r="L45" i="15" a="1"/>
  <c r="J80" i="8" a="1"/>
  <c r="J70" i="8" a="1"/>
  <c r="J66" i="8" a="1"/>
  <c r="J101" i="8" a="1"/>
  <c r="L39" i="15" a="1"/>
  <c r="J84" i="8" a="1"/>
  <c r="L44" i="15" a="1"/>
  <c r="F112" i="15" l="1"/>
  <c r="J53" i="8"/>
  <c r="J56" i="8"/>
  <c r="J54" i="8"/>
  <c r="J52" i="8"/>
  <c r="J55" i="8"/>
  <c r="J77" i="8"/>
  <c r="J76" i="8"/>
  <c r="J79" i="8"/>
  <c r="J78" i="8"/>
  <c r="J80" i="8"/>
  <c r="I112" i="15"/>
  <c r="E112" i="15"/>
  <c r="J112" i="15"/>
  <c r="H112" i="15"/>
  <c r="K112" i="15"/>
  <c r="G112" i="15"/>
  <c r="D50" i="15"/>
  <c r="D113" i="15" s="1"/>
  <c r="B113" i="15"/>
  <c r="C50" i="15"/>
  <c r="C113" i="15" s="1"/>
  <c r="E50" i="15"/>
  <c r="F50" i="15"/>
  <c r="G50" i="15"/>
  <c r="H50" i="15"/>
  <c r="I50" i="15"/>
  <c r="K50" i="15"/>
  <c r="J50" i="15"/>
  <c r="L45" i="15"/>
  <c r="L108" i="15" s="1"/>
  <c r="L47" i="15"/>
  <c r="L110" i="15" s="1"/>
  <c r="L50" i="15"/>
  <c r="L44" i="15"/>
  <c r="L107" i="15" s="1"/>
  <c r="L43" i="15"/>
  <c r="L106" i="15" s="1"/>
  <c r="L46" i="15"/>
  <c r="L109" i="15" s="1"/>
  <c r="L48" i="15"/>
  <c r="L111" i="15" s="1"/>
  <c r="L49" i="15"/>
  <c r="L112" i="15" s="1"/>
  <c r="L39" i="15"/>
  <c r="L105" i="15" s="1"/>
  <c r="N38" i="15"/>
  <c r="B51" i="15"/>
  <c r="B174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M45" i="15" a="1"/>
  <c r="C51" i="15" a="1"/>
  <c r="D51" i="15" a="1"/>
  <c r="K77" i="8" a="1"/>
  <c r="K72" i="8" a="1"/>
  <c r="K59" i="8" a="1"/>
  <c r="K51" i="15" a="1"/>
  <c r="M49" i="15" a="1"/>
  <c r="K100" i="8" a="1"/>
  <c r="K83" i="8" a="1"/>
  <c r="K56" i="8" a="1"/>
  <c r="K74" i="8" a="1"/>
  <c r="K65" i="8" a="1"/>
  <c r="J51" i="15" a="1"/>
  <c r="K70" i="8" a="1"/>
  <c r="G51" i="15" a="1"/>
  <c r="M48" i="15" a="1"/>
  <c r="K54" i="8" a="1"/>
  <c r="L51" i="15" a="1"/>
  <c r="M47" i="15" a="1"/>
  <c r="K78" i="8" a="1"/>
  <c r="K101" i="8" a="1"/>
  <c r="K66" i="8" a="1"/>
  <c r="K86" i="8" a="1"/>
  <c r="K55" i="8" a="1"/>
  <c r="M50" i="15" a="1"/>
  <c r="K103" i="8" a="1"/>
  <c r="K79" i="8" a="1"/>
  <c r="M46" i="15" a="1"/>
  <c r="K104" i="8" a="1"/>
  <c r="K62" i="8" a="1"/>
  <c r="K71" i="8" a="1"/>
  <c r="K67" i="8" a="1"/>
  <c r="K60" i="8" a="1"/>
  <c r="K76" i="8" a="1"/>
  <c r="F51" i="15" a="1"/>
  <c r="M39" i="15" a="1"/>
  <c r="K58" i="8" a="1"/>
  <c r="K84" i="8" a="1"/>
  <c r="M44" i="15" a="1"/>
  <c r="I51" i="15" a="1"/>
  <c r="K53" i="8" a="1"/>
  <c r="H51" i="15" a="1"/>
  <c r="E51" i="15" a="1"/>
  <c r="M43" i="15" a="1"/>
  <c r="K61" i="8" a="1"/>
  <c r="K82" i="8" a="1"/>
  <c r="K73" i="8" a="1"/>
  <c r="K52" i="8" a="1"/>
  <c r="M51" i="15" a="1"/>
  <c r="K102" i="8" a="1"/>
  <c r="K80" i="8" a="1"/>
  <c r="K85" i="8" a="1"/>
  <c r="K68" i="8" a="1"/>
  <c r="K64" i="8" a="1"/>
  <c r="L113" i="15" l="1"/>
  <c r="K113" i="15"/>
  <c r="F113" i="15"/>
  <c r="K55" i="8"/>
  <c r="K52" i="8"/>
  <c r="K54" i="8"/>
  <c r="K53" i="8"/>
  <c r="K56" i="8"/>
  <c r="K76" i="8"/>
  <c r="K77" i="8"/>
  <c r="K79" i="8"/>
  <c r="K80" i="8"/>
  <c r="K78" i="8"/>
  <c r="H113" i="15"/>
  <c r="J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K51" i="15"/>
  <c r="J51" i="15"/>
  <c r="L51" i="15"/>
  <c r="M43" i="15"/>
  <c r="M106" i="15" s="1"/>
  <c r="M46" i="15"/>
  <c r="M109" i="15" s="1"/>
  <c r="M51" i="15"/>
  <c r="M48" i="15"/>
  <c r="M111" i="15" s="1"/>
  <c r="M45" i="15"/>
  <c r="M108" i="15" s="1"/>
  <c r="M47" i="15"/>
  <c r="M110" i="15" s="1"/>
  <c r="M49" i="15"/>
  <c r="M112" i="15" s="1"/>
  <c r="M44" i="15"/>
  <c r="M107" i="15" s="1"/>
  <c r="M50" i="15"/>
  <c r="M113" i="15" s="1"/>
  <c r="M39" i="15"/>
  <c r="M105" i="15" s="1"/>
  <c r="O38" i="15"/>
  <c r="B52" i="15"/>
  <c r="B175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70" i="8" a="1"/>
  <c r="I52" i="15" a="1"/>
  <c r="E52" i="15" a="1"/>
  <c r="L74" i="8" a="1"/>
  <c r="L101" i="8" a="1"/>
  <c r="H52" i="15" a="1"/>
  <c r="L84" i="8" a="1"/>
  <c r="L104" i="8" a="1"/>
  <c r="D52" i="15" a="1"/>
  <c r="L65" i="8" a="1"/>
  <c r="N48" i="15" a="1"/>
  <c r="G52" i="15" a="1"/>
  <c r="L102" i="8" a="1"/>
  <c r="L64" i="8" a="1"/>
  <c r="L76" i="8" a="1"/>
  <c r="N43" i="15" a="1"/>
  <c r="L67" i="8" a="1"/>
  <c r="L66" i="8" a="1"/>
  <c r="N49" i="15" a="1"/>
  <c r="L60" i="8" a="1"/>
  <c r="L59" i="8" a="1"/>
  <c r="L79" i="8" a="1"/>
  <c r="L85" i="8" a="1"/>
  <c r="N46" i="15" a="1"/>
  <c r="L52" i="15" a="1"/>
  <c r="L68" i="8" a="1"/>
  <c r="L58" i="8" a="1"/>
  <c r="N51" i="15" a="1"/>
  <c r="K52" i="15" a="1"/>
  <c r="L56" i="8" a="1"/>
  <c r="L71" i="8" a="1"/>
  <c r="L62" i="8" a="1"/>
  <c r="L72" i="8" a="1"/>
  <c r="C52" i="15" a="1"/>
  <c r="L80" i="8" a="1"/>
  <c r="L61" i="8" a="1"/>
  <c r="L53" i="8" a="1"/>
  <c r="N50" i="15" a="1"/>
  <c r="L82" i="8" a="1"/>
  <c r="L83" i="8" a="1"/>
  <c r="J52" i="15" a="1"/>
  <c r="L78" i="8" a="1"/>
  <c r="N47" i="15" a="1"/>
  <c r="L54" i="8" a="1"/>
  <c r="F52" i="15" a="1"/>
  <c r="L52" i="8" a="1"/>
  <c r="L55" i="8" a="1"/>
  <c r="N52" i="15" a="1"/>
  <c r="N44" i="15" a="1"/>
  <c r="L86" i="8" a="1"/>
  <c r="L73" i="8" a="1"/>
  <c r="N45" i="15" a="1"/>
  <c r="N39" i="15" a="1"/>
  <c r="L100" i="8" a="1"/>
  <c r="M52" i="15" a="1"/>
  <c r="L77" i="8" a="1"/>
  <c r="L103" i="8" a="1"/>
  <c r="L54" i="8" l="1"/>
  <c r="L55" i="8"/>
  <c r="L52" i="8"/>
  <c r="L53" i="8"/>
  <c r="L56" i="8"/>
  <c r="L78" i="8"/>
  <c r="L77" i="8"/>
  <c r="L79" i="8"/>
  <c r="L76" i="8"/>
  <c r="L80" i="8"/>
  <c r="K114" i="15"/>
  <c r="F114" i="15"/>
  <c r="M114" i="15"/>
  <c r="J114" i="15"/>
  <c r="G114" i="15"/>
  <c r="I114" i="15"/>
  <c r="E114" i="15"/>
  <c r="L114" i="15"/>
  <c r="H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44" i="15"/>
  <c r="N107" i="15" s="1"/>
  <c r="N43" i="15"/>
  <c r="N106" i="15" s="1"/>
  <c r="N49" i="15"/>
  <c r="N112" i="15" s="1"/>
  <c r="N46" i="15"/>
  <c r="N109" i="15" s="1"/>
  <c r="N50" i="15"/>
  <c r="N113" i="15" s="1"/>
  <c r="N45" i="15"/>
  <c r="N108" i="15" s="1"/>
  <c r="N52" i="15"/>
  <c r="N51" i="15"/>
  <c r="N114" i="15" s="1"/>
  <c r="N47" i="15"/>
  <c r="N110" i="15" s="1"/>
  <c r="N48" i="15"/>
  <c r="N111" i="15" s="1"/>
  <c r="N39" i="15"/>
  <c r="N105" i="15" s="1"/>
  <c r="P38" i="15"/>
  <c r="B53" i="15"/>
  <c r="B176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85" i="8" a="1"/>
  <c r="M66" i="8" a="1"/>
  <c r="M61" i="8" a="1"/>
  <c r="M64" i="8" a="1"/>
  <c r="M56" i="8" a="1"/>
  <c r="G53" i="15" a="1"/>
  <c r="I53" i="15" a="1"/>
  <c r="H53" i="15" a="1"/>
  <c r="M58" i="8" a="1"/>
  <c r="M53" i="8" a="1"/>
  <c r="M72" i="8" a="1"/>
  <c r="O48" i="15" a="1"/>
  <c r="L53" i="15" a="1"/>
  <c r="O53" i="15" a="1"/>
  <c r="M52" i="8" a="1"/>
  <c r="O39" i="15" a="1"/>
  <c r="M104" i="8" a="1"/>
  <c r="K53" i="15" a="1"/>
  <c r="M65" i="8" a="1"/>
  <c r="N53" i="15" a="1"/>
  <c r="M80" i="8" a="1"/>
  <c r="O45" i="15" a="1"/>
  <c r="M86" i="8" a="1"/>
  <c r="C53" i="15" a="1"/>
  <c r="O44" i="15" a="1"/>
  <c r="M78" i="8" a="1"/>
  <c r="M100" i="8" a="1"/>
  <c r="M103" i="8" a="1"/>
  <c r="M79" i="8" a="1"/>
  <c r="M53" i="15" a="1"/>
  <c r="O50" i="15" a="1"/>
  <c r="M83" i="8" a="1"/>
  <c r="O46" i="15" a="1"/>
  <c r="M55" i="8" a="1"/>
  <c r="O52" i="15" a="1"/>
  <c r="M59" i="8" a="1"/>
  <c r="O49" i="15" a="1"/>
  <c r="O47" i="15" a="1"/>
  <c r="M60" i="8" a="1"/>
  <c r="M82" i="8" a="1"/>
  <c r="E53" i="15" a="1"/>
  <c r="M68" i="8" a="1"/>
  <c r="M62" i="8" a="1"/>
  <c r="F53" i="15" a="1"/>
  <c r="M71" i="8" a="1"/>
  <c r="M74" i="8" a="1"/>
  <c r="J53" i="15" a="1"/>
  <c r="M54" i="8" a="1"/>
  <c r="D53" i="15" a="1"/>
  <c r="O51" i="15" a="1"/>
  <c r="M73" i="8" a="1"/>
  <c r="M101" i="8" a="1"/>
  <c r="M84" i="8" a="1"/>
  <c r="M77" i="8" a="1"/>
  <c r="M67" i="8" a="1"/>
  <c r="O43" i="15" a="1"/>
  <c r="M70" i="8" a="1"/>
  <c r="M102" i="8" a="1"/>
  <c r="M55" i="8" l="1"/>
  <c r="M52" i="8"/>
  <c r="M54" i="8"/>
  <c r="M53" i="8"/>
  <c r="M56" i="8"/>
  <c r="M79" i="8"/>
  <c r="M80" i="8"/>
  <c r="M78" i="8"/>
  <c r="M77" i="8"/>
  <c r="M76" i="8"/>
  <c r="F115" i="15"/>
  <c r="J115" i="15"/>
  <c r="N115" i="15"/>
  <c r="L115" i="15"/>
  <c r="H115" i="15"/>
  <c r="K115" i="15"/>
  <c r="G115" i="15"/>
  <c r="M115" i="15"/>
  <c r="I115" i="15"/>
  <c r="E115" i="15"/>
  <c r="D53" i="15"/>
  <c r="D116" i="15" s="1"/>
  <c r="B116" i="15"/>
  <c r="C53" i="15"/>
  <c r="C116" i="15" s="1"/>
  <c r="E53" i="15"/>
  <c r="F53" i="15"/>
  <c r="G53" i="15"/>
  <c r="H53" i="15"/>
  <c r="I53" i="15"/>
  <c r="J53" i="15"/>
  <c r="K53" i="15"/>
  <c r="L53" i="15"/>
  <c r="M53" i="15"/>
  <c r="N53" i="15"/>
  <c r="O46" i="15"/>
  <c r="O109" i="15" s="1"/>
  <c r="O45" i="15"/>
  <c r="O108" i="15" s="1"/>
  <c r="O51" i="15"/>
  <c r="O114" i="15" s="1"/>
  <c r="O43" i="15"/>
  <c r="O106" i="15" s="1"/>
  <c r="O47" i="15"/>
  <c r="O110" i="15" s="1"/>
  <c r="O52" i="15"/>
  <c r="O115" i="15" s="1"/>
  <c r="O50" i="15"/>
  <c r="O113" i="15" s="1"/>
  <c r="O48" i="15"/>
  <c r="O111" i="15" s="1"/>
  <c r="O44" i="15"/>
  <c r="O107" i="15" s="1"/>
  <c r="O49" i="15"/>
  <c r="O112" i="15" s="1"/>
  <c r="O53" i="15"/>
  <c r="O39" i="15"/>
  <c r="O105" i="15" s="1"/>
  <c r="Q38" i="15"/>
  <c r="B54" i="15"/>
  <c r="B177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54" i="8" a="1"/>
  <c r="N64" i="8" a="1"/>
  <c r="P44" i="15" a="1"/>
  <c r="N84" i="8" a="1"/>
  <c r="I54" i="15" a="1"/>
  <c r="G54" i="15" a="1"/>
  <c r="N104" i="8" a="1"/>
  <c r="N59" i="8" a="1"/>
  <c r="N61" i="8" a="1"/>
  <c r="K54" i="15" a="1"/>
  <c r="N79" i="8" a="1"/>
  <c r="N67" i="8" a="1"/>
  <c r="P54" i="15" a="1"/>
  <c r="N78" i="8" a="1"/>
  <c r="N83" i="8" a="1"/>
  <c r="L54" i="15" a="1"/>
  <c r="N77" i="8" a="1"/>
  <c r="N86" i="8" a="1"/>
  <c r="N53" i="8" a="1"/>
  <c r="N66" i="8" a="1"/>
  <c r="P48" i="15" a="1"/>
  <c r="N68" i="8" a="1"/>
  <c r="N76" i="8" a="1"/>
  <c r="P45" i="15" a="1"/>
  <c r="J54" i="15" a="1"/>
  <c r="N85" i="8" a="1"/>
  <c r="N60" i="8" a="1"/>
  <c r="N102" i="8" a="1"/>
  <c r="N74" i="8" a="1"/>
  <c r="N70" i="8" a="1"/>
  <c r="N52" i="8" a="1"/>
  <c r="E54" i="15" a="1"/>
  <c r="F54" i="15" a="1"/>
  <c r="N58" i="8" a="1"/>
  <c r="P43" i="15" a="1"/>
  <c r="P47" i="15" a="1"/>
  <c r="P50" i="15" a="1"/>
  <c r="N80" i="8" a="1"/>
  <c r="N73" i="8" a="1"/>
  <c r="P39" i="15" a="1"/>
  <c r="H54" i="15" a="1"/>
  <c r="P51" i="15" a="1"/>
  <c r="C54" i="15" a="1"/>
  <c r="N55" i="8" a="1"/>
  <c r="N54" i="15" a="1"/>
  <c r="M54" i="15" a="1"/>
  <c r="N72" i="8" a="1"/>
  <c r="N103" i="8" a="1"/>
  <c r="O54" i="15" a="1"/>
  <c r="N71" i="8" a="1"/>
  <c r="D54" i="15" a="1"/>
  <c r="P49" i="15" a="1"/>
  <c r="N100" i="8" a="1"/>
  <c r="P52" i="15" a="1"/>
  <c r="N62" i="8" a="1"/>
  <c r="N56" i="8" a="1"/>
  <c r="P53" i="15" a="1"/>
  <c r="P46" i="15" a="1"/>
  <c r="N101" i="8" a="1"/>
  <c r="N65" i="8" a="1"/>
  <c r="N82" i="8" a="1"/>
  <c r="N52" i="8" l="1"/>
  <c r="N55" i="8"/>
  <c r="N53" i="8"/>
  <c r="N56" i="8"/>
  <c r="N54" i="8"/>
  <c r="N79" i="8"/>
  <c r="N80" i="8"/>
  <c r="N77" i="8"/>
  <c r="N76" i="8"/>
  <c r="N78" i="8"/>
  <c r="J116" i="15"/>
  <c r="N116" i="15"/>
  <c r="F116" i="15"/>
  <c r="O116" i="15"/>
  <c r="M116" i="15"/>
  <c r="E116" i="15"/>
  <c r="L116" i="15"/>
  <c r="H116" i="15"/>
  <c r="I116" i="15"/>
  <c r="K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12" i="15" s="1"/>
  <c r="P54" i="15"/>
  <c r="P43" i="15"/>
  <c r="P106" i="15" s="1"/>
  <c r="P50" i="15"/>
  <c r="P113" i="15" s="1"/>
  <c r="P52" i="15"/>
  <c r="P115" i="15" s="1"/>
  <c r="P47" i="15"/>
  <c r="P110" i="15" s="1"/>
  <c r="P45" i="15"/>
  <c r="P108" i="15" s="1"/>
  <c r="P51" i="15"/>
  <c r="P114" i="15" s="1"/>
  <c r="P44" i="15"/>
  <c r="P107" i="15" s="1"/>
  <c r="P48" i="15"/>
  <c r="P111" i="15" s="1"/>
  <c r="P53" i="15"/>
  <c r="P116" i="15" s="1"/>
  <c r="P46" i="15"/>
  <c r="P109" i="15" s="1"/>
  <c r="P39" i="15"/>
  <c r="P105" i="15" s="1"/>
  <c r="R38" i="15"/>
  <c r="B55" i="15"/>
  <c r="B178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0" i="8" a="1"/>
  <c r="O55" i="15" a="1"/>
  <c r="O103" i="8" a="1"/>
  <c r="O84" i="8" a="1"/>
  <c r="Q48" i="15" a="1"/>
  <c r="Q43" i="15" a="1"/>
  <c r="O77" i="8" a="1"/>
  <c r="O101" i="8" a="1"/>
  <c r="O72" i="8" a="1"/>
  <c r="E55" i="15" a="1"/>
  <c r="O52" i="8" a="1"/>
  <c r="O74" i="8" a="1"/>
  <c r="O86" i="8" a="1"/>
  <c r="O65" i="8" a="1"/>
  <c r="J55" i="15" a="1"/>
  <c r="Q52" i="15" a="1"/>
  <c r="K55" i="15" a="1"/>
  <c r="P55" i="15" a="1"/>
  <c r="Q46" i="15" a="1"/>
  <c r="O64" i="8" a="1"/>
  <c r="O62" i="8" a="1"/>
  <c r="O56" i="8" a="1"/>
  <c r="O82" i="8" a="1"/>
  <c r="L55" i="15" a="1"/>
  <c r="Q50" i="15" a="1"/>
  <c r="Q45" i="15" a="1"/>
  <c r="O59" i="8" a="1"/>
  <c r="G55" i="15" a="1"/>
  <c r="O79" i="8" a="1"/>
  <c r="O60" i="8" a="1"/>
  <c r="O55" i="8" a="1"/>
  <c r="O78" i="8" a="1"/>
  <c r="O102" i="8" a="1"/>
  <c r="O73" i="8" a="1"/>
  <c r="Q47" i="15" a="1"/>
  <c r="O80" i="8" a="1"/>
  <c r="F55" i="15" a="1"/>
  <c r="Q49" i="15" a="1"/>
  <c r="O66" i="8" a="1"/>
  <c r="D55" i="15" a="1"/>
  <c r="O104" i="8" a="1"/>
  <c r="Q44" i="15" a="1"/>
  <c r="O58" i="8" a="1"/>
  <c r="O54" i="8" a="1"/>
  <c r="Q51" i="15" a="1"/>
  <c r="Q53" i="15" a="1"/>
  <c r="O53" i="8" a="1"/>
  <c r="O68" i="8" a="1"/>
  <c r="Q55" i="15" a="1"/>
  <c r="O100" i="8" a="1"/>
  <c r="O71" i="8" a="1"/>
  <c r="H55" i="15" a="1"/>
  <c r="M55" i="15" a="1"/>
  <c r="C55" i="15" a="1"/>
  <c r="O67" i="8" a="1"/>
  <c r="O83" i="8" a="1"/>
  <c r="O76" i="8" a="1"/>
  <c r="I55" i="15" a="1"/>
  <c r="Q54" i="15" a="1"/>
  <c r="N55" i="15" a="1"/>
  <c r="Q39" i="15" a="1"/>
  <c r="O85" i="8" a="1"/>
  <c r="O61" i="8" a="1"/>
  <c r="O54" i="8" l="1"/>
  <c r="O52" i="8"/>
  <c r="O56" i="8"/>
  <c r="O53" i="8"/>
  <c r="O55" i="8"/>
  <c r="O76" i="8"/>
  <c r="O77" i="8"/>
  <c r="O78" i="8"/>
  <c r="O79" i="8"/>
  <c r="O80" i="8"/>
  <c r="N117" i="15"/>
  <c r="F117" i="15"/>
  <c r="J117" i="15"/>
  <c r="L117" i="15"/>
  <c r="H117" i="15"/>
  <c r="P117" i="15"/>
  <c r="M117" i="15"/>
  <c r="I117" i="15"/>
  <c r="E117" i="15"/>
  <c r="O117" i="15"/>
  <c r="K117" i="15"/>
  <c r="G117" i="15"/>
  <c r="D55" i="15"/>
  <c r="D118" i="15" s="1"/>
  <c r="B118" i="15"/>
  <c r="C55" i="15"/>
  <c r="C118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7" i="15" s="1"/>
  <c r="Q55" i="15"/>
  <c r="Q51" i="15"/>
  <c r="Q114" i="15" s="1"/>
  <c r="Q43" i="15"/>
  <c r="Q106" i="15" s="1"/>
  <c r="Q48" i="15"/>
  <c r="Q111" i="15" s="1"/>
  <c r="Q53" i="15"/>
  <c r="Q116" i="15" s="1"/>
  <c r="Q49" i="15"/>
  <c r="Q112" i="15" s="1"/>
  <c r="Q46" i="15"/>
  <c r="Q109" i="15" s="1"/>
  <c r="Q45" i="15"/>
  <c r="Q108" i="15" s="1"/>
  <c r="Q50" i="15"/>
  <c r="Q113" i="15" s="1"/>
  <c r="Q47" i="15"/>
  <c r="Q110" i="15" s="1"/>
  <c r="Q54" i="15"/>
  <c r="Q117" i="15" s="1"/>
  <c r="Q52" i="15"/>
  <c r="Q115" i="15" s="1"/>
  <c r="Q39" i="15"/>
  <c r="Q105" i="15" s="1"/>
  <c r="S38" i="15"/>
  <c r="B56" i="15"/>
  <c r="B179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60" i="8" a="1"/>
  <c r="P64" i="8" a="1"/>
  <c r="P103" i="8" a="1"/>
  <c r="P70" i="8" a="1"/>
  <c r="P86" i="8" a="1"/>
  <c r="P77" i="8" a="1"/>
  <c r="P100" i="8" a="1"/>
  <c r="O56" i="15" a="1"/>
  <c r="R55" i="15" a="1"/>
  <c r="P59" i="8" a="1"/>
  <c r="P78" i="8" a="1"/>
  <c r="P84" i="8" a="1"/>
  <c r="P73" i="8" a="1"/>
  <c r="P74" i="8" a="1"/>
  <c r="P80" i="8" a="1"/>
  <c r="P66" i="8" a="1"/>
  <c r="R54" i="15" a="1"/>
  <c r="P85" i="8" a="1"/>
  <c r="R48" i="15" a="1"/>
  <c r="P76" i="8" a="1"/>
  <c r="P67" i="8" a="1"/>
  <c r="F56" i="15" a="1"/>
  <c r="P83" i="8" a="1"/>
  <c r="P52" i="8" a="1"/>
  <c r="P56" i="15" a="1"/>
  <c r="P56" i="8" a="1"/>
  <c r="C56" i="15" a="1"/>
  <c r="I56" i="15" a="1"/>
  <c r="R46" i="15" a="1"/>
  <c r="P62" i="8" a="1"/>
  <c r="P55" i="8" a="1"/>
  <c r="R51" i="15" a="1"/>
  <c r="M56" i="15" a="1"/>
  <c r="E56" i="15" a="1"/>
  <c r="P104" i="8" a="1"/>
  <c r="P61" i="8" a="1"/>
  <c r="Q56" i="15" a="1"/>
  <c r="R45" i="15" a="1"/>
  <c r="P79" i="8" a="1"/>
  <c r="P101" i="8" a="1"/>
  <c r="H56" i="15" a="1"/>
  <c r="N56" i="15" a="1"/>
  <c r="R56" i="15" a="1"/>
  <c r="P54" i="8" a="1"/>
  <c r="D56" i="15" a="1"/>
  <c r="R44" i="15" a="1"/>
  <c r="R39" i="15" a="1"/>
  <c r="R43" i="15" a="1"/>
  <c r="J56" i="15" a="1"/>
  <c r="K56" i="15" a="1"/>
  <c r="P102" i="8" a="1"/>
  <c r="R50" i="15" a="1"/>
  <c r="P65" i="8" a="1"/>
  <c r="L56" i="15" a="1"/>
  <c r="P53" i="8" a="1"/>
  <c r="R52" i="15" a="1"/>
  <c r="R47" i="15" a="1"/>
  <c r="P82" i="8" a="1"/>
  <c r="R49" i="15" a="1"/>
  <c r="P71" i="8" a="1"/>
  <c r="P58" i="8" a="1"/>
  <c r="G56" i="15" a="1"/>
  <c r="P72" i="8" a="1"/>
  <c r="P68" i="8" a="1"/>
  <c r="R53" i="15" a="1"/>
  <c r="P53" i="8" l="1"/>
  <c r="P56" i="8"/>
  <c r="P54" i="8"/>
  <c r="P52" i="8"/>
  <c r="P55" i="8"/>
  <c r="P77" i="8"/>
  <c r="P76" i="8"/>
  <c r="P80" i="8"/>
  <c r="P78" i="8"/>
  <c r="P79" i="8"/>
  <c r="N118" i="15"/>
  <c r="Q118" i="15"/>
  <c r="K118" i="15"/>
  <c r="F118" i="15"/>
  <c r="M118" i="15"/>
  <c r="I118" i="15"/>
  <c r="E118" i="15"/>
  <c r="P118" i="15"/>
  <c r="L118" i="15"/>
  <c r="H118" i="15"/>
  <c r="O118" i="15"/>
  <c r="J118" i="15"/>
  <c r="G118" i="15"/>
  <c r="D56" i="15"/>
  <c r="D119" i="15" s="1"/>
  <c r="B119" i="15"/>
  <c r="C56" i="15"/>
  <c r="C119" i="15" s="1"/>
  <c r="E56" i="15"/>
  <c r="F56" i="15"/>
  <c r="G56" i="15"/>
  <c r="H56" i="15"/>
  <c r="I56" i="15"/>
  <c r="K56" i="15"/>
  <c r="J56" i="15"/>
  <c r="L56" i="15"/>
  <c r="M56" i="15"/>
  <c r="N56" i="15"/>
  <c r="N119" i="15" s="1"/>
  <c r="O56" i="15"/>
  <c r="P56" i="15"/>
  <c r="Q56" i="15"/>
  <c r="R50" i="15"/>
  <c r="R113" i="15" s="1"/>
  <c r="R46" i="15"/>
  <c r="R109" i="15" s="1"/>
  <c r="R53" i="15"/>
  <c r="R116" i="15" s="1"/>
  <c r="R47" i="15"/>
  <c r="R110" i="15" s="1"/>
  <c r="R51" i="15"/>
  <c r="R114" i="15" s="1"/>
  <c r="R44" i="15"/>
  <c r="R107" i="15" s="1"/>
  <c r="R43" i="15"/>
  <c r="R106" i="15" s="1"/>
  <c r="R54" i="15"/>
  <c r="R117" i="15" s="1"/>
  <c r="R48" i="15"/>
  <c r="R111" i="15" s="1"/>
  <c r="R52" i="15"/>
  <c r="R115" i="15" s="1"/>
  <c r="R56" i="15"/>
  <c r="R45" i="15"/>
  <c r="R108" i="15" s="1"/>
  <c r="R55" i="15"/>
  <c r="R118" i="15" s="1"/>
  <c r="R49" i="15"/>
  <c r="R112" i="15" s="1"/>
  <c r="R39" i="15"/>
  <c r="R105" i="15" s="1"/>
  <c r="T38" i="15"/>
  <c r="B57" i="15"/>
  <c r="B180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64" i="8" a="1"/>
  <c r="Q65" i="8" a="1"/>
  <c r="Q82" i="8" a="1"/>
  <c r="Q59" i="8" a="1"/>
  <c r="Q56" i="8" a="1"/>
  <c r="Q104" i="8" a="1"/>
  <c r="Q54" i="8" a="1"/>
  <c r="Q102" i="8" a="1"/>
  <c r="Q70" i="8" a="1"/>
  <c r="F57" i="15" a="1"/>
  <c r="Q79" i="8" a="1"/>
  <c r="I57" i="15" a="1"/>
  <c r="S53" i="15" a="1"/>
  <c r="D57" i="15" a="1"/>
  <c r="J57" i="15" a="1"/>
  <c r="S54" i="15" a="1"/>
  <c r="Q72" i="8" a="1"/>
  <c r="H57" i="15" a="1"/>
  <c r="Q78" i="8" a="1"/>
  <c r="S50" i="15" a="1"/>
  <c r="S43" i="15" a="1"/>
  <c r="Q66" i="8" a="1"/>
  <c r="Q62" i="8" a="1"/>
  <c r="R57" i="15" a="1"/>
  <c r="Q57" i="15" a="1"/>
  <c r="Q60" i="8" a="1"/>
  <c r="S55" i="15" a="1"/>
  <c r="Q68" i="8" a="1"/>
  <c r="Q83" i="8" a="1"/>
  <c r="Q53" i="8" a="1"/>
  <c r="L57" i="15" a="1"/>
  <c r="Q74" i="8" a="1"/>
  <c r="P57" i="15" a="1"/>
  <c r="Q77" i="8" a="1"/>
  <c r="S39" i="15" a="1"/>
  <c r="Q103" i="8" a="1"/>
  <c r="S45" i="15" a="1"/>
  <c r="S48" i="15" a="1"/>
  <c r="K57" i="15" a="1"/>
  <c r="Q85" i="8" a="1"/>
  <c r="M57" i="15" a="1"/>
  <c r="Q67" i="8" a="1"/>
  <c r="Q52" i="8" a="1"/>
  <c r="O57" i="15" a="1"/>
  <c r="S51" i="15" a="1"/>
  <c r="E57" i="15" a="1"/>
  <c r="S47" i="15" a="1"/>
  <c r="S44" i="15" a="1"/>
  <c r="Q80" i="8" a="1"/>
  <c r="C57" i="15" a="1"/>
  <c r="Q61" i="8" a="1"/>
  <c r="Q101" i="8" a="1"/>
  <c r="Q100" i="8" a="1"/>
  <c r="Q86" i="8" a="1"/>
  <c r="S49" i="15" a="1"/>
  <c r="S52" i="15" a="1"/>
  <c r="Q73" i="8" a="1"/>
  <c r="Q58" i="8" a="1"/>
  <c r="Q84" i="8" a="1"/>
  <c r="S46" i="15" a="1"/>
  <c r="G57" i="15" a="1"/>
  <c r="S56" i="15" a="1"/>
  <c r="Q55" i="8" a="1"/>
  <c r="Q71" i="8" a="1"/>
  <c r="S57" i="15" a="1"/>
  <c r="N57" i="15" a="1"/>
  <c r="Q54" i="8" l="1"/>
  <c r="Q52" i="8"/>
  <c r="Q56" i="8"/>
  <c r="Q53" i="8"/>
  <c r="Q55" i="8"/>
  <c r="Q78" i="8"/>
  <c r="Q77" i="8"/>
  <c r="Q79" i="8"/>
  <c r="Q80" i="8"/>
  <c r="Q76" i="8"/>
  <c r="K119" i="15"/>
  <c r="F119" i="15"/>
  <c r="R119" i="15"/>
  <c r="P119" i="15"/>
  <c r="L119" i="15"/>
  <c r="H119" i="15"/>
  <c r="O119" i="15"/>
  <c r="J119" i="15"/>
  <c r="G119" i="15"/>
  <c r="Q119" i="15"/>
  <c r="M119" i="15"/>
  <c r="I119" i="15"/>
  <c r="E119" i="15"/>
  <c r="D57" i="15"/>
  <c r="D120" i="15" s="1"/>
  <c r="B120" i="15"/>
  <c r="C57" i="15"/>
  <c r="C120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9" i="15" s="1"/>
  <c r="S44" i="15"/>
  <c r="S107" i="15" s="1"/>
  <c r="S47" i="15"/>
  <c r="S110" i="15" s="1"/>
  <c r="S57" i="15"/>
  <c r="S53" i="15"/>
  <c r="S116" i="15" s="1"/>
  <c r="S46" i="15"/>
  <c r="S109" i="15" s="1"/>
  <c r="S48" i="15"/>
  <c r="S111" i="15" s="1"/>
  <c r="S49" i="15"/>
  <c r="S112" i="15" s="1"/>
  <c r="S54" i="15"/>
  <c r="S117" i="15" s="1"/>
  <c r="S43" i="15"/>
  <c r="S106" i="15" s="1"/>
  <c r="S51" i="15"/>
  <c r="S114" i="15" s="1"/>
  <c r="S50" i="15"/>
  <c r="S113" i="15" s="1"/>
  <c r="S55" i="15"/>
  <c r="S118" i="15" s="1"/>
  <c r="S45" i="15"/>
  <c r="S108" i="15" s="1"/>
  <c r="S52" i="15"/>
  <c r="S115" i="15" s="1"/>
  <c r="S39" i="15"/>
  <c r="S105" i="15" s="1"/>
  <c r="U38" i="15"/>
  <c r="B58" i="15"/>
  <c r="B181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68" i="8" a="1"/>
  <c r="R67" i="8" a="1"/>
  <c r="T44" i="15" a="1"/>
  <c r="T48" i="15" a="1"/>
  <c r="M58" i="15" a="1"/>
  <c r="T52" i="15" a="1"/>
  <c r="R100" i="8" a="1"/>
  <c r="R55" i="8" a="1"/>
  <c r="N58" i="15" a="1"/>
  <c r="R60" i="8" a="1"/>
  <c r="T43" i="15" a="1"/>
  <c r="R74" i="8" a="1"/>
  <c r="T55" i="15" a="1"/>
  <c r="T46" i="15" a="1"/>
  <c r="T58" i="15" a="1"/>
  <c r="R53" i="8" a="1"/>
  <c r="R65" i="8" a="1"/>
  <c r="R70" i="8" a="1"/>
  <c r="R82" i="8" a="1"/>
  <c r="R73" i="8" a="1"/>
  <c r="C58" i="15" a="1"/>
  <c r="R101" i="8" a="1"/>
  <c r="R72" i="8" a="1"/>
  <c r="R62" i="8" a="1"/>
  <c r="R104" i="8" a="1"/>
  <c r="R86" i="8" a="1"/>
  <c r="O58" i="15" a="1"/>
  <c r="U39" i="15" a="1"/>
  <c r="T56" i="15" a="1"/>
  <c r="R102" i="8" a="1"/>
  <c r="T49" i="15" a="1"/>
  <c r="R83" i="8" a="1"/>
  <c r="E58" i="15" a="1"/>
  <c r="Q58" i="15" a="1"/>
  <c r="L58" i="15" a="1"/>
  <c r="R59" i="8" a="1"/>
  <c r="R80" i="8" a="1"/>
  <c r="R66" i="8" a="1"/>
  <c r="J58" i="15" a="1"/>
  <c r="D58" i="15" a="1"/>
  <c r="R84" i="8" a="1"/>
  <c r="H58" i="15" a="1"/>
  <c r="T51" i="15" a="1"/>
  <c r="T39" i="15" a="1"/>
  <c r="R78" i="8" a="1"/>
  <c r="R64" i="8" a="1"/>
  <c r="T57" i="15" a="1"/>
  <c r="R76" i="8" a="1"/>
  <c r="R71" i="8" a="1"/>
  <c r="R58" i="8" a="1"/>
  <c r="R103" i="8" a="1"/>
  <c r="R61" i="8" a="1"/>
  <c r="R85" i="8" a="1"/>
  <c r="R77" i="8" a="1"/>
  <c r="T45" i="15" a="1"/>
  <c r="S58" i="15" a="1"/>
  <c r="T47" i="15" a="1"/>
  <c r="T54" i="15" a="1"/>
  <c r="T53" i="15" a="1"/>
  <c r="G58" i="15" a="1"/>
  <c r="R54" i="8" a="1"/>
  <c r="I58" i="15" a="1"/>
  <c r="K58" i="15" a="1"/>
  <c r="R52" i="8" a="1"/>
  <c r="T50" i="15" a="1"/>
  <c r="R56" i="8" a="1"/>
  <c r="F58" i="15" a="1"/>
  <c r="R58" i="15" a="1"/>
  <c r="R79" i="8" a="1"/>
  <c r="P58" i="15" a="1"/>
  <c r="R55" i="8" l="1"/>
  <c r="R56" i="8"/>
  <c r="R54" i="8"/>
  <c r="R52" i="8"/>
  <c r="R53" i="8"/>
  <c r="R76" i="8"/>
  <c r="R80" i="8"/>
  <c r="R78" i="8"/>
  <c r="R77" i="8"/>
  <c r="R79" i="8"/>
  <c r="S120" i="15"/>
  <c r="R120" i="15"/>
  <c r="N120" i="15"/>
  <c r="J120" i="15"/>
  <c r="F120" i="15"/>
  <c r="O120" i="15"/>
  <c r="K120" i="15"/>
  <c r="G120" i="15"/>
  <c r="Q120" i="15"/>
  <c r="M120" i="15"/>
  <c r="I120" i="15"/>
  <c r="E120" i="15"/>
  <c r="P120" i="15"/>
  <c r="L120" i="15"/>
  <c r="H120" i="15"/>
  <c r="D58" i="15"/>
  <c r="D121" i="15" s="1"/>
  <c r="B121" i="15"/>
  <c r="C58" i="15"/>
  <c r="C121" i="15" s="1"/>
  <c r="E58" i="15"/>
  <c r="F58" i="15"/>
  <c r="G58" i="15"/>
  <c r="H58" i="15"/>
  <c r="I58" i="15"/>
  <c r="J58" i="15"/>
  <c r="J121" i="15" s="1"/>
  <c r="K58" i="15"/>
  <c r="L58" i="15"/>
  <c r="M58" i="15"/>
  <c r="N58" i="15"/>
  <c r="N121" i="15" s="1"/>
  <c r="O58" i="15"/>
  <c r="P58" i="15"/>
  <c r="Q58" i="15"/>
  <c r="R58" i="15"/>
  <c r="R121" i="15" s="1"/>
  <c r="S58" i="15"/>
  <c r="T43" i="15"/>
  <c r="T106" i="15" s="1"/>
  <c r="T56" i="15"/>
  <c r="T119" i="15" s="1"/>
  <c r="T45" i="15"/>
  <c r="T108" i="15" s="1"/>
  <c r="T52" i="15"/>
  <c r="T115" i="15" s="1"/>
  <c r="T53" i="15"/>
  <c r="T116" i="15" s="1"/>
  <c r="T44" i="15"/>
  <c r="T107" i="15" s="1"/>
  <c r="T54" i="15"/>
  <c r="T117" i="15" s="1"/>
  <c r="T58" i="15"/>
  <c r="T48" i="15"/>
  <c r="T111" i="15" s="1"/>
  <c r="T47" i="15"/>
  <c r="T110" i="15" s="1"/>
  <c r="T50" i="15"/>
  <c r="T113" i="15" s="1"/>
  <c r="T49" i="15"/>
  <c r="T112" i="15" s="1"/>
  <c r="T46" i="15"/>
  <c r="T109" i="15" s="1"/>
  <c r="T51" i="15"/>
  <c r="T114" i="15" s="1"/>
  <c r="T55" i="15"/>
  <c r="T118" i="15" s="1"/>
  <c r="T57" i="15"/>
  <c r="T120" i="15" s="1"/>
  <c r="V38" i="15"/>
  <c r="U39" i="15"/>
  <c r="U105" i="15" s="1"/>
  <c r="T39" i="15"/>
  <c r="T105" i="15" s="1"/>
  <c r="B59" i="15"/>
  <c r="B182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54" i="8" a="1"/>
  <c r="S82" i="8" a="1"/>
  <c r="E59" i="15" a="1"/>
  <c r="T59" i="15" a="1"/>
  <c r="S84" i="8" a="1"/>
  <c r="G59" i="15" a="1"/>
  <c r="S76" i="8" a="1"/>
  <c r="S66" i="8" a="1"/>
  <c r="K59" i="15" a="1"/>
  <c r="U57" i="15" a="1"/>
  <c r="S59" i="15" a="1"/>
  <c r="S61" i="8" a="1"/>
  <c r="S80" i="8" a="1"/>
  <c r="S60" i="8" a="1"/>
  <c r="U43" i="15" a="1"/>
  <c r="S73" i="8" a="1"/>
  <c r="S64" i="8" a="1"/>
  <c r="U56" i="15" a="1"/>
  <c r="S102" i="8" a="1"/>
  <c r="U53" i="15" a="1"/>
  <c r="S104" i="8" a="1"/>
  <c r="U45" i="15" a="1"/>
  <c r="U54" i="15" a="1"/>
  <c r="S74" i="8" a="1"/>
  <c r="D59" i="15" a="1"/>
  <c r="S52" i="8" a="1"/>
  <c r="S85" i="8" a="1"/>
  <c r="C59" i="15" a="1"/>
  <c r="U48" i="15" a="1"/>
  <c r="S79" i="8" a="1"/>
  <c r="S86" i="8" a="1"/>
  <c r="S56" i="8" a="1"/>
  <c r="U50" i="15" a="1"/>
  <c r="S100" i="8" a="1"/>
  <c r="Q59" i="15" a="1"/>
  <c r="F59" i="15" a="1"/>
  <c r="L59" i="15" a="1"/>
  <c r="S77" i="8" a="1"/>
  <c r="S65" i="8" a="1"/>
  <c r="S67" i="8" a="1"/>
  <c r="O59" i="15" a="1"/>
  <c r="U58" i="15" a="1"/>
  <c r="S103" i="8" a="1"/>
  <c r="R59" i="15" a="1"/>
  <c r="J59" i="15" a="1"/>
  <c r="U44" i="15" a="1"/>
  <c r="U59" i="15" a="1"/>
  <c r="I59" i="15" a="1"/>
  <c r="S58" i="8" a="1"/>
  <c r="U52" i="15" a="1"/>
  <c r="S101" i="8" a="1"/>
  <c r="U55" i="15" a="1"/>
  <c r="U47" i="15" a="1"/>
  <c r="S59" i="8" a="1"/>
  <c r="U46" i="15" a="1"/>
  <c r="S70" i="8" a="1"/>
  <c r="H59" i="15" a="1"/>
  <c r="U49" i="15" a="1"/>
  <c r="N59" i="15" a="1"/>
  <c r="S55" i="8" a="1"/>
  <c r="S83" i="8" a="1"/>
  <c r="S53" i="8" a="1"/>
  <c r="S68" i="8" a="1"/>
  <c r="S71" i="8" a="1"/>
  <c r="S78" i="8" a="1"/>
  <c r="M59" i="15" a="1"/>
  <c r="P59" i="15" a="1"/>
  <c r="S72" i="8" a="1"/>
  <c r="S62" i="8" a="1"/>
  <c r="U51" i="15" a="1"/>
  <c r="V39" i="15" a="1"/>
  <c r="S52" i="8" l="1"/>
  <c r="S53" i="8"/>
  <c r="S55" i="8"/>
  <c r="S56" i="8"/>
  <c r="S54" i="8"/>
  <c r="S77" i="8"/>
  <c r="S79" i="8"/>
  <c r="S76" i="8"/>
  <c r="S78" i="8"/>
  <c r="S80" i="8"/>
  <c r="F121" i="15"/>
  <c r="T121" i="15"/>
  <c r="Q121" i="15"/>
  <c r="S121" i="15"/>
  <c r="O121" i="15"/>
  <c r="M121" i="15"/>
  <c r="I121" i="15"/>
  <c r="E121" i="15"/>
  <c r="P121" i="15"/>
  <c r="L121" i="15"/>
  <c r="K121" i="15"/>
  <c r="G121" i="15"/>
  <c r="H121" i="15"/>
  <c r="D59" i="15"/>
  <c r="D122" i="15" s="1"/>
  <c r="B122" i="15"/>
  <c r="C59" i="15"/>
  <c r="C122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5" i="15" s="1"/>
  <c r="U47" i="15"/>
  <c r="U110" i="15" s="1"/>
  <c r="U56" i="15"/>
  <c r="U119" i="15" s="1"/>
  <c r="U45" i="15"/>
  <c r="U108" i="15" s="1"/>
  <c r="U58" i="15"/>
  <c r="U121" i="15" s="1"/>
  <c r="U53" i="15"/>
  <c r="U116" i="15" s="1"/>
  <c r="U59" i="15"/>
  <c r="U50" i="15"/>
  <c r="U113" i="15" s="1"/>
  <c r="U57" i="15"/>
  <c r="U120" i="15" s="1"/>
  <c r="U54" i="15"/>
  <c r="U117" i="15" s="1"/>
  <c r="U43" i="15"/>
  <c r="U106" i="15" s="1"/>
  <c r="U49" i="15"/>
  <c r="U112" i="15" s="1"/>
  <c r="U48" i="15"/>
  <c r="U111" i="15" s="1"/>
  <c r="U44" i="15"/>
  <c r="U107" i="15" s="1"/>
  <c r="U46" i="15"/>
  <c r="U109" i="15" s="1"/>
  <c r="U51" i="15"/>
  <c r="U114" i="15" s="1"/>
  <c r="U55" i="15"/>
  <c r="U118" i="15" s="1"/>
  <c r="W38" i="15"/>
  <c r="V39" i="15"/>
  <c r="V105" i="15" s="1"/>
  <c r="B60" i="15"/>
  <c r="B183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85" i="8" a="1"/>
  <c r="L60" i="15" a="1"/>
  <c r="V46" i="15" a="1"/>
  <c r="V43" i="15" a="1"/>
  <c r="T56" i="8" a="1"/>
  <c r="V57" i="15" a="1"/>
  <c r="T102" i="8" a="1"/>
  <c r="T68" i="8" a="1"/>
  <c r="V53" i="15" a="1"/>
  <c r="V59" i="15" a="1"/>
  <c r="M60" i="15" a="1"/>
  <c r="T58" i="8" a="1"/>
  <c r="T73" i="8" a="1"/>
  <c r="T67" i="8" a="1"/>
  <c r="T82" i="8" a="1"/>
  <c r="T83" i="8" a="1"/>
  <c r="T54" i="8" a="1"/>
  <c r="T100" i="8" a="1"/>
  <c r="P60" i="15" a="1"/>
  <c r="V52" i="15" a="1"/>
  <c r="E60" i="15" a="1"/>
  <c r="T64" i="8" a="1"/>
  <c r="V50" i="15" a="1"/>
  <c r="T76" i="8" a="1"/>
  <c r="T77" i="8" a="1"/>
  <c r="S60" i="15" a="1"/>
  <c r="T72" i="8" a="1"/>
  <c r="T55" i="8" a="1"/>
  <c r="D60" i="15" a="1"/>
  <c r="V48" i="15" a="1"/>
  <c r="T66" i="8" a="1"/>
  <c r="F60" i="15" a="1"/>
  <c r="U60" i="15" a="1"/>
  <c r="R60" i="15" a="1"/>
  <c r="T53" i="8" a="1"/>
  <c r="I60" i="15" a="1"/>
  <c r="T60" i="15" a="1"/>
  <c r="T62" i="8" a="1"/>
  <c r="C60" i="15" a="1"/>
  <c r="V54" i="15" a="1"/>
  <c r="J60" i="15" a="1"/>
  <c r="T59" i="8" a="1"/>
  <c r="T78" i="8" a="1"/>
  <c r="V47" i="15" a="1"/>
  <c r="V56" i="15" a="1"/>
  <c r="G60" i="15" a="1"/>
  <c r="T70" i="8" a="1"/>
  <c r="T71" i="8" a="1"/>
  <c r="T80" i="8" a="1"/>
  <c r="Q60" i="15" a="1"/>
  <c r="V44" i="15" a="1"/>
  <c r="T84" i="8" a="1"/>
  <c r="N60" i="15" a="1"/>
  <c r="V58" i="15" a="1"/>
  <c r="V60" i="15" a="1"/>
  <c r="T79" i="8" a="1"/>
  <c r="K60" i="15" a="1"/>
  <c r="T101" i="8" a="1"/>
  <c r="T52" i="8" a="1"/>
  <c r="V55" i="15" a="1"/>
  <c r="T65" i="8" a="1"/>
  <c r="T61" i="8" a="1"/>
  <c r="V49" i="15" a="1"/>
  <c r="H60" i="15" a="1"/>
  <c r="T60" i="8" a="1"/>
  <c r="O60" i="15" a="1"/>
  <c r="T104" i="8" a="1"/>
  <c r="T74" i="8" a="1"/>
  <c r="T86" i="8" a="1"/>
  <c r="T103" i="8" a="1"/>
  <c r="V51" i="15" a="1"/>
  <c r="V45" i="15" a="1"/>
  <c r="W39" i="15" a="1"/>
  <c r="T54" i="8" l="1"/>
  <c r="T53" i="8"/>
  <c r="T52" i="8"/>
  <c r="T55" i="8"/>
  <c r="T56" i="8"/>
  <c r="T77" i="8"/>
  <c r="T78" i="8"/>
  <c r="T79" i="8"/>
  <c r="T76" i="8"/>
  <c r="T80" i="8"/>
  <c r="R122" i="15"/>
  <c r="N122" i="15"/>
  <c r="K122" i="15"/>
  <c r="F122" i="15"/>
  <c r="Q122" i="15"/>
  <c r="M122" i="15"/>
  <c r="I122" i="15"/>
  <c r="E122" i="15"/>
  <c r="T122" i="15"/>
  <c r="P122" i="15"/>
  <c r="L122" i="15"/>
  <c r="H122" i="15"/>
  <c r="U122" i="15"/>
  <c r="S122" i="15"/>
  <c r="O122" i="15"/>
  <c r="J122" i="15"/>
  <c r="G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3" i="15" s="1"/>
  <c r="S60" i="15"/>
  <c r="T60" i="15"/>
  <c r="U60" i="15"/>
  <c r="V54" i="15"/>
  <c r="V117" i="15" s="1"/>
  <c r="V48" i="15"/>
  <c r="V111" i="15" s="1"/>
  <c r="V44" i="15"/>
  <c r="V107" i="15" s="1"/>
  <c r="V47" i="15"/>
  <c r="V110" i="15" s="1"/>
  <c r="V55" i="15"/>
  <c r="V118" i="15" s="1"/>
  <c r="V50" i="15"/>
  <c r="V113" i="15" s="1"/>
  <c r="V49" i="15"/>
  <c r="V112" i="15" s="1"/>
  <c r="V60" i="15"/>
  <c r="V46" i="15"/>
  <c r="V109" i="15" s="1"/>
  <c r="V56" i="15"/>
  <c r="V119" i="15" s="1"/>
  <c r="V51" i="15"/>
  <c r="V114" i="15" s="1"/>
  <c r="V43" i="15"/>
  <c r="V106" i="15" s="1"/>
  <c r="V53" i="15"/>
  <c r="V116" i="15" s="1"/>
  <c r="V59" i="15"/>
  <c r="V122" i="15" s="1"/>
  <c r="V52" i="15"/>
  <c r="V115" i="15" s="1"/>
  <c r="V58" i="15"/>
  <c r="V121" i="15" s="1"/>
  <c r="V45" i="15"/>
  <c r="V108" i="15" s="1"/>
  <c r="V57" i="15"/>
  <c r="V120" i="15" s="1"/>
  <c r="X38" i="15"/>
  <c r="W39" i="15"/>
  <c r="W105" i="15" s="1"/>
  <c r="B61" i="15"/>
  <c r="B184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101" i="8" a="1"/>
  <c r="U59" i="8" a="1"/>
  <c r="W61" i="15" a="1"/>
  <c r="U70" i="8" a="1"/>
  <c r="W44" i="15" a="1"/>
  <c r="L61" i="15" a="1"/>
  <c r="W58" i="15" a="1"/>
  <c r="U82" i="8" a="1"/>
  <c r="U79" i="8" a="1"/>
  <c r="U64" i="8" a="1"/>
  <c r="H61" i="15" a="1"/>
  <c r="U83" i="8" a="1"/>
  <c r="U84" i="8" a="1"/>
  <c r="U71" i="8" a="1"/>
  <c r="I61" i="15" a="1"/>
  <c r="U62" i="8" a="1"/>
  <c r="U58" i="8" a="1"/>
  <c r="U77" i="8" a="1"/>
  <c r="W50" i="15" a="1"/>
  <c r="U61" i="15" a="1"/>
  <c r="M61" i="15" a="1"/>
  <c r="U76" i="8" a="1"/>
  <c r="U67" i="8" a="1"/>
  <c r="W54" i="15" a="1"/>
  <c r="U104" i="8" a="1"/>
  <c r="G61" i="15" a="1"/>
  <c r="W57" i="15" a="1"/>
  <c r="U65" i="8" a="1"/>
  <c r="W53" i="15" a="1"/>
  <c r="W51" i="15" a="1"/>
  <c r="J61" i="15" a="1"/>
  <c r="W47" i="15" a="1"/>
  <c r="U86" i="8" a="1"/>
  <c r="U52" i="8" a="1"/>
  <c r="W52" i="15" a="1"/>
  <c r="W60" i="15" a="1"/>
  <c r="U55" i="8" a="1"/>
  <c r="W56" i="15" a="1"/>
  <c r="V61" i="15" a="1"/>
  <c r="C61" i="15" a="1"/>
  <c r="U54" i="8" a="1"/>
  <c r="W45" i="15" a="1"/>
  <c r="F61" i="15" a="1"/>
  <c r="W48" i="15" a="1"/>
  <c r="W55" i="15" a="1"/>
  <c r="W43" i="15" a="1"/>
  <c r="N61" i="15" a="1"/>
  <c r="U78" i="8" a="1"/>
  <c r="Q61" i="15" a="1"/>
  <c r="U100" i="8" a="1"/>
  <c r="U72" i="8" a="1"/>
  <c r="W59" i="15" a="1"/>
  <c r="U85" i="8" a="1"/>
  <c r="W49" i="15" a="1"/>
  <c r="U60" i="8" a="1"/>
  <c r="P61" i="15" a="1"/>
  <c r="K61" i="15" a="1"/>
  <c r="U74" i="8" a="1"/>
  <c r="U103" i="8" a="1"/>
  <c r="U53" i="8" a="1"/>
  <c r="W46" i="15" a="1"/>
  <c r="T61" i="15" a="1"/>
  <c r="S61" i="15" a="1"/>
  <c r="U68" i="8" a="1"/>
  <c r="E61" i="15" a="1"/>
  <c r="O61" i="15" a="1"/>
  <c r="U56" i="8" a="1"/>
  <c r="U66" i="8" a="1"/>
  <c r="U61" i="8" a="1"/>
  <c r="U73" i="8" a="1"/>
  <c r="R61" i="15" a="1"/>
  <c r="D61" i="15" a="1"/>
  <c r="U102" i="8" a="1"/>
  <c r="X39" i="15" a="1"/>
  <c r="U53" i="8" l="1"/>
  <c r="U55" i="8"/>
  <c r="U52" i="8"/>
  <c r="U56" i="8"/>
  <c r="U54" i="8"/>
  <c r="U77" i="8"/>
  <c r="U79" i="8"/>
  <c r="U78" i="8"/>
  <c r="U76" i="8"/>
  <c r="U80" i="8"/>
  <c r="N123" i="15"/>
  <c r="J123" i="15"/>
  <c r="F123" i="15"/>
  <c r="V123" i="15"/>
  <c r="U123" i="15"/>
  <c r="M123" i="15"/>
  <c r="E123" i="15"/>
  <c r="T123" i="15"/>
  <c r="P123" i="15"/>
  <c r="L123" i="15"/>
  <c r="H123" i="15"/>
  <c r="Q123" i="15"/>
  <c r="I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6" i="15" s="1"/>
  <c r="W47" i="15"/>
  <c r="W110" i="15" s="1"/>
  <c r="W44" i="15"/>
  <c r="W107" i="15" s="1"/>
  <c r="W52" i="15"/>
  <c r="W115" i="15" s="1"/>
  <c r="W48" i="15"/>
  <c r="W111" i="15" s="1"/>
  <c r="W54" i="15"/>
  <c r="W117" i="15" s="1"/>
  <c r="W58" i="15"/>
  <c r="W121" i="15" s="1"/>
  <c r="W60" i="15"/>
  <c r="W123" i="15" s="1"/>
  <c r="W49" i="15"/>
  <c r="W112" i="15" s="1"/>
  <c r="W53" i="15"/>
  <c r="W116" i="15" s="1"/>
  <c r="W61" i="15"/>
  <c r="W46" i="15"/>
  <c r="W109" i="15" s="1"/>
  <c r="W57" i="15"/>
  <c r="W120" i="15" s="1"/>
  <c r="W50" i="15"/>
  <c r="W113" i="15" s="1"/>
  <c r="W55" i="15"/>
  <c r="W118" i="15" s="1"/>
  <c r="W45" i="15"/>
  <c r="W108" i="15" s="1"/>
  <c r="W59" i="15"/>
  <c r="W122" i="15" s="1"/>
  <c r="W51" i="15"/>
  <c r="W114" i="15" s="1"/>
  <c r="W56" i="15"/>
  <c r="W119" i="15" s="1"/>
  <c r="Y38" i="15"/>
  <c r="X39" i="15"/>
  <c r="X105" i="15" s="1"/>
  <c r="B62" i="15"/>
  <c r="B185" i="15" s="1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64" i="8" a="1"/>
  <c r="G62" i="15" a="1"/>
  <c r="H62" i="15" a="1"/>
  <c r="X52" i="15" a="1"/>
  <c r="V71" i="8" a="1"/>
  <c r="X51" i="15" a="1"/>
  <c r="W62" i="15" a="1"/>
  <c r="X55" i="15" a="1"/>
  <c r="V79" i="8" a="1"/>
  <c r="V100" i="8" a="1"/>
  <c r="V102" i="8" a="1"/>
  <c r="X46" i="15" a="1"/>
  <c r="E62" i="15" a="1"/>
  <c r="X50" i="15" a="1"/>
  <c r="X58" i="15" a="1"/>
  <c r="Q62" i="15" a="1"/>
  <c r="V61" i="8" a="1"/>
  <c r="V80" i="8" a="1"/>
  <c r="V85" i="8" a="1"/>
  <c r="X54" i="15" a="1"/>
  <c r="K62" i="15" a="1"/>
  <c r="V74" i="8" a="1"/>
  <c r="V72" i="8" a="1"/>
  <c r="V77" i="8" a="1"/>
  <c r="I62" i="15" a="1"/>
  <c r="V86" i="8" a="1"/>
  <c r="J62" i="15" a="1"/>
  <c r="V56" i="8" a="1"/>
  <c r="C62" i="15" a="1"/>
  <c r="V62" i="8" a="1"/>
  <c r="X45" i="15" a="1"/>
  <c r="F62" i="15" a="1"/>
  <c r="V73" i="8" a="1"/>
  <c r="V58" i="8" a="1"/>
  <c r="X47" i="15" a="1"/>
  <c r="V84" i="8" a="1"/>
  <c r="X62" i="15" a="1"/>
  <c r="X53" i="15" a="1"/>
  <c r="V76" i="8" a="1"/>
  <c r="X43" i="15" a="1"/>
  <c r="N62" i="15" a="1"/>
  <c r="R62" i="15" a="1"/>
  <c r="X48" i="15" a="1"/>
  <c r="V53" i="8" a="1"/>
  <c r="X57" i="15" a="1"/>
  <c r="V52" i="8" a="1"/>
  <c r="X56" i="15" a="1"/>
  <c r="V70" i="8" a="1"/>
  <c r="L62" i="15" a="1"/>
  <c r="V66" i="8" a="1"/>
  <c r="V65" i="8" a="1"/>
  <c r="V78" i="8" a="1"/>
  <c r="M62" i="15" a="1"/>
  <c r="V104" i="8" a="1"/>
  <c r="V62" i="15" a="1"/>
  <c r="X59" i="15" a="1"/>
  <c r="V83" i="8" a="1"/>
  <c r="V54" i="8" a="1"/>
  <c r="T62" i="15" a="1"/>
  <c r="O62" i="15" a="1"/>
  <c r="P62" i="15" a="1"/>
  <c r="U62" i="15" a="1"/>
  <c r="X61" i="15" a="1"/>
  <c r="V101" i="8" a="1"/>
  <c r="S62" i="15" a="1"/>
  <c r="V103" i="8" a="1"/>
  <c r="X60" i="15" a="1"/>
  <c r="V67" i="8" a="1"/>
  <c r="V82" i="8" a="1"/>
  <c r="V68" i="8" a="1"/>
  <c r="V59" i="8" a="1"/>
  <c r="D62" i="15" a="1"/>
  <c r="V55" i="8" a="1"/>
  <c r="X49" i="15" a="1"/>
  <c r="X44" i="15" a="1"/>
  <c r="V60" i="8" a="1"/>
  <c r="Y39" i="15" a="1"/>
  <c r="V52" i="8" l="1"/>
  <c r="V53" i="8"/>
  <c r="V56" i="8"/>
  <c r="V54" i="8"/>
  <c r="V55" i="8"/>
  <c r="V77" i="8"/>
  <c r="V79" i="8"/>
  <c r="V76" i="8"/>
  <c r="V80" i="8"/>
  <c r="V78" i="8"/>
  <c r="V124" i="15"/>
  <c r="R124" i="15"/>
  <c r="N124" i="15"/>
  <c r="J124" i="15"/>
  <c r="F124" i="15"/>
  <c r="T124" i="15"/>
  <c r="P124" i="15"/>
  <c r="L124" i="15"/>
  <c r="W124" i="15"/>
  <c r="U124" i="15"/>
  <c r="Q124" i="15"/>
  <c r="M124" i="15"/>
  <c r="I124" i="15"/>
  <c r="E124" i="15"/>
  <c r="H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9" i="15" s="1"/>
  <c r="X52" i="15"/>
  <c r="X115" i="15" s="1"/>
  <c r="X58" i="15"/>
  <c r="X121" i="15" s="1"/>
  <c r="X43" i="15"/>
  <c r="X106" i="15" s="1"/>
  <c r="X48" i="15"/>
  <c r="X111" i="15" s="1"/>
  <c r="X53" i="15"/>
  <c r="X116" i="15" s="1"/>
  <c r="X57" i="15"/>
  <c r="X120" i="15" s="1"/>
  <c r="X60" i="15"/>
  <c r="X123" i="15" s="1"/>
  <c r="X59" i="15"/>
  <c r="X122" i="15" s="1"/>
  <c r="X45" i="15"/>
  <c r="X108" i="15" s="1"/>
  <c r="X54" i="15"/>
  <c r="X117" i="15" s="1"/>
  <c r="X50" i="15"/>
  <c r="X113" i="15" s="1"/>
  <c r="X47" i="15"/>
  <c r="X110" i="15" s="1"/>
  <c r="X61" i="15"/>
  <c r="X124" i="15" s="1"/>
  <c r="X44" i="15"/>
  <c r="X107" i="15" s="1"/>
  <c r="X51" i="15"/>
  <c r="X114" i="15" s="1"/>
  <c r="X55" i="15"/>
  <c r="X118" i="15" s="1"/>
  <c r="X49" i="15"/>
  <c r="X112" i="15" s="1"/>
  <c r="X56" i="15"/>
  <c r="X119" i="15" s="1"/>
  <c r="X62" i="15"/>
  <c r="Z38" i="15"/>
  <c r="Y39" i="15"/>
  <c r="Y105" i="15" s="1"/>
  <c r="B63" i="15"/>
  <c r="B186" i="15" s="1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Q63" i="15" a="1"/>
  <c r="Y59" i="15" a="1"/>
  <c r="I63" i="15" a="1"/>
  <c r="W83" i="8" a="1"/>
  <c r="D63" i="15" a="1"/>
  <c r="Y62" i="15" a="1"/>
  <c r="W63" i="15" a="1"/>
  <c r="W80" i="8" a="1"/>
  <c r="Y49" i="15" a="1"/>
  <c r="E63" i="15" a="1"/>
  <c r="W70" i="8" a="1"/>
  <c r="W71" i="8" a="1"/>
  <c r="M63" i="15" a="1"/>
  <c r="Y48" i="15" a="1"/>
  <c r="G63" i="15" a="1"/>
  <c r="W61" i="8" a="1"/>
  <c r="W103" i="8" a="1"/>
  <c r="X63" i="15" a="1"/>
  <c r="Y53" i="15" a="1"/>
  <c r="F63" i="15" a="1"/>
  <c r="H63" i="15" a="1"/>
  <c r="Y57" i="15" a="1"/>
  <c r="W62" i="8" a="1"/>
  <c r="Y58" i="15" a="1"/>
  <c r="Y50" i="15" a="1"/>
  <c r="R63" i="15" a="1"/>
  <c r="J63" i="15" a="1"/>
  <c r="Y61" i="15" a="1"/>
  <c r="Y45" i="15" a="1"/>
  <c r="W66" i="8" a="1"/>
  <c r="W101" i="8" a="1"/>
  <c r="Y51" i="15" a="1"/>
  <c r="W82" i="8" a="1"/>
  <c r="Y56" i="15" a="1"/>
  <c r="W77" i="8" a="1"/>
  <c r="N63" i="15" a="1"/>
  <c r="P63" i="15" a="1"/>
  <c r="C63" i="15" a="1"/>
  <c r="W52" i="8" a="1"/>
  <c r="U63" i="15" a="1"/>
  <c r="W84" i="8" a="1"/>
  <c r="W78" i="8" a="1"/>
  <c r="W102" i="8" a="1"/>
  <c r="Y46" i="15" a="1"/>
  <c r="Y47" i="15" a="1"/>
  <c r="Y54" i="15" a="1"/>
  <c r="Y63" i="15" a="1"/>
  <c r="Y55" i="15" a="1"/>
  <c r="W64" i="8" a="1"/>
  <c r="W72" i="8" a="1"/>
  <c r="W74" i="8" a="1"/>
  <c r="W58" i="8" a="1"/>
  <c r="W56" i="8" a="1"/>
  <c r="Y43" i="15" a="1"/>
  <c r="S63" i="15" a="1"/>
  <c r="W73" i="8" a="1"/>
  <c r="W54" i="8" a="1"/>
  <c r="K63" i="15" a="1"/>
  <c r="W76" i="8" a="1"/>
  <c r="T63" i="15" a="1"/>
  <c r="Y60" i="15" a="1"/>
  <c r="W79" i="8" a="1"/>
  <c r="W59" i="8" a="1"/>
  <c r="W104" i="8" a="1"/>
  <c r="W68" i="8" a="1"/>
  <c r="W65" i="8" a="1"/>
  <c r="V63" i="15" a="1"/>
  <c r="W85" i="8" a="1"/>
  <c r="W55" i="8" a="1"/>
  <c r="Y52" i="15" a="1"/>
  <c r="W67" i="8" a="1"/>
  <c r="W60" i="8" a="1"/>
  <c r="W100" i="8" a="1"/>
  <c r="L63" i="15" a="1"/>
  <c r="W53" i="8" a="1"/>
  <c r="O63" i="15" a="1"/>
  <c r="W86" i="8" a="1"/>
  <c r="Y44" i="15" a="1"/>
  <c r="Z39" i="15" a="1"/>
  <c r="V125" i="15" l="1"/>
  <c r="R125" i="15"/>
  <c r="N125" i="15"/>
  <c r="W56" i="8"/>
  <c r="W54" i="8"/>
  <c r="W53" i="8"/>
  <c r="W52" i="8"/>
  <c r="W55" i="8"/>
  <c r="W78" i="8"/>
  <c r="W77" i="8"/>
  <c r="W76" i="8"/>
  <c r="W80" i="8"/>
  <c r="W79" i="8"/>
  <c r="J125" i="15"/>
  <c r="F125" i="15"/>
  <c r="T125" i="15"/>
  <c r="P125" i="15"/>
  <c r="L125" i="15"/>
  <c r="H125" i="15"/>
  <c r="U125" i="15"/>
  <c r="Q125" i="15"/>
  <c r="M125" i="15"/>
  <c r="I125" i="15"/>
  <c r="E125" i="15"/>
  <c r="X125" i="15"/>
  <c r="W125" i="15"/>
  <c r="S125" i="15"/>
  <c r="O125" i="15"/>
  <c r="K125" i="15"/>
  <c r="G125" i="15"/>
  <c r="D63" i="15"/>
  <c r="D126" i="15" s="1"/>
  <c r="B126" i="15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3" i="15" s="1"/>
  <c r="Y57" i="15"/>
  <c r="Y120" i="15" s="1"/>
  <c r="Y43" i="15"/>
  <c r="Y106" i="15" s="1"/>
  <c r="Y47" i="15"/>
  <c r="Y110" i="15" s="1"/>
  <c r="Y51" i="15"/>
  <c r="Y114" i="15" s="1"/>
  <c r="Y54" i="15"/>
  <c r="Y117" i="15" s="1"/>
  <c r="Y58" i="15"/>
  <c r="Y121" i="15" s="1"/>
  <c r="Y61" i="15"/>
  <c r="Y124" i="15" s="1"/>
  <c r="Y60" i="15"/>
  <c r="Y123" i="15" s="1"/>
  <c r="Y45" i="15"/>
  <c r="Y108" i="15" s="1"/>
  <c r="Y48" i="15"/>
  <c r="Y111" i="15" s="1"/>
  <c r="Y55" i="15"/>
  <c r="Y118" i="15" s="1"/>
  <c r="Y59" i="15"/>
  <c r="Y122" i="15" s="1"/>
  <c r="Y44" i="15"/>
  <c r="Y107" i="15" s="1"/>
  <c r="Y49" i="15"/>
  <c r="Y112" i="15" s="1"/>
  <c r="Y52" i="15"/>
  <c r="Y115" i="15" s="1"/>
  <c r="Y56" i="15"/>
  <c r="Y119" i="15" s="1"/>
  <c r="Y63" i="15"/>
  <c r="Y62" i="15"/>
  <c r="Y125" i="15" s="1"/>
  <c r="Y46" i="15"/>
  <c r="Y109" i="15" s="1"/>
  <c r="Y53" i="15"/>
  <c r="Y116" i="15" s="1"/>
  <c r="AA38" i="15"/>
  <c r="Z39" i="15"/>
  <c r="Z105" i="15" s="1"/>
  <c r="B64" i="15"/>
  <c r="B187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66" i="8" a="1"/>
  <c r="Z47" i="15" a="1"/>
  <c r="X68" i="8" a="1"/>
  <c r="X85" i="8" a="1"/>
  <c r="X65" i="8" a="1"/>
  <c r="I64" i="15" a="1"/>
  <c r="G64" i="15" a="1"/>
  <c r="Z53" i="15" a="1"/>
  <c r="L64" i="15" a="1"/>
  <c r="K64" i="15" a="1"/>
  <c r="X67" i="8" a="1"/>
  <c r="X83" i="8" a="1"/>
  <c r="Z54" i="15" a="1"/>
  <c r="Q64" i="15" a="1"/>
  <c r="V64" i="15" a="1"/>
  <c r="X104" i="8" a="1"/>
  <c r="Z49" i="15" a="1"/>
  <c r="C64" i="15" a="1"/>
  <c r="Z64" i="15" a="1"/>
  <c r="X80" i="8" a="1"/>
  <c r="Z57" i="15" a="1"/>
  <c r="R64" i="15" a="1"/>
  <c r="Z50" i="15" a="1"/>
  <c r="N64" i="15" a="1"/>
  <c r="Z45" i="15" a="1"/>
  <c r="Z58" i="15" a="1"/>
  <c r="Z52" i="15" a="1"/>
  <c r="Z62" i="15" a="1"/>
  <c r="X84" i="8" a="1"/>
  <c r="X58" i="8" a="1"/>
  <c r="X77" i="8" a="1"/>
  <c r="X70" i="8" a="1"/>
  <c r="Z46" i="15" a="1"/>
  <c r="M64" i="15" a="1"/>
  <c r="Z61" i="15" a="1"/>
  <c r="X55" i="8" a="1"/>
  <c r="X82" i="8" a="1"/>
  <c r="X79" i="8" a="1"/>
  <c r="T64" i="15" a="1"/>
  <c r="X72" i="8" a="1"/>
  <c r="X54" i="8" a="1"/>
  <c r="E64" i="15" a="1"/>
  <c r="X102" i="8" a="1"/>
  <c r="D64" i="15" a="1"/>
  <c r="F64" i="15" a="1"/>
  <c r="X78" i="8" a="1"/>
  <c r="P64" i="15" a="1"/>
  <c r="Z55" i="15" a="1"/>
  <c r="X52" i="8" a="1"/>
  <c r="Z43" i="15" a="1"/>
  <c r="X59" i="8" a="1"/>
  <c r="X76" i="8" a="1"/>
  <c r="Z51" i="15" a="1"/>
  <c r="X71" i="8" a="1"/>
  <c r="J64" i="15" a="1"/>
  <c r="Z63" i="15" a="1"/>
  <c r="X101" i="8" a="1"/>
  <c r="X86" i="8" a="1"/>
  <c r="X61" i="8" a="1"/>
  <c r="S64" i="15" a="1"/>
  <c r="Z56" i="15" a="1"/>
  <c r="X56" i="8" a="1"/>
  <c r="X100" i="8" a="1"/>
  <c r="Z44" i="15" a="1"/>
  <c r="X73" i="8" a="1"/>
  <c r="X62" i="8" a="1"/>
  <c r="X60" i="8" a="1"/>
  <c r="Z60" i="15" a="1"/>
  <c r="X53" i="8" a="1"/>
  <c r="U64" i="15" a="1"/>
  <c r="H64" i="15" a="1"/>
  <c r="X64" i="15" a="1"/>
  <c r="X64" i="8" a="1"/>
  <c r="O64" i="15" a="1"/>
  <c r="W64" i="15" a="1"/>
  <c r="Z59" i="15" a="1"/>
  <c r="Y64" i="15" a="1"/>
  <c r="Z48" i="15" a="1"/>
  <c r="X74" i="8" a="1"/>
  <c r="X103" i="8" a="1"/>
  <c r="AA39" i="15" a="1"/>
  <c r="X55" i="8" l="1"/>
  <c r="X56" i="8"/>
  <c r="X54" i="8"/>
  <c r="X52" i="8"/>
  <c r="X53" i="8"/>
  <c r="X76" i="8"/>
  <c r="X80" i="8"/>
  <c r="X79" i="8"/>
  <c r="X78" i="8"/>
  <c r="X77" i="8"/>
  <c r="R126" i="15"/>
  <c r="Y126" i="15"/>
  <c r="V126" i="15"/>
  <c r="N126" i="15"/>
  <c r="F126" i="15"/>
  <c r="J126" i="15"/>
  <c r="X126" i="15"/>
  <c r="T126" i="15"/>
  <c r="P126" i="15"/>
  <c r="L126" i="15"/>
  <c r="H126" i="15"/>
  <c r="U126" i="15"/>
  <c r="Q126" i="15"/>
  <c r="M126" i="15"/>
  <c r="I126" i="15"/>
  <c r="E126" i="15"/>
  <c r="W126" i="15"/>
  <c r="S126" i="15"/>
  <c r="O126" i="15"/>
  <c r="K126" i="15"/>
  <c r="G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6" i="15" s="1"/>
  <c r="Z57" i="15"/>
  <c r="Z120" i="15" s="1"/>
  <c r="Z48" i="15"/>
  <c r="Z111" i="15" s="1"/>
  <c r="Z52" i="15"/>
  <c r="Z115" i="15" s="1"/>
  <c r="Z60" i="15"/>
  <c r="Z123" i="15" s="1"/>
  <c r="Z44" i="15"/>
  <c r="Z107" i="15" s="1"/>
  <c r="Z59" i="15"/>
  <c r="Z122" i="15" s="1"/>
  <c r="Z55" i="15"/>
  <c r="Z118" i="15" s="1"/>
  <c r="Z49" i="15"/>
  <c r="Z112" i="15" s="1"/>
  <c r="Z58" i="15"/>
  <c r="Z121" i="15" s="1"/>
  <c r="Z64" i="15"/>
  <c r="Z47" i="15"/>
  <c r="Z110" i="15" s="1"/>
  <c r="Z62" i="15"/>
  <c r="Z125" i="15" s="1"/>
  <c r="Z46" i="15"/>
  <c r="Z109" i="15" s="1"/>
  <c r="Z56" i="15"/>
  <c r="Z119" i="15" s="1"/>
  <c r="Z50" i="15"/>
  <c r="Z113" i="15" s="1"/>
  <c r="Z45" i="15"/>
  <c r="Z108" i="15" s="1"/>
  <c r="Z53" i="15"/>
  <c r="Z116" i="15" s="1"/>
  <c r="Z61" i="15"/>
  <c r="Z124" i="15" s="1"/>
  <c r="Z51" i="15"/>
  <c r="Z114" i="15" s="1"/>
  <c r="Z54" i="15"/>
  <c r="Z117" i="15" s="1"/>
  <c r="Z63" i="15"/>
  <c r="Z126" i="15" s="1"/>
  <c r="AB38" i="15"/>
  <c r="AA39" i="15"/>
  <c r="AA105" i="15" s="1"/>
  <c r="B65" i="15"/>
  <c r="B188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K65" i="15" a="1"/>
  <c r="Y66" i="8" a="1"/>
  <c r="L65" i="15" a="1"/>
  <c r="G65" i="15" a="1"/>
  <c r="E65" i="15" a="1"/>
  <c r="Y82" i="8" a="1"/>
  <c r="S65" i="15" a="1"/>
  <c r="Y65" i="15" a="1"/>
  <c r="Y54" i="8" a="1"/>
  <c r="C65" i="15" a="1"/>
  <c r="J65" i="15" a="1"/>
  <c r="X65" i="15" a="1"/>
  <c r="O65" i="15" a="1"/>
  <c r="Y58" i="8" a="1"/>
  <c r="U65" i="15" a="1"/>
  <c r="Z65" i="15" a="1"/>
  <c r="Y73" i="8" a="1"/>
  <c r="Y60" i="8" a="1"/>
  <c r="AA59" i="15" a="1"/>
  <c r="Q65" i="15" a="1"/>
  <c r="I65" i="15" a="1"/>
  <c r="AA53" i="15" a="1"/>
  <c r="AA48" i="15" a="1"/>
  <c r="Y85" i="8" a="1"/>
  <c r="F65" i="15" a="1"/>
  <c r="N65" i="15" a="1"/>
  <c r="Y72" i="8" a="1"/>
  <c r="Y65" i="8" a="1"/>
  <c r="H65" i="15" a="1"/>
  <c r="Y78" i="8" a="1"/>
  <c r="Y86" i="8" a="1"/>
  <c r="AA60" i="15" a="1"/>
  <c r="V65" i="15" a="1"/>
  <c r="AA46" i="15" a="1"/>
  <c r="Y79" i="8" a="1"/>
  <c r="Y68" i="8" a="1"/>
  <c r="Y103" i="8" a="1"/>
  <c r="AA62" i="15" a="1"/>
  <c r="Y83" i="8" a="1"/>
  <c r="AA51" i="15" a="1"/>
  <c r="M65" i="15" a="1"/>
  <c r="D65" i="15" a="1"/>
  <c r="AA56" i="15" a="1"/>
  <c r="Y71" i="8" a="1"/>
  <c r="AA45" i="15" a="1"/>
  <c r="Y102" i="8" a="1"/>
  <c r="Y52" i="8" a="1"/>
  <c r="Y67" i="8" a="1"/>
  <c r="AA43" i="15" a="1"/>
  <c r="Y100" i="8" a="1"/>
  <c r="AA54" i="15" a="1"/>
  <c r="Y104" i="8" a="1"/>
  <c r="AA58" i="15" a="1"/>
  <c r="Y55" i="8" a="1"/>
  <c r="Y101" i="8" a="1"/>
  <c r="Y62" i="8" a="1"/>
  <c r="AA55" i="15" a="1"/>
  <c r="Y56" i="8" a="1"/>
  <c r="Y74" i="8" a="1"/>
  <c r="W65" i="15" a="1"/>
  <c r="Y64" i="8" a="1"/>
  <c r="AA49" i="15" a="1"/>
  <c r="AA65" i="15" a="1"/>
  <c r="AA57" i="15" a="1"/>
  <c r="T65" i="15" a="1"/>
  <c r="Y76" i="8" a="1"/>
  <c r="Y84" i="8" a="1"/>
  <c r="Y61" i="8" a="1"/>
  <c r="AA63" i="15" a="1"/>
  <c r="AA44" i="15" a="1"/>
  <c r="Y70" i="8" a="1"/>
  <c r="P65" i="15" a="1"/>
  <c r="Y80" i="8" a="1"/>
  <c r="AA47" i="15" a="1"/>
  <c r="Y59" i="8" a="1"/>
  <c r="AA61" i="15" a="1"/>
  <c r="AA50" i="15" a="1"/>
  <c r="AA52" i="15" a="1"/>
  <c r="R65" i="15" a="1"/>
  <c r="AA64" i="15" a="1"/>
  <c r="Y53" i="8" a="1"/>
  <c r="AC38" i="15" l="1"/>
  <c r="Y54" i="8"/>
  <c r="Y56" i="8"/>
  <c r="Y53" i="8"/>
  <c r="Y52" i="8"/>
  <c r="Y55" i="8"/>
  <c r="Y78" i="8"/>
  <c r="Y80" i="8"/>
  <c r="Y79" i="8"/>
  <c r="Y76" i="8"/>
  <c r="Y77" i="8"/>
  <c r="V127" i="15"/>
  <c r="R127" i="15"/>
  <c r="N127" i="15"/>
  <c r="K127" i="15"/>
  <c r="F127" i="15"/>
  <c r="Z127" i="15"/>
  <c r="X127" i="15"/>
  <c r="T127" i="15"/>
  <c r="P127" i="15"/>
  <c r="L127" i="15"/>
  <c r="H127" i="15"/>
  <c r="W127" i="15"/>
  <c r="S127" i="15"/>
  <c r="O127" i="15"/>
  <c r="J127" i="15"/>
  <c r="G127" i="15"/>
  <c r="Y127" i="15"/>
  <c r="U127" i="15"/>
  <c r="Q127" i="15"/>
  <c r="M127" i="15"/>
  <c r="I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8" i="15" s="1"/>
  <c r="AA45" i="15"/>
  <c r="AA108" i="15" s="1"/>
  <c r="AA61" i="15"/>
  <c r="AA124" i="15" s="1"/>
  <c r="AA55" i="15"/>
  <c r="AA118" i="15" s="1"/>
  <c r="AA63" i="15"/>
  <c r="AA126" i="15" s="1"/>
  <c r="AA43" i="15"/>
  <c r="AA106" i="15" s="1"/>
  <c r="AA52" i="15"/>
  <c r="AA115" i="15" s="1"/>
  <c r="AA47" i="15"/>
  <c r="AA110" i="15" s="1"/>
  <c r="AA51" i="15"/>
  <c r="AA114" i="15" s="1"/>
  <c r="AA56" i="15"/>
  <c r="AA119" i="15" s="1"/>
  <c r="AA58" i="15"/>
  <c r="AA121" i="15" s="1"/>
  <c r="AA48" i="15"/>
  <c r="AA111" i="15" s="1"/>
  <c r="AA60" i="15"/>
  <c r="AA123" i="15" s="1"/>
  <c r="AA44" i="15"/>
  <c r="AA107" i="15" s="1"/>
  <c r="AA59" i="15"/>
  <c r="AA122" i="15" s="1"/>
  <c r="AA53" i="15"/>
  <c r="AA116" i="15" s="1"/>
  <c r="AA62" i="15"/>
  <c r="AA125" i="15" s="1"/>
  <c r="AA46" i="15"/>
  <c r="AA109" i="15" s="1"/>
  <c r="AA57" i="15"/>
  <c r="AA120" i="15" s="1"/>
  <c r="AA49" i="15"/>
  <c r="AA112" i="15" s="1"/>
  <c r="AA54" i="15"/>
  <c r="AA117" i="15" s="1"/>
  <c r="AA64" i="15"/>
  <c r="AA127" i="15" s="1"/>
  <c r="AA50" i="15"/>
  <c r="AA113" i="15" s="1"/>
  <c r="AA65" i="15"/>
  <c r="B66" i="15"/>
  <c r="B189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84" i="8" a="1"/>
  <c r="S66" i="15" a="1"/>
  <c r="AB51" i="15" a="1"/>
  <c r="AC63" i="15" a="1"/>
  <c r="Z82" i="8" a="1"/>
  <c r="C66" i="15" a="1"/>
  <c r="Z100" i="8" a="1"/>
  <c r="AC39" i="15" a="1"/>
  <c r="Z61" i="8" a="1"/>
  <c r="Z76" i="8" a="1"/>
  <c r="AC58" i="15" a="1"/>
  <c r="L66" i="15" a="1"/>
  <c r="Q66" i="15" a="1"/>
  <c r="Z104" i="8" a="1"/>
  <c r="Z64" i="8" a="1"/>
  <c r="AC60" i="15" a="1"/>
  <c r="Z74" i="8" a="1"/>
  <c r="J66" i="15" a="1"/>
  <c r="Z77" i="8" a="1"/>
  <c r="AC52" i="15" a="1"/>
  <c r="AC44" i="15" a="1"/>
  <c r="Z66" i="15" a="1"/>
  <c r="Z103" i="8" a="1"/>
  <c r="Z70" i="8" a="1"/>
  <c r="Z71" i="8" a="1"/>
  <c r="M66" i="15" a="1"/>
  <c r="Z73" i="8" a="1"/>
  <c r="Z79" i="8" a="1"/>
  <c r="AC55" i="15" a="1"/>
  <c r="AB44" i="15" a="1"/>
  <c r="AB43" i="15" a="1"/>
  <c r="Z59" i="8" a="1"/>
  <c r="Z60" i="8" a="1"/>
  <c r="Z58" i="8" a="1"/>
  <c r="AC57" i="15" a="1"/>
  <c r="AB61" i="15" a="1"/>
  <c r="AB63" i="15" a="1"/>
  <c r="AC50" i="15" a="1"/>
  <c r="E66" i="15" a="1"/>
  <c r="N66" i="15" a="1"/>
  <c r="AC47" i="15" a="1"/>
  <c r="Z52" i="8" a="1"/>
  <c r="AB47" i="15" a="1"/>
  <c r="Z65" i="8" a="1"/>
  <c r="U66" i="15" a="1"/>
  <c r="AC66" i="15" a="1"/>
  <c r="Z85" i="8" a="1"/>
  <c r="AC65" i="15" a="1"/>
  <c r="AB50" i="15" a="1"/>
  <c r="Z78" i="8" a="1"/>
  <c r="Z80" i="8" a="1"/>
  <c r="AA66" i="15" a="1"/>
  <c r="AC53" i="15" a="1"/>
  <c r="AB48" i="15" a="1"/>
  <c r="AB52" i="15" a="1"/>
  <c r="AB59" i="15" a="1"/>
  <c r="AC54" i="15" a="1"/>
  <c r="AC61" i="15" a="1"/>
  <c r="AB54" i="15" a="1"/>
  <c r="K66" i="15" a="1"/>
  <c r="W66" i="15" a="1"/>
  <c r="Z55" i="8" a="1"/>
  <c r="I66" i="15" a="1"/>
  <c r="AC46" i="15" a="1"/>
  <c r="Z53" i="8" a="1"/>
  <c r="AB62" i="15" a="1"/>
  <c r="Z72" i="8" a="1"/>
  <c r="T66" i="15" a="1"/>
  <c r="R66" i="15" a="1"/>
  <c r="AC59" i="15" a="1"/>
  <c r="Z102" i="8" a="1"/>
  <c r="AC49" i="15" a="1"/>
  <c r="AC64" i="15" a="1"/>
  <c r="Z54" i="8" a="1"/>
  <c r="AB57" i="15" a="1"/>
  <c r="AB46" i="15" a="1"/>
  <c r="F66" i="15" a="1"/>
  <c r="AC56" i="15" a="1"/>
  <c r="Y66" i="15" a="1"/>
  <c r="X66" i="15" a="1"/>
  <c r="AB39" i="15" a="1"/>
  <c r="AC62" i="15" a="1"/>
  <c r="D66" i="15" a="1"/>
  <c r="AB53" i="15" a="1"/>
  <c r="Z62" i="8" a="1"/>
  <c r="P66" i="15" a="1"/>
  <c r="Z68" i="8" a="1"/>
  <c r="AB49" i="15" a="1"/>
  <c r="AC45" i="15" a="1"/>
  <c r="G66" i="15" a="1"/>
  <c r="AB66" i="15" a="1"/>
  <c r="AB64" i="15" a="1"/>
  <c r="Z86" i="8" a="1"/>
  <c r="V66" i="15" a="1"/>
  <c r="AC51" i="15" a="1"/>
  <c r="Z66" i="8" a="1"/>
  <c r="H66" i="15" a="1"/>
  <c r="Z67" i="8" a="1"/>
  <c r="AB55" i="15" a="1"/>
  <c r="AB65" i="15" a="1"/>
  <c r="AB58" i="15" a="1"/>
  <c r="AC43" i="15" a="1"/>
  <c r="AC48" i="15" a="1"/>
  <c r="AB56" i="15" a="1"/>
  <c r="Z83" i="8" a="1"/>
  <c r="Z101" i="8" a="1"/>
  <c r="O66" i="15" a="1"/>
  <c r="AB45" i="15" a="1"/>
  <c r="Z56" i="8" a="1"/>
  <c r="AB60" i="15" a="1"/>
  <c r="AD38" i="15" l="1"/>
  <c r="AE38" i="15" s="1"/>
  <c r="V128" i="15"/>
  <c r="Z56" i="8"/>
  <c r="Z54" i="8"/>
  <c r="Z53" i="8"/>
  <c r="Z52" i="8"/>
  <c r="Z55" i="8"/>
  <c r="Z77" i="8"/>
  <c r="Z76" i="8"/>
  <c r="Z79" i="8"/>
  <c r="Z78" i="8"/>
  <c r="Z80" i="8"/>
  <c r="N128" i="15"/>
  <c r="R128" i="15"/>
  <c r="AB39" i="15"/>
  <c r="AB105" i="15" s="1"/>
  <c r="K128" i="15"/>
  <c r="F128" i="15"/>
  <c r="X128" i="15"/>
  <c r="T128" i="15"/>
  <c r="P128" i="15"/>
  <c r="L128" i="15"/>
  <c r="H128" i="15"/>
  <c r="W128" i="15"/>
  <c r="S128" i="15"/>
  <c r="O128" i="15"/>
  <c r="J128" i="15"/>
  <c r="G128" i="15"/>
  <c r="AA128" i="15"/>
  <c r="Y128" i="15"/>
  <c r="U128" i="15"/>
  <c r="Q128" i="15"/>
  <c r="M128" i="15"/>
  <c r="I128" i="15"/>
  <c r="E128" i="15"/>
  <c r="D66" i="15"/>
  <c r="D129" i="15" s="1"/>
  <c r="B129" i="15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12" i="15" s="1"/>
  <c r="AB47" i="15"/>
  <c r="AB110" i="15" s="1"/>
  <c r="AC50" i="15"/>
  <c r="AC113" i="15" s="1"/>
  <c r="AB44" i="15"/>
  <c r="AB107" i="15" s="1"/>
  <c r="AB51" i="15"/>
  <c r="AB114" i="15" s="1"/>
  <c r="AB55" i="15"/>
  <c r="AB118" i="15" s="1"/>
  <c r="AB50" i="15"/>
  <c r="AB113" i="15" s="1"/>
  <c r="AB63" i="15"/>
  <c r="AB126" i="15" s="1"/>
  <c r="AB61" i="15"/>
  <c r="AB124" i="15" s="1"/>
  <c r="AC43" i="15"/>
  <c r="AC106" i="15" s="1"/>
  <c r="AC47" i="15"/>
  <c r="AC110" i="15" s="1"/>
  <c r="AC51" i="15"/>
  <c r="AC114" i="15" s="1"/>
  <c r="AC53" i="15"/>
  <c r="AC116" i="15" s="1"/>
  <c r="AC60" i="15"/>
  <c r="AC123" i="15" s="1"/>
  <c r="AC66" i="15"/>
  <c r="AC64" i="15"/>
  <c r="AC127" i="15" s="1"/>
  <c r="AB52" i="15"/>
  <c r="AB115" i="15" s="1"/>
  <c r="AB60" i="15"/>
  <c r="AB123" i="15" s="1"/>
  <c r="AB65" i="15"/>
  <c r="AB128" i="15" s="1"/>
  <c r="AC48" i="15"/>
  <c r="AC111" i="15" s="1"/>
  <c r="AC57" i="15"/>
  <c r="AC120" i="15" s="1"/>
  <c r="AC54" i="15"/>
  <c r="AC117" i="15" s="1"/>
  <c r="AC61" i="15"/>
  <c r="AC124" i="15" s="1"/>
  <c r="AC59" i="15"/>
  <c r="AC122" i="15" s="1"/>
  <c r="AB46" i="15"/>
  <c r="AB109" i="15" s="1"/>
  <c r="AB56" i="15"/>
  <c r="AB119" i="15" s="1"/>
  <c r="AB64" i="15"/>
  <c r="AB127" i="15" s="1"/>
  <c r="AC45" i="15"/>
  <c r="AC108" i="15" s="1"/>
  <c r="AB43" i="15"/>
  <c r="AB106" i="15" s="1"/>
  <c r="AB48" i="15"/>
  <c r="AB111" i="15" s="1"/>
  <c r="AB53" i="15"/>
  <c r="AB116" i="15" s="1"/>
  <c r="AB58" i="15"/>
  <c r="AB121" i="15" s="1"/>
  <c r="AB57" i="15"/>
  <c r="AB120" i="15" s="1"/>
  <c r="AB62" i="15"/>
  <c r="AB125" i="15" s="1"/>
  <c r="AC44" i="15"/>
  <c r="AC107" i="15" s="1"/>
  <c r="AC49" i="15"/>
  <c r="AC112" i="15" s="1"/>
  <c r="AC58" i="15"/>
  <c r="AC121" i="15" s="1"/>
  <c r="AC55" i="15"/>
  <c r="AC118" i="15" s="1"/>
  <c r="AC65" i="15"/>
  <c r="AC128" i="15" s="1"/>
  <c r="AC63" i="15"/>
  <c r="AC126" i="15" s="1"/>
  <c r="AB45" i="15"/>
  <c r="AB108" i="15" s="1"/>
  <c r="AB54" i="15"/>
  <c r="AB117" i="15" s="1"/>
  <c r="AB59" i="15"/>
  <c r="AB122" i="15" s="1"/>
  <c r="AB66" i="15"/>
  <c r="AC46" i="15"/>
  <c r="AC109" i="15" s="1"/>
  <c r="AC52" i="15"/>
  <c r="AC115" i="15" s="1"/>
  <c r="AC56" i="15"/>
  <c r="AC119" i="15" s="1"/>
  <c r="AC62" i="15"/>
  <c r="AC125" i="15" s="1"/>
  <c r="AC39" i="15"/>
  <c r="AC105" i="15" s="1"/>
  <c r="B67" i="15"/>
  <c r="B190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61" i="8" a="1"/>
  <c r="AA66" i="8" a="1"/>
  <c r="AA74" i="8" a="1"/>
  <c r="AA101" i="8" a="1"/>
  <c r="AD47" i="15" a="1"/>
  <c r="W67" i="15" a="1"/>
  <c r="I67" i="15" a="1"/>
  <c r="AA76" i="8" a="1"/>
  <c r="AA85" i="8" a="1"/>
  <c r="AA62" i="8" a="1"/>
  <c r="AA65" i="8" a="1"/>
  <c r="AD57" i="15" a="1"/>
  <c r="AD48" i="15" a="1"/>
  <c r="AD52" i="15" a="1"/>
  <c r="AA78" i="8" a="1"/>
  <c r="AD61" i="15" a="1"/>
  <c r="AA64" i="8" a="1"/>
  <c r="AA72" i="8" a="1"/>
  <c r="N67" i="15" a="1"/>
  <c r="AA104" i="8" a="1"/>
  <c r="U67" i="15" a="1"/>
  <c r="AD62" i="15" a="1"/>
  <c r="C67" i="15" a="1"/>
  <c r="AA53" i="8" a="1"/>
  <c r="AD55" i="15" a="1"/>
  <c r="AD58" i="15" a="1"/>
  <c r="T67" i="15" a="1"/>
  <c r="AD60" i="15" a="1"/>
  <c r="AA103" i="8" a="1"/>
  <c r="Z67" i="15" a="1"/>
  <c r="AD50" i="15" a="1"/>
  <c r="AC67" i="15" a="1"/>
  <c r="K67" i="15" a="1"/>
  <c r="AA86" i="8" a="1"/>
  <c r="R67" i="15" a="1"/>
  <c r="AD51" i="15" a="1"/>
  <c r="AD56" i="15" a="1"/>
  <c r="AA52" i="8" a="1"/>
  <c r="AA100" i="8" a="1"/>
  <c r="Y67" i="15" a="1"/>
  <c r="AA71" i="8" a="1"/>
  <c r="AA68" i="8" a="1"/>
  <c r="AA58" i="8" a="1"/>
  <c r="AD67" i="15" a="1"/>
  <c r="AA79" i="8" a="1"/>
  <c r="AA84" i="8" a="1"/>
  <c r="AA83" i="8" a="1"/>
  <c r="AD44" i="15" a="1"/>
  <c r="F67" i="15" a="1"/>
  <c r="AD53" i="15" a="1"/>
  <c r="AA77" i="8" a="1"/>
  <c r="J67" i="15" a="1"/>
  <c r="E67" i="15" a="1"/>
  <c r="M67" i="15" a="1"/>
  <c r="AA67" i="15" a="1"/>
  <c r="AA60" i="8" a="1"/>
  <c r="D67" i="15" a="1"/>
  <c r="AD43" i="15" a="1"/>
  <c r="O67" i="15" a="1"/>
  <c r="P67" i="15" a="1"/>
  <c r="AA102" i="8" a="1"/>
  <c r="S67" i="15" a="1"/>
  <c r="AD54" i="15" a="1"/>
  <c r="AA70" i="8" a="1"/>
  <c r="AA55" i="8" a="1"/>
  <c r="AD45" i="15" a="1"/>
  <c r="AA56" i="8" a="1"/>
  <c r="AA80" i="8" a="1"/>
  <c r="AA73" i="8" a="1"/>
  <c r="AD64" i="15" a="1"/>
  <c r="AA82" i="8" a="1"/>
  <c r="AD59" i="15" a="1"/>
  <c r="H67" i="15" a="1"/>
  <c r="X67" i="15" a="1"/>
  <c r="AD46" i="15" a="1"/>
  <c r="G67" i="15" a="1"/>
  <c r="AA54" i="8" a="1"/>
  <c r="AD39" i="15" a="1"/>
  <c r="AD66" i="15" a="1"/>
  <c r="AD65" i="15" a="1"/>
  <c r="AB67" i="15" a="1"/>
  <c r="L67" i="15" a="1"/>
  <c r="V67" i="15" a="1"/>
  <c r="AA59" i="8" a="1"/>
  <c r="AA67" i="8" a="1"/>
  <c r="Q67" i="15" a="1"/>
  <c r="AD63" i="15" a="1"/>
  <c r="AD49" i="15" a="1"/>
  <c r="AA55" i="8" l="1"/>
  <c r="AA54" i="8"/>
  <c r="AA52" i="8"/>
  <c r="AA53" i="8"/>
  <c r="AA56" i="8"/>
  <c r="AA79" i="8"/>
  <c r="AA76" i="8"/>
  <c r="AA80" i="8"/>
  <c r="AA77" i="8"/>
  <c r="AA78" i="8"/>
  <c r="X129" i="15"/>
  <c r="T129" i="15"/>
  <c r="P129" i="15"/>
  <c r="L129" i="15"/>
  <c r="H129" i="15"/>
  <c r="Y129" i="15"/>
  <c r="U129" i="15"/>
  <c r="Q129" i="15"/>
  <c r="M129" i="15"/>
  <c r="I129" i="15"/>
  <c r="AB129" i="15"/>
  <c r="AA129" i="15"/>
  <c r="W129" i="15"/>
  <c r="S129" i="15"/>
  <c r="O129" i="15"/>
  <c r="J129" i="15"/>
  <c r="G129" i="15"/>
  <c r="AC129" i="15"/>
  <c r="Z129" i="15"/>
  <c r="V129" i="15"/>
  <c r="R129" i="15"/>
  <c r="N129" i="15"/>
  <c r="K129" i="15"/>
  <c r="F129" i="15"/>
  <c r="E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R130" i="15" s="1"/>
  <c r="S67" i="15"/>
  <c r="T67" i="15"/>
  <c r="U67" i="15"/>
  <c r="V67" i="15"/>
  <c r="V130" i="15" s="1"/>
  <c r="W67" i="15"/>
  <c r="X67" i="15"/>
  <c r="Y67" i="15"/>
  <c r="Z67" i="15"/>
  <c r="Z130" i="15" s="1"/>
  <c r="AA67" i="15"/>
  <c r="AB67" i="15"/>
  <c r="AC67" i="15"/>
  <c r="AD46" i="15"/>
  <c r="AD109" i="15" s="1"/>
  <c r="AD51" i="15"/>
  <c r="AD114" i="15" s="1"/>
  <c r="AD63" i="15"/>
  <c r="AD126" i="15" s="1"/>
  <c r="AD43" i="15"/>
  <c r="AD106" i="15" s="1"/>
  <c r="AD50" i="15"/>
  <c r="AD113" i="15" s="1"/>
  <c r="AD56" i="15"/>
  <c r="AD119" i="15" s="1"/>
  <c r="AD52" i="15"/>
  <c r="AD115" i="15" s="1"/>
  <c r="AD64" i="15"/>
  <c r="AD127" i="15" s="1"/>
  <c r="AD58" i="15"/>
  <c r="AD121" i="15" s="1"/>
  <c r="AD67" i="15"/>
  <c r="AD47" i="15"/>
  <c r="AD110" i="15" s="1"/>
  <c r="AD60" i="15"/>
  <c r="AD123" i="15" s="1"/>
  <c r="AD48" i="15"/>
  <c r="AD111" i="15" s="1"/>
  <c r="AD62" i="15"/>
  <c r="AD125" i="15" s="1"/>
  <c r="AD55" i="15"/>
  <c r="AD118" i="15" s="1"/>
  <c r="AD45" i="15"/>
  <c r="AD108" i="15" s="1"/>
  <c r="AD53" i="15"/>
  <c r="AD116" i="15" s="1"/>
  <c r="AD57" i="15"/>
  <c r="AD120" i="15" s="1"/>
  <c r="AD65" i="15"/>
  <c r="AD128" i="15" s="1"/>
  <c r="AD44" i="15"/>
  <c r="AD107" i="15" s="1"/>
  <c r="AD61" i="15"/>
  <c r="AD124" i="15" s="1"/>
  <c r="AD54" i="15"/>
  <c r="AD117" i="15" s="1"/>
  <c r="AD49" i="15"/>
  <c r="AD112" i="15" s="1"/>
  <c r="AD59" i="15"/>
  <c r="AD122" i="15" s="1"/>
  <c r="AD66" i="15"/>
  <c r="AD129" i="15" s="1"/>
  <c r="AD39" i="15"/>
  <c r="AD105" i="15" s="1"/>
  <c r="AF38" i="15"/>
  <c r="B68" i="15"/>
  <c r="B191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56" i="8" a="1"/>
  <c r="AB74" i="8" a="1"/>
  <c r="AB82" i="8" a="1"/>
  <c r="G68" i="15" a="1"/>
  <c r="AE48" i="15" a="1"/>
  <c r="Y68" i="15" a="1"/>
  <c r="H68" i="15" a="1"/>
  <c r="C68" i="15" a="1"/>
  <c r="AB77" i="8" a="1"/>
  <c r="AE61" i="15" a="1"/>
  <c r="AE58" i="15" a="1"/>
  <c r="AB83" i="8" a="1"/>
  <c r="AE62" i="15" a="1"/>
  <c r="AE57" i="15" a="1"/>
  <c r="AE65" i="15" a="1"/>
  <c r="AB52" i="8" a="1"/>
  <c r="AB68" i="8" a="1"/>
  <c r="AE63" i="15" a="1"/>
  <c r="AE54" i="15" a="1"/>
  <c r="AE64" i="15" a="1"/>
  <c r="U68" i="15" a="1"/>
  <c r="AA68" i="15" a="1"/>
  <c r="AB103" i="8" a="1"/>
  <c r="AB80" i="8" a="1"/>
  <c r="AE56" i="15" a="1"/>
  <c r="AE51" i="15" a="1"/>
  <c r="AB78" i="8" a="1"/>
  <c r="T68" i="15" a="1"/>
  <c r="AB67" i="8" a="1"/>
  <c r="W68" i="15" a="1"/>
  <c r="AB62" i="8" a="1"/>
  <c r="M68" i="15" a="1"/>
  <c r="AB86" i="8" a="1"/>
  <c r="AB66" i="8" a="1"/>
  <c r="AB54" i="8" a="1"/>
  <c r="S68" i="15" a="1"/>
  <c r="D68" i="15" a="1"/>
  <c r="AE53" i="15" a="1"/>
  <c r="J68" i="15" a="1"/>
  <c r="AB65" i="8" a="1"/>
  <c r="AB64" i="8" a="1"/>
  <c r="K68" i="15" a="1"/>
  <c r="AB53" i="8" a="1"/>
  <c r="L68" i="15" a="1"/>
  <c r="AE44" i="15" a="1"/>
  <c r="X68" i="15" a="1"/>
  <c r="AB58" i="8" a="1"/>
  <c r="AB84" i="8" a="1"/>
  <c r="AB59" i="8" a="1"/>
  <c r="AB68" i="15" a="1"/>
  <c r="AE47" i="15" a="1"/>
  <c r="I68" i="15" a="1"/>
  <c r="AB72" i="8" a="1"/>
  <c r="AD68" i="15" a="1"/>
  <c r="AB85" i="8" a="1"/>
  <c r="AE59" i="15" a="1"/>
  <c r="AB60" i="8" a="1"/>
  <c r="AB71" i="8" a="1"/>
  <c r="E68" i="15" a="1"/>
  <c r="Q68" i="15" a="1"/>
  <c r="AB100" i="8" a="1"/>
  <c r="AB61" i="8" a="1"/>
  <c r="V68" i="15" a="1"/>
  <c r="AB102" i="8" a="1"/>
  <c r="Z68" i="15" a="1"/>
  <c r="AB55" i="8" a="1"/>
  <c r="AE39" i="15" a="1"/>
  <c r="AE45" i="15" a="1"/>
  <c r="AE55" i="15" a="1"/>
  <c r="F68" i="15" a="1"/>
  <c r="AE50" i="15" a="1"/>
  <c r="AE60" i="15" a="1"/>
  <c r="O68" i="15" a="1"/>
  <c r="AB101" i="8" a="1"/>
  <c r="AE66" i="15" a="1"/>
  <c r="AE43" i="15" a="1"/>
  <c r="AE49" i="15" a="1"/>
  <c r="AB70" i="8" a="1"/>
  <c r="N68" i="15" a="1"/>
  <c r="AC68" i="15" a="1"/>
  <c r="AB76" i="8" a="1"/>
  <c r="R68" i="15" a="1"/>
  <c r="AE52" i="15" a="1"/>
  <c r="AE67" i="15" a="1"/>
  <c r="AE46" i="15" a="1"/>
  <c r="AB104" i="8" a="1"/>
  <c r="P68" i="15" a="1"/>
  <c r="AB73" i="8" a="1"/>
  <c r="AB79" i="8" a="1"/>
  <c r="AE68" i="15" a="1"/>
  <c r="K130" i="15" l="1"/>
  <c r="AB54" i="8"/>
  <c r="AB55" i="8"/>
  <c r="AB52" i="8"/>
  <c r="AB53" i="8"/>
  <c r="AB56" i="8"/>
  <c r="AB78" i="8"/>
  <c r="AB79" i="8"/>
  <c r="AB77" i="8"/>
  <c r="AB76" i="8"/>
  <c r="AB80" i="8"/>
  <c r="N130" i="15"/>
  <c r="AB130" i="15"/>
  <c r="X130" i="15"/>
  <c r="T130" i="15"/>
  <c r="L130" i="15"/>
  <c r="H130" i="15"/>
  <c r="AD130" i="15"/>
  <c r="AA130" i="15"/>
  <c r="W130" i="15"/>
  <c r="S130" i="15"/>
  <c r="O130" i="15"/>
  <c r="J130" i="15"/>
  <c r="G130" i="15"/>
  <c r="F130" i="15"/>
  <c r="AC130" i="15"/>
  <c r="Y130" i="15"/>
  <c r="U130" i="15"/>
  <c r="Q130" i="15"/>
  <c r="M130" i="15"/>
  <c r="I130" i="15"/>
  <c r="E130" i="15"/>
  <c r="P130" i="15"/>
  <c r="D68" i="15"/>
  <c r="D131" i="15" s="1"/>
  <c r="B131" i="15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8" i="15" s="1"/>
  <c r="AE57" i="15"/>
  <c r="AE120" i="15" s="1"/>
  <c r="AE55" i="15"/>
  <c r="AE118" i="15" s="1"/>
  <c r="AE65" i="15"/>
  <c r="AE128" i="15" s="1"/>
  <c r="AE43" i="15"/>
  <c r="AE106" i="15" s="1"/>
  <c r="AE49" i="15"/>
  <c r="AE112" i="15" s="1"/>
  <c r="AE59" i="15"/>
  <c r="AE122" i="15" s="1"/>
  <c r="AE50" i="15"/>
  <c r="AE113" i="15" s="1"/>
  <c r="AE56" i="15"/>
  <c r="AE119" i="15" s="1"/>
  <c r="AE63" i="15"/>
  <c r="AE126" i="15" s="1"/>
  <c r="AE67" i="15"/>
  <c r="AE130" i="15" s="1"/>
  <c r="AE51" i="15"/>
  <c r="AE114" i="15" s="1"/>
  <c r="AE58" i="15"/>
  <c r="AE121" i="15" s="1"/>
  <c r="AE68" i="15"/>
  <c r="AE44" i="15"/>
  <c r="AE107" i="15" s="1"/>
  <c r="AE61" i="15"/>
  <c r="AE124" i="15" s="1"/>
  <c r="AE53" i="15"/>
  <c r="AE116" i="15" s="1"/>
  <c r="AE60" i="15"/>
  <c r="AE123" i="15" s="1"/>
  <c r="AE46" i="15"/>
  <c r="AE109" i="15" s="1"/>
  <c r="AE52" i="15"/>
  <c r="AE115" i="15" s="1"/>
  <c r="AE47" i="15"/>
  <c r="AE110" i="15" s="1"/>
  <c r="AE54" i="15"/>
  <c r="AE117" i="15" s="1"/>
  <c r="AE62" i="15"/>
  <c r="AE125" i="15" s="1"/>
  <c r="AE64" i="15"/>
  <c r="AE127" i="15" s="1"/>
  <c r="AE48" i="15"/>
  <c r="AE111" i="15" s="1"/>
  <c r="AE66" i="15"/>
  <c r="AE129" i="15" s="1"/>
  <c r="AE39" i="15"/>
  <c r="AE105" i="15" s="1"/>
  <c r="AG38" i="15"/>
  <c r="B69" i="15"/>
  <c r="B192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54" i="8" a="1"/>
  <c r="L69" i="15" a="1"/>
  <c r="AC70" i="8" a="1"/>
  <c r="V69" i="15" a="1"/>
  <c r="AF61" i="15" a="1"/>
  <c r="AF47" i="15" a="1"/>
  <c r="AC64" i="8" a="1"/>
  <c r="AC61" i="8" a="1"/>
  <c r="AF52" i="15" a="1"/>
  <c r="AF50" i="15" a="1"/>
  <c r="P69" i="15" a="1"/>
  <c r="AC68" i="8" a="1"/>
  <c r="AF69" i="15" a="1"/>
  <c r="AC55" i="8" a="1"/>
  <c r="G69" i="15" a="1"/>
  <c r="AC80" i="8" a="1"/>
  <c r="J69" i="15" a="1"/>
  <c r="AF48" i="15" a="1"/>
  <c r="AC71" i="8" a="1"/>
  <c r="AC84" i="8" a="1"/>
  <c r="AC100" i="8" a="1"/>
  <c r="AF57" i="15" a="1"/>
  <c r="AF45" i="15" a="1"/>
  <c r="AC74" i="8" a="1"/>
  <c r="AC101" i="8" a="1"/>
  <c r="AC56" i="8" a="1"/>
  <c r="AF54" i="15" a="1"/>
  <c r="AC69" i="15" a="1"/>
  <c r="AC82" i="8" a="1"/>
  <c r="R69" i="15" a="1"/>
  <c r="AF44" i="15" a="1"/>
  <c r="AC77" i="8" a="1"/>
  <c r="C69" i="15" a="1"/>
  <c r="AC86" i="8" a="1"/>
  <c r="W69" i="15" a="1"/>
  <c r="AC72" i="8" a="1"/>
  <c r="AF56" i="15" a="1"/>
  <c r="AC65" i="8" a="1"/>
  <c r="AF53" i="15" a="1"/>
  <c r="AF68" i="15" a="1"/>
  <c r="X69" i="15" a="1"/>
  <c r="N69" i="15" a="1"/>
  <c r="M69" i="15" a="1"/>
  <c r="Z69" i="15" a="1"/>
  <c r="AB69" i="15" a="1"/>
  <c r="E69" i="15" a="1"/>
  <c r="AC76" i="8" a="1"/>
  <c r="AF60" i="15" a="1"/>
  <c r="O69" i="15" a="1"/>
  <c r="U69" i="15" a="1"/>
  <c r="AF63" i="15" a="1"/>
  <c r="AC73" i="8" a="1"/>
  <c r="AF64" i="15" a="1"/>
  <c r="AF51" i="15" a="1"/>
  <c r="AC79" i="8" a="1"/>
  <c r="AC103" i="8" a="1"/>
  <c r="AD69" i="15" a="1"/>
  <c r="AC60" i="8" a="1"/>
  <c r="D69" i="15" a="1"/>
  <c r="AF43" i="15" a="1"/>
  <c r="AC62" i="8" a="1"/>
  <c r="I69" i="15" a="1"/>
  <c r="AF67" i="15" a="1"/>
  <c r="AF66" i="15" a="1"/>
  <c r="Y69" i="15" a="1"/>
  <c r="S69" i="15" a="1"/>
  <c r="AF65" i="15" a="1"/>
  <c r="AF58" i="15" a="1"/>
  <c r="AC104" i="8" a="1"/>
  <c r="AF49" i="15" a="1"/>
  <c r="AC66" i="8" a="1"/>
  <c r="T69" i="15" a="1"/>
  <c r="AF39" i="15" a="1"/>
  <c r="F69" i="15" a="1"/>
  <c r="AC102" i="8" a="1"/>
  <c r="AF46" i="15" a="1"/>
  <c r="AC58" i="8" a="1"/>
  <c r="AF59" i="15" a="1"/>
  <c r="AC53" i="8" a="1"/>
  <c r="AE69" i="15" a="1"/>
  <c r="K69" i="15" a="1"/>
  <c r="AC52" i="8" a="1"/>
  <c r="AC59" i="8" a="1"/>
  <c r="AF55" i="15" a="1"/>
  <c r="H69" i="15" a="1"/>
  <c r="AA69" i="15" a="1"/>
  <c r="AF62" i="15" a="1"/>
  <c r="AC83" i="8" a="1"/>
  <c r="AC85" i="8" a="1"/>
  <c r="AC67" i="8" a="1"/>
  <c r="Q69" i="15" a="1"/>
  <c r="AC78" i="8" a="1"/>
  <c r="AD131" i="15" l="1"/>
  <c r="Z131" i="15"/>
  <c r="V131" i="15"/>
  <c r="R131" i="15"/>
  <c r="N131" i="15"/>
  <c r="AC55" i="8"/>
  <c r="AC52" i="8"/>
  <c r="AC56" i="8"/>
  <c r="AC54" i="8"/>
  <c r="AC53" i="8"/>
  <c r="AC79" i="8"/>
  <c r="AC76" i="8"/>
  <c r="AC77" i="8"/>
  <c r="AC78" i="8"/>
  <c r="AC80" i="8"/>
  <c r="F131" i="15"/>
  <c r="J131" i="15"/>
  <c r="AA131" i="15"/>
  <c r="W131" i="15"/>
  <c r="S131" i="15"/>
  <c r="O131" i="15"/>
  <c r="K131" i="15"/>
  <c r="G131" i="15"/>
  <c r="AB131" i="15"/>
  <c r="Y131" i="15"/>
  <c r="U131" i="15"/>
  <c r="Q131" i="15"/>
  <c r="M131" i="15"/>
  <c r="I131" i="15"/>
  <c r="E131" i="15"/>
  <c r="AE131" i="15"/>
  <c r="AC131" i="15"/>
  <c r="X131" i="15"/>
  <c r="T131" i="15"/>
  <c r="P131" i="15"/>
  <c r="L131" i="15"/>
  <c r="H131" i="15"/>
  <c r="D69" i="15"/>
  <c r="D132" i="15" s="1"/>
  <c r="B132" i="15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32" i="15" s="1"/>
  <c r="W69" i="15"/>
  <c r="X69" i="15"/>
  <c r="Y69" i="15"/>
  <c r="Z69" i="15"/>
  <c r="Z132" i="15" s="1"/>
  <c r="AA69" i="15"/>
  <c r="AC69" i="15"/>
  <c r="AB69" i="15"/>
  <c r="AD69" i="15"/>
  <c r="AD132" i="15" s="1"/>
  <c r="AE69" i="15"/>
  <c r="AF49" i="15"/>
  <c r="AF112" i="15" s="1"/>
  <c r="AF65" i="15"/>
  <c r="AF128" i="15" s="1"/>
  <c r="AF52" i="15"/>
  <c r="AF115" i="15" s="1"/>
  <c r="AF51" i="15"/>
  <c r="AF114" i="15" s="1"/>
  <c r="AF68" i="15"/>
  <c r="AF131" i="15" s="1"/>
  <c r="AF43" i="15"/>
  <c r="AF106" i="15" s="1"/>
  <c r="AF58" i="15"/>
  <c r="AF121" i="15" s="1"/>
  <c r="AF54" i="15"/>
  <c r="AF117" i="15" s="1"/>
  <c r="AF60" i="15"/>
  <c r="AF123" i="15" s="1"/>
  <c r="AF53" i="15"/>
  <c r="AF116" i="15" s="1"/>
  <c r="AF66" i="15"/>
  <c r="AF129" i="15" s="1"/>
  <c r="AF59" i="15"/>
  <c r="AF122" i="15" s="1"/>
  <c r="AF44" i="15"/>
  <c r="AF107" i="15" s="1"/>
  <c r="AF69" i="15"/>
  <c r="AF57" i="15"/>
  <c r="AF120" i="15" s="1"/>
  <c r="AF45" i="15"/>
  <c r="AF108" i="15" s="1"/>
  <c r="AF48" i="15"/>
  <c r="AF111" i="15" s="1"/>
  <c r="AF55" i="15"/>
  <c r="AF118" i="15" s="1"/>
  <c r="AF47" i="15"/>
  <c r="AF110" i="15" s="1"/>
  <c r="AF61" i="15"/>
  <c r="AF124" i="15" s="1"/>
  <c r="AF67" i="15"/>
  <c r="AF130" i="15" s="1"/>
  <c r="AF63" i="15"/>
  <c r="AF126" i="15" s="1"/>
  <c r="AF50" i="15"/>
  <c r="AF113" i="15" s="1"/>
  <c r="AF64" i="15"/>
  <c r="AF127" i="15" s="1"/>
  <c r="AF56" i="15"/>
  <c r="AF119" i="15" s="1"/>
  <c r="AF46" i="15"/>
  <c r="AF109" i="15" s="1"/>
  <c r="AF62" i="15"/>
  <c r="AF125" i="15" s="1"/>
  <c r="AF39" i="15"/>
  <c r="AF105" i="15" s="1"/>
  <c r="AH38" i="15"/>
  <c r="B70" i="15"/>
  <c r="B193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G39" i="15" a="1"/>
  <c r="AG64" i="15" a="1"/>
  <c r="F70" i="15" a="1"/>
  <c r="AD64" i="8" a="1"/>
  <c r="AG43" i="15" a="1"/>
  <c r="AD66" i="8" a="1"/>
  <c r="AD70" i="8" a="1"/>
  <c r="AD85" i="8" a="1"/>
  <c r="AD55" i="8" a="1"/>
  <c r="AB70" i="15" a="1"/>
  <c r="Z70" i="15" a="1"/>
  <c r="Q70" i="15" a="1"/>
  <c r="T70" i="15" a="1"/>
  <c r="AG51" i="15" a="1"/>
  <c r="AD100" i="8" a="1"/>
  <c r="AD71" i="8" a="1"/>
  <c r="R70" i="15" a="1"/>
  <c r="AD101" i="8" a="1"/>
  <c r="AD84" i="8" a="1"/>
  <c r="AG49" i="15" a="1"/>
  <c r="AG55" i="15" a="1"/>
  <c r="AD76" i="8" a="1"/>
  <c r="N70" i="15" a="1"/>
  <c r="J70" i="15" a="1"/>
  <c r="AD60" i="8" a="1"/>
  <c r="AD82" i="8" a="1"/>
  <c r="AG48" i="15" a="1"/>
  <c r="AG58" i="15" a="1"/>
  <c r="W70" i="15" a="1"/>
  <c r="AG52" i="15" a="1"/>
  <c r="AG45" i="15" a="1"/>
  <c r="AG47" i="15" a="1"/>
  <c r="AG50" i="15" a="1"/>
  <c r="AD80" i="8" a="1"/>
  <c r="P70" i="15" a="1"/>
  <c r="V70" i="15" a="1"/>
  <c r="AG65" i="15" a="1"/>
  <c r="Y70" i="15" a="1"/>
  <c r="AD70" i="15" a="1"/>
  <c r="AG62" i="15" a="1"/>
  <c r="AG59" i="15" a="1"/>
  <c r="O70" i="15" a="1"/>
  <c r="H70" i="15" a="1"/>
  <c r="AD68" i="8" a="1"/>
  <c r="AG63" i="15" a="1"/>
  <c r="AD61" i="8" a="1"/>
  <c r="AG60" i="15" a="1"/>
  <c r="AG57" i="15" a="1"/>
  <c r="AD56" i="8" a="1"/>
  <c r="AG66" i="15" a="1"/>
  <c r="AD77" i="8" a="1"/>
  <c r="S70" i="15" a="1"/>
  <c r="AD103" i="8" a="1"/>
  <c r="AG46" i="15" a="1"/>
  <c r="AG67" i="15" a="1"/>
  <c r="K70" i="15" a="1"/>
  <c r="AG53" i="15" a="1"/>
  <c r="AD53" i="8" a="1"/>
  <c r="AG61" i="15" a="1"/>
  <c r="AD102" i="8" a="1"/>
  <c r="C70" i="15" a="1"/>
  <c r="AD59" i="8" a="1"/>
  <c r="AD86" i="8" a="1"/>
  <c r="AG44" i="15" a="1"/>
  <c r="AG69" i="15" a="1"/>
  <c r="AD54" i="8" a="1"/>
  <c r="AG68" i="15" a="1"/>
  <c r="AD62" i="8" a="1"/>
  <c r="U70" i="15" a="1"/>
  <c r="AE70" i="15" a="1"/>
  <c r="AD83" i="8" a="1"/>
  <c r="AG54" i="15" a="1"/>
  <c r="D70" i="15" a="1"/>
  <c r="AA70" i="15" a="1"/>
  <c r="G70" i="15" a="1"/>
  <c r="AF70" i="15" a="1"/>
  <c r="AD74" i="8" a="1"/>
  <c r="E70" i="15" a="1"/>
  <c r="AD73" i="8" a="1"/>
  <c r="AD78" i="8" a="1"/>
  <c r="M70" i="15" a="1"/>
  <c r="AD65" i="8" a="1"/>
  <c r="AG70" i="15" a="1"/>
  <c r="AC70" i="15" a="1"/>
  <c r="X70" i="15" a="1"/>
  <c r="L70" i="15" a="1"/>
  <c r="AD67" i="8" a="1"/>
  <c r="AD72" i="8" a="1"/>
  <c r="AG56" i="15" a="1"/>
  <c r="AD79" i="8" a="1"/>
  <c r="I70" i="15" a="1"/>
  <c r="AD58" i="8" a="1"/>
  <c r="AD52" i="8" a="1"/>
  <c r="AD104" i="8" a="1"/>
  <c r="N132" i="15" l="1"/>
  <c r="R132" i="15"/>
  <c r="AD52" i="8"/>
  <c r="AD55" i="8"/>
  <c r="AD53" i="8"/>
  <c r="AD56" i="8"/>
  <c r="AD54" i="8"/>
  <c r="AD79" i="8"/>
  <c r="AD80" i="8"/>
  <c r="AD76" i="8"/>
  <c r="AD77" i="8"/>
  <c r="AD78" i="8"/>
  <c r="F132" i="15"/>
  <c r="K132" i="15"/>
  <c r="AC132" i="15"/>
  <c r="X132" i="15"/>
  <c r="T132" i="15"/>
  <c r="P132" i="15"/>
  <c r="L132" i="15"/>
  <c r="H132" i="15"/>
  <c r="AE132" i="15"/>
  <c r="AA132" i="15"/>
  <c r="W132" i="15"/>
  <c r="S132" i="15"/>
  <c r="O132" i="15"/>
  <c r="J132" i="15"/>
  <c r="G132" i="15"/>
  <c r="AF132" i="15"/>
  <c r="AB132" i="15"/>
  <c r="Y132" i="15"/>
  <c r="U132" i="15"/>
  <c r="Q132" i="15"/>
  <c r="M132" i="15"/>
  <c r="I132" i="15"/>
  <c r="E132" i="15"/>
  <c r="D70" i="15"/>
  <c r="D133" i="15" s="1"/>
  <c r="B133" i="15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43" i="15"/>
  <c r="AG106" i="15" s="1"/>
  <c r="AG47" i="15"/>
  <c r="AG110" i="15" s="1"/>
  <c r="AG60" i="15"/>
  <c r="AG123" i="15" s="1"/>
  <c r="AG53" i="15"/>
  <c r="AG116" i="15" s="1"/>
  <c r="AG57" i="15"/>
  <c r="AG120" i="15" s="1"/>
  <c r="AG61" i="15"/>
  <c r="AG124" i="15" s="1"/>
  <c r="AG67" i="15"/>
  <c r="AG130" i="15" s="1"/>
  <c r="AG63" i="15"/>
  <c r="AG126" i="15" s="1"/>
  <c r="AG46" i="15"/>
  <c r="AG109" i="15" s="1"/>
  <c r="AG52" i="15"/>
  <c r="AG115" i="15" s="1"/>
  <c r="AG64" i="15"/>
  <c r="AG127" i="15" s="1"/>
  <c r="AG70" i="15"/>
  <c r="AG45" i="15"/>
  <c r="AG108" i="15" s="1"/>
  <c r="AG48" i="15"/>
  <c r="AG111" i="15" s="1"/>
  <c r="AG49" i="15"/>
  <c r="AG112" i="15" s="1"/>
  <c r="AG54" i="15"/>
  <c r="AG117" i="15" s="1"/>
  <c r="AG59" i="15"/>
  <c r="AG122" i="15" s="1"/>
  <c r="AG65" i="15"/>
  <c r="AG128" i="15" s="1"/>
  <c r="AG68" i="15"/>
  <c r="AG131" i="15" s="1"/>
  <c r="AG50" i="15"/>
  <c r="AG113" i="15" s="1"/>
  <c r="AG55" i="15"/>
  <c r="AG118" i="15" s="1"/>
  <c r="AG62" i="15"/>
  <c r="AG125" i="15" s="1"/>
  <c r="AG69" i="15"/>
  <c r="AG132" i="15" s="1"/>
  <c r="AG44" i="15"/>
  <c r="AG107" i="15" s="1"/>
  <c r="AG51" i="15"/>
  <c r="AG114" i="15" s="1"/>
  <c r="AG58" i="15"/>
  <c r="AG121" i="15" s="1"/>
  <c r="AG56" i="15"/>
  <c r="AG119" i="15" s="1"/>
  <c r="AG66" i="15"/>
  <c r="AG129" i="15" s="1"/>
  <c r="AG39" i="15"/>
  <c r="AG105" i="15" s="1"/>
  <c r="AI38" i="15"/>
  <c r="B71" i="15"/>
  <c r="B194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H49" i="15" a="1"/>
  <c r="AF71" i="15" a="1"/>
  <c r="AC71" i="15" a="1"/>
  <c r="AE82" i="8" a="1"/>
  <c r="AE103" i="8" a="1"/>
  <c r="T71" i="15" a="1"/>
  <c r="AH44" i="15" a="1"/>
  <c r="AH59" i="15" a="1"/>
  <c r="AE66" i="8" a="1"/>
  <c r="AE83" i="8" a="1"/>
  <c r="E71" i="15" a="1"/>
  <c r="G71" i="15" a="1"/>
  <c r="AE71" i="8" a="1"/>
  <c r="L71" i="15" a="1"/>
  <c r="AA71" i="15" a="1"/>
  <c r="AH70" i="15" a="1"/>
  <c r="C71" i="15" a="1"/>
  <c r="AE64" i="8" a="1"/>
  <c r="P71" i="15" a="1"/>
  <c r="R71" i="15" a="1"/>
  <c r="I71" i="15" a="1"/>
  <c r="AH62" i="15" a="1"/>
  <c r="Z71" i="15" a="1"/>
  <c r="AE68" i="8" a="1"/>
  <c r="AE61" i="8" a="1"/>
  <c r="AH51" i="15" a="1"/>
  <c r="V71" i="15" a="1"/>
  <c r="AE77" i="8" a="1"/>
  <c r="AH55" i="15" a="1"/>
  <c r="U71" i="15" a="1"/>
  <c r="AH46" i="15" a="1"/>
  <c r="AH63" i="15" a="1"/>
  <c r="AE85" i="8" a="1"/>
  <c r="W71" i="15" a="1"/>
  <c r="AH60" i="15" a="1"/>
  <c r="K71" i="15" a="1"/>
  <c r="AH56" i="15" a="1"/>
  <c r="AE53" i="8" a="1"/>
  <c r="D71" i="15" a="1"/>
  <c r="H71" i="15" a="1"/>
  <c r="AH64" i="15" a="1"/>
  <c r="AG71" i="15" a="1"/>
  <c r="AH39" i="15" a="1"/>
  <c r="AE78" i="8" a="1"/>
  <c r="X71" i="15" a="1"/>
  <c r="AH71" i="15" a="1"/>
  <c r="AH67" i="15" a="1"/>
  <c r="AH61" i="15" a="1"/>
  <c r="AH52" i="15" a="1"/>
  <c r="AE76" i="8" a="1"/>
  <c r="AH65" i="15" a="1"/>
  <c r="AE79" i="8" a="1"/>
  <c r="AE86" i="8" a="1"/>
  <c r="M71" i="15" a="1"/>
  <c r="AE104" i="8" a="1"/>
  <c r="AH68" i="15" a="1"/>
  <c r="AH54" i="15" a="1"/>
  <c r="AE56" i="8" a="1"/>
  <c r="AE101" i="8" a="1"/>
  <c r="AE80" i="8" a="1"/>
  <c r="AE84" i="8" a="1"/>
  <c r="S71" i="15" a="1"/>
  <c r="AE60" i="8" a="1"/>
  <c r="AH47" i="15" a="1"/>
  <c r="AD71" i="15" a="1"/>
  <c r="AE73" i="8" a="1"/>
  <c r="AH66" i="15" a="1"/>
  <c r="AE52" i="8" a="1"/>
  <c r="AH50" i="15" a="1"/>
  <c r="AB71" i="15" a="1"/>
  <c r="AE59" i="8" a="1"/>
  <c r="AH48" i="15" a="1"/>
  <c r="AE100" i="8" a="1"/>
  <c r="AE74" i="8" a="1"/>
  <c r="AE55" i="8" a="1"/>
  <c r="N71" i="15" a="1"/>
  <c r="AE62" i="8" a="1"/>
  <c r="AH45" i="15" a="1"/>
  <c r="F71" i="15" a="1"/>
  <c r="AE71" i="15" a="1"/>
  <c r="AH53" i="15" a="1"/>
  <c r="AE102" i="8" a="1"/>
  <c r="AE54" i="8" a="1"/>
  <c r="AH58" i="15" a="1"/>
  <c r="AE67" i="8" a="1"/>
  <c r="AH57" i="15" a="1"/>
  <c r="AH43" i="15" a="1"/>
  <c r="AE58" i="8" a="1"/>
  <c r="AH69" i="15" a="1"/>
  <c r="AE65" i="8" a="1"/>
  <c r="Q71" i="15" a="1"/>
  <c r="Y71" i="15" a="1"/>
  <c r="J71" i="15" a="1"/>
  <c r="O71" i="15" a="1"/>
  <c r="AE70" i="8" a="1"/>
  <c r="AE72" i="8" a="1"/>
  <c r="AD133" i="15" l="1"/>
  <c r="AE54" i="8"/>
  <c r="AE53" i="8"/>
  <c r="AE52" i="8"/>
  <c r="AE56" i="8"/>
  <c r="AE55" i="8"/>
  <c r="AE77" i="8"/>
  <c r="AE78" i="8"/>
  <c r="AE76" i="8"/>
  <c r="AE80" i="8"/>
  <c r="AE79" i="8"/>
  <c r="Z133" i="15"/>
  <c r="R133" i="15"/>
  <c r="N133" i="15"/>
  <c r="V133" i="15"/>
  <c r="K133" i="15"/>
  <c r="F133" i="15"/>
  <c r="AC133" i="15"/>
  <c r="U133" i="15"/>
  <c r="M133" i="15"/>
  <c r="E133" i="15"/>
  <c r="AG133" i="15"/>
  <c r="AF133" i="15"/>
  <c r="AB133" i="15"/>
  <c r="X133" i="15"/>
  <c r="T133" i="15"/>
  <c r="P133" i="15"/>
  <c r="L133" i="15"/>
  <c r="H133" i="15"/>
  <c r="Y133" i="15"/>
  <c r="Q133" i="15"/>
  <c r="I133" i="15"/>
  <c r="AE133" i="15"/>
  <c r="AA133" i="15"/>
  <c r="W133" i="15"/>
  <c r="S133" i="15"/>
  <c r="O133" i="15"/>
  <c r="J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6" i="15" s="1"/>
  <c r="AH56" i="15"/>
  <c r="AH119" i="15" s="1"/>
  <c r="AH59" i="15"/>
  <c r="AH122" i="15" s="1"/>
  <c r="AH70" i="15"/>
  <c r="AH133" i="15" s="1"/>
  <c r="AH71" i="15"/>
  <c r="AH134" i="15" s="1"/>
  <c r="AH44" i="15"/>
  <c r="AH107" i="15" s="1"/>
  <c r="AH57" i="15"/>
  <c r="AH120" i="15" s="1"/>
  <c r="AH53" i="15"/>
  <c r="AH116" i="15" s="1"/>
  <c r="AH48" i="15"/>
  <c r="AH111" i="15" s="1"/>
  <c r="AH61" i="15"/>
  <c r="AH124" i="15" s="1"/>
  <c r="AH60" i="15"/>
  <c r="AH123" i="15" s="1"/>
  <c r="AH69" i="15"/>
  <c r="AH132" i="15" s="1"/>
  <c r="AH46" i="15"/>
  <c r="AH109" i="15" s="1"/>
  <c r="AH54" i="15"/>
  <c r="AH117" i="15" s="1"/>
  <c r="AH63" i="15"/>
  <c r="AH126" i="15" s="1"/>
  <c r="AH47" i="15"/>
  <c r="AH110" i="15" s="1"/>
  <c r="AH49" i="15"/>
  <c r="AH112" i="15" s="1"/>
  <c r="AH58" i="15"/>
  <c r="AH121" i="15" s="1"/>
  <c r="AH64" i="15"/>
  <c r="AH127" i="15" s="1"/>
  <c r="AH45" i="15"/>
  <c r="AH108" i="15" s="1"/>
  <c r="AH50" i="15"/>
  <c r="AH113" i="15" s="1"/>
  <c r="AH55" i="15"/>
  <c r="AH118" i="15" s="1"/>
  <c r="AH52" i="15"/>
  <c r="AH115" i="15" s="1"/>
  <c r="AH62" i="15"/>
  <c r="AH125" i="15" s="1"/>
  <c r="AH68" i="15"/>
  <c r="AH131" i="15" s="1"/>
  <c r="AH65" i="15"/>
  <c r="AH128" i="15" s="1"/>
  <c r="AH51" i="15"/>
  <c r="AH114" i="15" s="1"/>
  <c r="AH66" i="15"/>
  <c r="AH129" i="15" s="1"/>
  <c r="AH67" i="15"/>
  <c r="AH130" i="15" s="1"/>
  <c r="AH39" i="15"/>
  <c r="AH105" i="15" s="1"/>
  <c r="AJ38" i="15"/>
  <c r="B72" i="15"/>
  <c r="B195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52" i="8" a="1"/>
  <c r="Q72" i="15" a="1"/>
  <c r="AI63" i="15" a="1"/>
  <c r="AG72" i="15" a="1"/>
  <c r="AF59" i="8" a="1"/>
  <c r="AA72" i="15" a="1"/>
  <c r="AF78" i="8" a="1"/>
  <c r="AI69" i="15" a="1"/>
  <c r="AF100" i="8" a="1"/>
  <c r="AF103" i="8" a="1"/>
  <c r="S72" i="15" a="1"/>
  <c r="G72" i="15" a="1"/>
  <c r="AI58" i="15" a="1"/>
  <c r="AI50" i="15" a="1"/>
  <c r="J72" i="15" a="1"/>
  <c r="AD72" i="15" a="1"/>
  <c r="AF76" i="8" a="1"/>
  <c r="AF83" i="8" a="1"/>
  <c r="AI48" i="15" a="1"/>
  <c r="AF67" i="8" a="1"/>
  <c r="I72" i="15" a="1"/>
  <c r="AH72" i="15" a="1"/>
  <c r="AF85" i="8" a="1"/>
  <c r="AF72" i="15" a="1"/>
  <c r="AF82" i="8" a="1"/>
  <c r="F72" i="15" a="1"/>
  <c r="V72" i="15" a="1"/>
  <c r="AI53" i="15" a="1"/>
  <c r="AF58" i="8" a="1"/>
  <c r="AI68" i="15" a="1"/>
  <c r="AF66" i="8" a="1"/>
  <c r="AI71" i="15" a="1"/>
  <c r="O72" i="15" a="1"/>
  <c r="H72" i="15" a="1"/>
  <c r="AE72" i="15" a="1"/>
  <c r="Y72" i="15" a="1"/>
  <c r="AI64" i="15" a="1"/>
  <c r="P72" i="15" a="1"/>
  <c r="AI52" i="15" a="1"/>
  <c r="AI56" i="15" a="1"/>
  <c r="AI44" i="15" a="1"/>
  <c r="X72" i="15" a="1"/>
  <c r="AI54" i="15" a="1"/>
  <c r="AF54" i="8" a="1"/>
  <c r="AF73" i="8" a="1"/>
  <c r="AI47" i="15" a="1"/>
  <c r="AF77" i="8" a="1"/>
  <c r="AI65" i="15" a="1"/>
  <c r="AF101" i="8" a="1"/>
  <c r="AI60" i="15" a="1"/>
  <c r="AI46" i="15" a="1"/>
  <c r="AF65" i="8" a="1"/>
  <c r="AF61" i="8" a="1"/>
  <c r="AI70" i="15" a="1"/>
  <c r="C72" i="15" a="1"/>
  <c r="AI62" i="15" a="1"/>
  <c r="AF53" i="8" a="1"/>
  <c r="AF62" i="8" a="1"/>
  <c r="AI43" i="15" a="1"/>
  <c r="T72" i="15" a="1"/>
  <c r="AI51" i="15" a="1"/>
  <c r="AI49" i="15" a="1"/>
  <c r="AF70" i="8" a="1"/>
  <c r="M72" i="15" a="1"/>
  <c r="AF55" i="8" a="1"/>
  <c r="AF64" i="8" a="1"/>
  <c r="AF56" i="8" a="1"/>
  <c r="AF60" i="8" a="1"/>
  <c r="Z72" i="15" a="1"/>
  <c r="W72" i="15" a="1"/>
  <c r="AI61" i="15" a="1"/>
  <c r="AF71" i="8" a="1"/>
  <c r="AI67" i="15" a="1"/>
  <c r="AI66" i="15" a="1"/>
  <c r="K72" i="15" a="1"/>
  <c r="AF72" i="8" a="1"/>
  <c r="AF80" i="8" a="1"/>
  <c r="N72" i="15" a="1"/>
  <c r="L72" i="15" a="1"/>
  <c r="AI72" i="15" a="1"/>
  <c r="AF102" i="8" a="1"/>
  <c r="AI57" i="15" a="1"/>
  <c r="R72" i="15" a="1"/>
  <c r="AF68" i="8" a="1"/>
  <c r="AF79" i="8" a="1"/>
  <c r="AI55" i="15" a="1"/>
  <c r="D72" i="15" a="1"/>
  <c r="AF84" i="8" a="1"/>
  <c r="AI39" i="15" a="1"/>
  <c r="AB72" i="15" a="1"/>
  <c r="AI45" i="15" a="1"/>
  <c r="E72" i="15" a="1"/>
  <c r="AF74" i="8" a="1"/>
  <c r="AF104" i="8" a="1"/>
  <c r="U72" i="15" a="1"/>
  <c r="AI59" i="15" a="1"/>
  <c r="AC72" i="15" a="1"/>
  <c r="AF86" i="8" a="1"/>
  <c r="AD134" i="15" l="1"/>
  <c r="Z134" i="15"/>
  <c r="V134" i="15"/>
  <c r="R134" i="15"/>
  <c r="N134" i="15"/>
  <c r="AF53" i="8"/>
  <c r="AF56" i="8"/>
  <c r="AF54" i="8"/>
  <c r="AF52" i="8"/>
  <c r="AF55" i="8"/>
  <c r="AF76" i="8"/>
  <c r="AF80" i="8"/>
  <c r="AF79" i="8"/>
  <c r="AF78" i="8"/>
  <c r="AF77" i="8"/>
  <c r="J134" i="15"/>
  <c r="F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K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R135" i="15" s="1"/>
  <c r="S72" i="15"/>
  <c r="T72" i="15"/>
  <c r="U72" i="15"/>
  <c r="V72" i="15"/>
  <c r="V135" i="15" s="1"/>
  <c r="W72" i="15"/>
  <c r="X72" i="15"/>
  <c r="Y72" i="15"/>
  <c r="Z72" i="15"/>
  <c r="Z135" i="15" s="1"/>
  <c r="AA72" i="15"/>
  <c r="AC72" i="15"/>
  <c r="AB72" i="15"/>
  <c r="AD72" i="15"/>
  <c r="AD135" i="15" s="1"/>
  <c r="AE72" i="15"/>
  <c r="AF72" i="15"/>
  <c r="AG72" i="15"/>
  <c r="AH72" i="15"/>
  <c r="AH135" i="15" s="1"/>
  <c r="AI50" i="15"/>
  <c r="AI113" i="15" s="1"/>
  <c r="AI43" i="15"/>
  <c r="AI106" i="15" s="1"/>
  <c r="AI55" i="15"/>
  <c r="AI118" i="15" s="1"/>
  <c r="AI44" i="15"/>
  <c r="AI107" i="15" s="1"/>
  <c r="AI49" i="15"/>
  <c r="AI112" i="15" s="1"/>
  <c r="AI53" i="15"/>
  <c r="AI116" i="15" s="1"/>
  <c r="AI48" i="15"/>
  <c r="AI111" i="15" s="1"/>
  <c r="AI59" i="15"/>
  <c r="AI122" i="15" s="1"/>
  <c r="AI58" i="15"/>
  <c r="AI121" i="15" s="1"/>
  <c r="AI63" i="15"/>
  <c r="AI126" i="15" s="1"/>
  <c r="AI70" i="15"/>
  <c r="AI133" i="15" s="1"/>
  <c r="AI46" i="15"/>
  <c r="AI109" i="15" s="1"/>
  <c r="AI61" i="15"/>
  <c r="AI124" i="15" s="1"/>
  <c r="AI54" i="15"/>
  <c r="AI117" i="15" s="1"/>
  <c r="AI60" i="15"/>
  <c r="AI123" i="15" s="1"/>
  <c r="AI62" i="15"/>
  <c r="AI125" i="15" s="1"/>
  <c r="AI67" i="15"/>
  <c r="AI130" i="15" s="1"/>
  <c r="AI71" i="15"/>
  <c r="AI134" i="15" s="1"/>
  <c r="AI51" i="15"/>
  <c r="AI114" i="15" s="1"/>
  <c r="AI64" i="15"/>
  <c r="AI127" i="15" s="1"/>
  <c r="AI66" i="15"/>
  <c r="AI129" i="15" s="1"/>
  <c r="AI68" i="15"/>
  <c r="AI131" i="15" s="1"/>
  <c r="AI72" i="15"/>
  <c r="AI57" i="15"/>
  <c r="AI120" i="15" s="1"/>
  <c r="AI45" i="15"/>
  <c r="AI108" i="15" s="1"/>
  <c r="AI52" i="15"/>
  <c r="AI115" i="15" s="1"/>
  <c r="AI47" i="15"/>
  <c r="AI110" i="15" s="1"/>
  <c r="AI56" i="15"/>
  <c r="AI119" i="15" s="1"/>
  <c r="AI65" i="15"/>
  <c r="AI128" i="15" s="1"/>
  <c r="AI69" i="15"/>
  <c r="AI132" i="15" s="1"/>
  <c r="AI39" i="15"/>
  <c r="AI105" i="15" s="1"/>
  <c r="AK38" i="15"/>
  <c r="B73" i="15"/>
  <c r="B196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J46" i="15" a="1"/>
  <c r="AG68" i="8" a="1"/>
  <c r="AG74" i="8" a="1"/>
  <c r="C73" i="15" a="1"/>
  <c r="AG71" i="8" a="1"/>
  <c r="AJ50" i="15" a="1"/>
  <c r="R73" i="15" a="1"/>
  <c r="T73" i="15" a="1"/>
  <c r="AG104" i="8" a="1"/>
  <c r="AG52" i="8" a="1"/>
  <c r="AG64" i="8" a="1"/>
  <c r="AJ53" i="15" a="1"/>
  <c r="AG101" i="8" a="1"/>
  <c r="AJ62" i="15" a="1"/>
  <c r="AJ47" i="15" a="1"/>
  <c r="AG60" i="8" a="1"/>
  <c r="AJ72" i="15" a="1"/>
  <c r="AJ65" i="15" a="1"/>
  <c r="AJ43" i="15" a="1"/>
  <c r="AG86" i="8" a="1"/>
  <c r="S73" i="15" a="1"/>
  <c r="AJ51" i="15" a="1"/>
  <c r="AG103" i="8" a="1"/>
  <c r="AJ48" i="15" a="1"/>
  <c r="AG62" i="8" a="1"/>
  <c r="V73" i="15" a="1"/>
  <c r="AJ58" i="15" a="1"/>
  <c r="AC73" i="15" a="1"/>
  <c r="AJ39" i="15" a="1"/>
  <c r="AG102" i="8" a="1"/>
  <c r="AG65" i="8" a="1"/>
  <c r="AJ70" i="15" a="1"/>
  <c r="AG83" i="8" a="1"/>
  <c r="AG59" i="8" a="1"/>
  <c r="AE73" i="15" a="1"/>
  <c r="AG78" i="8" a="1"/>
  <c r="AJ55" i="15" a="1"/>
  <c r="AF73" i="15" a="1"/>
  <c r="AI73" i="15" a="1"/>
  <c r="O73" i="15" a="1"/>
  <c r="E73" i="15" a="1"/>
  <c r="AG67" i="8" a="1"/>
  <c r="AG73" i="8" a="1"/>
  <c r="I73" i="15" a="1"/>
  <c r="AG72" i="8" a="1"/>
  <c r="AG70" i="8" a="1"/>
  <c r="AJ59" i="15" a="1"/>
  <c r="K73" i="15" a="1"/>
  <c r="AJ67" i="15" a="1"/>
  <c r="Z73" i="15" a="1"/>
  <c r="H73" i="15" a="1"/>
  <c r="AG76" i="8" a="1"/>
  <c r="AG79" i="8" a="1"/>
  <c r="M73" i="15" a="1"/>
  <c r="AJ56" i="15" a="1"/>
  <c r="Y73" i="15" a="1"/>
  <c r="AG100" i="8" a="1"/>
  <c r="AJ64" i="15" a="1"/>
  <c r="AJ68" i="15" a="1"/>
  <c r="AB73" i="15" a="1"/>
  <c r="AJ61" i="15" a="1"/>
  <c r="AG55" i="8" a="1"/>
  <c r="AJ57" i="15" a="1"/>
  <c r="X73" i="15" a="1"/>
  <c r="AD73" i="15" a="1"/>
  <c r="AH73" i="15" a="1"/>
  <c r="AJ63" i="15" a="1"/>
  <c r="AG82" i="8" a="1"/>
  <c r="AJ45" i="15" a="1"/>
  <c r="AG54" i="8" a="1"/>
  <c r="AG56" i="8" a="1"/>
  <c r="AG53" i="8" a="1"/>
  <c r="AJ71" i="15" a="1"/>
  <c r="AJ52" i="15" a="1"/>
  <c r="AJ44" i="15" a="1"/>
  <c r="W73" i="15" a="1"/>
  <c r="L73" i="15" a="1"/>
  <c r="U73" i="15" a="1"/>
  <c r="AG66" i="8" a="1"/>
  <c r="Q73" i="15" a="1"/>
  <c r="AG80" i="8" a="1"/>
  <c r="AG84" i="8" a="1"/>
  <c r="AJ73" i="15" a="1"/>
  <c r="D73" i="15" a="1"/>
  <c r="AJ49" i="15" a="1"/>
  <c r="G73" i="15" a="1"/>
  <c r="AJ54" i="15" a="1"/>
  <c r="AG58" i="8" a="1"/>
  <c r="AJ69" i="15" a="1"/>
  <c r="AG73" i="15" a="1"/>
  <c r="AJ66" i="15" a="1"/>
  <c r="AG85" i="8" a="1"/>
  <c r="AJ60" i="15" a="1"/>
  <c r="P73" i="15" a="1"/>
  <c r="AG61" i="8" a="1"/>
  <c r="N73" i="15" a="1"/>
  <c r="AG77" i="8" a="1"/>
  <c r="F73" i="15" a="1"/>
  <c r="AA73" i="15" a="1"/>
  <c r="J73" i="15" a="1"/>
  <c r="N135" i="15" l="1"/>
  <c r="J135" i="15"/>
  <c r="AG54" i="8"/>
  <c r="AG52" i="8"/>
  <c r="AG53" i="8"/>
  <c r="AG56" i="8"/>
  <c r="AG55" i="8"/>
  <c r="AG77" i="8"/>
  <c r="AG78" i="8"/>
  <c r="AG76" i="8"/>
  <c r="AG79" i="8"/>
  <c r="AG80" i="8"/>
  <c r="F135" i="15"/>
  <c r="AF135" i="15"/>
  <c r="AC135" i="15"/>
  <c r="X135" i="15"/>
  <c r="T135" i="15"/>
  <c r="P135" i="15"/>
  <c r="L135" i="15"/>
  <c r="H135" i="15"/>
  <c r="AE135" i="15"/>
  <c r="AA135" i="15"/>
  <c r="AI135" i="15"/>
  <c r="AG135" i="15"/>
  <c r="AB135" i="15"/>
  <c r="Y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5" i="15" s="1"/>
  <c r="AJ71" i="15"/>
  <c r="AJ134" i="15" s="1"/>
  <c r="AJ54" i="15"/>
  <c r="AJ117" i="15" s="1"/>
  <c r="AJ57" i="15"/>
  <c r="AJ120" i="15" s="1"/>
  <c r="AJ70" i="15"/>
  <c r="AJ133" i="15" s="1"/>
  <c r="AJ43" i="15"/>
  <c r="AJ106" i="15" s="1"/>
  <c r="AJ60" i="15"/>
  <c r="AJ123" i="15" s="1"/>
  <c r="AJ55" i="15"/>
  <c r="AJ118" i="15" s="1"/>
  <c r="AJ50" i="15"/>
  <c r="AJ113" i="15" s="1"/>
  <c r="AJ58" i="15"/>
  <c r="AJ121" i="15" s="1"/>
  <c r="AJ67" i="15"/>
  <c r="AJ130" i="15" s="1"/>
  <c r="AJ62" i="15"/>
  <c r="AJ125" i="15" s="1"/>
  <c r="AJ47" i="15"/>
  <c r="AJ110" i="15" s="1"/>
  <c r="AJ68" i="15"/>
  <c r="AJ131" i="15" s="1"/>
  <c r="AJ46" i="15"/>
  <c r="AJ109" i="15" s="1"/>
  <c r="AJ49" i="15"/>
  <c r="AJ112" i="15" s="1"/>
  <c r="AJ65" i="15"/>
  <c r="AJ128" i="15" s="1"/>
  <c r="AJ72" i="15"/>
  <c r="AJ135" i="15" s="1"/>
  <c r="AJ45" i="15"/>
  <c r="AJ108" i="15" s="1"/>
  <c r="AJ48" i="15"/>
  <c r="AJ111" i="15" s="1"/>
  <c r="AJ56" i="15"/>
  <c r="AJ119" i="15" s="1"/>
  <c r="AJ51" i="15"/>
  <c r="AJ114" i="15" s="1"/>
  <c r="AJ59" i="15"/>
  <c r="AJ122" i="15" s="1"/>
  <c r="AJ69" i="15"/>
  <c r="AJ132" i="15" s="1"/>
  <c r="AJ66" i="15"/>
  <c r="AJ129" i="15" s="1"/>
  <c r="AJ73" i="15"/>
  <c r="AJ53" i="15"/>
  <c r="AJ116" i="15" s="1"/>
  <c r="AJ61" i="15"/>
  <c r="AJ124" i="15" s="1"/>
  <c r="AJ44" i="15"/>
  <c r="AJ107" i="15" s="1"/>
  <c r="AJ63" i="15"/>
  <c r="AJ126" i="15" s="1"/>
  <c r="AJ64" i="15"/>
  <c r="AJ127" i="15" s="1"/>
  <c r="AJ39" i="15"/>
  <c r="AJ105" i="15" s="1"/>
  <c r="AL38" i="15"/>
  <c r="B74" i="15"/>
  <c r="B197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H64" i="8" a="1"/>
  <c r="AH84" i="8" a="1"/>
  <c r="AK55" i="15" a="1"/>
  <c r="AH104" i="8" a="1"/>
  <c r="H74" i="15" a="1"/>
  <c r="AH100" i="8" a="1"/>
  <c r="AH52" i="8" a="1"/>
  <c r="J74" i="15" a="1"/>
  <c r="AE74" i="15" a="1"/>
  <c r="AH61" i="8" a="1"/>
  <c r="Q74" i="15" a="1"/>
  <c r="AK59" i="15" a="1"/>
  <c r="M74" i="15" a="1"/>
  <c r="C74" i="15" a="1"/>
  <c r="AH73" i="8" a="1"/>
  <c r="AH59" i="8" a="1"/>
  <c r="E74" i="15" a="1"/>
  <c r="S74" i="15" a="1"/>
  <c r="AH76" i="8" a="1"/>
  <c r="AK74" i="15" a="1"/>
  <c r="Y74" i="15" a="1"/>
  <c r="Z74" i="15" a="1"/>
  <c r="AH86" i="8" a="1"/>
  <c r="AK43" i="15" a="1"/>
  <c r="AK51" i="15" a="1"/>
  <c r="AH72" i="8" a="1"/>
  <c r="AK54" i="15" a="1"/>
  <c r="AH85" i="8" a="1"/>
  <c r="AK68" i="15" a="1"/>
  <c r="U74" i="15" a="1"/>
  <c r="AK70" i="15" a="1"/>
  <c r="N74" i="15" a="1"/>
  <c r="AK64" i="15" a="1"/>
  <c r="AH53" i="8" a="1"/>
  <c r="AH54" i="8" a="1"/>
  <c r="AH62" i="8" a="1"/>
  <c r="AH74" i="15" a="1"/>
  <c r="AH102" i="8" a="1"/>
  <c r="AK53" i="15" a="1"/>
  <c r="AK66" i="15" a="1"/>
  <c r="AK61" i="15" a="1"/>
  <c r="O74" i="15" a="1"/>
  <c r="X74" i="15" a="1"/>
  <c r="AH80" i="8" a="1"/>
  <c r="AD74" i="15" a="1"/>
  <c r="R74" i="15" a="1"/>
  <c r="G74" i="15" a="1"/>
  <c r="AH82" i="8" a="1"/>
  <c r="AK63" i="15" a="1"/>
  <c r="AK50" i="15" a="1"/>
  <c r="AH78" i="8" a="1"/>
  <c r="AK57" i="15" a="1"/>
  <c r="V74" i="15" a="1"/>
  <c r="AH55" i="8" a="1"/>
  <c r="AK49" i="15" a="1"/>
  <c r="K74" i="15" a="1"/>
  <c r="AC74" i="15" a="1"/>
  <c r="P74" i="15" a="1"/>
  <c r="AB74" i="15" a="1"/>
  <c r="AH66" i="8" a="1"/>
  <c r="AK39" i="15" a="1"/>
  <c r="AK67" i="15" a="1"/>
  <c r="AH65" i="8" a="1"/>
  <c r="AH70" i="8" a="1"/>
  <c r="AG74" i="15" a="1"/>
  <c r="AH71" i="8" a="1"/>
  <c r="AH74" i="8" a="1"/>
  <c r="L74" i="15" a="1"/>
  <c r="AH79" i="8" a="1"/>
  <c r="AH60" i="8" a="1"/>
  <c r="AK73" i="15" a="1"/>
  <c r="I74" i="15" a="1"/>
  <c r="AK65" i="15" a="1"/>
  <c r="AH58" i="8" a="1"/>
  <c r="AK56" i="15" a="1"/>
  <c r="AK47" i="15" a="1"/>
  <c r="AJ74" i="15" a="1"/>
  <c r="AH103" i="8" a="1"/>
  <c r="AK52" i="15" a="1"/>
  <c r="AA74" i="15" a="1"/>
  <c r="AH56" i="8" a="1"/>
  <c r="F74" i="15" a="1"/>
  <c r="AH101" i="8" a="1"/>
  <c r="AK60" i="15" a="1"/>
  <c r="AK62" i="15" a="1"/>
  <c r="W74" i="15" a="1"/>
  <c r="T74" i="15" a="1"/>
  <c r="AI74" i="15" a="1"/>
  <c r="D74" i="15" a="1"/>
  <c r="AK71" i="15" a="1"/>
  <c r="AK44" i="15" a="1"/>
  <c r="AK45" i="15" a="1"/>
  <c r="AK48" i="15" a="1"/>
  <c r="AF74" i="15" a="1"/>
  <c r="AK69" i="15" a="1"/>
  <c r="AH67" i="8" a="1"/>
  <c r="AH83" i="8" a="1"/>
  <c r="AK72" i="15" a="1"/>
  <c r="AK58" i="15" a="1"/>
  <c r="AK46" i="15" a="1"/>
  <c r="AH68" i="8" a="1"/>
  <c r="AH53" i="8" l="1"/>
  <c r="AH55" i="8"/>
  <c r="AH56" i="8"/>
  <c r="AH54" i="8"/>
  <c r="AH52" i="8"/>
  <c r="AH76" i="8"/>
  <c r="AH80" i="8"/>
  <c r="AH77" i="8"/>
  <c r="AH78" i="8"/>
  <c r="AH79" i="8"/>
  <c r="AD136" i="15"/>
  <c r="V136" i="15"/>
  <c r="AH136" i="15"/>
  <c r="Z136" i="15"/>
  <c r="R136" i="15"/>
  <c r="N136" i="15"/>
  <c r="F136" i="15"/>
  <c r="K136" i="15"/>
  <c r="AF136" i="15"/>
  <c r="AC136" i="15"/>
  <c r="X136" i="15"/>
  <c r="T136" i="15"/>
  <c r="P136" i="15"/>
  <c r="L136" i="15"/>
  <c r="H136" i="15"/>
  <c r="AJ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J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AK46" i="15"/>
  <c r="AK109" i="15" s="1"/>
  <c r="AK51" i="15"/>
  <c r="AK114" i="15" s="1"/>
  <c r="AK62" i="15"/>
  <c r="AK125" i="15" s="1"/>
  <c r="AK63" i="15"/>
  <c r="AK126" i="15" s="1"/>
  <c r="AK43" i="15"/>
  <c r="AK106" i="15" s="1"/>
  <c r="AK47" i="15"/>
  <c r="AK110" i="15" s="1"/>
  <c r="AK60" i="15"/>
  <c r="AK123" i="15" s="1"/>
  <c r="AK52" i="15"/>
  <c r="AK115" i="15" s="1"/>
  <c r="AK56" i="15"/>
  <c r="AK119" i="15" s="1"/>
  <c r="AK66" i="15"/>
  <c r="AK129" i="15" s="1"/>
  <c r="AK64" i="15"/>
  <c r="AK127" i="15" s="1"/>
  <c r="AK70" i="15"/>
  <c r="AK133" i="15" s="1"/>
  <c r="AK45" i="15"/>
  <c r="AK108" i="15" s="1"/>
  <c r="AK49" i="15"/>
  <c r="AK112" i="15" s="1"/>
  <c r="AK74" i="15"/>
  <c r="AK71" i="15"/>
  <c r="AK134" i="15" s="1"/>
  <c r="AK48" i="15"/>
  <c r="AK111" i="15" s="1"/>
  <c r="AK53" i="15"/>
  <c r="AK116" i="15" s="1"/>
  <c r="AK61" i="15"/>
  <c r="AK124" i="15" s="1"/>
  <c r="AK67" i="15"/>
  <c r="AK130" i="15" s="1"/>
  <c r="AK44" i="15"/>
  <c r="AK107" i="15" s="1"/>
  <c r="AK58" i="15"/>
  <c r="AK121" i="15" s="1"/>
  <c r="AK50" i="15"/>
  <c r="AK113" i="15" s="1"/>
  <c r="AK54" i="15"/>
  <c r="AK117" i="15" s="1"/>
  <c r="AK65" i="15"/>
  <c r="AK128" i="15" s="1"/>
  <c r="AK59" i="15"/>
  <c r="AK122" i="15" s="1"/>
  <c r="AK68" i="15"/>
  <c r="AK131" i="15" s="1"/>
  <c r="AK72" i="15"/>
  <c r="AK135" i="15" s="1"/>
  <c r="AK73" i="15"/>
  <c r="AK136" i="15" s="1"/>
  <c r="AK57" i="15"/>
  <c r="AK120" i="15" s="1"/>
  <c r="AK55" i="15"/>
  <c r="AK118" i="15" s="1"/>
  <c r="AK69" i="15"/>
  <c r="AK132" i="15" s="1"/>
  <c r="AK39" i="15"/>
  <c r="AK105" i="15" s="1"/>
  <c r="AM38" i="15"/>
  <c r="B75" i="15"/>
  <c r="B198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L39" i="15" a="1"/>
  <c r="AL45" i="15" a="1"/>
  <c r="R75" i="15" a="1"/>
  <c r="AL74" i="15" a="1"/>
  <c r="AI102" i="8" a="1"/>
  <c r="P75" i="15" a="1"/>
  <c r="AI66" i="8" a="1"/>
  <c r="AI52" i="8" a="1"/>
  <c r="L75" i="15" a="1"/>
  <c r="AI62" i="8" a="1"/>
  <c r="AL54" i="15" a="1"/>
  <c r="N75" i="15" a="1"/>
  <c r="D75" i="15" a="1"/>
  <c r="K75" i="15" a="1"/>
  <c r="X75" i="15" a="1"/>
  <c r="AI54" i="8" a="1"/>
  <c r="AL59" i="15" a="1"/>
  <c r="S75" i="15" a="1"/>
  <c r="AL43" i="15" a="1"/>
  <c r="AI82" i="8" a="1"/>
  <c r="AL57" i="15" a="1"/>
  <c r="AI70" i="8" a="1"/>
  <c r="AL71" i="15" a="1"/>
  <c r="AL61" i="15" a="1"/>
  <c r="AL52" i="15" a="1"/>
  <c r="V75" i="15" a="1"/>
  <c r="AL73" i="15" a="1"/>
  <c r="M75" i="15" a="1"/>
  <c r="AI78" i="8" a="1"/>
  <c r="AD75" i="15" a="1"/>
  <c r="AB75" i="15" a="1"/>
  <c r="AI83" i="8" a="1"/>
  <c r="AL58" i="15" a="1"/>
  <c r="AA75" i="15" a="1"/>
  <c r="H75" i="15" a="1"/>
  <c r="AI61" i="8" a="1"/>
  <c r="Q75" i="15" a="1"/>
  <c r="AI56" i="8" a="1"/>
  <c r="AI85" i="8" a="1"/>
  <c r="AL67" i="15" a="1"/>
  <c r="AL65" i="15" a="1"/>
  <c r="T75" i="15" a="1"/>
  <c r="J75" i="15" a="1"/>
  <c r="AL66" i="15" a="1"/>
  <c r="AL53" i="15" a="1"/>
  <c r="AI68" i="8" a="1"/>
  <c r="AL70" i="15" a="1"/>
  <c r="AL46" i="15" a="1"/>
  <c r="AI103" i="8" a="1"/>
  <c r="AL64" i="15" a="1"/>
  <c r="AL55" i="15" a="1"/>
  <c r="AI76" i="8" a="1"/>
  <c r="C75" i="15" a="1"/>
  <c r="AL72" i="15" a="1"/>
  <c r="AI104" i="8" a="1"/>
  <c r="AI86" i="8" a="1"/>
  <c r="AI72" i="8" a="1"/>
  <c r="AI67" i="8" a="1"/>
  <c r="AL50" i="15" a="1"/>
  <c r="Z75" i="15" a="1"/>
  <c r="AI101" i="8" a="1"/>
  <c r="AL56" i="15" a="1"/>
  <c r="F75" i="15" a="1"/>
  <c r="AL51" i="15" a="1"/>
  <c r="AJ75" i="15" a="1"/>
  <c r="AI100" i="8" a="1"/>
  <c r="AI65" i="8" a="1"/>
  <c r="AI74" i="8" a="1"/>
  <c r="AF75" i="15" a="1"/>
  <c r="AL48" i="15" a="1"/>
  <c r="AG75" i="15" a="1"/>
  <c r="AI60" i="8" a="1"/>
  <c r="I75" i="15" a="1"/>
  <c r="AI79" i="8" a="1"/>
  <c r="U75" i="15" a="1"/>
  <c r="AI58" i="8" a="1"/>
  <c r="Y75" i="15" a="1"/>
  <c r="AI55" i="8" a="1"/>
  <c r="AL62" i="15" a="1"/>
  <c r="AL60" i="15" a="1"/>
  <c r="AL63" i="15" a="1"/>
  <c r="O75" i="15" a="1"/>
  <c r="AI71" i="8" a="1"/>
  <c r="G75" i="15" a="1"/>
  <c r="AL44" i="15" a="1"/>
  <c r="AH75" i="15" a="1"/>
  <c r="AC75" i="15" a="1"/>
  <c r="AL68" i="15" a="1"/>
  <c r="AL49" i="15" a="1"/>
  <c r="AI84" i="8" a="1"/>
  <c r="E75" i="15" a="1"/>
  <c r="AL47" i="15" a="1"/>
  <c r="AK75" i="15" a="1"/>
  <c r="AE75" i="15" a="1"/>
  <c r="AI53" i="8" a="1"/>
  <c r="AI59" i="8" a="1"/>
  <c r="AL69" i="15" a="1"/>
  <c r="AL75" i="15" a="1"/>
  <c r="AI77" i="8" a="1"/>
  <c r="W75" i="15" a="1"/>
  <c r="AI73" i="8" a="1"/>
  <c r="AI75" i="15" a="1"/>
  <c r="AI64" i="8" a="1"/>
  <c r="AH137" i="15" l="1"/>
  <c r="AD137" i="15"/>
  <c r="Z137" i="15"/>
  <c r="V137" i="15"/>
  <c r="R137" i="15"/>
  <c r="N137" i="15"/>
  <c r="AI52" i="8"/>
  <c r="AI55" i="8"/>
  <c r="AI56" i="8"/>
  <c r="AI54" i="8"/>
  <c r="AI53" i="8"/>
  <c r="AI76" i="8"/>
  <c r="AI79" i="8"/>
  <c r="AI77" i="8"/>
  <c r="AI78" i="8"/>
  <c r="AI80" i="8"/>
  <c r="K137" i="15"/>
  <c r="F137" i="15"/>
  <c r="AG137" i="15"/>
  <c r="Y137" i="15"/>
  <c r="Q137" i="15"/>
  <c r="E137" i="15"/>
  <c r="AJ137" i="15"/>
  <c r="AF137" i="15"/>
  <c r="AC137" i="15"/>
  <c r="X137" i="15"/>
  <c r="T137" i="15"/>
  <c r="P137" i="15"/>
  <c r="L137" i="15"/>
  <c r="H137" i="15"/>
  <c r="AB137" i="15"/>
  <c r="U137" i="15"/>
  <c r="M137" i="15"/>
  <c r="I137" i="15"/>
  <c r="AK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4" i="15" s="1"/>
  <c r="AL58" i="15"/>
  <c r="AL121" i="15" s="1"/>
  <c r="AL45" i="15"/>
  <c r="AL108" i="15" s="1"/>
  <c r="AL56" i="15"/>
  <c r="AL119" i="15" s="1"/>
  <c r="AL65" i="15"/>
  <c r="AL128" i="15" s="1"/>
  <c r="AL69" i="15"/>
  <c r="AL132" i="15" s="1"/>
  <c r="AL44" i="15"/>
  <c r="AL107" i="15" s="1"/>
  <c r="AL49" i="15"/>
  <c r="AL112" i="15" s="1"/>
  <c r="AL53" i="15"/>
  <c r="AL116" i="15" s="1"/>
  <c r="AL59" i="15"/>
  <c r="AL122" i="15" s="1"/>
  <c r="AL61" i="15"/>
  <c r="AL124" i="15" s="1"/>
  <c r="AL68" i="15"/>
  <c r="AL131" i="15" s="1"/>
  <c r="AL66" i="15"/>
  <c r="AL129" i="15" s="1"/>
  <c r="AL73" i="15"/>
  <c r="AL136" i="15" s="1"/>
  <c r="AL72" i="15"/>
  <c r="AL135" i="15" s="1"/>
  <c r="AL48" i="15"/>
  <c r="AL111" i="15" s="1"/>
  <c r="AL67" i="15"/>
  <c r="AL130" i="15" s="1"/>
  <c r="AL52" i="15"/>
  <c r="AL115" i="15" s="1"/>
  <c r="AL57" i="15"/>
  <c r="AL120" i="15" s="1"/>
  <c r="AL71" i="15"/>
  <c r="AL134" i="15" s="1"/>
  <c r="AL46" i="15"/>
  <c r="AL109" i="15" s="1"/>
  <c r="AL50" i="15"/>
  <c r="AL113" i="15" s="1"/>
  <c r="AL54" i="15"/>
  <c r="AL117" i="15" s="1"/>
  <c r="AL47" i="15"/>
  <c r="AL110" i="15" s="1"/>
  <c r="AL60" i="15"/>
  <c r="AL123" i="15" s="1"/>
  <c r="AL70" i="15"/>
  <c r="AL133" i="15" s="1"/>
  <c r="AL63" i="15"/>
  <c r="AL126" i="15" s="1"/>
  <c r="AL75" i="15"/>
  <c r="AL43" i="15"/>
  <c r="AL106" i="15" s="1"/>
  <c r="AL64" i="15"/>
  <c r="AL127" i="15" s="1"/>
  <c r="AL55" i="15"/>
  <c r="AL118" i="15" s="1"/>
  <c r="AL74" i="15"/>
  <c r="AL137" i="15" s="1"/>
  <c r="AL62" i="15"/>
  <c r="AL125" i="15" s="1"/>
  <c r="AL39" i="15"/>
  <c r="AL105" i="15" s="1"/>
  <c r="AN38" i="15"/>
  <c r="B76" i="15"/>
  <c r="B199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55" i="8" a="1"/>
  <c r="AM66" i="15" a="1"/>
  <c r="D76" i="15" a="1"/>
  <c r="AJ86" i="8" a="1"/>
  <c r="F76" i="15" a="1"/>
  <c r="AJ84" i="8" a="1"/>
  <c r="AM50" i="15" a="1"/>
  <c r="AH76" i="15" a="1"/>
  <c r="AJ103" i="8" a="1"/>
  <c r="AJ60" i="8" a="1"/>
  <c r="AD76" i="15" a="1"/>
  <c r="R76" i="15" a="1"/>
  <c r="AI76" i="15" a="1"/>
  <c r="Z76" i="15" a="1"/>
  <c r="Y76" i="15" a="1"/>
  <c r="AM72" i="15" a="1"/>
  <c r="P76" i="15" a="1"/>
  <c r="AJ101" i="8" a="1"/>
  <c r="H76" i="15" a="1"/>
  <c r="AK76" i="15" a="1"/>
  <c r="AJ76" i="8" a="1"/>
  <c r="AM53" i="15" a="1"/>
  <c r="AJ65" i="8" a="1"/>
  <c r="AM74" i="15" a="1"/>
  <c r="AM49" i="15" a="1"/>
  <c r="AM48" i="15" a="1"/>
  <c r="K76" i="15" a="1"/>
  <c r="AM59" i="15" a="1"/>
  <c r="AM76" i="15" a="1"/>
  <c r="S76" i="15" a="1"/>
  <c r="AJ52" i="8" a="1"/>
  <c r="AJ74" i="8" a="1"/>
  <c r="AM70" i="15" a="1"/>
  <c r="AM39" i="15" a="1"/>
  <c r="AM60" i="15" a="1"/>
  <c r="Q76" i="15" a="1"/>
  <c r="AM52" i="15" a="1"/>
  <c r="AM65" i="15" a="1"/>
  <c r="AJ54" i="8" a="1"/>
  <c r="AJ76" i="15" a="1"/>
  <c r="AJ85" i="8" a="1"/>
  <c r="AM56" i="15" a="1"/>
  <c r="AJ79" i="8" a="1"/>
  <c r="AM68" i="15" a="1"/>
  <c r="X76" i="15" a="1"/>
  <c r="N76" i="15" a="1"/>
  <c r="AM51" i="15" a="1"/>
  <c r="V76" i="15" a="1"/>
  <c r="AM47" i="15" a="1"/>
  <c r="AM58" i="15" a="1"/>
  <c r="W76" i="15" a="1"/>
  <c r="AJ71" i="8" a="1"/>
  <c r="AM71" i="15" a="1"/>
  <c r="AM67" i="15" a="1"/>
  <c r="L76" i="15" a="1"/>
  <c r="AM69" i="15" a="1"/>
  <c r="E76" i="15" a="1"/>
  <c r="AJ66" i="8" a="1"/>
  <c r="AJ102" i="8" a="1"/>
  <c r="AA76" i="15" a="1"/>
  <c r="AC76" i="15" a="1"/>
  <c r="AM43" i="15" a="1"/>
  <c r="AF76" i="15" a="1"/>
  <c r="AJ82" i="8" a="1"/>
  <c r="AJ77" i="8" a="1"/>
  <c r="AM63" i="15" a="1"/>
  <c r="AJ61" i="8" a="1"/>
  <c r="AJ59" i="8" a="1"/>
  <c r="AJ83" i="8" a="1"/>
  <c r="AJ58" i="8" a="1"/>
  <c r="AJ67" i="8" a="1"/>
  <c r="AJ80" i="8" a="1"/>
  <c r="AE76" i="15" a="1"/>
  <c r="J76" i="15" a="1"/>
  <c r="AJ68" i="8" a="1"/>
  <c r="O76" i="15" a="1"/>
  <c r="AJ100" i="8" a="1"/>
  <c r="AJ72" i="8" a="1"/>
  <c r="AJ56" i="8" a="1"/>
  <c r="T76" i="15" a="1"/>
  <c r="AJ70" i="8" a="1"/>
  <c r="AM57" i="15" a="1"/>
  <c r="AM45" i="15" a="1"/>
  <c r="AJ104" i="8" a="1"/>
  <c r="AG76" i="15" a="1"/>
  <c r="AL76" i="15" a="1"/>
  <c r="AJ62" i="8" a="1"/>
  <c r="AM54" i="15" a="1"/>
  <c r="M76" i="15" a="1"/>
  <c r="U76" i="15" a="1"/>
  <c r="AJ78" i="8" a="1"/>
  <c r="AM64" i="15" a="1"/>
  <c r="G76" i="15" a="1"/>
  <c r="AM46" i="15" a="1"/>
  <c r="AM44" i="15" a="1"/>
  <c r="C76" i="15" a="1"/>
  <c r="AM62" i="15" a="1"/>
  <c r="AJ64" i="8" a="1"/>
  <c r="AJ73" i="8" a="1"/>
  <c r="AM73" i="15" a="1"/>
  <c r="AJ53" i="8" a="1"/>
  <c r="AM55" i="15" a="1"/>
  <c r="AB76" i="15" a="1"/>
  <c r="AM75" i="15" a="1"/>
  <c r="AM61" i="15" a="1"/>
  <c r="I76" i="15" a="1"/>
  <c r="AH138" i="15" l="1"/>
  <c r="Z138" i="15"/>
  <c r="N138" i="15"/>
  <c r="AD138" i="15"/>
  <c r="V138" i="15"/>
  <c r="R138" i="15"/>
  <c r="AJ54" i="8"/>
  <c r="AJ53" i="8"/>
  <c r="AJ52" i="8"/>
  <c r="AJ55" i="8"/>
  <c r="AJ56" i="8"/>
  <c r="AJ78" i="8"/>
  <c r="AJ77" i="8"/>
  <c r="AJ79" i="8"/>
  <c r="AJ76" i="8"/>
  <c r="AJ80" i="8"/>
  <c r="J138" i="15"/>
  <c r="F138" i="15"/>
  <c r="AJ138" i="15"/>
  <c r="AF138" i="15"/>
  <c r="AC138" i="15"/>
  <c r="X138" i="15"/>
  <c r="T138" i="15"/>
  <c r="P138" i="15"/>
  <c r="L138" i="15"/>
  <c r="H138" i="15"/>
  <c r="AL138" i="15"/>
  <c r="AK138" i="15"/>
  <c r="AG138" i="15"/>
  <c r="AB138" i="15"/>
  <c r="Y138" i="15"/>
  <c r="U138" i="15"/>
  <c r="Q138" i="15"/>
  <c r="M138" i="15"/>
  <c r="I138" i="15"/>
  <c r="E138" i="15"/>
  <c r="AI138" i="15"/>
  <c r="AE138" i="15"/>
  <c r="AA138" i="15"/>
  <c r="W138" i="15"/>
  <c r="S138" i="15"/>
  <c r="O138" i="15"/>
  <c r="K138" i="15"/>
  <c r="G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9" i="15" s="1"/>
  <c r="AM55" i="15"/>
  <c r="AM118" i="15" s="1"/>
  <c r="AM45" i="15"/>
  <c r="AM108" i="15" s="1"/>
  <c r="AM56" i="15"/>
  <c r="AM119" i="15" s="1"/>
  <c r="AM65" i="15"/>
  <c r="AM128" i="15" s="1"/>
  <c r="AM75" i="15"/>
  <c r="AM138" i="15" s="1"/>
  <c r="AM43" i="15"/>
  <c r="AM106" i="15" s="1"/>
  <c r="AM48" i="15"/>
  <c r="AM111" i="15" s="1"/>
  <c r="AM52" i="15"/>
  <c r="AM115" i="15" s="1"/>
  <c r="AM53" i="15"/>
  <c r="AM116" i="15" s="1"/>
  <c r="AM61" i="15"/>
  <c r="AM124" i="15" s="1"/>
  <c r="AM63" i="15"/>
  <c r="AM126" i="15" s="1"/>
  <c r="AM67" i="15"/>
  <c r="AM130" i="15" s="1"/>
  <c r="AM71" i="15"/>
  <c r="AM134" i="15" s="1"/>
  <c r="AM76" i="15"/>
  <c r="AM62" i="15"/>
  <c r="AM125" i="15" s="1"/>
  <c r="AM51" i="15"/>
  <c r="AM114" i="15" s="1"/>
  <c r="AM66" i="15"/>
  <c r="AM129" i="15" s="1"/>
  <c r="AM70" i="15"/>
  <c r="AM133" i="15" s="1"/>
  <c r="AM44" i="15"/>
  <c r="AM107" i="15" s="1"/>
  <c r="AM49" i="15"/>
  <c r="AM112" i="15" s="1"/>
  <c r="AM57" i="15"/>
  <c r="AM120" i="15" s="1"/>
  <c r="AM54" i="15"/>
  <c r="AM117" i="15" s="1"/>
  <c r="AM58" i="15"/>
  <c r="AM121" i="15" s="1"/>
  <c r="AM60" i="15"/>
  <c r="AM123" i="15" s="1"/>
  <c r="AM68" i="15"/>
  <c r="AM131" i="15" s="1"/>
  <c r="AM72" i="15"/>
  <c r="AM135" i="15" s="1"/>
  <c r="AM59" i="15"/>
  <c r="AM122" i="15" s="1"/>
  <c r="AM64" i="15"/>
  <c r="AM127" i="15" s="1"/>
  <c r="AM74" i="15"/>
  <c r="AM137" i="15" s="1"/>
  <c r="AM50" i="15"/>
  <c r="AM113" i="15" s="1"/>
  <c r="AM69" i="15"/>
  <c r="AM132" i="15" s="1"/>
  <c r="AM47" i="15"/>
  <c r="AM110" i="15" s="1"/>
  <c r="AM73" i="15"/>
  <c r="AM136" i="15" s="1"/>
  <c r="AM39" i="15"/>
  <c r="AM105" i="15" s="1"/>
  <c r="AO38" i="15"/>
  <c r="B77" i="15"/>
  <c r="B200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N77" i="15" a="1"/>
  <c r="AN68" i="15" a="1"/>
  <c r="J77" i="15" a="1"/>
  <c r="AN54" i="15" a="1"/>
  <c r="AN50" i="15" a="1"/>
  <c r="AN72" i="15" a="1"/>
  <c r="AK66" i="8" a="1"/>
  <c r="AK102" i="8" a="1"/>
  <c r="AK59" i="8" a="1"/>
  <c r="AN63" i="15" a="1"/>
  <c r="AN64" i="15" a="1"/>
  <c r="AK84" i="8" a="1"/>
  <c r="AK55" i="8" a="1"/>
  <c r="AN39" i="15" a="1"/>
  <c r="AN47" i="15" a="1"/>
  <c r="AN43" i="15" a="1"/>
  <c r="AI77" i="15" a="1"/>
  <c r="C77" i="15" a="1"/>
  <c r="AE77" i="15" a="1"/>
  <c r="AK78" i="8" a="1"/>
  <c r="AN49" i="15" a="1"/>
  <c r="AK82" i="8" a="1"/>
  <c r="AB77" i="15" a="1"/>
  <c r="Z77" i="15" a="1"/>
  <c r="V77" i="15" a="1"/>
  <c r="AD77" i="15" a="1"/>
  <c r="AK70" i="8" a="1"/>
  <c r="AK77" i="8" a="1"/>
  <c r="F77" i="15" a="1"/>
  <c r="E77" i="15" a="1"/>
  <c r="AK80" i="8" a="1"/>
  <c r="AA77" i="15" a="1"/>
  <c r="AN65" i="15" a="1"/>
  <c r="AC77" i="15" a="1"/>
  <c r="AK71" i="8" a="1"/>
  <c r="G77" i="15" a="1"/>
  <c r="AK85" i="8" a="1"/>
  <c r="AN62" i="15" a="1"/>
  <c r="AK74" i="8" a="1"/>
  <c r="AN51" i="15" a="1"/>
  <c r="AK100" i="8" a="1"/>
  <c r="AK54" i="8" a="1"/>
  <c r="W77" i="15" a="1"/>
  <c r="X77" i="15" a="1"/>
  <c r="AK56" i="8" a="1"/>
  <c r="AK103" i="8" a="1"/>
  <c r="AK86" i="8" a="1"/>
  <c r="AJ77" i="15" a="1"/>
  <c r="I77" i="15" a="1"/>
  <c r="D77" i="15" a="1"/>
  <c r="AK73" i="8" a="1"/>
  <c r="AN59" i="15" a="1"/>
  <c r="P77" i="15" a="1"/>
  <c r="AM77" i="15" a="1"/>
  <c r="AF77" i="15" a="1"/>
  <c r="Q77" i="15" a="1"/>
  <c r="AN56" i="15" a="1"/>
  <c r="AL77" i="15" a="1"/>
  <c r="AN61" i="15" a="1"/>
  <c r="AN46" i="15" a="1"/>
  <c r="AN57" i="15" a="1"/>
  <c r="AN77" i="15" a="1"/>
  <c r="AK60" i="8" a="1"/>
  <c r="AN75" i="15" a="1"/>
  <c r="AN58" i="15" a="1"/>
  <c r="AN66" i="15" a="1"/>
  <c r="H77" i="15" a="1"/>
  <c r="M77" i="15" a="1"/>
  <c r="AK72" i="8" a="1"/>
  <c r="AN70" i="15" a="1"/>
  <c r="AN73" i="15" a="1"/>
  <c r="AN44" i="15" a="1"/>
  <c r="AK77" i="15" a="1"/>
  <c r="AK58" i="8" a="1"/>
  <c r="AK83" i="8" a="1"/>
  <c r="AK53" i="8" a="1"/>
  <c r="O77" i="15" a="1"/>
  <c r="AN48" i="15" a="1"/>
  <c r="AK65" i="8" a="1"/>
  <c r="AN71" i="15" a="1"/>
  <c r="AK64" i="8" a="1"/>
  <c r="AN74" i="15" a="1"/>
  <c r="AN53" i="15" a="1"/>
  <c r="AN76" i="15" a="1"/>
  <c r="AK68" i="8" a="1"/>
  <c r="S77" i="15" a="1"/>
  <c r="AN60" i="15" a="1"/>
  <c r="K77" i="15" a="1"/>
  <c r="AK76" i="8" a="1"/>
  <c r="AH77" i="15" a="1"/>
  <c r="AN55" i="15" a="1"/>
  <c r="T77" i="15" a="1"/>
  <c r="AK52" i="8" a="1"/>
  <c r="AN67" i="15" a="1"/>
  <c r="Y77" i="15" a="1"/>
  <c r="AK101" i="8" a="1"/>
  <c r="AK104" i="8" a="1"/>
  <c r="AN45" i="15" a="1"/>
  <c r="AN69" i="15" a="1"/>
  <c r="L77" i="15" a="1"/>
  <c r="AG77" i="15" a="1"/>
  <c r="AK61" i="8" a="1"/>
  <c r="AK79" i="8" a="1"/>
  <c r="R77" i="15" a="1"/>
  <c r="U77" i="15" a="1"/>
  <c r="AK62" i="8" a="1"/>
  <c r="AN52" i="15" a="1"/>
  <c r="AK67" i="8" a="1"/>
  <c r="AK52" i="8" l="1"/>
  <c r="AK55" i="8"/>
  <c r="AK56" i="8"/>
  <c r="AK54" i="8"/>
  <c r="AK53" i="8"/>
  <c r="AK79" i="8"/>
  <c r="AK80" i="8"/>
  <c r="AK77" i="8"/>
  <c r="AK78" i="8"/>
  <c r="AK76" i="8"/>
  <c r="AD139" i="15"/>
  <c r="V139" i="15"/>
  <c r="AL139" i="15"/>
  <c r="AH139" i="15"/>
  <c r="Z139" i="15"/>
  <c r="R139" i="15"/>
  <c r="N139" i="15"/>
  <c r="K139" i="15"/>
  <c r="F139" i="15"/>
  <c r="AK139" i="15"/>
  <c r="AG139" i="15"/>
  <c r="AB139" i="15"/>
  <c r="Y139" i="15"/>
  <c r="U139" i="15"/>
  <c r="Q139" i="15"/>
  <c r="M139" i="15"/>
  <c r="I139" i="15"/>
  <c r="E139" i="15"/>
  <c r="AM139" i="15"/>
  <c r="AJ139" i="15"/>
  <c r="AF139" i="15"/>
  <c r="AC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D77" i="15"/>
  <c r="D140" i="15" s="1"/>
  <c r="B140" i="15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5" i="15" s="1"/>
  <c r="AN67" i="15"/>
  <c r="AN130" i="15" s="1"/>
  <c r="AN46" i="15"/>
  <c r="AN109" i="15" s="1"/>
  <c r="AN58" i="15"/>
  <c r="AN121" i="15" s="1"/>
  <c r="AN69" i="15"/>
  <c r="AN132" i="15" s="1"/>
  <c r="AN75" i="15"/>
  <c r="AN138" i="15" s="1"/>
  <c r="AN43" i="15"/>
  <c r="AN106" i="15" s="1"/>
  <c r="AN47" i="15"/>
  <c r="AN110" i="15" s="1"/>
  <c r="AN56" i="15"/>
  <c r="AN119" i="15" s="1"/>
  <c r="AN50" i="15"/>
  <c r="AN113" i="15" s="1"/>
  <c r="AN60" i="15"/>
  <c r="AN123" i="15" s="1"/>
  <c r="AN62" i="15"/>
  <c r="AN125" i="15" s="1"/>
  <c r="AN59" i="15"/>
  <c r="AN122" i="15" s="1"/>
  <c r="AN70" i="15"/>
  <c r="AN133" i="15" s="1"/>
  <c r="AN71" i="15"/>
  <c r="AN134" i="15" s="1"/>
  <c r="AN44" i="15"/>
  <c r="AN107" i="15" s="1"/>
  <c r="AN65" i="15"/>
  <c r="AN128" i="15" s="1"/>
  <c r="AN76" i="15"/>
  <c r="AN139" i="15" s="1"/>
  <c r="AN55" i="15"/>
  <c r="AN118" i="15" s="1"/>
  <c r="AN73" i="15"/>
  <c r="AN136" i="15" s="1"/>
  <c r="AN68" i="15"/>
  <c r="AN131" i="15" s="1"/>
  <c r="AN45" i="15"/>
  <c r="AN108" i="15" s="1"/>
  <c r="AN53" i="15"/>
  <c r="AN116" i="15" s="1"/>
  <c r="AN57" i="15"/>
  <c r="AN120" i="15" s="1"/>
  <c r="AN51" i="15"/>
  <c r="AN114" i="15" s="1"/>
  <c r="AN61" i="15"/>
  <c r="AN124" i="15" s="1"/>
  <c r="AN66" i="15"/>
  <c r="AN129" i="15" s="1"/>
  <c r="AN63" i="15"/>
  <c r="AN126" i="15" s="1"/>
  <c r="AN74" i="15"/>
  <c r="AN137" i="15" s="1"/>
  <c r="AN72" i="15"/>
  <c r="AN135" i="15" s="1"/>
  <c r="AN54" i="15"/>
  <c r="AN117" i="15" s="1"/>
  <c r="AN64" i="15"/>
  <c r="AN127" i="15" s="1"/>
  <c r="AN48" i="15"/>
  <c r="AN111" i="15" s="1"/>
  <c r="AN77" i="15"/>
  <c r="AN49" i="15"/>
  <c r="AN112" i="15" s="1"/>
  <c r="AN39" i="15"/>
  <c r="AN105" i="15" s="1"/>
  <c r="AP38" i="15"/>
  <c r="B78" i="15"/>
  <c r="B201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O75" i="15" a="1"/>
  <c r="AH78" i="15" a="1"/>
  <c r="AE78" i="15" a="1"/>
  <c r="AL59" i="8" a="1"/>
  <c r="AL80" i="8" a="1"/>
  <c r="AL103" i="8" a="1"/>
  <c r="AL52" i="8" a="1"/>
  <c r="AO58" i="15" a="1"/>
  <c r="AL58" i="8" a="1"/>
  <c r="AL65" i="8" a="1"/>
  <c r="L78" i="15" a="1"/>
  <c r="AO60" i="15" a="1"/>
  <c r="AO61" i="15" a="1"/>
  <c r="AL102" i="8" a="1"/>
  <c r="AI78" i="15" a="1"/>
  <c r="S78" i="15" a="1"/>
  <c r="AL79" i="8" a="1"/>
  <c r="AO56" i="15" a="1"/>
  <c r="AO70" i="15" a="1"/>
  <c r="AO57" i="15" a="1"/>
  <c r="AL78" i="15" a="1"/>
  <c r="T78" i="15" a="1"/>
  <c r="AL74" i="8" a="1"/>
  <c r="AO62" i="15" a="1"/>
  <c r="AL53" i="8" a="1"/>
  <c r="V78" i="15" a="1"/>
  <c r="AO50" i="15" a="1"/>
  <c r="AL83" i="8" a="1"/>
  <c r="AL66" i="8" a="1"/>
  <c r="AN78" i="15" a="1"/>
  <c r="AL76" i="8" a="1"/>
  <c r="AO46" i="15" a="1"/>
  <c r="AO65" i="15" a="1"/>
  <c r="AO76" i="15" a="1"/>
  <c r="AO68" i="15" a="1"/>
  <c r="X78" i="15" a="1"/>
  <c r="AO39" i="15" a="1"/>
  <c r="AO63" i="15" a="1"/>
  <c r="AO66" i="15" a="1"/>
  <c r="Y78" i="15" a="1"/>
  <c r="AL61" i="8" a="1"/>
  <c r="AO73" i="15" a="1"/>
  <c r="J78" i="15" a="1"/>
  <c r="AG78" i="15" a="1"/>
  <c r="E78" i="15" a="1"/>
  <c r="AO77" i="15" a="1"/>
  <c r="AO52" i="15" a="1"/>
  <c r="AO59" i="15" a="1"/>
  <c r="AB78" i="15" a="1"/>
  <c r="AL64" i="8" a="1"/>
  <c r="AO51" i="15" a="1"/>
  <c r="AA78" i="15" a="1"/>
  <c r="F78" i="15" a="1"/>
  <c r="AO47" i="15" a="1"/>
  <c r="P78" i="15" a="1"/>
  <c r="M78" i="15" a="1"/>
  <c r="AO48" i="15" a="1"/>
  <c r="AL77" i="8" a="1"/>
  <c r="AD78" i="15" a="1"/>
  <c r="AO71" i="15" a="1"/>
  <c r="AO72" i="15" a="1"/>
  <c r="AL100" i="8" a="1"/>
  <c r="N78" i="15" a="1"/>
  <c r="AL73" i="8" a="1"/>
  <c r="AJ78" i="15" a="1"/>
  <c r="AL60" i="8" a="1"/>
  <c r="D78" i="15" a="1"/>
  <c r="K78" i="15" a="1"/>
  <c r="AO55" i="15" a="1"/>
  <c r="I78" i="15" a="1"/>
  <c r="AL62" i="8" a="1"/>
  <c r="AL78" i="8" a="1"/>
  <c r="AL85" i="8" a="1"/>
  <c r="AO67" i="15" a="1"/>
  <c r="AL54" i="8" a="1"/>
  <c r="AK78" i="15" a="1"/>
  <c r="AL104" i="8" a="1"/>
  <c r="AO74" i="15" a="1"/>
  <c r="Z78" i="15" a="1"/>
  <c r="AC78" i="15" a="1"/>
  <c r="AO49" i="15" a="1"/>
  <c r="AL70" i="8" a="1"/>
  <c r="AO54" i="15" a="1"/>
  <c r="AL82" i="8" a="1"/>
  <c r="AL56" i="8" a="1"/>
  <c r="AL71" i="8" a="1"/>
  <c r="AL67" i="8" a="1"/>
  <c r="AL101" i="8" a="1"/>
  <c r="AO78" i="15" a="1"/>
  <c r="AL72" i="8" a="1"/>
  <c r="AM78" i="15" a="1"/>
  <c r="H78" i="15" a="1"/>
  <c r="AO45" i="15" a="1"/>
  <c r="G78" i="15" a="1"/>
  <c r="AO53" i="15" a="1"/>
  <c r="AO69" i="15" a="1"/>
  <c r="AF78" i="15" a="1"/>
  <c r="AO43" i="15" a="1"/>
  <c r="C78" i="15" a="1"/>
  <c r="AL84" i="8" a="1"/>
  <c r="AL86" i="8" a="1"/>
  <c r="AL55" i="8" a="1"/>
  <c r="AO44" i="15" a="1"/>
  <c r="R78" i="15" a="1"/>
  <c r="O78" i="15" a="1"/>
  <c r="W78" i="15" a="1"/>
  <c r="AO64" i="15" a="1"/>
  <c r="AL68" i="8" a="1"/>
  <c r="U78" i="15" a="1"/>
  <c r="Q78" i="15" a="1"/>
  <c r="AL140" i="15" l="1"/>
  <c r="AD140" i="15"/>
  <c r="V140" i="15"/>
  <c r="N140" i="15"/>
  <c r="AH140" i="15"/>
  <c r="Z140" i="15"/>
  <c r="R140" i="15"/>
  <c r="AL52" i="8"/>
  <c r="AL53" i="8"/>
  <c r="AL56" i="8"/>
  <c r="AL54" i="8"/>
  <c r="AL55" i="8"/>
  <c r="AL80" i="8"/>
  <c r="AL77" i="8"/>
  <c r="AL79" i="8"/>
  <c r="AL76" i="8"/>
  <c r="AL78" i="8"/>
  <c r="J140" i="15"/>
  <c r="F140" i="15"/>
  <c r="AM140" i="15"/>
  <c r="AI140" i="15"/>
  <c r="AE140" i="15"/>
  <c r="AA140" i="15"/>
  <c r="W140" i="15"/>
  <c r="S140" i="15"/>
  <c r="O140" i="15"/>
  <c r="K140" i="15"/>
  <c r="G140" i="15"/>
  <c r="AN140" i="15"/>
  <c r="AK140" i="15"/>
  <c r="AG140" i="15"/>
  <c r="AC140" i="15"/>
  <c r="Y140" i="15"/>
  <c r="U140" i="15"/>
  <c r="Q140" i="15"/>
  <c r="M140" i="15"/>
  <c r="I140" i="15"/>
  <c r="E140" i="15"/>
  <c r="AJ140" i="15"/>
  <c r="AF140" i="15"/>
  <c r="AB140" i="15"/>
  <c r="X140" i="15"/>
  <c r="T140" i="15"/>
  <c r="P140" i="15"/>
  <c r="L140" i="15"/>
  <c r="H140" i="15"/>
  <c r="D78" i="15"/>
  <c r="D141" i="15" s="1"/>
  <c r="B141" i="15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Z141" i="15" s="1"/>
  <c r="AA78" i="15"/>
  <c r="AB78" i="15"/>
  <c r="AC78" i="15"/>
  <c r="AD78" i="15"/>
  <c r="AD141" i="15" s="1"/>
  <c r="AE78" i="15"/>
  <c r="AF78" i="15"/>
  <c r="AG78" i="15"/>
  <c r="AH78" i="15"/>
  <c r="AH141" i="15" s="1"/>
  <c r="AI78" i="15"/>
  <c r="AJ78" i="15"/>
  <c r="AK78" i="15"/>
  <c r="AL78" i="15"/>
  <c r="AL141" i="15" s="1"/>
  <c r="AM78" i="15"/>
  <c r="AN78" i="15"/>
  <c r="AO43" i="15"/>
  <c r="AO106" i="15" s="1"/>
  <c r="AO47" i="15"/>
  <c r="AO110" i="15" s="1"/>
  <c r="AO50" i="15"/>
  <c r="AO113" i="15" s="1"/>
  <c r="AO54" i="15"/>
  <c r="AO117" i="15" s="1"/>
  <c r="AO58" i="15"/>
  <c r="AO121" i="15" s="1"/>
  <c r="AO61" i="15"/>
  <c r="AO124" i="15" s="1"/>
  <c r="AO67" i="15"/>
  <c r="AO130" i="15" s="1"/>
  <c r="AO71" i="15"/>
  <c r="AO134" i="15" s="1"/>
  <c r="AO77" i="15"/>
  <c r="AO140" i="15" s="1"/>
  <c r="AO76" i="15"/>
  <c r="AO139" i="15" s="1"/>
  <c r="AO45" i="15"/>
  <c r="AO108" i="15" s="1"/>
  <c r="AO60" i="15"/>
  <c r="AO123" i="15" s="1"/>
  <c r="AO51" i="15"/>
  <c r="AO114" i="15" s="1"/>
  <c r="AO55" i="15"/>
  <c r="AO118" i="15" s="1"/>
  <c r="AO59" i="15"/>
  <c r="AO122" i="15" s="1"/>
  <c r="AO65" i="15"/>
  <c r="AO128" i="15" s="1"/>
  <c r="AO68" i="15"/>
  <c r="AO131" i="15" s="1"/>
  <c r="AO72" i="15"/>
  <c r="AO135" i="15" s="1"/>
  <c r="AO44" i="15"/>
  <c r="AO107" i="15" s="1"/>
  <c r="AO48" i="15"/>
  <c r="AO111" i="15" s="1"/>
  <c r="AO52" i="15"/>
  <c r="AO115" i="15" s="1"/>
  <c r="AO56" i="15"/>
  <c r="AO119" i="15" s="1"/>
  <c r="AO63" i="15"/>
  <c r="AO126" i="15" s="1"/>
  <c r="AO62" i="15"/>
  <c r="AO125" i="15" s="1"/>
  <c r="AO69" i="15"/>
  <c r="AO132" i="15" s="1"/>
  <c r="AO73" i="15"/>
  <c r="AO136" i="15" s="1"/>
  <c r="AO75" i="15"/>
  <c r="AO138" i="15" s="1"/>
  <c r="AO46" i="15"/>
  <c r="AO109" i="15" s="1"/>
  <c r="AO49" i="15"/>
  <c r="AO112" i="15" s="1"/>
  <c r="AO53" i="15"/>
  <c r="AO116" i="15" s="1"/>
  <c r="AO57" i="15"/>
  <c r="AO120" i="15" s="1"/>
  <c r="AO64" i="15"/>
  <c r="AO127" i="15" s="1"/>
  <c r="AO66" i="15"/>
  <c r="AO129" i="15" s="1"/>
  <c r="AO70" i="15"/>
  <c r="AO133" i="15" s="1"/>
  <c r="AO74" i="15"/>
  <c r="AO137" i="15" s="1"/>
  <c r="AO78" i="15"/>
  <c r="AO39" i="15"/>
  <c r="AO105" i="15" s="1"/>
  <c r="AQ38" i="15"/>
  <c r="B79" i="15"/>
  <c r="B202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61" i="8" a="1"/>
  <c r="AM58" i="8" a="1"/>
  <c r="AP55" i="15" a="1"/>
  <c r="AP56" i="15" a="1"/>
  <c r="AM64" i="8" a="1"/>
  <c r="D79" i="15" a="1"/>
  <c r="AM56" i="8" a="1"/>
  <c r="H79" i="15" a="1"/>
  <c r="AM71" i="8" a="1"/>
  <c r="AM73" i="8" a="1"/>
  <c r="F79" i="15" a="1"/>
  <c r="E79" i="15" a="1"/>
  <c r="AP70" i="15" a="1"/>
  <c r="AM79" i="8" a="1"/>
  <c r="AM79" i="15" a="1"/>
  <c r="Y79" i="15" a="1"/>
  <c r="AP52" i="15" a="1"/>
  <c r="K79" i="15" a="1"/>
  <c r="O79" i="15" a="1"/>
  <c r="AM82" i="8" a="1"/>
  <c r="AP76" i="15" a="1"/>
  <c r="X79" i="15" a="1"/>
  <c r="AG79" i="15" a="1"/>
  <c r="AM103" i="8" a="1"/>
  <c r="AP62" i="15" a="1"/>
  <c r="AM72" i="8" a="1"/>
  <c r="AM101" i="8" a="1"/>
  <c r="AB79" i="15" a="1"/>
  <c r="C79" i="15" a="1"/>
  <c r="AD79" i="15" a="1"/>
  <c r="AM84" i="8" a="1"/>
  <c r="AP39" i="15" a="1"/>
  <c r="AP47" i="15" a="1"/>
  <c r="AF79" i="15" a="1"/>
  <c r="R79" i="15" a="1"/>
  <c r="AP64" i="15" a="1"/>
  <c r="AM83" i="8" a="1"/>
  <c r="G79" i="15" a="1"/>
  <c r="AP48" i="15" a="1"/>
  <c r="AP59" i="15" a="1"/>
  <c r="AM65" i="8" a="1"/>
  <c r="AP44" i="15" a="1"/>
  <c r="AM53" i="8" a="1"/>
  <c r="AJ79" i="15" a="1"/>
  <c r="AN79" i="15" a="1"/>
  <c r="AM77" i="8" a="1"/>
  <c r="AM85" i="8" a="1"/>
  <c r="AP63" i="15" a="1"/>
  <c r="AH79" i="15" a="1"/>
  <c r="AP79" i="15" a="1"/>
  <c r="AM67" i="8" a="1"/>
  <c r="AP57" i="15" a="1"/>
  <c r="AL79" i="15" a="1"/>
  <c r="S79" i="15" a="1"/>
  <c r="AP61" i="15" a="1"/>
  <c r="I79" i="15" a="1"/>
  <c r="M79" i="15" a="1"/>
  <c r="AP72" i="15" a="1"/>
  <c r="AK79" i="15" a="1"/>
  <c r="AM52" i="8" a="1"/>
  <c r="AP74" i="15" a="1"/>
  <c r="AM102" i="8" a="1"/>
  <c r="AP54" i="15" a="1"/>
  <c r="AC79" i="15" a="1"/>
  <c r="AA79" i="15" a="1"/>
  <c r="AP65" i="15" a="1"/>
  <c r="L79" i="15" a="1"/>
  <c r="N79" i="15" a="1"/>
  <c r="AP46" i="15" a="1"/>
  <c r="V79" i="15" a="1"/>
  <c r="AP53" i="15" a="1"/>
  <c r="AP75" i="15" a="1"/>
  <c r="AP67" i="15" a="1"/>
  <c r="AP45" i="15" a="1"/>
  <c r="AM70" i="8" a="1"/>
  <c r="AO79" i="15" a="1"/>
  <c r="AM66" i="8" a="1"/>
  <c r="AP71" i="15" a="1"/>
  <c r="P79" i="15" a="1"/>
  <c r="AP51" i="15" a="1"/>
  <c r="AP77" i="15" a="1"/>
  <c r="Z79" i="15" a="1"/>
  <c r="J79" i="15" a="1"/>
  <c r="AP73" i="15" a="1"/>
  <c r="AM100" i="8" a="1"/>
  <c r="AM59" i="8" a="1"/>
  <c r="AP68" i="15" a="1"/>
  <c r="AM54" i="8" a="1"/>
  <c r="AM86" i="8" a="1"/>
  <c r="U79" i="15" a="1"/>
  <c r="AM60" i="8" a="1"/>
  <c r="AM62" i="8" a="1"/>
  <c r="AP69" i="15" a="1"/>
  <c r="AM76" i="8" a="1"/>
  <c r="Q79" i="15" a="1"/>
  <c r="AP66" i="15" a="1"/>
  <c r="T79" i="15" a="1"/>
  <c r="W79" i="15" a="1"/>
  <c r="AM78" i="8" a="1"/>
  <c r="AI79" i="15" a="1"/>
  <c r="AE79" i="15" a="1"/>
  <c r="AP49" i="15" a="1"/>
  <c r="AM74" i="8" a="1"/>
  <c r="AM55" i="8" a="1"/>
  <c r="AM104" i="8" a="1"/>
  <c r="AP58" i="15" a="1"/>
  <c r="AP50" i="15" a="1"/>
  <c r="AP43" i="15" a="1"/>
  <c r="AP78" i="15" a="1"/>
  <c r="AM68" i="8" a="1"/>
  <c r="AP60" i="15" a="1"/>
  <c r="R141" i="15" l="1"/>
  <c r="V141" i="15"/>
  <c r="N141" i="15"/>
  <c r="AM56" i="8"/>
  <c r="AM54" i="8"/>
  <c r="AM53" i="8"/>
  <c r="AM52" i="8"/>
  <c r="AM55" i="8"/>
  <c r="AM77" i="8"/>
  <c r="AM78" i="8"/>
  <c r="AM79" i="8"/>
  <c r="AM76" i="8"/>
  <c r="AM80" i="8"/>
  <c r="F141" i="15"/>
  <c r="K141" i="15"/>
  <c r="AO141" i="15"/>
  <c r="AN141" i="15"/>
  <c r="AJ141" i="15"/>
  <c r="AF141" i="15"/>
  <c r="AB141" i="15"/>
  <c r="X141" i="15"/>
  <c r="T141" i="15"/>
  <c r="P141" i="15"/>
  <c r="L141" i="15"/>
  <c r="H141" i="15"/>
  <c r="AM141" i="15"/>
  <c r="AI141" i="15"/>
  <c r="AE141" i="15"/>
  <c r="AA141" i="15"/>
  <c r="W141" i="15"/>
  <c r="S141" i="15"/>
  <c r="O141" i="15"/>
  <c r="J141" i="15"/>
  <c r="G141" i="15"/>
  <c r="AK141" i="15"/>
  <c r="AG141" i="15"/>
  <c r="AC141" i="15"/>
  <c r="Y141" i="15"/>
  <c r="U141" i="15"/>
  <c r="Q141" i="15"/>
  <c r="M141" i="15"/>
  <c r="I141" i="15"/>
  <c r="E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42" i="15" s="1"/>
  <c r="AE79" i="15"/>
  <c r="AF79" i="15"/>
  <c r="AG79" i="15"/>
  <c r="AH79" i="15"/>
  <c r="AH142" i="15" s="1"/>
  <c r="AI79" i="15"/>
  <c r="AJ79" i="15"/>
  <c r="AK79" i="15"/>
  <c r="AL79" i="15"/>
  <c r="AL142" i="15" s="1"/>
  <c r="AM79" i="15"/>
  <c r="AN79" i="15"/>
  <c r="AO79" i="15"/>
  <c r="AP57" i="15"/>
  <c r="AP120" i="15" s="1"/>
  <c r="AP49" i="15"/>
  <c r="AP112" i="15" s="1"/>
  <c r="AP44" i="15"/>
  <c r="AP107" i="15" s="1"/>
  <c r="AP53" i="15"/>
  <c r="AP116" i="15" s="1"/>
  <c r="AP63" i="15"/>
  <c r="AP126" i="15" s="1"/>
  <c r="AP64" i="15"/>
  <c r="AP127" i="15" s="1"/>
  <c r="AP74" i="15"/>
  <c r="AP137" i="15" s="1"/>
  <c r="AP72" i="15"/>
  <c r="AP135" i="15" s="1"/>
  <c r="AP79" i="15"/>
  <c r="AP142" i="15" s="1"/>
  <c r="AP59" i="15"/>
  <c r="AP122" i="15" s="1"/>
  <c r="AP54" i="15"/>
  <c r="AP117" i="15" s="1"/>
  <c r="AP68" i="15"/>
  <c r="AP131" i="15" s="1"/>
  <c r="AP75" i="15"/>
  <c r="AP138" i="15" s="1"/>
  <c r="AP43" i="15"/>
  <c r="AP106" i="15" s="1"/>
  <c r="AP61" i="15"/>
  <c r="AP124" i="15" s="1"/>
  <c r="AP51" i="15"/>
  <c r="AP114" i="15" s="1"/>
  <c r="AP55" i="15"/>
  <c r="AP118" i="15" s="1"/>
  <c r="AP62" i="15"/>
  <c r="AP125" i="15" s="1"/>
  <c r="AP70" i="15"/>
  <c r="AP133" i="15" s="1"/>
  <c r="AP67" i="15"/>
  <c r="AP130" i="15" s="1"/>
  <c r="AP76" i="15"/>
  <c r="AP139" i="15" s="1"/>
  <c r="AP77" i="15"/>
  <c r="AP140" i="15" s="1"/>
  <c r="AP47" i="15"/>
  <c r="AP110" i="15" s="1"/>
  <c r="AP46" i="15"/>
  <c r="AP109" i="15" s="1"/>
  <c r="AP50" i="15"/>
  <c r="AP113" i="15" s="1"/>
  <c r="AP58" i="15"/>
  <c r="AP121" i="15" s="1"/>
  <c r="AP65" i="15"/>
  <c r="AP128" i="15" s="1"/>
  <c r="AP73" i="15"/>
  <c r="AP136" i="15" s="1"/>
  <c r="AP45" i="15"/>
  <c r="AP108" i="15" s="1"/>
  <c r="AP48" i="15"/>
  <c r="AP111" i="15" s="1"/>
  <c r="AP52" i="15"/>
  <c r="AP115" i="15" s="1"/>
  <c r="AP56" i="15"/>
  <c r="AP119" i="15" s="1"/>
  <c r="AP66" i="15"/>
  <c r="AP129" i="15" s="1"/>
  <c r="AP60" i="15"/>
  <c r="AP123" i="15" s="1"/>
  <c r="AP69" i="15"/>
  <c r="AP132" i="15" s="1"/>
  <c r="AP71" i="15"/>
  <c r="AP134" i="15" s="1"/>
  <c r="AP78" i="15"/>
  <c r="AP141" i="15" s="1"/>
  <c r="AP39" i="15"/>
  <c r="AP105" i="15" s="1"/>
  <c r="AR38" i="15"/>
  <c r="B80" i="15"/>
  <c r="B203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54" i="8" a="1"/>
  <c r="AQ51" i="15" a="1"/>
  <c r="AQ76" i="15" a="1"/>
  <c r="AN103" i="8" a="1"/>
  <c r="AN68" i="8" a="1"/>
  <c r="W80" i="15" a="1"/>
  <c r="AN73" i="8" a="1"/>
  <c r="AN104" i="8" a="1"/>
  <c r="AB80" i="15" a="1"/>
  <c r="AQ52" i="15" a="1"/>
  <c r="AQ74" i="15" a="1"/>
  <c r="AN86" i="8" a="1"/>
  <c r="AE80" i="15" a="1"/>
  <c r="AH80" i="15" a="1"/>
  <c r="AN80" i="8" a="1"/>
  <c r="AN83" i="8" a="1"/>
  <c r="L80" i="15" a="1"/>
  <c r="AN65" i="8" a="1"/>
  <c r="E80" i="15" a="1"/>
  <c r="AQ59" i="15" a="1"/>
  <c r="Q80" i="15" a="1"/>
  <c r="AN52" i="8" a="1"/>
  <c r="AN82" i="8" a="1"/>
  <c r="AQ67" i="15" a="1"/>
  <c r="AQ47" i="15" a="1"/>
  <c r="AN67" i="8" a="1"/>
  <c r="V80" i="15" a="1"/>
  <c r="I80" i="15" a="1"/>
  <c r="AA80" i="15" a="1"/>
  <c r="AQ65" i="15" a="1"/>
  <c r="X80" i="15" a="1"/>
  <c r="J80" i="15" a="1"/>
  <c r="AQ46" i="15" a="1"/>
  <c r="AN78" i="8" a="1"/>
  <c r="T80" i="15" a="1"/>
  <c r="M80" i="15" a="1"/>
  <c r="AN72" i="8" a="1"/>
  <c r="AN101" i="8" a="1"/>
  <c r="K80" i="15" a="1"/>
  <c r="F80" i="15" a="1"/>
  <c r="AN53" i="8" a="1"/>
  <c r="AN60" i="8" a="1"/>
  <c r="AQ73" i="15" a="1"/>
  <c r="C80" i="15" a="1"/>
  <c r="AF80" i="15" a="1"/>
  <c r="AQ68" i="15" a="1"/>
  <c r="AI80" i="15" a="1"/>
  <c r="S80" i="15" a="1"/>
  <c r="AQ70" i="15" a="1"/>
  <c r="AQ62" i="15" a="1"/>
  <c r="AN100" i="8" a="1"/>
  <c r="AQ80" i="15" a="1"/>
  <c r="D80" i="15" a="1"/>
  <c r="AL80" i="15" a="1"/>
  <c r="AN85" i="8" a="1"/>
  <c r="R80" i="15" a="1"/>
  <c r="AQ44" i="15" a="1"/>
  <c r="AQ43" i="15" a="1"/>
  <c r="AG80" i="15" a="1"/>
  <c r="AQ50" i="15" a="1"/>
  <c r="AN76" i="8" a="1"/>
  <c r="AN62" i="8" a="1"/>
  <c r="AN84" i="8" a="1"/>
  <c r="Y80" i="15" a="1"/>
  <c r="AQ61" i="15" a="1"/>
  <c r="AN59" i="8" a="1"/>
  <c r="AQ49" i="15" a="1"/>
  <c r="AN71" i="8" a="1"/>
  <c r="AQ78" i="15" a="1"/>
  <c r="AN66" i="8" a="1"/>
  <c r="AD80" i="15" a="1"/>
  <c r="AN77" i="8" a="1"/>
  <c r="AN102" i="8" a="1"/>
  <c r="AQ53" i="15" a="1"/>
  <c r="AC80" i="15" a="1"/>
  <c r="AQ71" i="15" a="1"/>
  <c r="AQ72" i="15" a="1"/>
  <c r="AQ57" i="15" a="1"/>
  <c r="AN55" i="8" a="1"/>
  <c r="AO80" i="15" a="1"/>
  <c r="AQ75" i="15" a="1"/>
  <c r="AQ77" i="15" a="1"/>
  <c r="AN61" i="8" a="1"/>
  <c r="AQ79" i="15" a="1"/>
  <c r="AQ64" i="15" a="1"/>
  <c r="AN70" i="8" a="1"/>
  <c r="AQ63" i="15" a="1"/>
  <c r="H80" i="15" a="1"/>
  <c r="AN80" i="15" a="1"/>
  <c r="AQ39" i="15" a="1"/>
  <c r="AQ45" i="15" a="1"/>
  <c r="AJ80" i="15" a="1"/>
  <c r="AQ66" i="15" a="1"/>
  <c r="AN74" i="8" a="1"/>
  <c r="O80" i="15" a="1"/>
  <c r="AQ58" i="15" a="1"/>
  <c r="AQ48" i="15" a="1"/>
  <c r="Z80" i="15" a="1"/>
  <c r="AP80" i="15" a="1"/>
  <c r="AN58" i="8" a="1"/>
  <c r="AN64" i="8" a="1"/>
  <c r="AK80" i="15" a="1"/>
  <c r="AQ55" i="15" a="1"/>
  <c r="AN79" i="8" a="1"/>
  <c r="G80" i="15" a="1"/>
  <c r="AQ54" i="15" a="1"/>
  <c r="AM80" i="15" a="1"/>
  <c r="AN56" i="8" a="1"/>
  <c r="P80" i="15" a="1"/>
  <c r="AQ60" i="15" a="1"/>
  <c r="AQ69" i="15" a="1"/>
  <c r="U80" i="15" a="1"/>
  <c r="AQ56" i="15" a="1"/>
  <c r="N80" i="15" a="1"/>
  <c r="AN55" i="8" l="1"/>
  <c r="AN56" i="8"/>
  <c r="AN54" i="8"/>
  <c r="AN52" i="8"/>
  <c r="AN53" i="8"/>
  <c r="AN77" i="8"/>
  <c r="AN79" i="8"/>
  <c r="AN76" i="8"/>
  <c r="AN80" i="8"/>
  <c r="AN78" i="8"/>
  <c r="Z142" i="15"/>
  <c r="V142" i="15"/>
  <c r="R142" i="15"/>
  <c r="N142" i="15"/>
  <c r="K142" i="15"/>
  <c r="F142" i="15"/>
  <c r="AM142" i="15"/>
  <c r="AI142" i="15"/>
  <c r="AE142" i="15"/>
  <c r="AA142" i="15"/>
  <c r="W142" i="15"/>
  <c r="S142" i="15"/>
  <c r="O142" i="15"/>
  <c r="AO142" i="15"/>
  <c r="AK142" i="15"/>
  <c r="AG142" i="15"/>
  <c r="AC142" i="15"/>
  <c r="Y142" i="15"/>
  <c r="U142" i="15"/>
  <c r="Q142" i="15"/>
  <c r="M142" i="15"/>
  <c r="I142" i="15"/>
  <c r="AN142" i="15"/>
  <c r="AJ142" i="15"/>
  <c r="AF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3" i="15" s="1"/>
  <c r="AQ43" i="15"/>
  <c r="AQ106" i="15" s="1"/>
  <c r="AQ47" i="15"/>
  <c r="AQ110" i="15" s="1"/>
  <c r="AQ51" i="15"/>
  <c r="AQ114" i="15" s="1"/>
  <c r="AQ53" i="15"/>
  <c r="AQ116" i="15" s="1"/>
  <c r="AQ60" i="15"/>
  <c r="AQ123" i="15" s="1"/>
  <c r="AQ73" i="15"/>
  <c r="AQ136" i="15" s="1"/>
  <c r="AQ63" i="15"/>
  <c r="AQ126" i="15" s="1"/>
  <c r="AQ70" i="15"/>
  <c r="AQ133" i="15" s="1"/>
  <c r="AQ75" i="15"/>
  <c r="AQ138" i="15" s="1"/>
  <c r="AQ78" i="15"/>
  <c r="AQ141" i="15" s="1"/>
  <c r="AQ44" i="15"/>
  <c r="AQ107" i="15" s="1"/>
  <c r="AQ48" i="15"/>
  <c r="AQ111" i="15" s="1"/>
  <c r="AQ52" i="15"/>
  <c r="AQ115" i="15" s="1"/>
  <c r="AQ54" i="15"/>
  <c r="AQ117" i="15" s="1"/>
  <c r="AQ64" i="15"/>
  <c r="AQ127" i="15" s="1"/>
  <c r="AQ58" i="15"/>
  <c r="AQ121" i="15" s="1"/>
  <c r="AQ67" i="15"/>
  <c r="AQ130" i="15" s="1"/>
  <c r="AQ71" i="15"/>
  <c r="AQ134" i="15" s="1"/>
  <c r="AQ76" i="15"/>
  <c r="AQ139" i="15" s="1"/>
  <c r="AQ46" i="15"/>
  <c r="AQ109" i="15" s="1"/>
  <c r="AQ49" i="15"/>
  <c r="AQ112" i="15" s="1"/>
  <c r="AQ59" i="15"/>
  <c r="AQ122" i="15" s="1"/>
  <c r="AQ55" i="15"/>
  <c r="AQ118" i="15" s="1"/>
  <c r="AQ61" i="15"/>
  <c r="AQ124" i="15" s="1"/>
  <c r="AQ62" i="15"/>
  <c r="AQ125" i="15" s="1"/>
  <c r="AQ68" i="15"/>
  <c r="AQ131" i="15" s="1"/>
  <c r="AQ72" i="15"/>
  <c r="AQ135" i="15" s="1"/>
  <c r="AQ79" i="15"/>
  <c r="AQ142" i="15" s="1"/>
  <c r="AQ45" i="15"/>
  <c r="AQ108" i="15" s="1"/>
  <c r="AQ50" i="15"/>
  <c r="AQ113" i="15" s="1"/>
  <c r="AQ57" i="15"/>
  <c r="AQ120" i="15" s="1"/>
  <c r="AQ56" i="15"/>
  <c r="AQ119" i="15" s="1"/>
  <c r="AQ65" i="15"/>
  <c r="AQ128" i="15" s="1"/>
  <c r="AQ66" i="15"/>
  <c r="AQ129" i="15" s="1"/>
  <c r="AQ69" i="15"/>
  <c r="AQ132" i="15" s="1"/>
  <c r="AQ74" i="15"/>
  <c r="AQ137" i="15" s="1"/>
  <c r="AQ77" i="15"/>
  <c r="AQ140" i="15" s="1"/>
  <c r="AQ80" i="15"/>
  <c r="AQ39" i="15"/>
  <c r="AQ105" i="15" s="1"/>
  <c r="AS38" i="15"/>
  <c r="B81" i="15"/>
  <c r="B204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R58" i="15" a="1"/>
  <c r="AR56" i="15" a="1"/>
  <c r="R81" i="15" a="1"/>
  <c r="AR69" i="15" a="1"/>
  <c r="AH81" i="15" a="1"/>
  <c r="AR52" i="15" a="1"/>
  <c r="H81" i="15" a="1"/>
  <c r="AR53" i="15" a="1"/>
  <c r="AR48" i="15" a="1"/>
  <c r="AP81" i="15" a="1"/>
  <c r="AO53" i="8" a="1"/>
  <c r="AR63" i="15" a="1"/>
  <c r="AR78" i="15" a="1"/>
  <c r="AO74" i="8" a="1"/>
  <c r="AO73" i="8" a="1"/>
  <c r="L81" i="15" a="1"/>
  <c r="AR68" i="15" a="1"/>
  <c r="AC81" i="15" a="1"/>
  <c r="AO55" i="8" a="1"/>
  <c r="AR75" i="15" a="1"/>
  <c r="AR39" i="15" a="1"/>
  <c r="AO72" i="8" a="1"/>
  <c r="AK81" i="15" a="1"/>
  <c r="AO86" i="8" a="1"/>
  <c r="AR76" i="15" a="1"/>
  <c r="AR70" i="15" a="1"/>
  <c r="AR43" i="15" a="1"/>
  <c r="T81" i="15" a="1"/>
  <c r="AR81" i="15" a="1"/>
  <c r="AO79" i="8" a="1"/>
  <c r="AO70" i="8" a="1"/>
  <c r="AE81" i="15" a="1"/>
  <c r="AO71" i="8" a="1"/>
  <c r="M81" i="15" a="1"/>
  <c r="AR45" i="15" a="1"/>
  <c r="K81" i="15" a="1"/>
  <c r="AR62" i="15" a="1"/>
  <c r="AR47" i="15" a="1"/>
  <c r="AO82" i="8" a="1"/>
  <c r="AO81" i="15" a="1"/>
  <c r="AR64" i="15" a="1"/>
  <c r="AO77" i="8" a="1"/>
  <c r="V81" i="15" a="1"/>
  <c r="C81" i="15" a="1"/>
  <c r="N81" i="15" a="1"/>
  <c r="AO61" i="8" a="1"/>
  <c r="AR61" i="15" a="1"/>
  <c r="AR67" i="15" a="1"/>
  <c r="W81" i="15" a="1"/>
  <c r="Q81" i="15" a="1"/>
  <c r="AO78" i="8" a="1"/>
  <c r="I81" i="15" a="1"/>
  <c r="AO60" i="8" a="1"/>
  <c r="F81" i="15" a="1"/>
  <c r="AO58" i="8" a="1"/>
  <c r="AO52" i="8" a="1"/>
  <c r="AO64" i="8" a="1"/>
  <c r="AR80" i="15" a="1"/>
  <c r="AO54" i="8" a="1"/>
  <c r="Z81" i="15" a="1"/>
  <c r="AO68" i="8" a="1"/>
  <c r="AO65" i="8" a="1"/>
  <c r="AM81" i="15" a="1"/>
  <c r="AR49" i="15" a="1"/>
  <c r="P81" i="15" a="1"/>
  <c r="AO84" i="8" a="1"/>
  <c r="AB81" i="15" a="1"/>
  <c r="AR46" i="15" a="1"/>
  <c r="AR73" i="15" a="1"/>
  <c r="AO85" i="8" a="1"/>
  <c r="AO62" i="8" a="1"/>
  <c r="J81" i="15" a="1"/>
  <c r="D81" i="15" a="1"/>
  <c r="AR57" i="15" a="1"/>
  <c r="AA81" i="15" a="1"/>
  <c r="AR50" i="15" a="1"/>
  <c r="AL81" i="15" a="1"/>
  <c r="AO83" i="8" a="1"/>
  <c r="AN81" i="15" a="1"/>
  <c r="AQ81" i="15" a="1"/>
  <c r="AO80" i="8" a="1"/>
  <c r="AO66" i="8" a="1"/>
  <c r="X81" i="15" a="1"/>
  <c r="E81" i="15" a="1"/>
  <c r="AO67" i="8" a="1"/>
  <c r="AR44" i="15" a="1"/>
  <c r="AO103" i="8" a="1"/>
  <c r="AG81" i="15" a="1"/>
  <c r="AR79" i="15" a="1"/>
  <c r="AD81" i="15" a="1"/>
  <c r="U81" i="15" a="1"/>
  <c r="AR60" i="15" a="1"/>
  <c r="AR71" i="15" a="1"/>
  <c r="AR54" i="15" a="1"/>
  <c r="AO100" i="8" a="1"/>
  <c r="AR55" i="15" a="1"/>
  <c r="AR77" i="15" a="1"/>
  <c r="AF81" i="15" a="1"/>
  <c r="AO102" i="8" a="1"/>
  <c r="AO104" i="8" a="1"/>
  <c r="AR72" i="15" a="1"/>
  <c r="AO56" i="8" a="1"/>
  <c r="AJ81" i="15" a="1"/>
  <c r="AR66" i="15" a="1"/>
  <c r="AO59" i="8" a="1"/>
  <c r="G81" i="15" a="1"/>
  <c r="AR59" i="15" a="1"/>
  <c r="Y81" i="15" a="1"/>
  <c r="AR51" i="15" a="1"/>
  <c r="O81" i="15" a="1"/>
  <c r="S81" i="15" a="1"/>
  <c r="AO76" i="8" a="1"/>
  <c r="AO101" i="8" a="1"/>
  <c r="AR74" i="15" a="1"/>
  <c r="AR65" i="15" a="1"/>
  <c r="AI81" i="15" a="1"/>
  <c r="AO54" i="8" l="1"/>
  <c r="AO52" i="8"/>
  <c r="AO53" i="8"/>
  <c r="AO56" i="8"/>
  <c r="AO55" i="8"/>
  <c r="AO77" i="8"/>
  <c r="AO78" i="8"/>
  <c r="AO79" i="8"/>
  <c r="AO76" i="8"/>
  <c r="AO80" i="8"/>
  <c r="AL143" i="15"/>
  <c r="AH143" i="15"/>
  <c r="AD143" i="15"/>
  <c r="Z143" i="15"/>
  <c r="V143" i="15"/>
  <c r="R143" i="15"/>
  <c r="N143" i="15"/>
  <c r="F143" i="15"/>
  <c r="J143" i="15"/>
  <c r="AQ143" i="15"/>
  <c r="AN143" i="15"/>
  <c r="AJ143" i="15"/>
  <c r="AF143" i="15"/>
  <c r="AC143" i="15"/>
  <c r="X143" i="15"/>
  <c r="T143" i="15"/>
  <c r="P143" i="15"/>
  <c r="L143" i="15"/>
  <c r="H143" i="15"/>
  <c r="AO143" i="15"/>
  <c r="AK143" i="15"/>
  <c r="AG143" i="15"/>
  <c r="AB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6" i="15" s="1"/>
  <c r="AR47" i="15"/>
  <c r="AR110" i="15" s="1"/>
  <c r="AR56" i="15"/>
  <c r="AR119" i="15" s="1"/>
  <c r="AR50" i="15"/>
  <c r="AR113" i="15" s="1"/>
  <c r="AR57" i="15"/>
  <c r="AR120" i="15" s="1"/>
  <c r="AR67" i="15"/>
  <c r="AR130" i="15" s="1"/>
  <c r="AR62" i="15"/>
  <c r="AR125" i="15" s="1"/>
  <c r="AR77" i="15"/>
  <c r="AR140" i="15" s="1"/>
  <c r="AR74" i="15"/>
  <c r="AR137" i="15" s="1"/>
  <c r="AR79" i="15"/>
  <c r="AR142" i="15" s="1"/>
  <c r="AR45" i="15"/>
  <c r="AR108" i="15" s="1"/>
  <c r="AR53" i="15"/>
  <c r="AR116" i="15" s="1"/>
  <c r="AR58" i="15"/>
  <c r="AR121" i="15" s="1"/>
  <c r="AR51" i="15"/>
  <c r="AR114" i="15" s="1"/>
  <c r="AR59" i="15"/>
  <c r="AR122" i="15" s="1"/>
  <c r="AR69" i="15"/>
  <c r="AR132" i="15" s="1"/>
  <c r="AR66" i="15"/>
  <c r="AR129" i="15" s="1"/>
  <c r="AR73" i="15"/>
  <c r="AR136" i="15" s="1"/>
  <c r="AR76" i="15"/>
  <c r="AR139" i="15" s="1"/>
  <c r="AR80" i="15"/>
  <c r="AR143" i="15" s="1"/>
  <c r="AR44" i="15"/>
  <c r="AR107" i="15" s="1"/>
  <c r="AR54" i="15"/>
  <c r="AR117" i="15" s="1"/>
  <c r="AR48" i="15"/>
  <c r="AR111" i="15" s="1"/>
  <c r="AR52" i="15"/>
  <c r="AR115" i="15" s="1"/>
  <c r="AR63" i="15"/>
  <c r="AR126" i="15" s="1"/>
  <c r="AR61" i="15"/>
  <c r="AR124" i="15" s="1"/>
  <c r="AR68" i="15"/>
  <c r="AR131" i="15" s="1"/>
  <c r="AR71" i="15"/>
  <c r="AR134" i="15" s="1"/>
  <c r="AR75" i="15"/>
  <c r="AR138" i="15" s="1"/>
  <c r="AR81" i="15"/>
  <c r="AR46" i="15"/>
  <c r="AR109" i="15" s="1"/>
  <c r="AR55" i="15"/>
  <c r="AR118" i="15" s="1"/>
  <c r="AR49" i="15"/>
  <c r="AR112" i="15" s="1"/>
  <c r="AR60" i="15"/>
  <c r="AR123" i="15" s="1"/>
  <c r="AR64" i="15"/>
  <c r="AR127" i="15" s="1"/>
  <c r="AR65" i="15"/>
  <c r="AR128" i="15" s="1"/>
  <c r="AR70" i="15"/>
  <c r="AR133" i="15" s="1"/>
  <c r="AR72" i="15"/>
  <c r="AR135" i="15" s="1"/>
  <c r="AR78" i="15"/>
  <c r="AR141" i="15" s="1"/>
  <c r="AR39" i="15"/>
  <c r="AR105" i="15" s="1"/>
  <c r="AT38" i="15"/>
  <c r="B82" i="15"/>
  <c r="B205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83" i="8" a="1"/>
  <c r="W82" i="15" a="1"/>
  <c r="O82" i="15" a="1"/>
  <c r="AC82" i="15" a="1"/>
  <c r="AS73" i="15" a="1"/>
  <c r="AS46" i="15" a="1"/>
  <c r="AL82" i="15" a="1"/>
  <c r="AS52" i="15" a="1"/>
  <c r="AS67" i="15" a="1"/>
  <c r="AP55" i="8" a="1"/>
  <c r="H82" i="15" a="1"/>
  <c r="U82" i="15" a="1"/>
  <c r="AS61" i="15" a="1"/>
  <c r="AS71" i="15" a="1"/>
  <c r="AS70" i="15" a="1"/>
  <c r="AS55" i="15" a="1"/>
  <c r="AS72" i="15" a="1"/>
  <c r="D82" i="15" a="1"/>
  <c r="X82" i="15" a="1"/>
  <c r="AP53" i="8" a="1"/>
  <c r="AS39" i="15" a="1"/>
  <c r="AS81" i="15" a="1"/>
  <c r="AP66" i="8" a="1"/>
  <c r="N82" i="15" a="1"/>
  <c r="T82" i="15" a="1"/>
  <c r="AJ82" i="15" a="1"/>
  <c r="AP52" i="8" a="1"/>
  <c r="AS58" i="15" a="1"/>
  <c r="C82" i="15" a="1"/>
  <c r="AS47" i="15" a="1"/>
  <c r="AO82" i="15" a="1"/>
  <c r="AS65" i="15" a="1"/>
  <c r="AS69" i="15" a="1"/>
  <c r="AR82" i="15" a="1"/>
  <c r="AP72" i="8" a="1"/>
  <c r="AS54" i="15" a="1"/>
  <c r="AP79" i="8" a="1"/>
  <c r="AS48" i="15" a="1"/>
  <c r="AP58" i="8" a="1"/>
  <c r="AP77" i="8" a="1"/>
  <c r="AH82" i="15" a="1"/>
  <c r="L82" i="15" a="1"/>
  <c r="V82" i="15" a="1"/>
  <c r="AS50" i="15" a="1"/>
  <c r="AP102" i="8" a="1"/>
  <c r="S82" i="15" a="1"/>
  <c r="AP59" i="8" a="1"/>
  <c r="J82" i="15" a="1"/>
  <c r="AP101" i="8" a="1"/>
  <c r="AP56" i="8" a="1"/>
  <c r="AP85" i="8" a="1"/>
  <c r="AP103" i="8" a="1"/>
  <c r="AP84" i="8" a="1"/>
  <c r="AS66" i="15" a="1"/>
  <c r="AP67" i="8" a="1"/>
  <c r="AG82" i="15" a="1"/>
  <c r="AS60" i="15" a="1"/>
  <c r="AS64" i="15" a="1"/>
  <c r="AS76" i="15" a="1"/>
  <c r="Z82" i="15" a="1"/>
  <c r="AK82" i="15" a="1"/>
  <c r="AP100" i="8" a="1"/>
  <c r="AD82" i="15" a="1"/>
  <c r="AE82" i="15" a="1"/>
  <c r="F82" i="15" a="1"/>
  <c r="AB82" i="15" a="1"/>
  <c r="E82" i="15" a="1"/>
  <c r="AP70" i="8" a="1"/>
  <c r="AN82" i="15" a="1"/>
  <c r="Q82" i="15" a="1"/>
  <c r="AS82" i="15" a="1"/>
  <c r="AM82" i="15" a="1"/>
  <c r="M82" i="15" a="1"/>
  <c r="AP61" i="8" a="1"/>
  <c r="R82" i="15" a="1"/>
  <c r="AP82" i="8" a="1"/>
  <c r="K82" i="15" a="1"/>
  <c r="AS68" i="15" a="1"/>
  <c r="AS44" i="15" a="1"/>
  <c r="AS59" i="15" a="1"/>
  <c r="AS53" i="15" a="1"/>
  <c r="AP54" i="8" a="1"/>
  <c r="AS62" i="15" a="1"/>
  <c r="AP86" i="8" a="1"/>
  <c r="AP74" i="8" a="1"/>
  <c r="AP68" i="8" a="1"/>
  <c r="AI82" i="15" a="1"/>
  <c r="AS56" i="15" a="1"/>
  <c r="AP76" i="8" a="1"/>
  <c r="AP71" i="8" a="1"/>
  <c r="P82" i="15" a="1"/>
  <c r="AS77" i="15" a="1"/>
  <c r="AS63" i="15" a="1"/>
  <c r="AS74" i="15" a="1"/>
  <c r="AS45" i="15" a="1"/>
  <c r="AF82" i="15" a="1"/>
  <c r="AS51" i="15" a="1"/>
  <c r="AS79" i="15" a="1"/>
  <c r="AP64" i="8" a="1"/>
  <c r="AP65" i="8" a="1"/>
  <c r="G82" i="15" a="1"/>
  <c r="AP82" i="15" a="1"/>
  <c r="AP60" i="8" a="1"/>
  <c r="AQ82" i="15" a="1"/>
  <c r="AP62" i="8" a="1"/>
  <c r="AS78" i="15" a="1"/>
  <c r="AP104" i="8" a="1"/>
  <c r="AS43" i="15" a="1"/>
  <c r="AA82" i="15" a="1"/>
  <c r="AS75" i="15" a="1"/>
  <c r="AP73" i="8" a="1"/>
  <c r="AS49" i="15" a="1"/>
  <c r="AP78" i="8" a="1"/>
  <c r="Y82" i="15" a="1"/>
  <c r="AS80" i="15" a="1"/>
  <c r="AS57" i="15" a="1"/>
  <c r="I82" i="15" a="1"/>
  <c r="AP56" i="8" l="1"/>
  <c r="AP54" i="8"/>
  <c r="AP52" i="8"/>
  <c r="AP53" i="8"/>
  <c r="AP55" i="8"/>
  <c r="AP77" i="8"/>
  <c r="AP76" i="8"/>
  <c r="AP79" i="8"/>
  <c r="AP78" i="8"/>
  <c r="AP80" i="8"/>
  <c r="AP144" i="15"/>
  <c r="AL144" i="15"/>
  <c r="AH144" i="15"/>
  <c r="Z144" i="15"/>
  <c r="R144" i="15"/>
  <c r="K144" i="15"/>
  <c r="AD144" i="15"/>
  <c r="V144" i="15"/>
  <c r="N144" i="15"/>
  <c r="F144" i="15"/>
  <c r="AR144" i="15"/>
  <c r="AO144" i="15"/>
  <c r="AG144" i="15"/>
  <c r="Y144" i="15"/>
  <c r="Q144" i="15"/>
  <c r="I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Z145" i="15" s="1"/>
  <c r="AA82" i="15"/>
  <c r="AB82" i="15"/>
  <c r="AC82" i="15"/>
  <c r="AD82" i="15"/>
  <c r="AD145" i="15" s="1"/>
  <c r="AE82" i="15"/>
  <c r="AF82" i="15"/>
  <c r="AG82" i="15"/>
  <c r="AH82" i="15"/>
  <c r="AH145" i="15" s="1"/>
  <c r="AI82" i="15"/>
  <c r="AJ82" i="15"/>
  <c r="AK82" i="15"/>
  <c r="AL82" i="15"/>
  <c r="AL145" i="15" s="1"/>
  <c r="AM82" i="15"/>
  <c r="AN82" i="15"/>
  <c r="AO82" i="15"/>
  <c r="AP82" i="15"/>
  <c r="AP145" i="15" s="1"/>
  <c r="AQ82" i="15"/>
  <c r="AR82" i="15"/>
  <c r="AS43" i="15"/>
  <c r="AS106" i="15" s="1"/>
  <c r="AS53" i="15"/>
  <c r="AS116" i="15" s="1"/>
  <c r="AS64" i="15"/>
  <c r="AS127" i="15" s="1"/>
  <c r="AS45" i="15"/>
  <c r="AS108" i="15" s="1"/>
  <c r="AS52" i="15"/>
  <c r="AS115" i="15" s="1"/>
  <c r="AS48" i="15"/>
  <c r="AS111" i="15" s="1"/>
  <c r="AS54" i="15"/>
  <c r="AS117" i="15" s="1"/>
  <c r="AS61" i="15"/>
  <c r="AS124" i="15" s="1"/>
  <c r="AS66" i="15"/>
  <c r="AS129" i="15" s="1"/>
  <c r="AS67" i="15"/>
  <c r="AS130" i="15" s="1"/>
  <c r="AS71" i="15"/>
  <c r="AS134" i="15" s="1"/>
  <c r="AS77" i="15"/>
  <c r="AS140" i="15" s="1"/>
  <c r="AS82" i="15"/>
  <c r="AS49" i="15"/>
  <c r="AS112" i="15" s="1"/>
  <c r="AS60" i="15"/>
  <c r="AS123" i="15" s="1"/>
  <c r="AS78" i="15"/>
  <c r="AS141" i="15" s="1"/>
  <c r="AS81" i="15"/>
  <c r="AS144" i="15" s="1"/>
  <c r="AS44" i="15"/>
  <c r="AS107" i="15" s="1"/>
  <c r="AS57" i="15"/>
  <c r="AS120" i="15" s="1"/>
  <c r="AS50" i="15"/>
  <c r="AS113" i="15" s="1"/>
  <c r="AS55" i="15"/>
  <c r="AS118" i="15" s="1"/>
  <c r="AS65" i="15"/>
  <c r="AS128" i="15" s="1"/>
  <c r="AS59" i="15"/>
  <c r="AS122" i="15" s="1"/>
  <c r="AS68" i="15"/>
  <c r="AS131" i="15" s="1"/>
  <c r="AS72" i="15"/>
  <c r="AS135" i="15" s="1"/>
  <c r="AS73" i="15"/>
  <c r="AS136" i="15" s="1"/>
  <c r="AS47" i="15"/>
  <c r="AS110" i="15" s="1"/>
  <c r="AS62" i="15"/>
  <c r="AS125" i="15" s="1"/>
  <c r="AS70" i="15"/>
  <c r="AS133" i="15" s="1"/>
  <c r="AS79" i="15"/>
  <c r="AS142" i="15" s="1"/>
  <c r="AS46" i="15"/>
  <c r="AS109" i="15" s="1"/>
  <c r="AS58" i="15"/>
  <c r="AS121" i="15" s="1"/>
  <c r="AS51" i="15"/>
  <c r="AS114" i="15" s="1"/>
  <c r="AS56" i="15"/>
  <c r="AS119" i="15" s="1"/>
  <c r="AS74" i="15"/>
  <c r="AS137" i="15" s="1"/>
  <c r="AS63" i="15"/>
  <c r="AS126" i="15" s="1"/>
  <c r="AS69" i="15"/>
  <c r="AS132" i="15" s="1"/>
  <c r="AS75" i="15"/>
  <c r="AS138" i="15" s="1"/>
  <c r="AS76" i="15"/>
  <c r="AS139" i="15" s="1"/>
  <c r="AS80" i="15"/>
  <c r="AS143" i="15" s="1"/>
  <c r="AS39" i="15"/>
  <c r="AS105" i="15" s="1"/>
  <c r="AU38" i="15"/>
  <c r="B83" i="15"/>
  <c r="B206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F83" i="15" a="1"/>
  <c r="C83" i="15" a="1"/>
  <c r="AQ59" i="8" a="1"/>
  <c r="AT43" i="15" a="1"/>
  <c r="AT55" i="15" a="1"/>
  <c r="AH83" i="15" a="1"/>
  <c r="S83" i="15" a="1"/>
  <c r="AQ55" i="8" a="1"/>
  <c r="AT68" i="15" a="1"/>
  <c r="AQ62" i="8" a="1"/>
  <c r="AB83" i="15" a="1"/>
  <c r="AQ72" i="8" a="1"/>
  <c r="AT67" i="15" a="1"/>
  <c r="Q83" i="15" a="1"/>
  <c r="AQ77" i="8" a="1"/>
  <c r="AT53" i="15" a="1"/>
  <c r="AQ84" i="8" a="1"/>
  <c r="AQ68" i="8" a="1"/>
  <c r="AM83" i="15" a="1"/>
  <c r="V83" i="15" a="1"/>
  <c r="AT39" i="15" a="1"/>
  <c r="AT81" i="15" a="1"/>
  <c r="AT48" i="15" a="1"/>
  <c r="Z83" i="15" a="1"/>
  <c r="AT63" i="15" a="1"/>
  <c r="AE83" i="15" a="1"/>
  <c r="AT80" i="15" a="1"/>
  <c r="AT47" i="15" a="1"/>
  <c r="W83" i="15" a="1"/>
  <c r="AT75" i="15" a="1"/>
  <c r="AQ79" i="8" a="1"/>
  <c r="AT77" i="15" a="1"/>
  <c r="AQ85" i="8" a="1"/>
  <c r="AQ86" i="8" a="1"/>
  <c r="AQ66" i="8" a="1"/>
  <c r="AQ56" i="8" a="1"/>
  <c r="AT50" i="15" a="1"/>
  <c r="AQ83" i="15" a="1"/>
  <c r="AQ104" i="8" a="1"/>
  <c r="AQ70" i="8" a="1"/>
  <c r="AT64" i="15" a="1"/>
  <c r="AQ83" i="8" a="1"/>
  <c r="AT66" i="15" a="1"/>
  <c r="AQ80" i="8" a="1"/>
  <c r="AQ82" i="8" a="1"/>
  <c r="M83" i="15" a="1"/>
  <c r="AT79" i="15" a="1"/>
  <c r="K83" i="15" a="1"/>
  <c r="AT54" i="15" a="1"/>
  <c r="AQ65" i="8" a="1"/>
  <c r="AG83" i="15" a="1"/>
  <c r="AK83" i="15" a="1"/>
  <c r="AT69" i="15" a="1"/>
  <c r="T83" i="15" a="1"/>
  <c r="AT62" i="15" a="1"/>
  <c r="O83" i="15" a="1"/>
  <c r="AR83" i="15" a="1"/>
  <c r="F83" i="15" a="1"/>
  <c r="AQ53" i="8" a="1"/>
  <c r="AT51" i="15" a="1"/>
  <c r="AT61" i="15" a="1"/>
  <c r="R83" i="15" a="1"/>
  <c r="G83" i="15" a="1"/>
  <c r="AT56" i="15" a="1"/>
  <c r="AT57" i="15" a="1"/>
  <c r="AQ101" i="8" a="1"/>
  <c r="AT82" i="15" a="1"/>
  <c r="AQ58" i="8" a="1"/>
  <c r="AT71" i="15" a="1"/>
  <c r="AT59" i="15" a="1"/>
  <c r="AC83" i="15" a="1"/>
  <c r="AT72" i="15" a="1"/>
  <c r="H83" i="15" a="1"/>
  <c r="AO83" i="15" a="1"/>
  <c r="AQ103" i="8" a="1"/>
  <c r="AQ64" i="8" a="1"/>
  <c r="AN83" i="15" a="1"/>
  <c r="AQ60" i="8" a="1"/>
  <c r="AT78" i="15" a="1"/>
  <c r="D83" i="15" a="1"/>
  <c r="N83" i="15" a="1"/>
  <c r="I83" i="15" a="1"/>
  <c r="AQ67" i="8" a="1"/>
  <c r="AA83" i="15" a="1"/>
  <c r="AT46" i="15" a="1"/>
  <c r="AT70" i="15" a="1"/>
  <c r="AQ54" i="8" a="1"/>
  <c r="AQ71" i="8" a="1"/>
  <c r="AT45" i="15" a="1"/>
  <c r="AQ52" i="8" a="1"/>
  <c r="AT83" i="15" a="1"/>
  <c r="AT58" i="15" a="1"/>
  <c r="AD83" i="15" a="1"/>
  <c r="AS83" i="15" a="1"/>
  <c r="AT73" i="15" a="1"/>
  <c r="AQ61" i="8" a="1"/>
  <c r="AQ78" i="8" a="1"/>
  <c r="AI83" i="15" a="1"/>
  <c r="Y83" i="15" a="1"/>
  <c r="AT76" i="15" a="1"/>
  <c r="AQ73" i="8" a="1"/>
  <c r="J83" i="15" a="1"/>
  <c r="AT49" i="15" a="1"/>
  <c r="AL83" i="15" a="1"/>
  <c r="AT52" i="15" a="1"/>
  <c r="AQ102" i="8" a="1"/>
  <c r="AT65" i="15" a="1"/>
  <c r="P83" i="15" a="1"/>
  <c r="E83" i="15" a="1"/>
  <c r="L83" i="15" a="1"/>
  <c r="X83" i="15" a="1"/>
  <c r="U83" i="15" a="1"/>
  <c r="AQ74" i="8" a="1"/>
  <c r="AJ83" i="15" a="1"/>
  <c r="AP83" i="15" a="1"/>
  <c r="AT60" i="15" a="1"/>
  <c r="AT44" i="15" a="1"/>
  <c r="AT74" i="15" a="1"/>
  <c r="AQ100" i="8" a="1"/>
  <c r="V145" i="15" l="1"/>
  <c r="R145" i="15"/>
  <c r="N145" i="15"/>
  <c r="J145" i="15"/>
  <c r="AQ55" i="8"/>
  <c r="AQ52" i="8"/>
  <c r="AQ54" i="8"/>
  <c r="AQ53" i="8"/>
  <c r="AQ56" i="8"/>
  <c r="AQ80" i="8"/>
  <c r="AQ79" i="8"/>
  <c r="AQ77" i="8"/>
  <c r="AQ78" i="8"/>
  <c r="AQ76" i="8"/>
  <c r="F145" i="15"/>
  <c r="AR145" i="15"/>
  <c r="AN145" i="15"/>
  <c r="AJ145" i="15"/>
  <c r="AF145" i="15"/>
  <c r="AB145" i="15"/>
  <c r="X145" i="15"/>
  <c r="T145" i="15"/>
  <c r="P145" i="15"/>
  <c r="L145" i="15"/>
  <c r="H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L146" i="15" s="1"/>
  <c r="AM83" i="15"/>
  <c r="AN83" i="15"/>
  <c r="AO83" i="15"/>
  <c r="AP83" i="15"/>
  <c r="AP146" i="15" s="1"/>
  <c r="AQ83" i="15"/>
  <c r="AR83" i="15"/>
  <c r="AS83" i="15"/>
  <c r="AT43" i="15"/>
  <c r="AT106" i="15" s="1"/>
  <c r="AT48" i="15"/>
  <c r="AT111" i="15" s="1"/>
  <c r="AT53" i="15"/>
  <c r="AT116" i="15" s="1"/>
  <c r="AT47" i="15"/>
  <c r="AT110" i="15" s="1"/>
  <c r="AT60" i="15"/>
  <c r="AT123" i="15" s="1"/>
  <c r="AT68" i="15"/>
  <c r="AT131" i="15" s="1"/>
  <c r="AT66" i="15"/>
  <c r="AT129" i="15" s="1"/>
  <c r="AT73" i="15"/>
  <c r="AT136" i="15" s="1"/>
  <c r="AT72" i="15"/>
  <c r="AT135" i="15" s="1"/>
  <c r="AT79" i="15"/>
  <c r="AT142" i="15" s="1"/>
  <c r="AT44" i="15"/>
  <c r="AT107" i="15" s="1"/>
  <c r="AT49" i="15"/>
  <c r="AT112" i="15" s="1"/>
  <c r="AT54" i="15"/>
  <c r="AT117" i="15" s="1"/>
  <c r="AT51" i="15"/>
  <c r="AT114" i="15" s="1"/>
  <c r="AT64" i="15"/>
  <c r="AT127" i="15" s="1"/>
  <c r="AT70" i="15"/>
  <c r="AT133" i="15" s="1"/>
  <c r="AT63" i="15"/>
  <c r="AT126" i="15" s="1"/>
  <c r="AT76" i="15"/>
  <c r="AT139" i="15" s="1"/>
  <c r="AT75" i="15"/>
  <c r="AT138" i="15" s="1"/>
  <c r="AT80" i="15"/>
  <c r="AT143" i="15" s="1"/>
  <c r="AT46" i="15"/>
  <c r="AT109" i="15" s="1"/>
  <c r="AT50" i="15"/>
  <c r="AT113" i="15" s="1"/>
  <c r="AT55" i="15"/>
  <c r="AT118" i="15" s="1"/>
  <c r="AT57" i="15"/>
  <c r="AT120" i="15" s="1"/>
  <c r="AT61" i="15"/>
  <c r="AT124" i="15" s="1"/>
  <c r="AT58" i="15"/>
  <c r="AT121" i="15" s="1"/>
  <c r="AT67" i="15"/>
  <c r="AT130" i="15" s="1"/>
  <c r="AT74" i="15"/>
  <c r="AT137" i="15" s="1"/>
  <c r="AT77" i="15"/>
  <c r="AT140" i="15" s="1"/>
  <c r="AT81" i="15"/>
  <c r="AT144" i="15" s="1"/>
  <c r="AT83" i="15"/>
  <c r="AT45" i="15"/>
  <c r="AT108" i="15" s="1"/>
  <c r="AT52" i="15"/>
  <c r="AT115" i="15" s="1"/>
  <c r="AT56" i="15"/>
  <c r="AT119" i="15" s="1"/>
  <c r="AT59" i="15"/>
  <c r="AT122" i="15" s="1"/>
  <c r="AT65" i="15"/>
  <c r="AT128" i="15" s="1"/>
  <c r="AT62" i="15"/>
  <c r="AT125" i="15" s="1"/>
  <c r="AT69" i="15"/>
  <c r="AT132" i="15" s="1"/>
  <c r="AT71" i="15"/>
  <c r="AT134" i="15" s="1"/>
  <c r="AT78" i="15"/>
  <c r="AT141" i="15" s="1"/>
  <c r="AT82" i="15"/>
  <c r="AT145" i="15" s="1"/>
  <c r="AT39" i="15"/>
  <c r="AT105" i="15" s="1"/>
  <c r="AV38" i="15"/>
  <c r="B84" i="15"/>
  <c r="B207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H84" i="15" a="1"/>
  <c r="AU63" i="15" a="1"/>
  <c r="Z84" i="15" a="1"/>
  <c r="AU53" i="15" a="1"/>
  <c r="AU44" i="15" a="1"/>
  <c r="N84" i="15" a="1"/>
  <c r="AU56" i="15" a="1"/>
  <c r="AU62" i="15" a="1"/>
  <c r="AU57" i="15" a="1"/>
  <c r="AP84" i="15" a="1"/>
  <c r="K84" i="15" a="1"/>
  <c r="W84" i="15" a="1"/>
  <c r="AR55" i="8" a="1"/>
  <c r="AR101" i="8" a="1"/>
  <c r="AU39" i="15" a="1"/>
  <c r="AU70" i="15" a="1"/>
  <c r="AU52" i="15" a="1"/>
  <c r="AU76" i="15" a="1"/>
  <c r="F84" i="15" a="1"/>
  <c r="AU58" i="15" a="1"/>
  <c r="AR56" i="8" a="1"/>
  <c r="AR82" i="8" a="1"/>
  <c r="AR64" i="8" a="1"/>
  <c r="AU84" i="15" a="1"/>
  <c r="O84" i="15" a="1"/>
  <c r="AU45" i="15" a="1"/>
  <c r="Q84" i="15" a="1"/>
  <c r="AB84" i="15" a="1"/>
  <c r="AU48" i="15" a="1"/>
  <c r="AR62" i="8" a="1"/>
  <c r="AL84" i="15" a="1"/>
  <c r="AR77" i="8" a="1"/>
  <c r="AU77" i="15" a="1"/>
  <c r="AR73" i="8" a="1"/>
  <c r="AU51" i="15" a="1"/>
  <c r="X84" i="15" a="1"/>
  <c r="H84" i="15" a="1"/>
  <c r="AU67" i="15" a="1"/>
  <c r="AU81" i="15" a="1"/>
  <c r="D84" i="15" a="1"/>
  <c r="AU47" i="15" a="1"/>
  <c r="V84" i="15" a="1"/>
  <c r="AU68" i="15" a="1"/>
  <c r="U84" i="15" a="1"/>
  <c r="AU43" i="15" a="1"/>
  <c r="AQ84" i="15" a="1"/>
  <c r="AT84" i="15" a="1"/>
  <c r="AR58" i="8" a="1"/>
  <c r="AR102" i="8" a="1"/>
  <c r="G84" i="15" a="1"/>
  <c r="AU74" i="15" a="1"/>
  <c r="AR86" i="8" a="1"/>
  <c r="AU71" i="15" a="1"/>
  <c r="I84" i="15" a="1"/>
  <c r="AR84" i="15" a="1"/>
  <c r="AR54" i="8" a="1"/>
  <c r="AR65" i="8" a="1"/>
  <c r="C84" i="15" a="1"/>
  <c r="R84" i="15" a="1"/>
  <c r="AR72" i="8" a="1"/>
  <c r="AG84" i="15" a="1"/>
  <c r="T84" i="15" a="1"/>
  <c r="AM84" i="15" a="1"/>
  <c r="AR59" i="8" a="1"/>
  <c r="AU66" i="15" a="1"/>
  <c r="L84" i="15" a="1"/>
  <c r="AU82" i="15" a="1"/>
  <c r="AR84" i="8" a="1"/>
  <c r="AC84" i="15" a="1"/>
  <c r="AR76" i="8" a="1"/>
  <c r="AR67" i="8" a="1"/>
  <c r="M84" i="15" a="1"/>
  <c r="AR79" i="8" a="1"/>
  <c r="AR85" i="8" a="1"/>
  <c r="AU69" i="15" a="1"/>
  <c r="AI84" i="15" a="1"/>
  <c r="AS84" i="15" a="1"/>
  <c r="S84" i="15" a="1"/>
  <c r="E84" i="15" a="1"/>
  <c r="Y84" i="15" a="1"/>
  <c r="AU55" i="15" a="1"/>
  <c r="AR61" i="8" a="1"/>
  <c r="P84" i="15" a="1"/>
  <c r="AR71" i="8" a="1"/>
  <c r="AR80" i="8" a="1"/>
  <c r="AU50" i="15" a="1"/>
  <c r="AU78" i="15" a="1"/>
  <c r="J84" i="15" a="1"/>
  <c r="AU60" i="15" a="1"/>
  <c r="AR100" i="8" a="1"/>
  <c r="AR104" i="8" a="1"/>
  <c r="AU83" i="15" a="1"/>
  <c r="AR60" i="8" a="1"/>
  <c r="AF84" i="15" a="1"/>
  <c r="AU79" i="15" a="1"/>
  <c r="AR103" i="8" a="1"/>
  <c r="AA84" i="15" a="1"/>
  <c r="AU65" i="15" a="1"/>
  <c r="AN84" i="15" a="1"/>
  <c r="AR78" i="8" a="1"/>
  <c r="AU75" i="15" a="1"/>
  <c r="AK84" i="15" a="1"/>
  <c r="AU59" i="15" a="1"/>
  <c r="AU64" i="15" a="1"/>
  <c r="AE84" i="15" a="1"/>
  <c r="AU61" i="15" a="1"/>
  <c r="AR52" i="8" a="1"/>
  <c r="AU46" i="15" a="1"/>
  <c r="AR74" i="8" a="1"/>
  <c r="AU73" i="15" a="1"/>
  <c r="AU54" i="15" a="1"/>
  <c r="AU72" i="15" a="1"/>
  <c r="AR68" i="8" a="1"/>
  <c r="AU49" i="15" a="1"/>
  <c r="AR83" i="8" a="1"/>
  <c r="AR53" i="8" a="1"/>
  <c r="AD84" i="15" a="1"/>
  <c r="AR70" i="8" a="1"/>
  <c r="AU80" i="15" a="1"/>
  <c r="AJ84" i="15" a="1"/>
  <c r="AR66" i="8" a="1"/>
  <c r="AO84" i="15" a="1"/>
  <c r="AR54" i="8" l="1"/>
  <c r="AR55" i="8"/>
  <c r="AR52" i="8"/>
  <c r="AR53" i="8"/>
  <c r="AR56" i="8"/>
  <c r="AR77" i="8"/>
  <c r="AR79" i="8"/>
  <c r="AR78" i="8"/>
  <c r="AR76" i="8"/>
  <c r="AR80" i="8"/>
  <c r="AH146" i="15"/>
  <c r="Z146" i="15"/>
  <c r="R146" i="15"/>
  <c r="AD146" i="15"/>
  <c r="V146" i="15"/>
  <c r="N146" i="15"/>
  <c r="K146" i="15"/>
  <c r="F146" i="15"/>
  <c r="AO146" i="15"/>
  <c r="AG146" i="15"/>
  <c r="Y146" i="15"/>
  <c r="Q146" i="15"/>
  <c r="AT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K146" i="15"/>
  <c r="AB146" i="15"/>
  <c r="U146" i="15"/>
  <c r="M146" i="15"/>
  <c r="E146" i="15"/>
  <c r="AQ146" i="15"/>
  <c r="AM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B147" i="15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43" i="15"/>
  <c r="AU106" i="15" s="1"/>
  <c r="AU47" i="15"/>
  <c r="AU110" i="15" s="1"/>
  <c r="AU57" i="15"/>
  <c r="AU120" i="15" s="1"/>
  <c r="AU52" i="15"/>
  <c r="AU115" i="15" s="1"/>
  <c r="AU56" i="15"/>
  <c r="AU119" i="15" s="1"/>
  <c r="AU63" i="15"/>
  <c r="AU126" i="15" s="1"/>
  <c r="AU67" i="15"/>
  <c r="AU130" i="15" s="1"/>
  <c r="AU71" i="15"/>
  <c r="AU134" i="15" s="1"/>
  <c r="AU76" i="15"/>
  <c r="AU139" i="15" s="1"/>
  <c r="AU77" i="15"/>
  <c r="AU140" i="15" s="1"/>
  <c r="AU82" i="15"/>
  <c r="AU145" i="15" s="1"/>
  <c r="AU44" i="15"/>
  <c r="AU107" i="15" s="1"/>
  <c r="AU48" i="15"/>
  <c r="AU111" i="15" s="1"/>
  <c r="AU59" i="15"/>
  <c r="AU122" i="15" s="1"/>
  <c r="AU53" i="15"/>
  <c r="AU116" i="15" s="1"/>
  <c r="AU58" i="15"/>
  <c r="AU121" i="15" s="1"/>
  <c r="AU60" i="15"/>
  <c r="AU123" i="15" s="1"/>
  <c r="AU68" i="15"/>
  <c r="AU131" i="15" s="1"/>
  <c r="AU72" i="15"/>
  <c r="AU135" i="15" s="1"/>
  <c r="AU78" i="15"/>
  <c r="AU141" i="15" s="1"/>
  <c r="AU83" i="15"/>
  <c r="AU146" i="15" s="1"/>
  <c r="AU84" i="15"/>
  <c r="AU46" i="15"/>
  <c r="AU109" i="15" s="1"/>
  <c r="AU50" i="15"/>
  <c r="AU113" i="15" s="1"/>
  <c r="AU61" i="15"/>
  <c r="AU124" i="15" s="1"/>
  <c r="AU54" i="15"/>
  <c r="AU117" i="15" s="1"/>
  <c r="AU62" i="15"/>
  <c r="AU125" i="15" s="1"/>
  <c r="AU64" i="15"/>
  <c r="AU127" i="15" s="1"/>
  <c r="AU69" i="15"/>
  <c r="AU132" i="15" s="1"/>
  <c r="AU79" i="15"/>
  <c r="AU142" i="15" s="1"/>
  <c r="AU74" i="15"/>
  <c r="AU137" i="15" s="1"/>
  <c r="AU80" i="15"/>
  <c r="AU143" i="15" s="1"/>
  <c r="AU45" i="15"/>
  <c r="AU108" i="15" s="1"/>
  <c r="AU51" i="15"/>
  <c r="AU114" i="15" s="1"/>
  <c r="AU49" i="15"/>
  <c r="AU112" i="15" s="1"/>
  <c r="AU55" i="15"/>
  <c r="AU118" i="15" s="1"/>
  <c r="AU66" i="15"/>
  <c r="AU129" i="15" s="1"/>
  <c r="AU65" i="15"/>
  <c r="AU128" i="15" s="1"/>
  <c r="AU70" i="15"/>
  <c r="AU133" i="15" s="1"/>
  <c r="AU73" i="15"/>
  <c r="AU136" i="15" s="1"/>
  <c r="AU75" i="15"/>
  <c r="AU138" i="15" s="1"/>
  <c r="AU81" i="15"/>
  <c r="AU144" i="15" s="1"/>
  <c r="AU39" i="15"/>
  <c r="AU105" i="15" s="1"/>
  <c r="AW38" i="15"/>
  <c r="B85" i="15"/>
  <c r="B208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V62" i="15" a="1"/>
  <c r="AV57" i="15" a="1"/>
  <c r="AH85" i="15" a="1"/>
  <c r="AS58" i="8" a="1"/>
  <c r="AV64" i="15" a="1"/>
  <c r="AV66" i="15" a="1"/>
  <c r="AS104" i="8" a="1"/>
  <c r="AS60" i="8" a="1"/>
  <c r="AV78" i="15" a="1"/>
  <c r="AV83" i="15" a="1"/>
  <c r="L85" i="15" a="1"/>
  <c r="AS55" i="8" a="1"/>
  <c r="V85" i="15" a="1"/>
  <c r="J85" i="15" a="1"/>
  <c r="AS61" i="8" a="1"/>
  <c r="AK85" i="15" a="1"/>
  <c r="AS59" i="8" a="1"/>
  <c r="AU85" i="15" a="1"/>
  <c r="AS85" i="15" a="1"/>
  <c r="AS103" i="8" a="1"/>
  <c r="AS67" i="8" a="1"/>
  <c r="AN85" i="15" a="1"/>
  <c r="AV79" i="15" a="1"/>
  <c r="AS71" i="8" a="1"/>
  <c r="AS84" i="8" a="1"/>
  <c r="AG85" i="15" a="1"/>
  <c r="AS65" i="8" a="1"/>
  <c r="AS77" i="8" a="1"/>
  <c r="AS64" i="8" a="1"/>
  <c r="N85" i="15" a="1"/>
  <c r="M85" i="15" a="1"/>
  <c r="AS78" i="8" a="1"/>
  <c r="I85" i="15" a="1"/>
  <c r="AS62" i="8" a="1"/>
  <c r="T85" i="15" a="1"/>
  <c r="F85" i="15" a="1"/>
  <c r="AV43" i="15" a="1"/>
  <c r="AA85" i="15" a="1"/>
  <c r="O85" i="15" a="1"/>
  <c r="Y85" i="15" a="1"/>
  <c r="AE85" i="15" a="1"/>
  <c r="AS52" i="8" a="1"/>
  <c r="AV82" i="15" a="1"/>
  <c r="AP85" i="15" a="1"/>
  <c r="H85" i="15" a="1"/>
  <c r="AS70" i="8" a="1"/>
  <c r="AV67" i="15" a="1"/>
  <c r="Z85" i="15" a="1"/>
  <c r="AS101" i="8" a="1"/>
  <c r="AS79" i="8" a="1"/>
  <c r="AV46" i="15" a="1"/>
  <c r="AV59" i="15" a="1"/>
  <c r="AS86" i="8" a="1"/>
  <c r="AC85" i="15" a="1"/>
  <c r="AV70" i="15" a="1"/>
  <c r="P85" i="15" a="1"/>
  <c r="K85" i="15" a="1"/>
  <c r="AV74" i="15" a="1"/>
  <c r="C85" i="15" a="1"/>
  <c r="G85" i="15" a="1"/>
  <c r="AV68" i="15" a="1"/>
  <c r="AL85" i="15" a="1"/>
  <c r="W85" i="15" a="1"/>
  <c r="AV73" i="15" a="1"/>
  <c r="AS102" i="8" a="1"/>
  <c r="AQ85" i="15" a="1"/>
  <c r="AM85" i="15" a="1"/>
  <c r="AO85" i="15" a="1"/>
  <c r="AV84" i="15" a="1"/>
  <c r="AS100" i="8" a="1"/>
  <c r="AV44" i="15" a="1"/>
  <c r="AV80" i="15" a="1"/>
  <c r="AV81" i="15" a="1"/>
  <c r="AV71" i="15" a="1"/>
  <c r="AV85" i="15" a="1"/>
  <c r="AS54" i="8" a="1"/>
  <c r="AI85" i="15" a="1"/>
  <c r="AV50" i="15" a="1"/>
  <c r="AV72" i="15" a="1"/>
  <c r="AV54" i="15" a="1"/>
  <c r="AV65" i="15" a="1"/>
  <c r="AV45" i="15" a="1"/>
  <c r="AS56" i="8" a="1"/>
  <c r="AV76" i="15" a="1"/>
  <c r="AS82" i="8" a="1"/>
  <c r="AV61" i="15" a="1"/>
  <c r="AV47" i="15" a="1"/>
  <c r="AS72" i="8" a="1"/>
  <c r="S85" i="15" a="1"/>
  <c r="AB85" i="15" a="1"/>
  <c r="AJ85" i="15" a="1"/>
  <c r="AV69" i="15" a="1"/>
  <c r="AV75" i="15" a="1"/>
  <c r="AS76" i="8" a="1"/>
  <c r="AV63" i="15" a="1"/>
  <c r="AV52" i="15" a="1"/>
  <c r="AS85" i="8" a="1"/>
  <c r="AV58" i="15" a="1"/>
  <c r="AV51" i="15" a="1"/>
  <c r="D85" i="15" a="1"/>
  <c r="U85" i="15" a="1"/>
  <c r="AS68" i="8" a="1"/>
  <c r="AS53" i="8" a="1"/>
  <c r="AV56" i="15" a="1"/>
  <c r="AS83" i="8" a="1"/>
  <c r="AV77" i="15" a="1"/>
  <c r="AR85" i="15" a="1"/>
  <c r="AF85" i="15" a="1"/>
  <c r="Q85" i="15" a="1"/>
  <c r="X85" i="15" a="1"/>
  <c r="AT85" i="15" a="1"/>
  <c r="AD85" i="15" a="1"/>
  <c r="E85" i="15" a="1"/>
  <c r="AV60" i="15" a="1"/>
  <c r="AV48" i="15" a="1"/>
  <c r="AS73" i="8" a="1"/>
  <c r="AS66" i="8" a="1"/>
  <c r="R85" i="15" a="1"/>
  <c r="AS74" i="8" a="1"/>
  <c r="AV49" i="15" a="1"/>
  <c r="AV55" i="15" a="1"/>
  <c r="AV53" i="15" a="1"/>
  <c r="AV39" i="15" a="1"/>
  <c r="AP147" i="15" l="1"/>
  <c r="AH147" i="15"/>
  <c r="Z147" i="15"/>
  <c r="V147" i="15"/>
  <c r="AT147" i="15"/>
  <c r="AL147" i="15"/>
  <c r="AD147" i="15"/>
  <c r="R147" i="15"/>
  <c r="AS55" i="8"/>
  <c r="AS56" i="8"/>
  <c r="AS54" i="8"/>
  <c r="AS53" i="8"/>
  <c r="AS52" i="8"/>
  <c r="AS79" i="8"/>
  <c r="AS77" i="8"/>
  <c r="AS78" i="8"/>
  <c r="AS76" i="8"/>
  <c r="AS80" i="8"/>
  <c r="N147" i="15"/>
  <c r="F147" i="15"/>
  <c r="J147" i="15"/>
  <c r="AU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K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8" i="15" s="1"/>
  <c r="W85" i="15"/>
  <c r="X85" i="15"/>
  <c r="Y85" i="15"/>
  <c r="Z85" i="15"/>
  <c r="Z148" i="15" s="1"/>
  <c r="AA85" i="15"/>
  <c r="AB85" i="15"/>
  <c r="AC85" i="15"/>
  <c r="AD85" i="15"/>
  <c r="AD148" i="15" s="1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AV43" i="15"/>
  <c r="AV106" i="15" s="1"/>
  <c r="AV58" i="15"/>
  <c r="AV121" i="15" s="1"/>
  <c r="AV54" i="15"/>
  <c r="AV117" i="15" s="1"/>
  <c r="AV60" i="15"/>
  <c r="AV123" i="15" s="1"/>
  <c r="AV52" i="15"/>
  <c r="AV115" i="15" s="1"/>
  <c r="AV66" i="15"/>
  <c r="AV129" i="15" s="1"/>
  <c r="AV63" i="15"/>
  <c r="AV126" i="15" s="1"/>
  <c r="AV73" i="15"/>
  <c r="AV136" i="15" s="1"/>
  <c r="AV71" i="15"/>
  <c r="AV134" i="15" s="1"/>
  <c r="AV79" i="15"/>
  <c r="AV142" i="15" s="1"/>
  <c r="AV85" i="15"/>
  <c r="AV148" i="15" s="1"/>
  <c r="AV45" i="15"/>
  <c r="AV108" i="15" s="1"/>
  <c r="AV47" i="15"/>
  <c r="AV110" i="15" s="1"/>
  <c r="AV55" i="15"/>
  <c r="AV118" i="15" s="1"/>
  <c r="AV48" i="15"/>
  <c r="AV111" i="15" s="1"/>
  <c r="AV61" i="15"/>
  <c r="AV124" i="15" s="1"/>
  <c r="AV67" i="15"/>
  <c r="AV130" i="15" s="1"/>
  <c r="AV64" i="15"/>
  <c r="AV127" i="15" s="1"/>
  <c r="AV74" i="15"/>
  <c r="AV137" i="15" s="1"/>
  <c r="AV72" i="15"/>
  <c r="AV135" i="15" s="1"/>
  <c r="AV80" i="15"/>
  <c r="AV143" i="15" s="1"/>
  <c r="AV83" i="15"/>
  <c r="AV146" i="15" s="1"/>
  <c r="AV44" i="15"/>
  <c r="AV107" i="15" s="1"/>
  <c r="AV51" i="15"/>
  <c r="AV114" i="15" s="1"/>
  <c r="AV56" i="15"/>
  <c r="AV119" i="15" s="1"/>
  <c r="AV49" i="15"/>
  <c r="AV112" i="15" s="1"/>
  <c r="AV65" i="15"/>
  <c r="AV128" i="15" s="1"/>
  <c r="AV69" i="15"/>
  <c r="AV132" i="15" s="1"/>
  <c r="AV68" i="15"/>
  <c r="AV131" i="15" s="1"/>
  <c r="AV75" i="15"/>
  <c r="AV138" i="15" s="1"/>
  <c r="AV76" i="15"/>
  <c r="AV139" i="15" s="1"/>
  <c r="AV81" i="15"/>
  <c r="AV144" i="15" s="1"/>
  <c r="AV84" i="15"/>
  <c r="AV147" i="15" s="1"/>
  <c r="AV46" i="15"/>
  <c r="AV109" i="15" s="1"/>
  <c r="AV53" i="15"/>
  <c r="AV116" i="15" s="1"/>
  <c r="AV57" i="15"/>
  <c r="AV120" i="15" s="1"/>
  <c r="AV50" i="15"/>
  <c r="AV113" i="15" s="1"/>
  <c r="AV62" i="15"/>
  <c r="AV125" i="15" s="1"/>
  <c r="AV59" i="15"/>
  <c r="AV122" i="15" s="1"/>
  <c r="AV70" i="15"/>
  <c r="AV133" i="15" s="1"/>
  <c r="AV77" i="15"/>
  <c r="AV140" i="15" s="1"/>
  <c r="AV78" i="15"/>
  <c r="AV141" i="15" s="1"/>
  <c r="AV82" i="15"/>
  <c r="AV145" i="15" s="1"/>
  <c r="AV39" i="15"/>
  <c r="AV105" i="15" s="1"/>
  <c r="AX38" i="15"/>
  <c r="B86" i="15"/>
  <c r="B209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W60" i="15" a="1"/>
  <c r="AW39" i="15" a="1"/>
  <c r="AT72" i="8" a="1"/>
  <c r="AW82" i="15" a="1"/>
  <c r="AT67" i="8" a="1"/>
  <c r="AR86" i="15" a="1"/>
  <c r="AG86" i="15" a="1"/>
  <c r="AT86" i="8" a="1"/>
  <c r="AT79" i="8" a="1"/>
  <c r="AT74" i="8" a="1"/>
  <c r="AW75" i="15" a="1"/>
  <c r="Q86" i="15" a="1"/>
  <c r="V86" i="15" a="1"/>
  <c r="AW53" i="15" a="1"/>
  <c r="AW62" i="15" a="1"/>
  <c r="AT54" i="8" a="1"/>
  <c r="AT100" i="8" a="1"/>
  <c r="AW61" i="15" a="1"/>
  <c r="AC86" i="15" a="1"/>
  <c r="AW51" i="15" a="1"/>
  <c r="AT59" i="8" a="1"/>
  <c r="AT82" i="8" a="1"/>
  <c r="AT76" i="8" a="1"/>
  <c r="AW72" i="15" a="1"/>
  <c r="AT102" i="8" a="1"/>
  <c r="AW50" i="15" a="1"/>
  <c r="AS86" i="15" a="1"/>
  <c r="N86" i="15" a="1"/>
  <c r="J86" i="15" a="1"/>
  <c r="M86" i="15" a="1"/>
  <c r="AT70" i="8" a="1"/>
  <c r="AB86" i="15" a="1"/>
  <c r="AE86" i="15" a="1"/>
  <c r="AI86" i="15" a="1"/>
  <c r="AT77" i="8" a="1"/>
  <c r="Z86" i="15" a="1"/>
  <c r="AW73" i="15" a="1"/>
  <c r="H86" i="15" a="1"/>
  <c r="AW80" i="15" a="1"/>
  <c r="U86" i="15" a="1"/>
  <c r="AW85" i="15" a="1"/>
  <c r="AW84" i="15" a="1"/>
  <c r="AW77" i="15" a="1"/>
  <c r="AT53" i="8" a="1"/>
  <c r="AW68" i="15" a="1"/>
  <c r="AN86" i="15" a="1"/>
  <c r="AL86" i="15" a="1"/>
  <c r="AW57" i="15" a="1"/>
  <c r="AW47" i="15" a="1"/>
  <c r="AT65" i="8" a="1"/>
  <c r="AT52" i="8" a="1"/>
  <c r="AT71" i="8" a="1"/>
  <c r="AJ86" i="15" a="1"/>
  <c r="AT101" i="8" a="1"/>
  <c r="AW67" i="15" a="1"/>
  <c r="AW69" i="15" a="1"/>
  <c r="E86" i="15" a="1"/>
  <c r="AT56" i="8" a="1"/>
  <c r="W86" i="15" a="1"/>
  <c r="AW81" i="15" a="1"/>
  <c r="AF86" i="15" a="1"/>
  <c r="S86" i="15" a="1"/>
  <c r="AW46" i="15" a="1"/>
  <c r="AT55" i="8" a="1"/>
  <c r="AW52" i="15" a="1"/>
  <c r="AP86" i="15" a="1"/>
  <c r="F86" i="15" a="1"/>
  <c r="AT73" i="8" a="1"/>
  <c r="AT104" i="8" a="1"/>
  <c r="AT85" i="8" a="1"/>
  <c r="AW78" i="15" a="1"/>
  <c r="AW76" i="15" a="1"/>
  <c r="AW54" i="15" a="1"/>
  <c r="O86" i="15" a="1"/>
  <c r="AT66" i="8" a="1"/>
  <c r="AW65" i="15" a="1"/>
  <c r="AT64" i="8" a="1"/>
  <c r="C86" i="15" a="1"/>
  <c r="AW49" i="15" a="1"/>
  <c r="AW66" i="15" a="1"/>
  <c r="AO86" i="15" a="1"/>
  <c r="AW83" i="15" a="1"/>
  <c r="AT83" i="8" a="1"/>
  <c r="AD86" i="15" a="1"/>
  <c r="AW58" i="15" a="1"/>
  <c r="AT84" i="8" a="1"/>
  <c r="AW64" i="15" a="1"/>
  <c r="AT86" i="15" a="1"/>
  <c r="AW44" i="15" a="1"/>
  <c r="AW71" i="15" a="1"/>
  <c r="AW55" i="15" a="1"/>
  <c r="AT60" i="8" a="1"/>
  <c r="AW48" i="15" a="1"/>
  <c r="AW74" i="15" a="1"/>
  <c r="R86" i="15" a="1"/>
  <c r="X86" i="15" a="1"/>
  <c r="AT103" i="8" a="1"/>
  <c r="G86" i="15" a="1"/>
  <c r="AU86" i="15" a="1"/>
  <c r="AM86" i="15" a="1"/>
  <c r="AT78" i="8" a="1"/>
  <c r="P86" i="15" a="1"/>
  <c r="AT62" i="8" a="1"/>
  <c r="I86" i="15" a="1"/>
  <c r="AA86" i="15" a="1"/>
  <c r="AW86" i="15" a="1"/>
  <c r="AW63" i="15" a="1"/>
  <c r="AT80" i="8" a="1"/>
  <c r="AK86" i="15" a="1"/>
  <c r="Y86" i="15" a="1"/>
  <c r="AT61" i="8" a="1"/>
  <c r="AW56" i="15" a="1"/>
  <c r="AW43" i="15" a="1"/>
  <c r="L86" i="15" a="1"/>
  <c r="T86" i="15" a="1"/>
  <c r="AT68" i="8" a="1"/>
  <c r="D86" i="15" a="1"/>
  <c r="AW70" i="15" a="1"/>
  <c r="AT58" i="8" a="1"/>
  <c r="AH86" i="15" a="1"/>
  <c r="AQ86" i="15" a="1"/>
  <c r="AW45" i="15" a="1"/>
  <c r="AV86" i="15" a="1"/>
  <c r="K86" i="15" a="1"/>
  <c r="AW79" i="15" a="1"/>
  <c r="AW59" i="15" a="1"/>
  <c r="AT52" i="8" l="1"/>
  <c r="AT53" i="8"/>
  <c r="AT55" i="8"/>
  <c r="AT56" i="8"/>
  <c r="AT54" i="8"/>
  <c r="AT79" i="8"/>
  <c r="AT77" i="8"/>
  <c r="AT76" i="8"/>
  <c r="AT80" i="8"/>
  <c r="AT78" i="8"/>
  <c r="R148" i="15"/>
  <c r="N148" i="15"/>
  <c r="K148" i="15"/>
  <c r="AR148" i="15"/>
  <c r="AN148" i="15"/>
  <c r="AJ148" i="15"/>
  <c r="AF148" i="15"/>
  <c r="AB148" i="15"/>
  <c r="X148" i="15"/>
  <c r="T148" i="15"/>
  <c r="P148" i="15"/>
  <c r="F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H149" i="15" s="1"/>
  <c r="AI86" i="15"/>
  <c r="AJ86" i="15"/>
  <c r="AK86" i="15"/>
  <c r="AL86" i="15"/>
  <c r="AL149" i="15" s="1"/>
  <c r="AM86" i="15"/>
  <c r="AN86" i="15"/>
  <c r="AO86" i="15"/>
  <c r="AP86" i="15"/>
  <c r="AP149" i="15" s="1"/>
  <c r="AQ86" i="15"/>
  <c r="AR86" i="15"/>
  <c r="AS86" i="15"/>
  <c r="AT86" i="15"/>
  <c r="AT149" i="15" s="1"/>
  <c r="AU86" i="15"/>
  <c r="AV86" i="15"/>
  <c r="AW49" i="15"/>
  <c r="AW112" i="15" s="1"/>
  <c r="AW57" i="15"/>
  <c r="AW120" i="15" s="1"/>
  <c r="AW75" i="15"/>
  <c r="AW138" i="15" s="1"/>
  <c r="AW45" i="15"/>
  <c r="AW108" i="15" s="1"/>
  <c r="AW51" i="15"/>
  <c r="AW114" i="15" s="1"/>
  <c r="AW47" i="15"/>
  <c r="AW110" i="15" s="1"/>
  <c r="AW54" i="15"/>
  <c r="AW117" i="15" s="1"/>
  <c r="AW59" i="15"/>
  <c r="AW122" i="15" s="1"/>
  <c r="AW61" i="15"/>
  <c r="AW124" i="15" s="1"/>
  <c r="AW67" i="15"/>
  <c r="AW130" i="15" s="1"/>
  <c r="AW71" i="15"/>
  <c r="AW134" i="15" s="1"/>
  <c r="AW77" i="15"/>
  <c r="AW140" i="15" s="1"/>
  <c r="AW83" i="15"/>
  <c r="AW146" i="15" s="1"/>
  <c r="AW81" i="15"/>
  <c r="AW144" i="15" s="1"/>
  <c r="AW43" i="15"/>
  <c r="AW106" i="15" s="1"/>
  <c r="AW53" i="15"/>
  <c r="AW116" i="15" s="1"/>
  <c r="AW72" i="15"/>
  <c r="AW135" i="15" s="1"/>
  <c r="AW70" i="15"/>
  <c r="AW133" i="15" s="1"/>
  <c r="AW80" i="15"/>
  <c r="AW143" i="15" s="1"/>
  <c r="AW44" i="15"/>
  <c r="AW107" i="15" s="1"/>
  <c r="AW52" i="15"/>
  <c r="AW115" i="15" s="1"/>
  <c r="AW48" i="15"/>
  <c r="AW111" i="15" s="1"/>
  <c r="AW55" i="15"/>
  <c r="AW118" i="15" s="1"/>
  <c r="AW63" i="15"/>
  <c r="AW126" i="15" s="1"/>
  <c r="AW65" i="15"/>
  <c r="AW128" i="15" s="1"/>
  <c r="AW68" i="15"/>
  <c r="AW131" i="15" s="1"/>
  <c r="AW73" i="15"/>
  <c r="AW136" i="15" s="1"/>
  <c r="AW79" i="15"/>
  <c r="AW142" i="15" s="1"/>
  <c r="AW84" i="15"/>
  <c r="AW147" i="15" s="1"/>
  <c r="AW82" i="15"/>
  <c r="AW145" i="15" s="1"/>
  <c r="AW60" i="15"/>
  <c r="AW123" i="15" s="1"/>
  <c r="AW66" i="15"/>
  <c r="AW129" i="15" s="1"/>
  <c r="AW76" i="15"/>
  <c r="AW139" i="15" s="1"/>
  <c r="AW46" i="15"/>
  <c r="AW109" i="15" s="1"/>
  <c r="AW58" i="15"/>
  <c r="AW121" i="15" s="1"/>
  <c r="AW50" i="15"/>
  <c r="AW113" i="15" s="1"/>
  <c r="AW56" i="15"/>
  <c r="AW119" i="15" s="1"/>
  <c r="AW64" i="15"/>
  <c r="AW127" i="15" s="1"/>
  <c r="AW62" i="15"/>
  <c r="AW125" i="15" s="1"/>
  <c r="AW69" i="15"/>
  <c r="AW132" i="15" s="1"/>
  <c r="AW74" i="15"/>
  <c r="AW137" i="15" s="1"/>
  <c r="AW78" i="15"/>
  <c r="AW141" i="15" s="1"/>
  <c r="AW85" i="15"/>
  <c r="AW148" i="15" s="1"/>
  <c r="AW86" i="15"/>
  <c r="AW39" i="15"/>
  <c r="AW105" i="15" s="1"/>
  <c r="AY38" i="15"/>
  <c r="B87" i="15"/>
  <c r="B210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58" i="8" a="1"/>
  <c r="AX62" i="15" a="1"/>
  <c r="AX83" i="15" a="1"/>
  <c r="E87" i="15" a="1"/>
  <c r="AU83" i="8" a="1"/>
  <c r="AX61" i="15" a="1"/>
  <c r="AU67" i="8" a="1"/>
  <c r="AW87" i="15" a="1"/>
  <c r="AX50" i="15" a="1"/>
  <c r="P87" i="15" a="1"/>
  <c r="R87" i="15" a="1"/>
  <c r="J87" i="15" a="1"/>
  <c r="AU55" i="8" a="1"/>
  <c r="AU68" i="8" a="1"/>
  <c r="Q87" i="15" a="1"/>
  <c r="AG87" i="15" a="1"/>
  <c r="F87" i="15" a="1"/>
  <c r="AU74" i="8" a="1"/>
  <c r="AX51" i="15" a="1"/>
  <c r="AU62" i="8" a="1"/>
  <c r="AU101" i="8" a="1"/>
  <c r="AX76" i="15" a="1"/>
  <c r="AH87" i="15" a="1"/>
  <c r="I87" i="15" a="1"/>
  <c r="AN87" i="15" a="1"/>
  <c r="AM87" i="15" a="1"/>
  <c r="AF87" i="15" a="1"/>
  <c r="AQ87" i="15" a="1"/>
  <c r="AX48" i="15" a="1"/>
  <c r="AU66" i="8" a="1"/>
  <c r="AS87" i="15" a="1"/>
  <c r="N87" i="15" a="1"/>
  <c r="AX77" i="15" a="1"/>
  <c r="AX69" i="15" a="1"/>
  <c r="AX80" i="15" a="1"/>
  <c r="AU79" i="8" a="1"/>
  <c r="AX56" i="15" a="1"/>
  <c r="D87" i="15" a="1"/>
  <c r="AX81" i="15" a="1"/>
  <c r="C87" i="15" a="1"/>
  <c r="AU104" i="8" a="1"/>
  <c r="AU77" i="8" a="1"/>
  <c r="T87" i="15" a="1"/>
  <c r="AR87" i="15" a="1"/>
  <c r="AU64" i="8" a="1"/>
  <c r="AX73" i="15" a="1"/>
  <c r="AU59" i="8" a="1"/>
  <c r="AU60" i="8" a="1"/>
  <c r="AX75" i="15" a="1"/>
  <c r="AV87" i="15" a="1"/>
  <c r="AB87" i="15" a="1"/>
  <c r="AX82" i="15" a="1"/>
  <c r="AX87" i="15" a="1"/>
  <c r="U87" i="15" a="1"/>
  <c r="AU54" i="8" a="1"/>
  <c r="AX63" i="15" a="1"/>
  <c r="AU85" i="8" a="1"/>
  <c r="AX60" i="15" a="1"/>
  <c r="AU87" i="15" a="1"/>
  <c r="AX59" i="15" a="1"/>
  <c r="AU82" i="8" a="1"/>
  <c r="X87" i="15" a="1"/>
  <c r="AU76" i="8" a="1"/>
  <c r="AX86" i="15" a="1"/>
  <c r="AX67" i="15" a="1"/>
  <c r="AI87" i="15" a="1"/>
  <c r="AX52" i="15" a="1"/>
  <c r="AX45" i="15" a="1"/>
  <c r="AE87" i="15" a="1"/>
  <c r="AX78" i="15" a="1"/>
  <c r="AU52" i="8" a="1"/>
  <c r="AU61" i="8" a="1"/>
  <c r="AX53" i="15" a="1"/>
  <c r="AX66" i="15" a="1"/>
  <c r="AU72" i="8" a="1"/>
  <c r="AT87" i="15" a="1"/>
  <c r="AK87" i="15" a="1"/>
  <c r="Z87" i="15" a="1"/>
  <c r="AU103" i="8" a="1"/>
  <c r="AX84" i="15" a="1"/>
  <c r="AX85" i="15" a="1"/>
  <c r="AX39" i="15" a="1"/>
  <c r="M87" i="15" a="1"/>
  <c r="AU84" i="8" a="1"/>
  <c r="AU53" i="8" a="1"/>
  <c r="G87" i="15" a="1"/>
  <c r="AU102" i="8" a="1"/>
  <c r="AU71" i="8" a="1"/>
  <c r="AJ87" i="15" a="1"/>
  <c r="S87" i="15" a="1"/>
  <c r="AX44" i="15" a="1"/>
  <c r="AX57" i="15" a="1"/>
  <c r="AX79" i="15" a="1"/>
  <c r="AU78" i="8" a="1"/>
  <c r="AX74" i="15" a="1"/>
  <c r="AX64" i="15" a="1"/>
  <c r="AU100" i="8" a="1"/>
  <c r="AD87" i="15" a="1"/>
  <c r="AA87" i="15" a="1"/>
  <c r="Y87" i="15" a="1"/>
  <c r="O87" i="15" a="1"/>
  <c r="AX65" i="15" a="1"/>
  <c r="AX55" i="15" a="1"/>
  <c r="AC87" i="15" a="1"/>
  <c r="AX49" i="15" a="1"/>
  <c r="AU56" i="8" a="1"/>
  <c r="AX47" i="15" a="1"/>
  <c r="AO87" i="15" a="1"/>
  <c r="AU65" i="8" a="1"/>
  <c r="V87" i="15" a="1"/>
  <c r="AX58" i="15" a="1"/>
  <c r="K87" i="15" a="1"/>
  <c r="AX46" i="15" a="1"/>
  <c r="AP87" i="15" a="1"/>
  <c r="AX54" i="15" a="1"/>
  <c r="AX71" i="15" a="1"/>
  <c r="AX43" i="15" a="1"/>
  <c r="AX68" i="15" a="1"/>
  <c r="L87" i="15" a="1"/>
  <c r="AX70" i="15" a="1"/>
  <c r="AL87" i="15" a="1"/>
  <c r="H87" i="15" a="1"/>
  <c r="AX72" i="15" a="1"/>
  <c r="AU70" i="8" a="1"/>
  <c r="AU73" i="8" a="1"/>
  <c r="W87" i="15" a="1"/>
  <c r="AU86" i="8" a="1"/>
  <c r="Z149" i="15" l="1"/>
  <c r="AD149" i="15"/>
  <c r="V149" i="15"/>
  <c r="R149" i="15"/>
  <c r="N149" i="15"/>
  <c r="AU54" i="8"/>
  <c r="AU53" i="8"/>
  <c r="AU52" i="8"/>
  <c r="AU56" i="8"/>
  <c r="AU55" i="8"/>
  <c r="AU77" i="8"/>
  <c r="AU78" i="8"/>
  <c r="AU76" i="8"/>
  <c r="AU79" i="8"/>
  <c r="AU80" i="8"/>
  <c r="K149" i="15"/>
  <c r="F149" i="15"/>
  <c r="AW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S149" i="15"/>
  <c r="AO149" i="15"/>
  <c r="AK149" i="15"/>
  <c r="AG149" i="15"/>
  <c r="AB149" i="15"/>
  <c r="Y149" i="15"/>
  <c r="U149" i="15"/>
  <c r="Q149" i="15"/>
  <c r="M149" i="15"/>
  <c r="I149" i="15"/>
  <c r="E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50" i="15" s="1"/>
  <c r="AI87" i="15"/>
  <c r="AJ87" i="15"/>
  <c r="AK87" i="15"/>
  <c r="AL87" i="15"/>
  <c r="AL150" i="15" s="1"/>
  <c r="AM87" i="15"/>
  <c r="AN87" i="15"/>
  <c r="AO87" i="15"/>
  <c r="AP87" i="15"/>
  <c r="AP150" i="15" s="1"/>
  <c r="AQ87" i="15"/>
  <c r="AR87" i="15"/>
  <c r="AS87" i="15"/>
  <c r="AT87" i="15"/>
  <c r="AT150" i="15" s="1"/>
  <c r="AU87" i="15"/>
  <c r="AV87" i="15"/>
  <c r="AW87" i="15"/>
  <c r="AX71" i="15"/>
  <c r="AX134" i="15" s="1"/>
  <c r="AX52" i="15"/>
  <c r="AX115" i="15" s="1"/>
  <c r="AX66" i="15"/>
  <c r="AX129" i="15" s="1"/>
  <c r="AX82" i="15"/>
  <c r="AX145" i="15" s="1"/>
  <c r="AX47" i="15"/>
  <c r="AX110" i="15" s="1"/>
  <c r="AX61" i="15"/>
  <c r="AX124" i="15" s="1"/>
  <c r="AX64" i="15"/>
  <c r="AX127" i="15" s="1"/>
  <c r="AX69" i="15"/>
  <c r="AX132" i="15" s="1"/>
  <c r="AX73" i="15"/>
  <c r="AX136" i="15" s="1"/>
  <c r="AX79" i="15"/>
  <c r="AX142" i="15" s="1"/>
  <c r="AX83" i="15"/>
  <c r="AX146" i="15" s="1"/>
  <c r="AX86" i="15"/>
  <c r="AX149" i="15" s="1"/>
  <c r="AX46" i="15"/>
  <c r="AX109" i="15" s="1"/>
  <c r="AX48" i="15"/>
  <c r="AX111" i="15" s="1"/>
  <c r="AX54" i="15"/>
  <c r="AX117" i="15" s="1"/>
  <c r="AX49" i="15"/>
  <c r="AX112" i="15" s="1"/>
  <c r="AX58" i="15"/>
  <c r="AX121" i="15" s="1"/>
  <c r="AX68" i="15"/>
  <c r="AX131" i="15" s="1"/>
  <c r="AX74" i="15"/>
  <c r="AX137" i="15" s="1"/>
  <c r="AX76" i="15"/>
  <c r="AX139" i="15" s="1"/>
  <c r="AX75" i="15"/>
  <c r="AX138" i="15" s="1"/>
  <c r="AX80" i="15"/>
  <c r="AX143" i="15" s="1"/>
  <c r="AX84" i="15"/>
  <c r="AX147" i="15" s="1"/>
  <c r="AX87" i="15"/>
  <c r="AX45" i="15"/>
  <c r="AX108" i="15" s="1"/>
  <c r="AX59" i="15"/>
  <c r="AX122" i="15" s="1"/>
  <c r="AX67" i="15"/>
  <c r="AX130" i="15" s="1"/>
  <c r="AX44" i="15"/>
  <c r="AX107" i="15" s="1"/>
  <c r="AX57" i="15"/>
  <c r="AX120" i="15" s="1"/>
  <c r="AX53" i="15"/>
  <c r="AX116" i="15" s="1"/>
  <c r="AX63" i="15"/>
  <c r="AX126" i="15" s="1"/>
  <c r="AX43" i="15"/>
  <c r="AX106" i="15" s="1"/>
  <c r="AX50" i="15"/>
  <c r="AX113" i="15" s="1"/>
  <c r="AX55" i="15"/>
  <c r="AX118" i="15" s="1"/>
  <c r="AX51" i="15"/>
  <c r="AX114" i="15" s="1"/>
  <c r="AX62" i="15"/>
  <c r="AX125" i="15" s="1"/>
  <c r="AX70" i="15"/>
  <c r="AX133" i="15" s="1"/>
  <c r="AX65" i="15"/>
  <c r="AX128" i="15" s="1"/>
  <c r="AX72" i="15"/>
  <c r="AX135" i="15" s="1"/>
  <c r="AX77" i="15"/>
  <c r="AX140" i="15" s="1"/>
  <c r="AX81" i="15"/>
  <c r="AX144" i="15" s="1"/>
  <c r="AX85" i="15"/>
  <c r="AX148" i="15" s="1"/>
  <c r="AX56" i="15"/>
  <c r="AX119" i="15" s="1"/>
  <c r="AX60" i="15"/>
  <c r="AX123" i="15" s="1"/>
  <c r="AX78" i="15"/>
  <c r="AX141" i="15" s="1"/>
  <c r="AX39" i="15"/>
  <c r="AX105" i="15" s="1"/>
  <c r="AZ38" i="15"/>
  <c r="B88" i="15"/>
  <c r="B211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54" i="8" a="1"/>
  <c r="AV65" i="8" a="1"/>
  <c r="AV83" i="8" a="1"/>
  <c r="AY49" i="15" a="1"/>
  <c r="AY84" i="15" a="1"/>
  <c r="Y88" i="15" a="1"/>
  <c r="AY83" i="15" a="1"/>
  <c r="AY39" i="15" a="1"/>
  <c r="AV78" i="8" a="1"/>
  <c r="AJ88" i="15" a="1"/>
  <c r="AY47" i="15" a="1"/>
  <c r="D88" i="15" a="1"/>
  <c r="AY71" i="15" a="1"/>
  <c r="AV101" i="8" a="1"/>
  <c r="AV86" i="8" a="1"/>
  <c r="G88" i="15" a="1"/>
  <c r="AV77" i="8" a="1"/>
  <c r="AY68" i="15" a="1"/>
  <c r="AQ88" i="15" a="1"/>
  <c r="AY62" i="15" a="1"/>
  <c r="T88" i="15" a="1"/>
  <c r="AY43" i="15" a="1"/>
  <c r="AH88" i="15" a="1"/>
  <c r="AY56" i="15" a="1"/>
  <c r="AY58" i="15" a="1"/>
  <c r="AV67" i="8" a="1"/>
  <c r="AV72" i="8" a="1"/>
  <c r="AY80" i="15" a="1"/>
  <c r="M88" i="15" a="1"/>
  <c r="AV59" i="8" a="1"/>
  <c r="AV103" i="8" a="1"/>
  <c r="AY81" i="15" a="1"/>
  <c r="AP88" i="15" a="1"/>
  <c r="AV58" i="8" a="1"/>
  <c r="AN88" i="15" a="1"/>
  <c r="AV70" i="8" a="1"/>
  <c r="AO88" i="15" a="1"/>
  <c r="AY63" i="15" a="1"/>
  <c r="AY70" i="15" a="1"/>
  <c r="AY76" i="15" a="1"/>
  <c r="W88" i="15" a="1"/>
  <c r="AR88" i="15" a="1"/>
  <c r="AV68" i="8" a="1"/>
  <c r="L88" i="15" a="1"/>
  <c r="AX88" i="15" a="1"/>
  <c r="AY77" i="15" a="1"/>
  <c r="I88" i="15" a="1"/>
  <c r="AY66" i="15" a="1"/>
  <c r="AI88" i="15" a="1"/>
  <c r="AY53" i="15" a="1"/>
  <c r="AY82" i="15" a="1"/>
  <c r="Z88" i="15" a="1"/>
  <c r="AY48" i="15" a="1"/>
  <c r="AY78" i="15" a="1"/>
  <c r="AY86" i="15" a="1"/>
  <c r="AT88" i="15" a="1"/>
  <c r="P88" i="15" a="1"/>
  <c r="AV66" i="8" a="1"/>
  <c r="V88" i="15" a="1"/>
  <c r="AV79" i="8" a="1"/>
  <c r="AL88" i="15" a="1"/>
  <c r="AV71" i="8" a="1"/>
  <c r="AV62" i="8" a="1"/>
  <c r="AY61" i="15" a="1"/>
  <c r="AV88" i="15" a="1"/>
  <c r="AU88" i="15" a="1"/>
  <c r="E88" i="15" a="1"/>
  <c r="AV55" i="8" a="1"/>
  <c r="AM88" i="15" a="1"/>
  <c r="R88" i="15" a="1"/>
  <c r="AA88" i="15" a="1"/>
  <c r="AY79" i="15" a="1"/>
  <c r="AK88" i="15" a="1"/>
  <c r="AY55" i="15" a="1"/>
  <c r="AY50" i="15" a="1"/>
  <c r="AV80" i="8" a="1"/>
  <c r="AY73" i="15" a="1"/>
  <c r="AY72" i="15" a="1"/>
  <c r="AY65" i="15" a="1"/>
  <c r="AE88" i="15" a="1"/>
  <c r="U88" i="15" a="1"/>
  <c r="AV85" i="8" a="1"/>
  <c r="AV64" i="8" a="1"/>
  <c r="X88" i="15" a="1"/>
  <c r="AV52" i="8" a="1"/>
  <c r="AY59" i="15" a="1"/>
  <c r="AY45" i="15" a="1"/>
  <c r="AV76" i="8" a="1"/>
  <c r="AY74" i="15" a="1"/>
  <c r="H88" i="15" a="1"/>
  <c r="AC88" i="15" a="1"/>
  <c r="AV60" i="8" a="1"/>
  <c r="J88" i="15" a="1"/>
  <c r="AY87" i="15" a="1"/>
  <c r="AY54" i="15" a="1"/>
  <c r="AY64" i="15" a="1"/>
  <c r="AF88" i="15" a="1"/>
  <c r="AV100" i="8" a="1"/>
  <c r="F88" i="15" a="1"/>
  <c r="AB88" i="15" a="1"/>
  <c r="N88" i="15" a="1"/>
  <c r="K88" i="15" a="1"/>
  <c r="AV104" i="8" a="1"/>
  <c r="AY44" i="15" a="1"/>
  <c r="AY46" i="15" a="1"/>
  <c r="AG88" i="15" a="1"/>
  <c r="AV74" i="8" a="1"/>
  <c r="AV73" i="8" a="1"/>
  <c r="AV56" i="8" a="1"/>
  <c r="S88" i="15" a="1"/>
  <c r="AY67" i="15" a="1"/>
  <c r="AD88" i="15" a="1"/>
  <c r="AY60" i="15" a="1"/>
  <c r="AY75" i="15" a="1"/>
  <c r="AY51" i="15" a="1"/>
  <c r="AY57" i="15" a="1"/>
  <c r="AV53" i="8" a="1"/>
  <c r="AY52" i="15" a="1"/>
  <c r="C88" i="15" a="1"/>
  <c r="AY88" i="15" a="1"/>
  <c r="AV61" i="8" a="1"/>
  <c r="AV82" i="8" a="1"/>
  <c r="AY69" i="15" a="1"/>
  <c r="O88" i="15" a="1"/>
  <c r="AW88" i="15" a="1"/>
  <c r="AS88" i="15" a="1"/>
  <c r="AV102" i="8" a="1"/>
  <c r="AY85" i="15" a="1"/>
  <c r="AV84" i="8" a="1"/>
  <c r="Q88" i="15" a="1"/>
  <c r="AD150" i="15" l="1"/>
  <c r="Z150" i="15"/>
  <c r="V150" i="15"/>
  <c r="R150" i="15"/>
  <c r="N150" i="15"/>
  <c r="AV53" i="8"/>
  <c r="AV56" i="8"/>
  <c r="AV54" i="8"/>
  <c r="AV52" i="8"/>
  <c r="AV55" i="8"/>
  <c r="AV79" i="8"/>
  <c r="AV76" i="8"/>
  <c r="AV80" i="8"/>
  <c r="AV77" i="8"/>
  <c r="AV78" i="8"/>
  <c r="AV150" i="15"/>
  <c r="J150" i="15"/>
  <c r="AR150" i="15"/>
  <c r="F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K150" i="15"/>
  <c r="G150" i="15"/>
  <c r="AX150" i="15"/>
  <c r="AW150" i="15"/>
  <c r="AS150" i="15"/>
  <c r="AO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L151" i="15" s="1"/>
  <c r="AM88" i="15"/>
  <c r="AN88" i="15"/>
  <c r="AO88" i="15"/>
  <c r="AP88" i="15"/>
  <c r="AP151" i="15" s="1"/>
  <c r="AQ88" i="15"/>
  <c r="AR88" i="15"/>
  <c r="AS88" i="15"/>
  <c r="AT88" i="15"/>
  <c r="AT151" i="15" s="1"/>
  <c r="AU88" i="15"/>
  <c r="AV88" i="15"/>
  <c r="AW88" i="15"/>
  <c r="AX88" i="15"/>
  <c r="AX151" i="15" s="1"/>
  <c r="AY44" i="15"/>
  <c r="AY107" i="15" s="1"/>
  <c r="AY54" i="15"/>
  <c r="AY117" i="15" s="1"/>
  <c r="AY65" i="15"/>
  <c r="AY128" i="15" s="1"/>
  <c r="AY72" i="15"/>
  <c r="AY135" i="15" s="1"/>
  <c r="AY46" i="15"/>
  <c r="AY109" i="15" s="1"/>
  <c r="AY48" i="15"/>
  <c r="AY111" i="15" s="1"/>
  <c r="AY49" i="15"/>
  <c r="AY112" i="15" s="1"/>
  <c r="AY55" i="15"/>
  <c r="AY118" i="15" s="1"/>
  <c r="AY64" i="15"/>
  <c r="AY127" i="15" s="1"/>
  <c r="AY58" i="15"/>
  <c r="AY121" i="15" s="1"/>
  <c r="AY67" i="15"/>
  <c r="AY130" i="15" s="1"/>
  <c r="AY71" i="15"/>
  <c r="AY134" i="15" s="1"/>
  <c r="AY79" i="15"/>
  <c r="AY142" i="15" s="1"/>
  <c r="AY84" i="15"/>
  <c r="AY147" i="15" s="1"/>
  <c r="AY82" i="15"/>
  <c r="AY145" i="15" s="1"/>
  <c r="AY57" i="15"/>
  <c r="AY120" i="15" s="1"/>
  <c r="AY63" i="15"/>
  <c r="AY126" i="15" s="1"/>
  <c r="AY78" i="15"/>
  <c r="AY141" i="15" s="1"/>
  <c r="AY88" i="15"/>
  <c r="AY50" i="15"/>
  <c r="AY113" i="15" s="1"/>
  <c r="AY56" i="15"/>
  <c r="AY119" i="15" s="1"/>
  <c r="AY73" i="15"/>
  <c r="AY136" i="15" s="1"/>
  <c r="AY62" i="15"/>
  <c r="AY125" i="15" s="1"/>
  <c r="AY68" i="15"/>
  <c r="AY131" i="15" s="1"/>
  <c r="AY74" i="15"/>
  <c r="AY137" i="15" s="1"/>
  <c r="AY75" i="15"/>
  <c r="AY138" i="15" s="1"/>
  <c r="AY86" i="15"/>
  <c r="AY149" i="15" s="1"/>
  <c r="AY83" i="15"/>
  <c r="AY146" i="15" s="1"/>
  <c r="AY47" i="15"/>
  <c r="AY110" i="15" s="1"/>
  <c r="AY60" i="15"/>
  <c r="AY123" i="15" s="1"/>
  <c r="AY70" i="15"/>
  <c r="AY133" i="15" s="1"/>
  <c r="AY81" i="15"/>
  <c r="AY144" i="15" s="1"/>
  <c r="AY43" i="15"/>
  <c r="AY106" i="15" s="1"/>
  <c r="AY51" i="15"/>
  <c r="AY114" i="15" s="1"/>
  <c r="AY45" i="15"/>
  <c r="AY108" i="15" s="1"/>
  <c r="AY52" i="15"/>
  <c r="AY115" i="15" s="1"/>
  <c r="AY53" i="15"/>
  <c r="AY116" i="15" s="1"/>
  <c r="AY59" i="15"/>
  <c r="AY122" i="15" s="1"/>
  <c r="AY61" i="15"/>
  <c r="AY124" i="15" s="1"/>
  <c r="AY66" i="15"/>
  <c r="AY129" i="15" s="1"/>
  <c r="AY69" i="15"/>
  <c r="AY132" i="15" s="1"/>
  <c r="AY76" i="15"/>
  <c r="AY139" i="15" s="1"/>
  <c r="AY77" i="15"/>
  <c r="AY140" i="15" s="1"/>
  <c r="AY80" i="15"/>
  <c r="AY143" i="15" s="1"/>
  <c r="AY85" i="15"/>
  <c r="AY148" i="15" s="1"/>
  <c r="AY87" i="15"/>
  <c r="AY150" i="15" s="1"/>
  <c r="AY39" i="15"/>
  <c r="AY105" i="15" s="1"/>
  <c r="BA38" i="15"/>
  <c r="B89" i="15"/>
  <c r="B212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3" i="8" a="1"/>
  <c r="AZ75" i="15" a="1"/>
  <c r="AZ50" i="15" a="1"/>
  <c r="AZ60" i="15" a="1"/>
  <c r="AZ66" i="15" a="1"/>
  <c r="AZ69" i="15" a="1"/>
  <c r="AW64" i="8" a="1"/>
  <c r="AZ55" i="15" a="1"/>
  <c r="AW52" i="8" a="1"/>
  <c r="O89" i="15" a="1"/>
  <c r="AK89" i="15" a="1"/>
  <c r="AA89" i="15" a="1"/>
  <c r="AZ88" i="15" a="1"/>
  <c r="AW66" i="8" a="1"/>
  <c r="J89" i="15" a="1"/>
  <c r="AZ81" i="15" a="1"/>
  <c r="AW79" i="8" a="1"/>
  <c r="Z89" i="15" a="1"/>
  <c r="AV89" i="15" a="1"/>
  <c r="AZ86" i="15" a="1"/>
  <c r="AZ59" i="15" a="1"/>
  <c r="AP89" i="15" a="1"/>
  <c r="R89" i="15" a="1"/>
  <c r="X89" i="15" a="1"/>
  <c r="AZ61" i="15" a="1"/>
  <c r="AZ58" i="15" a="1"/>
  <c r="AZ76" i="15" a="1"/>
  <c r="AZ63" i="15" a="1"/>
  <c r="AO89" i="15" a="1"/>
  <c r="C89" i="15" a="1"/>
  <c r="AZ77" i="15" a="1"/>
  <c r="N89" i="15" a="1"/>
  <c r="F89" i="15" a="1"/>
  <c r="AU89" i="15" a="1"/>
  <c r="AW76" i="8" a="1"/>
  <c r="AN89" i="15" a="1"/>
  <c r="I89" i="15" a="1"/>
  <c r="D89" i="15" a="1"/>
  <c r="AT89" i="15" a="1"/>
  <c r="L89" i="15" a="1"/>
  <c r="AZ80" i="15" a="1"/>
  <c r="AF89" i="15" a="1"/>
  <c r="AG89" i="15" a="1"/>
  <c r="AW53" i="8" a="1"/>
  <c r="AB89" i="15" a="1"/>
  <c r="AZ49" i="15" a="1"/>
  <c r="AW83" i="8" a="1"/>
  <c r="AW56" i="8" a="1"/>
  <c r="AW71" i="8" a="1"/>
  <c r="AW67" i="8" a="1"/>
  <c r="AW86" i="8" a="1"/>
  <c r="AZ45" i="15" a="1"/>
  <c r="AW60" i="8" a="1"/>
  <c r="AE89" i="15" a="1"/>
  <c r="AZ84" i="15" a="1"/>
  <c r="AY89" i="15" a="1"/>
  <c r="AS89" i="15" a="1"/>
  <c r="AW82" i="8" a="1"/>
  <c r="AW72" i="8" a="1"/>
  <c r="AZ64" i="15" a="1"/>
  <c r="AZ44" i="15" a="1"/>
  <c r="AW68" i="8" a="1"/>
  <c r="E89" i="15" a="1"/>
  <c r="AW59" i="8" a="1"/>
  <c r="AW100" i="8" a="1"/>
  <c r="AW58" i="8" a="1"/>
  <c r="AZ87" i="15" a="1"/>
  <c r="AZ67" i="15" a="1"/>
  <c r="AZ53" i="15" a="1"/>
  <c r="AW89" i="15" a="1"/>
  <c r="W89" i="15" a="1"/>
  <c r="S89" i="15" a="1"/>
  <c r="P89" i="15" a="1"/>
  <c r="AZ82" i="15" a="1"/>
  <c r="AL89" i="15" a="1"/>
  <c r="AH89" i="15" a="1"/>
  <c r="AJ89" i="15" a="1"/>
  <c r="AW74" i="8" a="1"/>
  <c r="AZ39" i="15" a="1"/>
  <c r="AZ74" i="15" a="1"/>
  <c r="AW62" i="8" a="1"/>
  <c r="AZ68" i="15" a="1"/>
  <c r="AZ46" i="15" a="1"/>
  <c r="AZ89" i="15" a="1"/>
  <c r="AW77" i="8" a="1"/>
  <c r="AW102" i="8" a="1"/>
  <c r="AR89" i="15" a="1"/>
  <c r="AW65" i="8" a="1"/>
  <c r="AZ72" i="15" a="1"/>
  <c r="AD89" i="15" a="1"/>
  <c r="AZ47" i="15" a="1"/>
  <c r="M89" i="15" a="1"/>
  <c r="AW80" i="8" a="1"/>
  <c r="K89" i="15" a="1"/>
  <c r="Q89" i="15" a="1"/>
  <c r="Y89" i="15" a="1"/>
  <c r="AZ85" i="15" a="1"/>
  <c r="AW104" i="8" a="1"/>
  <c r="AW61" i="8" a="1"/>
  <c r="AZ43" i="15" a="1"/>
  <c r="G89" i="15" a="1"/>
  <c r="AZ62" i="15" a="1"/>
  <c r="AW85" i="8" a="1"/>
  <c r="AC89" i="15" a="1"/>
  <c r="AZ70" i="15" a="1"/>
  <c r="AI89" i="15" a="1"/>
  <c r="AZ83" i="15" a="1"/>
  <c r="AZ52" i="15" a="1"/>
  <c r="AM89" i="15" a="1"/>
  <c r="AZ51" i="15" a="1"/>
  <c r="AZ73" i="15" a="1"/>
  <c r="AZ57" i="15" a="1"/>
  <c r="AQ89" i="15" a="1"/>
  <c r="AX89" i="15" a="1"/>
  <c r="U89" i="15" a="1"/>
  <c r="AW101" i="8" a="1"/>
  <c r="AW55" i="8" a="1"/>
  <c r="AZ78" i="15" a="1"/>
  <c r="T89" i="15" a="1"/>
  <c r="AW84" i="8" a="1"/>
  <c r="AW78" i="8" a="1"/>
  <c r="AZ48" i="15" a="1"/>
  <c r="AZ79" i="15" a="1"/>
  <c r="H89" i="15" a="1"/>
  <c r="AZ56" i="15" a="1"/>
  <c r="V89" i="15" a="1"/>
  <c r="AZ71" i="15" a="1"/>
  <c r="AZ54" i="15" a="1"/>
  <c r="AW54" i="8" a="1"/>
  <c r="AZ65" i="15" a="1"/>
  <c r="AW70" i="8" a="1"/>
  <c r="AW103" i="8" a="1"/>
  <c r="AD151" i="15" l="1"/>
  <c r="AH151" i="15"/>
  <c r="Z151" i="15"/>
  <c r="V151" i="15"/>
  <c r="R151" i="15"/>
  <c r="N151" i="15"/>
  <c r="AW54" i="8"/>
  <c r="AW53" i="8"/>
  <c r="AW52" i="8"/>
  <c r="AW55" i="8"/>
  <c r="AW56" i="8"/>
  <c r="AW77" i="8"/>
  <c r="AW78" i="8"/>
  <c r="AW76" i="8"/>
  <c r="AW80" i="8"/>
  <c r="AW79" i="8"/>
  <c r="K151" i="15"/>
  <c r="F151" i="15"/>
  <c r="AV151" i="15"/>
  <c r="AR151" i="15"/>
  <c r="AN151" i="15"/>
  <c r="AJ151" i="15"/>
  <c r="AF151" i="15"/>
  <c r="AB151" i="15"/>
  <c r="X151" i="15"/>
  <c r="T151" i="15"/>
  <c r="P151" i="15"/>
  <c r="AY151" i="15"/>
  <c r="AW151" i="15"/>
  <c r="AS151" i="15"/>
  <c r="AO151" i="15"/>
  <c r="AK151" i="15"/>
  <c r="AG151" i="15"/>
  <c r="AC151" i="15"/>
  <c r="Y151" i="15"/>
  <c r="U151" i="15"/>
  <c r="Q151" i="15"/>
  <c r="M151" i="15"/>
  <c r="I151" i="15"/>
  <c r="E151" i="15"/>
  <c r="L151" i="15"/>
  <c r="H151" i="15"/>
  <c r="AU151" i="15"/>
  <c r="AQ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7" i="15" s="1"/>
  <c r="AZ68" i="15"/>
  <c r="AZ131" i="15" s="1"/>
  <c r="AZ84" i="15"/>
  <c r="AZ147" i="15" s="1"/>
  <c r="AZ49" i="15"/>
  <c r="AZ112" i="15" s="1"/>
  <c r="AZ57" i="15"/>
  <c r="AZ120" i="15" s="1"/>
  <c r="AZ65" i="15"/>
  <c r="AZ128" i="15" s="1"/>
  <c r="AZ82" i="15"/>
  <c r="AZ145" i="15" s="1"/>
  <c r="AZ88" i="15"/>
  <c r="AZ151" i="15" s="1"/>
  <c r="AZ43" i="15"/>
  <c r="AZ106" i="15" s="1"/>
  <c r="AZ60" i="15"/>
  <c r="AZ123" i="15" s="1"/>
  <c r="AZ51" i="15"/>
  <c r="AZ114" i="15" s="1"/>
  <c r="AZ56" i="15"/>
  <c r="AZ119" i="15" s="1"/>
  <c r="AZ58" i="15"/>
  <c r="AZ121" i="15" s="1"/>
  <c r="AZ67" i="15"/>
  <c r="AZ130" i="15" s="1"/>
  <c r="AZ62" i="15"/>
  <c r="AZ125" i="15" s="1"/>
  <c r="AZ72" i="15"/>
  <c r="AZ135" i="15" s="1"/>
  <c r="AZ71" i="15"/>
  <c r="AZ134" i="15" s="1"/>
  <c r="AZ79" i="15"/>
  <c r="AZ142" i="15" s="1"/>
  <c r="AZ83" i="15"/>
  <c r="AZ146" i="15" s="1"/>
  <c r="AZ48" i="15"/>
  <c r="AZ111" i="15" s="1"/>
  <c r="AZ63" i="15"/>
  <c r="AZ126" i="15" s="1"/>
  <c r="AZ76" i="15"/>
  <c r="AZ139" i="15" s="1"/>
  <c r="AZ87" i="15"/>
  <c r="AZ150" i="15" s="1"/>
  <c r="AZ55" i="15"/>
  <c r="AZ118" i="15" s="1"/>
  <c r="AZ64" i="15"/>
  <c r="AZ127" i="15" s="1"/>
  <c r="AZ70" i="15"/>
  <c r="AZ133" i="15" s="1"/>
  <c r="AZ78" i="15"/>
  <c r="AZ141" i="15" s="1"/>
  <c r="AZ89" i="15"/>
  <c r="AZ45" i="15"/>
  <c r="AZ108" i="15" s="1"/>
  <c r="AZ47" i="15"/>
  <c r="AZ110" i="15" s="1"/>
  <c r="AZ53" i="15"/>
  <c r="AZ116" i="15" s="1"/>
  <c r="AZ50" i="15"/>
  <c r="AZ113" i="15" s="1"/>
  <c r="AZ59" i="15"/>
  <c r="AZ122" i="15" s="1"/>
  <c r="AZ69" i="15"/>
  <c r="AZ132" i="15" s="1"/>
  <c r="AZ66" i="15"/>
  <c r="AZ129" i="15" s="1"/>
  <c r="AZ75" i="15"/>
  <c r="AZ138" i="15" s="1"/>
  <c r="AZ74" i="15"/>
  <c r="AZ137" i="15" s="1"/>
  <c r="AZ80" i="15"/>
  <c r="AZ143" i="15" s="1"/>
  <c r="AZ85" i="15"/>
  <c r="AZ148" i="15" s="1"/>
  <c r="AZ86" i="15"/>
  <c r="AZ149" i="15" s="1"/>
  <c r="AZ52" i="15"/>
  <c r="AZ115" i="15" s="1"/>
  <c r="AZ77" i="15"/>
  <c r="AZ140" i="15" s="1"/>
  <c r="AZ81" i="15"/>
  <c r="AZ144" i="15" s="1"/>
  <c r="AZ44" i="15"/>
  <c r="AZ107" i="15" s="1"/>
  <c r="AZ61" i="15"/>
  <c r="AZ124" i="15" s="1"/>
  <c r="AZ46" i="15"/>
  <c r="AZ109" i="15" s="1"/>
  <c r="AZ73" i="15"/>
  <c r="AZ136" i="15" s="1"/>
  <c r="AZ39" i="15"/>
  <c r="AZ105" i="15" s="1"/>
  <c r="BB38" i="15"/>
  <c r="B90" i="15"/>
  <c r="B213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52" i="8" a="1"/>
  <c r="AQ90" i="15" a="1"/>
  <c r="BA74" i="15" a="1"/>
  <c r="BA80" i="15" a="1"/>
  <c r="BA47" i="15" a="1"/>
  <c r="Q90" i="15" a="1"/>
  <c r="AB90" i="15" a="1"/>
  <c r="AX59" i="8" a="1"/>
  <c r="AX82" i="8" a="1"/>
  <c r="BA43" i="15" a="1"/>
  <c r="AD90" i="15" a="1"/>
  <c r="AN90" i="15" a="1"/>
  <c r="X90" i="15" a="1"/>
  <c r="BA67" i="15" a="1"/>
  <c r="BA53" i="15" a="1"/>
  <c r="AY90" i="15" a="1"/>
  <c r="BA77" i="15" a="1"/>
  <c r="AP90" i="15" a="1"/>
  <c r="W90" i="15" a="1"/>
  <c r="R90" i="15" a="1"/>
  <c r="AX100" i="8" a="1"/>
  <c r="BA89" i="15" a="1"/>
  <c r="BA84" i="15" a="1"/>
  <c r="AK90" i="15" a="1"/>
  <c r="T90" i="15" a="1"/>
  <c r="AX53" i="8" a="1"/>
  <c r="S90" i="15" a="1"/>
  <c r="BA51" i="15" a="1"/>
  <c r="BA60" i="15" a="1"/>
  <c r="AV90" i="15" a="1"/>
  <c r="BA63" i="15" a="1"/>
  <c r="AX90" i="15" a="1"/>
  <c r="AI90" i="15" a="1"/>
  <c r="BA70" i="15" a="1"/>
  <c r="AX54" i="8" a="1"/>
  <c r="BA88" i="15" a="1"/>
  <c r="AT90" i="15" a="1"/>
  <c r="AG90" i="15" a="1"/>
  <c r="G90" i="15" a="1"/>
  <c r="BA61" i="15" a="1"/>
  <c r="AX65" i="8" a="1"/>
  <c r="AX70" i="8" a="1"/>
  <c r="AX61" i="8" a="1"/>
  <c r="BA45" i="15" a="1"/>
  <c r="AX83" i="8" a="1"/>
  <c r="BA49" i="15" a="1"/>
  <c r="AX72" i="8" a="1"/>
  <c r="BA72" i="15" a="1"/>
  <c r="V90" i="15" a="1"/>
  <c r="AX58" i="8" a="1"/>
  <c r="BA90" i="15" a="1"/>
  <c r="AX60" i="8" a="1"/>
  <c r="BA82" i="15" a="1"/>
  <c r="AX85" i="8" a="1"/>
  <c r="H90" i="15" a="1"/>
  <c r="BA44" i="15" a="1"/>
  <c r="AJ90" i="15" a="1"/>
  <c r="AF90" i="15" a="1"/>
  <c r="BA73" i="15" a="1"/>
  <c r="AX74" i="8" a="1"/>
  <c r="BA66" i="15" a="1"/>
  <c r="BA75" i="15" a="1"/>
  <c r="BA48" i="15" a="1"/>
  <c r="N90" i="15" a="1"/>
  <c r="AH90" i="15" a="1"/>
  <c r="AX66" i="8" a="1"/>
  <c r="AR90" i="15" a="1"/>
  <c r="BA57" i="15" a="1"/>
  <c r="I90" i="15" a="1"/>
  <c r="BA46" i="15" a="1"/>
  <c r="Z90" i="15" a="1"/>
  <c r="BA62" i="15" a="1"/>
  <c r="P90" i="15" a="1"/>
  <c r="BA59" i="15" a="1"/>
  <c r="F90" i="15" a="1"/>
  <c r="AX77" i="8" a="1"/>
  <c r="J90" i="15" a="1"/>
  <c r="BA68" i="15" a="1"/>
  <c r="BA86" i="15" a="1"/>
  <c r="AC90" i="15" a="1"/>
  <c r="BA69" i="15" a="1"/>
  <c r="BA76" i="15" a="1"/>
  <c r="D90" i="15" a="1"/>
  <c r="AX78" i="8" a="1"/>
  <c r="AO90" i="15" a="1"/>
  <c r="M90" i="15" a="1"/>
  <c r="AX103" i="8" a="1"/>
  <c r="BA85" i="15" a="1"/>
  <c r="AU90" i="15" a="1"/>
  <c r="L90" i="15" a="1"/>
  <c r="AX67" i="8" a="1"/>
  <c r="AX80" i="8" a="1"/>
  <c r="BA55" i="15" a="1"/>
  <c r="K90" i="15" a="1"/>
  <c r="AX62" i="8" a="1"/>
  <c r="AE90" i="15" a="1"/>
  <c r="AX71" i="8" a="1"/>
  <c r="BA39" i="15" a="1"/>
  <c r="Y90" i="15" a="1"/>
  <c r="AL90" i="15" a="1"/>
  <c r="AX79" i="8" a="1"/>
  <c r="BA52" i="15" a="1"/>
  <c r="AX84" i="8" a="1"/>
  <c r="BA56" i="15" a="1"/>
  <c r="AZ90" i="15" a="1"/>
  <c r="U90" i="15" a="1"/>
  <c r="BA65" i="15" a="1"/>
  <c r="BA83" i="15" a="1"/>
  <c r="BA81" i="15" a="1"/>
  <c r="AX56" i="8" a="1"/>
  <c r="AX104" i="8" a="1"/>
  <c r="BA71" i="15" a="1"/>
  <c r="AX64" i="8" a="1"/>
  <c r="E90" i="15" a="1"/>
  <c r="BA79" i="15" a="1"/>
  <c r="BA50" i="15" a="1"/>
  <c r="AM90" i="15" a="1"/>
  <c r="AX55" i="8" a="1"/>
  <c r="BA58" i="15" a="1"/>
  <c r="AS90" i="15" a="1"/>
  <c r="AX68" i="8" a="1"/>
  <c r="C90" i="15" a="1"/>
  <c r="BA87" i="15" a="1"/>
  <c r="AX101" i="8" a="1"/>
  <c r="AX102" i="8" a="1"/>
  <c r="AX76" i="8" a="1"/>
  <c r="BA54" i="15" a="1"/>
  <c r="AW90" i="15" a="1"/>
  <c r="AX86" i="8" a="1"/>
  <c r="O90" i="15" a="1"/>
  <c r="BA78" i="15" a="1"/>
  <c r="BA64" i="15" a="1"/>
  <c r="AX73" i="8" a="1"/>
  <c r="AA90" i="15" a="1"/>
  <c r="AT152" i="15" l="1"/>
  <c r="AL152" i="15"/>
  <c r="AD152" i="15"/>
  <c r="V152" i="15"/>
  <c r="AX152" i="15"/>
  <c r="AP152" i="15"/>
  <c r="AH152" i="15"/>
  <c r="Z152" i="15"/>
  <c r="AX54" i="8"/>
  <c r="AX53" i="8"/>
  <c r="AX55" i="8"/>
  <c r="AX56" i="8"/>
  <c r="AX52" i="8"/>
  <c r="AX76" i="8"/>
  <c r="AX78" i="8"/>
  <c r="AX77" i="8"/>
  <c r="AX79" i="8"/>
  <c r="AX80" i="8"/>
  <c r="R152" i="15"/>
  <c r="N152" i="15"/>
  <c r="K152" i="15"/>
  <c r="F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AZ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B153" i="15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7" i="15" s="1"/>
  <c r="BA68" i="15"/>
  <c r="BA131" i="15" s="1"/>
  <c r="BA86" i="15"/>
  <c r="BA149" i="15" s="1"/>
  <c r="BA46" i="15"/>
  <c r="BA109" i="15" s="1"/>
  <c r="BA50" i="15"/>
  <c r="BA113" i="15" s="1"/>
  <c r="BA64" i="15"/>
  <c r="BA127" i="15" s="1"/>
  <c r="BA72" i="15"/>
  <c r="BA135" i="15" s="1"/>
  <c r="BA80" i="15"/>
  <c r="BA143" i="15" s="1"/>
  <c r="BA84" i="15"/>
  <c r="BA147" i="15" s="1"/>
  <c r="BA43" i="15"/>
  <c r="BA106" i="15" s="1"/>
  <c r="BA48" i="15"/>
  <c r="BA111" i="15" s="1"/>
  <c r="BA57" i="15"/>
  <c r="BA120" i="15" s="1"/>
  <c r="BA52" i="15"/>
  <c r="BA115" i="15" s="1"/>
  <c r="BA56" i="15"/>
  <c r="BA119" i="15" s="1"/>
  <c r="BA66" i="15"/>
  <c r="BA129" i="15" s="1"/>
  <c r="BA74" i="15"/>
  <c r="BA137" i="15" s="1"/>
  <c r="BA70" i="15"/>
  <c r="BA133" i="15" s="1"/>
  <c r="BA75" i="15"/>
  <c r="BA138" i="15" s="1"/>
  <c r="BA79" i="15"/>
  <c r="BA142" i="15" s="1"/>
  <c r="BA81" i="15"/>
  <c r="BA144" i="15" s="1"/>
  <c r="BA87" i="15"/>
  <c r="BA150" i="15" s="1"/>
  <c r="BA47" i="15"/>
  <c r="BA110" i="15" s="1"/>
  <c r="BA63" i="15"/>
  <c r="BA126" i="15" s="1"/>
  <c r="BA83" i="15"/>
  <c r="BA146" i="15" s="1"/>
  <c r="BA58" i="15"/>
  <c r="BA121" i="15" s="1"/>
  <c r="BA55" i="15"/>
  <c r="BA118" i="15" s="1"/>
  <c r="BA69" i="15"/>
  <c r="BA132" i="15" s="1"/>
  <c r="BA76" i="15"/>
  <c r="BA139" i="15" s="1"/>
  <c r="BA90" i="15"/>
  <c r="BA45" i="15"/>
  <c r="BA108" i="15" s="1"/>
  <c r="BA49" i="15"/>
  <c r="BA112" i="15" s="1"/>
  <c r="BA60" i="15"/>
  <c r="BA123" i="15" s="1"/>
  <c r="BA53" i="15"/>
  <c r="BA116" i="15" s="1"/>
  <c r="BA61" i="15"/>
  <c r="BA124" i="15" s="1"/>
  <c r="BA59" i="15"/>
  <c r="BA122" i="15" s="1"/>
  <c r="BA67" i="15"/>
  <c r="BA130" i="15" s="1"/>
  <c r="BA71" i="15"/>
  <c r="BA134" i="15" s="1"/>
  <c r="BA77" i="15"/>
  <c r="BA140" i="15" s="1"/>
  <c r="BA85" i="15"/>
  <c r="BA148" i="15" s="1"/>
  <c r="BA82" i="15"/>
  <c r="BA145" i="15" s="1"/>
  <c r="BA89" i="15"/>
  <c r="BA152" i="15" s="1"/>
  <c r="BA88" i="15"/>
  <c r="BA151" i="15" s="1"/>
  <c r="BA44" i="15"/>
  <c r="BA107" i="15" s="1"/>
  <c r="BA65" i="15"/>
  <c r="BA128" i="15" s="1"/>
  <c r="BA73" i="15"/>
  <c r="BA136" i="15" s="1"/>
  <c r="BA51" i="15"/>
  <c r="BA114" i="15" s="1"/>
  <c r="BA78" i="15"/>
  <c r="BA141" i="15" s="1"/>
  <c r="BA62" i="15"/>
  <c r="BA125" i="15" s="1"/>
  <c r="BA39" i="15"/>
  <c r="BA105" i="15" s="1"/>
  <c r="BC38" i="15"/>
  <c r="B91" i="15"/>
  <c r="B214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61" i="8" a="1"/>
  <c r="AW91" i="15" a="1"/>
  <c r="K91" i="15" a="1"/>
  <c r="AY65" i="8" a="1"/>
  <c r="C91" i="15" a="1"/>
  <c r="AY103" i="8" a="1"/>
  <c r="BB64" i="15" a="1"/>
  <c r="BB49" i="15" a="1"/>
  <c r="AY54" i="8" a="1"/>
  <c r="BB88" i="15" a="1"/>
  <c r="BB65" i="15" a="1"/>
  <c r="AN91" i="15" a="1"/>
  <c r="BB83" i="15" a="1"/>
  <c r="BB68" i="15" a="1"/>
  <c r="BB89" i="15" a="1"/>
  <c r="AI91" i="15" a="1"/>
  <c r="Z91" i="15" a="1"/>
  <c r="BB80" i="15" a="1"/>
  <c r="R91" i="15" a="1"/>
  <c r="BB72" i="15" a="1"/>
  <c r="AO91" i="15" a="1"/>
  <c r="AY85" i="8" a="1"/>
  <c r="BB85" i="15" a="1"/>
  <c r="BB39" i="15" a="1"/>
  <c r="W91" i="15" a="1"/>
  <c r="P91" i="15" a="1"/>
  <c r="AY59" i="8" a="1"/>
  <c r="AY66" i="8" a="1"/>
  <c r="BB51" i="15" a="1"/>
  <c r="BB61" i="15" a="1"/>
  <c r="BB79" i="15" a="1"/>
  <c r="AH91" i="15" a="1"/>
  <c r="BB82" i="15" a="1"/>
  <c r="AY79" i="8" a="1"/>
  <c r="BB86" i="15" a="1"/>
  <c r="BB76" i="15" a="1"/>
  <c r="I91" i="15" a="1"/>
  <c r="AY70" i="8" a="1"/>
  <c r="AR91" i="15" a="1"/>
  <c r="Y91" i="15" a="1"/>
  <c r="AJ91" i="15" a="1"/>
  <c r="BB50" i="15" a="1"/>
  <c r="T91" i="15" a="1"/>
  <c r="AC91" i="15" a="1"/>
  <c r="AY84" i="8" a="1"/>
  <c r="BB67" i="15" a="1"/>
  <c r="AF91" i="15" a="1"/>
  <c r="AV91" i="15" a="1"/>
  <c r="BB52" i="15" a="1"/>
  <c r="BB46" i="15" a="1"/>
  <c r="BB84" i="15" a="1"/>
  <c r="BB60" i="15" a="1"/>
  <c r="AY76" i="8" a="1"/>
  <c r="BB77" i="15" a="1"/>
  <c r="AY78" i="8" a="1"/>
  <c r="BB62" i="15" a="1"/>
  <c r="AY67" i="8" a="1"/>
  <c r="AL91" i="15" a="1"/>
  <c r="BB53" i="15" a="1"/>
  <c r="AZ91" i="15" a="1"/>
  <c r="AT91" i="15" a="1"/>
  <c r="AY72" i="8" a="1"/>
  <c r="AY102" i="8" a="1"/>
  <c r="AY64" i="8" a="1"/>
  <c r="BB59" i="15" a="1"/>
  <c r="AB91" i="15" a="1"/>
  <c r="AY86" i="8" a="1"/>
  <c r="AY52" i="8" a="1"/>
  <c r="S91" i="15" a="1"/>
  <c r="E91" i="15" a="1"/>
  <c r="AY104" i="8" a="1"/>
  <c r="AY101" i="8" a="1"/>
  <c r="BB66" i="15" a="1"/>
  <c r="AY56" i="8" a="1"/>
  <c r="M91" i="15" a="1"/>
  <c r="AY80" i="8" a="1"/>
  <c r="AX91" i="15" a="1"/>
  <c r="AY83" i="8" a="1"/>
  <c r="AY68" i="8" a="1"/>
  <c r="BB74" i="15" a="1"/>
  <c r="BB71" i="15" a="1"/>
  <c r="AY100" i="8" a="1"/>
  <c r="AY58" i="8" a="1"/>
  <c r="AA91" i="15" a="1"/>
  <c r="AU91" i="15" a="1"/>
  <c r="BB48" i="15" a="1"/>
  <c r="BB91" i="15" a="1"/>
  <c r="N91" i="15" a="1"/>
  <c r="AY55" i="8" a="1"/>
  <c r="BA91" i="15" a="1"/>
  <c r="BB45" i="15" a="1"/>
  <c r="AS91" i="15" a="1"/>
  <c r="AG91" i="15" a="1"/>
  <c r="AY82" i="8" a="1"/>
  <c r="AP91" i="15" a="1"/>
  <c r="AY62" i="8" a="1"/>
  <c r="BB55" i="15" a="1"/>
  <c r="X91" i="15" a="1"/>
  <c r="AQ91" i="15" a="1"/>
  <c r="BB56" i="15" a="1"/>
  <c r="BB63" i="15" a="1"/>
  <c r="BB73" i="15" a="1"/>
  <c r="H91" i="15" a="1"/>
  <c r="AY60" i="8" a="1"/>
  <c r="AK91" i="15" a="1"/>
  <c r="AY74" i="8" a="1"/>
  <c r="BB54" i="15" a="1"/>
  <c r="AY91" i="15" a="1"/>
  <c r="AM91" i="15" a="1"/>
  <c r="AY53" i="8" a="1"/>
  <c r="U91" i="15" a="1"/>
  <c r="BB87" i="15" a="1"/>
  <c r="J91" i="15" a="1"/>
  <c r="BB69" i="15" a="1"/>
  <c r="BB57" i="15" a="1"/>
  <c r="AY73" i="8" a="1"/>
  <c r="BB81" i="15" a="1"/>
  <c r="G91" i="15" a="1"/>
  <c r="Q91" i="15" a="1"/>
  <c r="D91" i="15" a="1"/>
  <c r="AY71" i="8" a="1"/>
  <c r="BB78" i="15" a="1"/>
  <c r="O91" i="15" a="1"/>
  <c r="V91" i="15" a="1"/>
  <c r="BB90" i="15" a="1"/>
  <c r="F91" i="15" a="1"/>
  <c r="BB75" i="15" a="1"/>
  <c r="AE91" i="15" a="1"/>
  <c r="BB47" i="15" a="1"/>
  <c r="BB44" i="15" a="1"/>
  <c r="BB58" i="15" a="1"/>
  <c r="BB43" i="15" a="1"/>
  <c r="AD91" i="15" a="1"/>
  <c r="L91" i="15" a="1"/>
  <c r="BB70" i="15" a="1"/>
  <c r="AY54" i="8" l="1"/>
  <c r="AY52" i="8"/>
  <c r="AY55" i="8"/>
  <c r="AY56" i="8"/>
  <c r="AY53" i="8"/>
  <c r="AY79" i="8"/>
  <c r="AY78" i="8"/>
  <c r="AY76" i="8"/>
  <c r="AY80" i="8"/>
  <c r="AY77" i="8"/>
  <c r="AY153" i="15"/>
  <c r="AU153" i="15"/>
  <c r="AQ153" i="15"/>
  <c r="AM153" i="15"/>
  <c r="AI153" i="15"/>
  <c r="AE153" i="15"/>
  <c r="AA153" i="15"/>
  <c r="W153" i="15"/>
  <c r="S153" i="15"/>
  <c r="O153" i="15"/>
  <c r="AT153" i="15"/>
  <c r="AL153" i="15"/>
  <c r="AD153" i="15"/>
  <c r="V153" i="15"/>
  <c r="K153" i="15"/>
  <c r="AX153" i="15"/>
  <c r="AP153" i="15"/>
  <c r="AH153" i="15"/>
  <c r="Z153" i="15"/>
  <c r="R153" i="15"/>
  <c r="N153" i="15"/>
  <c r="BA153" i="15"/>
  <c r="AW153" i="15"/>
  <c r="AS153" i="15"/>
  <c r="AO153" i="15"/>
  <c r="AK153" i="15"/>
  <c r="AG153" i="15"/>
  <c r="F153" i="15"/>
  <c r="AZ153" i="15"/>
  <c r="AV153" i="15"/>
  <c r="AR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D154" i="15" s="1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B54" i="15"/>
  <c r="BB117" i="15" s="1"/>
  <c r="BB58" i="15"/>
  <c r="BB121" i="15" s="1"/>
  <c r="BB81" i="15"/>
  <c r="BB144" i="15" s="1"/>
  <c r="BB89" i="15"/>
  <c r="BB152" i="15" s="1"/>
  <c r="BB45" i="15"/>
  <c r="BB108" i="15" s="1"/>
  <c r="BB55" i="15"/>
  <c r="BB118" i="15" s="1"/>
  <c r="BB57" i="15"/>
  <c r="BB120" i="15" s="1"/>
  <c r="BB74" i="15"/>
  <c r="BB137" i="15" s="1"/>
  <c r="BB82" i="15"/>
  <c r="BB145" i="15" s="1"/>
  <c r="BB88" i="15"/>
  <c r="BB151" i="15" s="1"/>
  <c r="BB44" i="15"/>
  <c r="BB107" i="15" s="1"/>
  <c r="BB52" i="15"/>
  <c r="BB115" i="15" s="1"/>
  <c r="BB56" i="15"/>
  <c r="BB119" i="15" s="1"/>
  <c r="BB49" i="15"/>
  <c r="BB112" i="15" s="1"/>
  <c r="BB60" i="15"/>
  <c r="BB123" i="15" s="1"/>
  <c r="BB68" i="15"/>
  <c r="BB131" i="15" s="1"/>
  <c r="BB66" i="15"/>
  <c r="BB129" i="15" s="1"/>
  <c r="BB72" i="15"/>
  <c r="BB135" i="15" s="1"/>
  <c r="BB71" i="15"/>
  <c r="BB134" i="15" s="1"/>
  <c r="BB79" i="15"/>
  <c r="BB142" i="15" s="1"/>
  <c r="BB84" i="15"/>
  <c r="BB147" i="15" s="1"/>
  <c r="BB91" i="15"/>
  <c r="BB43" i="15"/>
  <c r="BB106" i="15" s="1"/>
  <c r="BB61" i="15"/>
  <c r="BB124" i="15" s="1"/>
  <c r="BB77" i="15"/>
  <c r="BB140" i="15" s="1"/>
  <c r="BB87" i="15"/>
  <c r="BB150" i="15" s="1"/>
  <c r="BB48" i="15"/>
  <c r="BB111" i="15" s="1"/>
  <c r="BB65" i="15"/>
  <c r="BB128" i="15" s="1"/>
  <c r="BB69" i="15"/>
  <c r="BB132" i="15" s="1"/>
  <c r="BB78" i="15"/>
  <c r="BB141" i="15" s="1"/>
  <c r="BB90" i="15"/>
  <c r="BB153" i="15" s="1"/>
  <c r="BB46" i="15"/>
  <c r="BB109" i="15" s="1"/>
  <c r="BB53" i="15"/>
  <c r="BB116" i="15" s="1"/>
  <c r="BB59" i="15"/>
  <c r="BB122" i="15" s="1"/>
  <c r="BB50" i="15"/>
  <c r="BB113" i="15" s="1"/>
  <c r="BB64" i="15"/>
  <c r="BB127" i="15" s="1"/>
  <c r="BB70" i="15"/>
  <c r="BB133" i="15" s="1"/>
  <c r="BB63" i="15"/>
  <c r="BB126" i="15" s="1"/>
  <c r="BB73" i="15"/>
  <c r="BB136" i="15" s="1"/>
  <c r="BB75" i="15"/>
  <c r="BB138" i="15" s="1"/>
  <c r="BB80" i="15"/>
  <c r="BB143" i="15" s="1"/>
  <c r="BB85" i="15"/>
  <c r="BB148" i="15" s="1"/>
  <c r="BB86" i="15"/>
  <c r="BB149" i="15" s="1"/>
  <c r="BB51" i="15"/>
  <c r="BB114" i="15" s="1"/>
  <c r="BB76" i="15"/>
  <c r="BB139" i="15" s="1"/>
  <c r="BB83" i="15"/>
  <c r="BB146" i="15" s="1"/>
  <c r="BB47" i="15"/>
  <c r="BB110" i="15" s="1"/>
  <c r="BB67" i="15"/>
  <c r="BB130" i="15" s="1"/>
  <c r="BB62" i="15"/>
  <c r="BB125" i="15" s="1"/>
  <c r="BB39" i="15"/>
  <c r="BB105" i="15" s="1"/>
  <c r="BD38" i="15"/>
  <c r="B92" i="15"/>
  <c r="B215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56" i="8" a="1"/>
  <c r="BC56" i="15" a="1"/>
  <c r="AM92" i="15" a="1"/>
  <c r="BC80" i="15" a="1"/>
  <c r="AC92" i="15" a="1"/>
  <c r="BC87" i="15" a="1"/>
  <c r="U92" i="15" a="1"/>
  <c r="AZ65" i="8" a="1"/>
  <c r="D92" i="15" a="1"/>
  <c r="AZ62" i="8" a="1"/>
  <c r="AZ64" i="8" a="1"/>
  <c r="BC47" i="15" a="1"/>
  <c r="O92" i="15" a="1"/>
  <c r="BC72" i="15" a="1"/>
  <c r="Q92" i="15" a="1"/>
  <c r="AF92" i="15" a="1"/>
  <c r="M92" i="15" a="1"/>
  <c r="AZ79" i="8" a="1"/>
  <c r="BC62" i="15" a="1"/>
  <c r="BC89" i="15" a="1"/>
  <c r="AJ92" i="15" a="1"/>
  <c r="AX92" i="15" a="1"/>
  <c r="BC60" i="15" a="1"/>
  <c r="AA92" i="15" a="1"/>
  <c r="AZ100" i="8" a="1"/>
  <c r="AB92" i="15" a="1"/>
  <c r="AZ78" i="8" a="1"/>
  <c r="BC58" i="15" a="1"/>
  <c r="AZ102" i="8" a="1"/>
  <c r="R92" i="15" a="1"/>
  <c r="BC66" i="15" a="1"/>
  <c r="BC61" i="15" a="1"/>
  <c r="N92" i="15" a="1"/>
  <c r="BC45" i="15" a="1"/>
  <c r="AZ74" i="8" a="1"/>
  <c r="BC85" i="15" a="1"/>
  <c r="T92" i="15" a="1"/>
  <c r="Z92" i="15" a="1"/>
  <c r="AZ82" i="8" a="1"/>
  <c r="BC92" i="15" a="1"/>
  <c r="BC48" i="15" a="1"/>
  <c r="AZ101" i="8" a="1"/>
  <c r="AZ103" i="8" a="1"/>
  <c r="AW92" i="15" a="1"/>
  <c r="AI92" i="15" a="1"/>
  <c r="BC39" i="15" a="1"/>
  <c r="BC83" i="15" a="1"/>
  <c r="BC53" i="15" a="1"/>
  <c r="AQ92" i="15" a="1"/>
  <c r="AZ86" i="8" a="1"/>
  <c r="BC44" i="15" a="1"/>
  <c r="AZ68" i="8" a="1"/>
  <c r="E92" i="15" a="1"/>
  <c r="AZ60" i="8" a="1"/>
  <c r="BA92" i="15" a="1"/>
  <c r="AZ70" i="8" a="1"/>
  <c r="AZ76" i="8" a="1"/>
  <c r="BC79" i="15" a="1"/>
  <c r="AE92" i="15" a="1"/>
  <c r="BC55" i="15" a="1"/>
  <c r="BC90" i="15" a="1"/>
  <c r="BC63" i="15" a="1"/>
  <c r="BC88" i="15" a="1"/>
  <c r="BC82" i="15" a="1"/>
  <c r="BC91" i="15" a="1"/>
  <c r="BC84" i="15" a="1"/>
  <c r="AO92" i="15" a="1"/>
  <c r="BC67" i="15" a="1"/>
  <c r="BC64" i="15" a="1"/>
  <c r="AZ84" i="8" a="1"/>
  <c r="AY92" i="15" a="1"/>
  <c r="BC65" i="15" a="1"/>
  <c r="H92" i="15" a="1"/>
  <c r="V92" i="15" a="1"/>
  <c r="AZ104" i="8" a="1"/>
  <c r="AZ85" i="8" a="1"/>
  <c r="AZ54" i="8" a="1"/>
  <c r="BC71" i="15" a="1"/>
  <c r="AZ72" i="8" a="1"/>
  <c r="K92" i="15" a="1"/>
  <c r="AT92" i="15" a="1"/>
  <c r="AZ73" i="8" a="1"/>
  <c r="L92" i="15" a="1"/>
  <c r="BC81" i="15" a="1"/>
  <c r="AZ77" i="8" a="1"/>
  <c r="BC49" i="15" a="1"/>
  <c r="BC68" i="15" a="1"/>
  <c r="AZ61" i="8" a="1"/>
  <c r="S92" i="15" a="1"/>
  <c r="BC50" i="15" a="1"/>
  <c r="BC43" i="15" a="1"/>
  <c r="C92" i="15" a="1"/>
  <c r="X92" i="15" a="1"/>
  <c r="AZ52" i="8" a="1"/>
  <c r="W92" i="15" a="1"/>
  <c r="BC46" i="15" a="1"/>
  <c r="AH92" i="15" a="1"/>
  <c r="AU92" i="15" a="1"/>
  <c r="AL92" i="15" a="1"/>
  <c r="BC86" i="15" a="1"/>
  <c r="AZ66" i="8" a="1"/>
  <c r="AD92" i="15" a="1"/>
  <c r="AZ53" i="8" a="1"/>
  <c r="J92" i="15" a="1"/>
  <c r="AZ83" i="8" a="1"/>
  <c r="BC74" i="15" a="1"/>
  <c r="P92" i="15" a="1"/>
  <c r="I92" i="15" a="1"/>
  <c r="G92" i="15" a="1"/>
  <c r="BC57" i="15" a="1"/>
  <c r="BC78" i="15" a="1"/>
  <c r="AZ55" i="8" a="1"/>
  <c r="BC59" i="15" a="1"/>
  <c r="AZ67" i="8" a="1"/>
  <c r="BC54" i="15" a="1"/>
  <c r="BC73" i="15" a="1"/>
  <c r="BC51" i="15" a="1"/>
  <c r="Y92" i="15" a="1"/>
  <c r="BC52" i="15" a="1"/>
  <c r="AZ71" i="8" a="1"/>
  <c r="AS92" i="15" a="1"/>
  <c r="AZ59" i="8" a="1"/>
  <c r="BC77" i="15" a="1"/>
  <c r="AK92" i="15" a="1"/>
  <c r="AR92" i="15" a="1"/>
  <c r="F92" i="15" a="1"/>
  <c r="AZ58" i="8" a="1"/>
  <c r="AZ92" i="15" a="1"/>
  <c r="BC70" i="15" a="1"/>
  <c r="BC75" i="15" a="1"/>
  <c r="BC69" i="15" a="1"/>
  <c r="AN92" i="15" a="1"/>
  <c r="BC76" i="15" a="1"/>
  <c r="AV92" i="15" a="1"/>
  <c r="AZ80" i="8" a="1"/>
  <c r="BB92" i="15" a="1"/>
  <c r="AP92" i="15" a="1"/>
  <c r="AG92" i="15" a="1"/>
  <c r="Z154" i="15" l="1"/>
  <c r="V154" i="15"/>
  <c r="R154" i="15"/>
  <c r="AZ54" i="8"/>
  <c r="AZ53" i="8"/>
  <c r="AZ52" i="8"/>
  <c r="AZ55" i="8"/>
  <c r="AZ56" i="8"/>
  <c r="AZ78" i="8"/>
  <c r="AZ79" i="8"/>
  <c r="AZ77" i="8"/>
  <c r="AZ76" i="8"/>
  <c r="AZ80" i="8"/>
  <c r="N154" i="15"/>
  <c r="F154" i="15"/>
  <c r="K154" i="15"/>
  <c r="BB154" i="15"/>
  <c r="AY154" i="15"/>
  <c r="AU154" i="15"/>
  <c r="AQ154" i="15"/>
  <c r="AM154" i="15"/>
  <c r="AI154" i="15"/>
  <c r="AE154" i="15"/>
  <c r="AA154" i="15"/>
  <c r="W154" i="15"/>
  <c r="S154" i="15"/>
  <c r="O154" i="15"/>
  <c r="J154" i="15"/>
  <c r="BA154" i="15"/>
  <c r="AW154" i="15"/>
  <c r="AS154" i="15"/>
  <c r="AO154" i="15"/>
  <c r="AK154" i="15"/>
  <c r="AG154" i="15"/>
  <c r="AB154" i="15"/>
  <c r="Y154" i="15"/>
  <c r="U154" i="15"/>
  <c r="Q154" i="15"/>
  <c r="M154" i="15"/>
  <c r="I154" i="15"/>
  <c r="E154" i="15"/>
  <c r="AZ154" i="15"/>
  <c r="AV154" i="15"/>
  <c r="AR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L155" i="15" s="1"/>
  <c r="AM92" i="15"/>
  <c r="AN92" i="15"/>
  <c r="AO92" i="15"/>
  <c r="AP92" i="15"/>
  <c r="AP155" i="15" s="1"/>
  <c r="AQ92" i="15"/>
  <c r="AR92" i="15"/>
  <c r="AS92" i="15"/>
  <c r="AT92" i="15"/>
  <c r="AT155" i="15" s="1"/>
  <c r="AU92" i="15"/>
  <c r="AV92" i="15"/>
  <c r="AW92" i="15"/>
  <c r="AX92" i="15"/>
  <c r="AX155" i="15" s="1"/>
  <c r="AY92" i="15"/>
  <c r="AZ92" i="15"/>
  <c r="BA92" i="15"/>
  <c r="BB92" i="15"/>
  <c r="BB155" i="15" s="1"/>
  <c r="BC43" i="15"/>
  <c r="BC106" i="15" s="1"/>
  <c r="BC47" i="15"/>
  <c r="BC110" i="15" s="1"/>
  <c r="BC61" i="15"/>
  <c r="BC124" i="15" s="1"/>
  <c r="BC51" i="15"/>
  <c r="BC114" i="15" s="1"/>
  <c r="BC56" i="15"/>
  <c r="BC119" i="15" s="1"/>
  <c r="BC63" i="15"/>
  <c r="BC126" i="15" s="1"/>
  <c r="BC67" i="15"/>
  <c r="BC130" i="15" s="1"/>
  <c r="BC71" i="15"/>
  <c r="BC134" i="15" s="1"/>
  <c r="BC76" i="15"/>
  <c r="BC139" i="15" s="1"/>
  <c r="BC77" i="15"/>
  <c r="BC140" i="15" s="1"/>
  <c r="BC82" i="15"/>
  <c r="BC145" i="15" s="1"/>
  <c r="BC89" i="15"/>
  <c r="BC152" i="15" s="1"/>
  <c r="BC91" i="15"/>
  <c r="BC154" i="15" s="1"/>
  <c r="BC44" i="15"/>
  <c r="BC107" i="15" s="1"/>
  <c r="BC50" i="15"/>
  <c r="BC113" i="15" s="1"/>
  <c r="BC59" i="15"/>
  <c r="BC122" i="15" s="1"/>
  <c r="BC53" i="15"/>
  <c r="BC116" i="15" s="1"/>
  <c r="BC58" i="15"/>
  <c r="BC121" i="15" s="1"/>
  <c r="BC60" i="15"/>
  <c r="BC123" i="15" s="1"/>
  <c r="BC68" i="15"/>
  <c r="BC131" i="15" s="1"/>
  <c r="BC72" i="15"/>
  <c r="BC135" i="15" s="1"/>
  <c r="BC78" i="15"/>
  <c r="BC141" i="15" s="1"/>
  <c r="BC83" i="15"/>
  <c r="BC146" i="15" s="1"/>
  <c r="BC84" i="15"/>
  <c r="BC147" i="15" s="1"/>
  <c r="BC90" i="15"/>
  <c r="BC153" i="15" s="1"/>
  <c r="BC87" i="15"/>
  <c r="BC150" i="15" s="1"/>
  <c r="BC46" i="15"/>
  <c r="BC109" i="15" s="1"/>
  <c r="BC52" i="15"/>
  <c r="BC115" i="15" s="1"/>
  <c r="BC48" i="15"/>
  <c r="BC111" i="15" s="1"/>
  <c r="BC54" i="15"/>
  <c r="BC117" i="15" s="1"/>
  <c r="BC62" i="15"/>
  <c r="BC125" i="15" s="1"/>
  <c r="BC64" i="15"/>
  <c r="BC127" i="15" s="1"/>
  <c r="BC69" i="15"/>
  <c r="BC132" i="15" s="1"/>
  <c r="BC79" i="15"/>
  <c r="BC142" i="15" s="1"/>
  <c r="BC74" i="15"/>
  <c r="BC137" i="15" s="1"/>
  <c r="BC80" i="15"/>
  <c r="BC143" i="15" s="1"/>
  <c r="BC86" i="15"/>
  <c r="BC149" i="15" s="1"/>
  <c r="BC92" i="15"/>
  <c r="BC88" i="15"/>
  <c r="BC151" i="15" s="1"/>
  <c r="BC45" i="15"/>
  <c r="BC108" i="15" s="1"/>
  <c r="BC57" i="15"/>
  <c r="BC120" i="15" s="1"/>
  <c r="BC49" i="15"/>
  <c r="BC112" i="15" s="1"/>
  <c r="BC55" i="15"/>
  <c r="BC118" i="15" s="1"/>
  <c r="BC66" i="15"/>
  <c r="BC129" i="15" s="1"/>
  <c r="BC65" i="15"/>
  <c r="BC128" i="15" s="1"/>
  <c r="BC70" i="15"/>
  <c r="BC133" i="15" s="1"/>
  <c r="BC73" i="15"/>
  <c r="BC136" i="15" s="1"/>
  <c r="BC75" i="15"/>
  <c r="BC138" i="15" s="1"/>
  <c r="BC81" i="15"/>
  <c r="BC144" i="15" s="1"/>
  <c r="BC85" i="15"/>
  <c r="BC148" i="15" s="1"/>
  <c r="BC39" i="15"/>
  <c r="BC105" i="15" s="1"/>
  <c r="BE38" i="15"/>
  <c r="B93" i="15"/>
  <c r="B216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64" i="8" a="1"/>
  <c r="L93" i="15" a="1"/>
  <c r="K93" i="15" a="1"/>
  <c r="BA68" i="8" a="1"/>
  <c r="AC93" i="15" a="1"/>
  <c r="BD39" i="15" a="1"/>
  <c r="BD45" i="15" a="1"/>
  <c r="BA85" i="8" a="1"/>
  <c r="BA53" i="8" a="1"/>
  <c r="P93" i="15" a="1"/>
  <c r="V93" i="15" a="1"/>
  <c r="BD51" i="15" a="1"/>
  <c r="AL93" i="15" a="1"/>
  <c r="BD85" i="15" a="1"/>
  <c r="AT93" i="15" a="1"/>
  <c r="AU93" i="15" a="1"/>
  <c r="BA93" i="15" a="1"/>
  <c r="BA55" i="8" a="1"/>
  <c r="BD60" i="15" a="1"/>
  <c r="BD43" i="15" a="1"/>
  <c r="BD66" i="15" a="1"/>
  <c r="BD77" i="15" a="1"/>
  <c r="J93" i="15" a="1"/>
  <c r="BA102" i="8" a="1"/>
  <c r="BD68" i="15" a="1"/>
  <c r="AK93" i="15" a="1"/>
  <c r="BA52" i="8" a="1"/>
  <c r="BD59" i="15" a="1"/>
  <c r="BD91" i="15" a="1"/>
  <c r="BD79" i="15" a="1"/>
  <c r="BD84" i="15" a="1"/>
  <c r="BD61" i="15" a="1"/>
  <c r="BD57" i="15" a="1"/>
  <c r="W93" i="15" a="1"/>
  <c r="AS93" i="15" a="1"/>
  <c r="BD90" i="15" a="1"/>
  <c r="U93" i="15" a="1"/>
  <c r="BA82" i="8" a="1"/>
  <c r="BD69" i="15" a="1"/>
  <c r="BD53" i="15" a="1"/>
  <c r="AA93" i="15" a="1"/>
  <c r="BD48" i="15" a="1"/>
  <c r="AO93" i="15" a="1"/>
  <c r="BD93" i="15" a="1"/>
  <c r="AI93" i="15" a="1"/>
  <c r="AH93" i="15" a="1"/>
  <c r="BA71" i="8" a="1"/>
  <c r="AE93" i="15" a="1"/>
  <c r="BA62" i="8" a="1"/>
  <c r="F93" i="15" a="1"/>
  <c r="BA86" i="8" a="1"/>
  <c r="X93" i="15" a="1"/>
  <c r="AJ93" i="15" a="1"/>
  <c r="BA67" i="8" a="1"/>
  <c r="BD82" i="15" a="1"/>
  <c r="BA72" i="8" a="1"/>
  <c r="BD80" i="15" a="1"/>
  <c r="Q93" i="15" a="1"/>
  <c r="BA101" i="8" a="1"/>
  <c r="BD83" i="15" a="1"/>
  <c r="BD86" i="15" a="1"/>
  <c r="BA58" i="8" a="1"/>
  <c r="BA84" i="8" a="1"/>
  <c r="BA65" i="8" a="1"/>
  <c r="E93" i="15" a="1"/>
  <c r="N93" i="15" a="1"/>
  <c r="BD63" i="15" a="1"/>
  <c r="BD58" i="15" a="1"/>
  <c r="C93" i="15" a="1"/>
  <c r="AZ93" i="15" a="1"/>
  <c r="BA78" i="8" a="1"/>
  <c r="BD44" i="15" a="1"/>
  <c r="BD78" i="15" a="1"/>
  <c r="AV93" i="15" a="1"/>
  <c r="BA104" i="8" a="1"/>
  <c r="S93" i="15" a="1"/>
  <c r="BA74" i="8" a="1"/>
  <c r="BA61" i="8" a="1"/>
  <c r="AG93" i="15" a="1"/>
  <c r="BD89" i="15" a="1"/>
  <c r="BB93" i="15" a="1"/>
  <c r="BA60" i="8" a="1"/>
  <c r="AX93" i="15" a="1"/>
  <c r="BD74" i="15" a="1"/>
  <c r="BD47" i="15" a="1"/>
  <c r="R93" i="15" a="1"/>
  <c r="BD76" i="15" a="1"/>
  <c r="BA80" i="8" a="1"/>
  <c r="D93" i="15" a="1"/>
  <c r="BD49" i="15" a="1"/>
  <c r="BD67" i="15" a="1"/>
  <c r="AM93" i="15" a="1"/>
  <c r="O93" i="15" a="1"/>
  <c r="BD55" i="15" a="1"/>
  <c r="BD46" i="15" a="1"/>
  <c r="AQ93" i="15" a="1"/>
  <c r="BA77" i="8" a="1"/>
  <c r="BA70" i="8" a="1"/>
  <c r="M93" i="15" a="1"/>
  <c r="BD73" i="15" a="1"/>
  <c r="BD64" i="15" a="1"/>
  <c r="AR93" i="15" a="1"/>
  <c r="BD54" i="15" a="1"/>
  <c r="BD56" i="15" a="1"/>
  <c r="H93" i="15" a="1"/>
  <c r="BA54" i="8" a="1"/>
  <c r="AF93" i="15" a="1"/>
  <c r="BD50" i="15" a="1"/>
  <c r="BD88" i="15" a="1"/>
  <c r="BD75" i="15" a="1"/>
  <c r="AN93" i="15" a="1"/>
  <c r="BA73" i="8" a="1"/>
  <c r="BA59" i="8" a="1"/>
  <c r="BA76" i="8" a="1"/>
  <c r="BA83" i="8" a="1"/>
  <c r="BD72" i="15" a="1"/>
  <c r="BD87" i="15" a="1"/>
  <c r="AW93" i="15" a="1"/>
  <c r="G93" i="15" a="1"/>
  <c r="BD65" i="15" a="1"/>
  <c r="BA103" i="8" a="1"/>
  <c r="Y93" i="15" a="1"/>
  <c r="BA79" i="8" a="1"/>
  <c r="BD81" i="15" a="1"/>
  <c r="Z93" i="15" a="1"/>
  <c r="BD71" i="15" a="1"/>
  <c r="BD92" i="15" a="1"/>
  <c r="BC93" i="15" a="1"/>
  <c r="T93" i="15" a="1"/>
  <c r="BA100" i="8" a="1"/>
  <c r="BD62" i="15" a="1"/>
  <c r="BA56" i="8" a="1"/>
  <c r="BA66" i="8" a="1"/>
  <c r="AD93" i="15" a="1"/>
  <c r="BD52" i="15" a="1"/>
  <c r="AP93" i="15" a="1"/>
  <c r="BD70" i="15" a="1"/>
  <c r="I93" i="15" a="1"/>
  <c r="AB93" i="15" a="1"/>
  <c r="AY93" i="15" a="1"/>
  <c r="AH155" i="15" l="1"/>
  <c r="AD155" i="15"/>
  <c r="BA52" i="8"/>
  <c r="BA55" i="8"/>
  <c r="BA53" i="8"/>
  <c r="BA54" i="8"/>
  <c r="BA56" i="8"/>
  <c r="BA79" i="8"/>
  <c r="BA76" i="8"/>
  <c r="BA78" i="8"/>
  <c r="BA77" i="8"/>
  <c r="BA80" i="8"/>
  <c r="Z155" i="15"/>
  <c r="V155" i="15"/>
  <c r="R155" i="15"/>
  <c r="N155" i="15"/>
  <c r="J155" i="15"/>
  <c r="BC155" i="15"/>
  <c r="AZ155" i="15"/>
  <c r="AV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A155" i="15"/>
  <c r="AW155" i="15"/>
  <c r="AS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B156" i="15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H156" i="15" s="1"/>
  <c r="AI93" i="15"/>
  <c r="AJ93" i="15"/>
  <c r="AK93" i="15"/>
  <c r="AL93" i="15"/>
  <c r="AL156" i="15" s="1"/>
  <c r="AM93" i="15"/>
  <c r="AN93" i="15"/>
  <c r="AO93" i="15"/>
  <c r="AP93" i="15"/>
  <c r="AP156" i="15" s="1"/>
  <c r="AQ93" i="15"/>
  <c r="AR93" i="15"/>
  <c r="AS93" i="15"/>
  <c r="AT93" i="15"/>
  <c r="AT156" i="15" s="1"/>
  <c r="AU93" i="15"/>
  <c r="AV93" i="15"/>
  <c r="AW93" i="15"/>
  <c r="AX93" i="15"/>
  <c r="AX156" i="15" s="1"/>
  <c r="AY93" i="15"/>
  <c r="AZ93" i="15"/>
  <c r="BA93" i="15"/>
  <c r="BB93" i="15"/>
  <c r="BB156" i="15" s="1"/>
  <c r="BC93" i="15"/>
  <c r="BD44" i="15"/>
  <c r="BD107" i="15" s="1"/>
  <c r="BD43" i="15"/>
  <c r="BD106" i="15" s="1"/>
  <c r="BD49" i="15"/>
  <c r="BD112" i="15" s="1"/>
  <c r="BD54" i="15"/>
  <c r="BD117" i="15" s="1"/>
  <c r="BD47" i="15"/>
  <c r="BD110" i="15" s="1"/>
  <c r="BD60" i="15"/>
  <c r="BD123" i="15" s="1"/>
  <c r="BD66" i="15"/>
  <c r="BD129" i="15" s="1"/>
  <c r="BD63" i="15"/>
  <c r="BD126" i="15" s="1"/>
  <c r="BD70" i="15"/>
  <c r="BD133" i="15" s="1"/>
  <c r="BD71" i="15"/>
  <c r="BD134" i="15" s="1"/>
  <c r="BD79" i="15"/>
  <c r="BD142" i="15" s="1"/>
  <c r="BD85" i="15"/>
  <c r="BD148" i="15" s="1"/>
  <c r="BD93" i="15"/>
  <c r="BD89" i="15"/>
  <c r="BD152" i="15" s="1"/>
  <c r="BD45" i="15"/>
  <c r="BD108" i="15" s="1"/>
  <c r="BD50" i="15"/>
  <c r="BD113" i="15" s="1"/>
  <c r="BD55" i="15"/>
  <c r="BD118" i="15" s="1"/>
  <c r="BD48" i="15"/>
  <c r="BD111" i="15" s="1"/>
  <c r="BD61" i="15"/>
  <c r="BD124" i="15" s="1"/>
  <c r="BD67" i="15"/>
  <c r="BD130" i="15" s="1"/>
  <c r="BD73" i="15"/>
  <c r="BD136" i="15" s="1"/>
  <c r="BD74" i="15"/>
  <c r="BD137" i="15" s="1"/>
  <c r="BD72" i="15"/>
  <c r="BD135" i="15" s="1"/>
  <c r="BD80" i="15"/>
  <c r="BD143" i="15" s="1"/>
  <c r="BD83" i="15"/>
  <c r="BD146" i="15" s="1"/>
  <c r="BD86" i="15"/>
  <c r="BD149" i="15" s="1"/>
  <c r="BD92" i="15"/>
  <c r="BD155" i="15" s="1"/>
  <c r="BD51" i="15"/>
  <c r="BD114" i="15" s="1"/>
  <c r="BD56" i="15"/>
  <c r="BD119" i="15" s="1"/>
  <c r="BD52" i="15"/>
  <c r="BD115" i="15" s="1"/>
  <c r="BD65" i="15"/>
  <c r="BD128" i="15" s="1"/>
  <c r="BD69" i="15"/>
  <c r="BD132" i="15" s="1"/>
  <c r="BD64" i="15"/>
  <c r="BD127" i="15" s="1"/>
  <c r="BD75" i="15"/>
  <c r="BD138" i="15" s="1"/>
  <c r="BD76" i="15"/>
  <c r="BD139" i="15" s="1"/>
  <c r="BD81" i="15"/>
  <c r="BD144" i="15" s="1"/>
  <c r="BD84" i="15"/>
  <c r="BD147" i="15" s="1"/>
  <c r="BD87" i="15"/>
  <c r="BD150" i="15" s="1"/>
  <c r="BD90" i="15"/>
  <c r="BD153" i="15" s="1"/>
  <c r="BD46" i="15"/>
  <c r="BD109" i="15" s="1"/>
  <c r="BD53" i="15"/>
  <c r="BD116" i="15" s="1"/>
  <c r="BD57" i="15"/>
  <c r="BD120" i="15" s="1"/>
  <c r="BD58" i="15"/>
  <c r="BD121" i="15" s="1"/>
  <c r="BD62" i="15"/>
  <c r="BD125" i="15" s="1"/>
  <c r="BD59" i="15"/>
  <c r="BD122" i="15" s="1"/>
  <c r="BD68" i="15"/>
  <c r="BD131" i="15" s="1"/>
  <c r="BD77" i="15"/>
  <c r="BD140" i="15" s="1"/>
  <c r="BD78" i="15"/>
  <c r="BD141" i="15" s="1"/>
  <c r="BD82" i="15"/>
  <c r="BD145" i="15" s="1"/>
  <c r="BD91" i="15"/>
  <c r="BD154" i="15" s="1"/>
  <c r="BD88" i="15"/>
  <c r="BD151" i="15" s="1"/>
  <c r="BD39" i="15"/>
  <c r="BD105" i="15" s="1"/>
  <c r="BF38" i="15"/>
  <c r="B94" i="15"/>
  <c r="B217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9" i="8" a="1"/>
  <c r="H94" i="15" a="1"/>
  <c r="C94" i="15" a="1"/>
  <c r="U94" i="15" a="1"/>
  <c r="BB68" i="8" a="1"/>
  <c r="BE65" i="15" a="1"/>
  <c r="AV94" i="15" a="1"/>
  <c r="P94" i="15" a="1"/>
  <c r="BE93" i="15" a="1"/>
  <c r="BB56" i="8" a="1"/>
  <c r="BE76" i="15" a="1"/>
  <c r="BE43" i="15" a="1"/>
  <c r="BE47" i="15" a="1"/>
  <c r="AM94" i="15" a="1"/>
  <c r="T94" i="15" a="1"/>
  <c r="BE61" i="15" a="1"/>
  <c r="AB94" i="15" a="1"/>
  <c r="AL94" i="15" a="1"/>
  <c r="BB54" i="8" a="1"/>
  <c r="BD94" i="15" a="1"/>
  <c r="BE39" i="15" a="1"/>
  <c r="BB60" i="8" a="1"/>
  <c r="BE67" i="15" a="1"/>
  <c r="BB64" i="8" a="1"/>
  <c r="BB59" i="8" a="1"/>
  <c r="BA94" i="15" a="1"/>
  <c r="BE87" i="15" a="1"/>
  <c r="BB52" i="8" a="1"/>
  <c r="BE90" i="15" a="1"/>
  <c r="O94" i="15" a="1"/>
  <c r="BE53" i="15" a="1"/>
  <c r="E94" i="15" a="1"/>
  <c r="Z94" i="15" a="1"/>
  <c r="BE89" i="15" a="1"/>
  <c r="BE57" i="15" a="1"/>
  <c r="BE68" i="15" a="1"/>
  <c r="AT94" i="15" a="1"/>
  <c r="BB53" i="8" a="1"/>
  <c r="AW94" i="15" a="1"/>
  <c r="BE60" i="15" a="1"/>
  <c r="BE78" i="15" a="1"/>
  <c r="BB101" i="8" a="1"/>
  <c r="BB72" i="8" a="1"/>
  <c r="BE79" i="15" a="1"/>
  <c r="V94" i="15" a="1"/>
  <c r="R94" i="15" a="1"/>
  <c r="AD94" i="15" a="1"/>
  <c r="N94" i="15" a="1"/>
  <c r="BE81" i="15" a="1"/>
  <c r="BE83" i="15" a="1"/>
  <c r="BE73" i="15" a="1"/>
  <c r="AR94" i="15" a="1"/>
  <c r="BB83" i="8" a="1"/>
  <c r="J94" i="15" a="1"/>
  <c r="D94" i="15" a="1"/>
  <c r="AN94" i="15" a="1"/>
  <c r="AO94" i="15" a="1"/>
  <c r="AH94" i="15" a="1"/>
  <c r="G94" i="15" a="1"/>
  <c r="X94" i="15" a="1"/>
  <c r="BE55" i="15" a="1"/>
  <c r="BB70" i="8" a="1"/>
  <c r="BE62" i="15" a="1"/>
  <c r="BE50" i="15" a="1"/>
  <c r="BE85" i="15" a="1"/>
  <c r="BE70" i="15" a="1"/>
  <c r="BE64" i="15" a="1"/>
  <c r="AG94" i="15" a="1"/>
  <c r="AJ94" i="15" a="1"/>
  <c r="BC94" i="15" a="1"/>
  <c r="Q94" i="15" a="1"/>
  <c r="BB104" i="8" a="1"/>
  <c r="BB61" i="8" a="1"/>
  <c r="BE59" i="15" a="1"/>
  <c r="AY94" i="15" a="1"/>
  <c r="AF94" i="15" a="1"/>
  <c r="BE88" i="15" a="1"/>
  <c r="BE66" i="15" a="1"/>
  <c r="AZ94" i="15" a="1"/>
  <c r="BE74" i="15" a="1"/>
  <c r="BB71" i="8" a="1"/>
  <c r="BE71" i="15" a="1"/>
  <c r="BB100" i="8" a="1"/>
  <c r="BB82" i="8" a="1"/>
  <c r="BE92" i="15" a="1"/>
  <c r="BE82" i="15" a="1"/>
  <c r="AU94" i="15" a="1"/>
  <c r="BE54" i="15" a="1"/>
  <c r="BB78" i="8" a="1"/>
  <c r="BE46" i="15" a="1"/>
  <c r="BE69" i="15" a="1"/>
  <c r="AS94" i="15" a="1"/>
  <c r="AC94" i="15" a="1"/>
  <c r="BE72" i="15" a="1"/>
  <c r="M94" i="15" a="1"/>
  <c r="BE56" i="15" a="1"/>
  <c r="BB85" i="8" a="1"/>
  <c r="BB76" i="8" a="1"/>
  <c r="L94" i="15" a="1"/>
  <c r="K94" i="15" a="1"/>
  <c r="BE86" i="15" a="1"/>
  <c r="BE91" i="15" a="1"/>
  <c r="BE51" i="15" a="1"/>
  <c r="AK94" i="15" a="1"/>
  <c r="BE58" i="15" a="1"/>
  <c r="AI94" i="15" a="1"/>
  <c r="BE75" i="15" a="1"/>
  <c r="BB67" i="8" a="1"/>
  <c r="AP94" i="15" a="1"/>
  <c r="BE84" i="15" a="1"/>
  <c r="BB73" i="8" a="1"/>
  <c r="BB62" i="8" a="1"/>
  <c r="BE48" i="15" a="1"/>
  <c r="W94" i="15" a="1"/>
  <c r="BB80" i="8" a="1"/>
  <c r="BB84" i="8" a="1"/>
  <c r="Y94" i="15" a="1"/>
  <c r="BB86" i="8" a="1"/>
  <c r="BB102" i="8" a="1"/>
  <c r="AE94" i="15" a="1"/>
  <c r="BB94" i="15" a="1"/>
  <c r="BB66" i="8" a="1"/>
  <c r="BB65" i="8" a="1"/>
  <c r="BB77" i="8" a="1"/>
  <c r="I94" i="15" a="1"/>
  <c r="BE94" i="15" a="1"/>
  <c r="AA94" i="15" a="1"/>
  <c r="AX94" i="15" a="1"/>
  <c r="BE80" i="15" a="1"/>
  <c r="AQ94" i="15" a="1"/>
  <c r="BB74" i="8" a="1"/>
  <c r="BE77" i="15" a="1"/>
  <c r="BB55" i="8" a="1"/>
  <c r="S94" i="15" a="1"/>
  <c r="BE52" i="15" a="1"/>
  <c r="BE49" i="15" a="1"/>
  <c r="BE63" i="15" a="1"/>
  <c r="BB58" i="8" a="1"/>
  <c r="BE44" i="15" a="1"/>
  <c r="F94" i="15" a="1"/>
  <c r="BB103" i="8" a="1"/>
  <c r="BE45" i="15" a="1"/>
  <c r="AD156" i="15" l="1"/>
  <c r="Z156" i="15"/>
  <c r="BB52" i="8"/>
  <c r="BB54" i="8"/>
  <c r="BB56" i="8"/>
  <c r="BB53" i="8"/>
  <c r="BB55" i="8"/>
  <c r="BB77" i="8"/>
  <c r="BB80" i="8"/>
  <c r="BB79" i="8"/>
  <c r="BB76" i="8"/>
  <c r="BB78" i="8"/>
  <c r="V156" i="15"/>
  <c r="R156" i="15"/>
  <c r="N156" i="15"/>
  <c r="F156" i="15"/>
  <c r="K156" i="15"/>
  <c r="BA156" i="15"/>
  <c r="AW156" i="15"/>
  <c r="AS156" i="15"/>
  <c r="AO156" i="15"/>
  <c r="AG156" i="15"/>
  <c r="AB156" i="15"/>
  <c r="Y156" i="15"/>
  <c r="U156" i="15"/>
  <c r="BD156" i="15"/>
  <c r="AZ156" i="15"/>
  <c r="AV156" i="15"/>
  <c r="AR156" i="15"/>
  <c r="AN156" i="15"/>
  <c r="AJ156" i="15"/>
  <c r="AF156" i="15"/>
  <c r="AC156" i="15"/>
  <c r="X156" i="15"/>
  <c r="AK156" i="15"/>
  <c r="BC156" i="15"/>
  <c r="AY156" i="15"/>
  <c r="AU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B157" i="15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R157" i="15" s="1"/>
  <c r="S94" i="15"/>
  <c r="T94" i="15"/>
  <c r="U94" i="15"/>
  <c r="V94" i="15"/>
  <c r="V157" i="15" s="1"/>
  <c r="W94" i="15"/>
  <c r="X94" i="15"/>
  <c r="Y94" i="15"/>
  <c r="Z94" i="15"/>
  <c r="Z157" i="15" s="1"/>
  <c r="AA94" i="15"/>
  <c r="AB94" i="15"/>
  <c r="AC94" i="15"/>
  <c r="AD94" i="15"/>
  <c r="AD157" i="15" s="1"/>
  <c r="AE94" i="15"/>
  <c r="AF94" i="15"/>
  <c r="AG94" i="15"/>
  <c r="AH94" i="15"/>
  <c r="AH157" i="15" s="1"/>
  <c r="AI94" i="15"/>
  <c r="AJ94" i="15"/>
  <c r="AK94" i="15"/>
  <c r="AL94" i="15"/>
  <c r="AL157" i="15" s="1"/>
  <c r="AM94" i="15"/>
  <c r="AN94" i="15"/>
  <c r="AO94" i="15"/>
  <c r="AP94" i="15"/>
  <c r="AP157" i="15" s="1"/>
  <c r="AQ94" i="15"/>
  <c r="AR94" i="15"/>
  <c r="AS94" i="15"/>
  <c r="AT94" i="15"/>
  <c r="AT157" i="15" s="1"/>
  <c r="AU94" i="15"/>
  <c r="AV94" i="15"/>
  <c r="AW94" i="15"/>
  <c r="AX94" i="15"/>
  <c r="AX157" i="15" s="1"/>
  <c r="AY94" i="15"/>
  <c r="AZ94" i="15"/>
  <c r="BA94" i="15"/>
  <c r="BB94" i="15"/>
  <c r="BB157" i="15" s="1"/>
  <c r="BC94" i="15"/>
  <c r="BD94" i="15"/>
  <c r="BE44" i="15"/>
  <c r="BE107" i="15" s="1"/>
  <c r="BE63" i="15"/>
  <c r="BE126" i="15" s="1"/>
  <c r="BE73" i="15"/>
  <c r="BE136" i="15" s="1"/>
  <c r="BE82" i="15"/>
  <c r="BE145" i="15" s="1"/>
  <c r="BE51" i="15"/>
  <c r="BE114" i="15" s="1"/>
  <c r="BE53" i="15"/>
  <c r="BE116" i="15" s="1"/>
  <c r="BE72" i="15"/>
  <c r="BE135" i="15" s="1"/>
  <c r="BE69" i="15"/>
  <c r="BE132" i="15" s="1"/>
  <c r="BE78" i="15"/>
  <c r="BE141" i="15" s="1"/>
  <c r="BE88" i="15"/>
  <c r="BE151" i="15" s="1"/>
  <c r="BE92" i="15"/>
  <c r="BE155" i="15" s="1"/>
  <c r="BE43" i="15"/>
  <c r="BE106" i="15" s="1"/>
  <c r="BE48" i="15"/>
  <c r="BE111" i="15" s="1"/>
  <c r="BE60" i="15"/>
  <c r="BE123" i="15" s="1"/>
  <c r="BE54" i="15"/>
  <c r="BE117" i="15" s="1"/>
  <c r="BE58" i="15"/>
  <c r="BE121" i="15" s="1"/>
  <c r="BE64" i="15"/>
  <c r="BE127" i="15" s="1"/>
  <c r="BE66" i="15"/>
  <c r="BE129" i="15" s="1"/>
  <c r="BE70" i="15"/>
  <c r="BE133" i="15" s="1"/>
  <c r="BE75" i="15"/>
  <c r="BE138" i="15" s="1"/>
  <c r="BE76" i="15"/>
  <c r="BE139" i="15" s="1"/>
  <c r="BE80" i="15"/>
  <c r="BE143" i="15" s="1"/>
  <c r="BE90" i="15"/>
  <c r="BE153" i="15" s="1"/>
  <c r="BE94" i="15"/>
  <c r="BE56" i="15"/>
  <c r="BE119" i="15" s="1"/>
  <c r="BE68" i="15"/>
  <c r="BE131" i="15" s="1"/>
  <c r="BE84" i="15"/>
  <c r="BE147" i="15" s="1"/>
  <c r="BE89" i="15"/>
  <c r="BE152" i="15" s="1"/>
  <c r="BE46" i="15"/>
  <c r="BE109" i="15" s="1"/>
  <c r="BE57" i="15"/>
  <c r="BE120" i="15" s="1"/>
  <c r="BE62" i="15"/>
  <c r="BE125" i="15" s="1"/>
  <c r="BE74" i="15"/>
  <c r="BE137" i="15" s="1"/>
  <c r="BE85" i="15"/>
  <c r="BE148" i="15" s="1"/>
  <c r="BE86" i="15"/>
  <c r="BE149" i="15" s="1"/>
  <c r="BE45" i="15"/>
  <c r="BE108" i="15" s="1"/>
  <c r="BE49" i="15"/>
  <c r="BE112" i="15" s="1"/>
  <c r="BE47" i="15"/>
  <c r="BE110" i="15" s="1"/>
  <c r="BE55" i="15"/>
  <c r="BE118" i="15" s="1"/>
  <c r="BE59" i="15"/>
  <c r="BE122" i="15" s="1"/>
  <c r="BE61" i="15"/>
  <c r="BE124" i="15" s="1"/>
  <c r="BE67" i="15"/>
  <c r="BE130" i="15" s="1"/>
  <c r="BE71" i="15"/>
  <c r="BE134" i="15" s="1"/>
  <c r="BE77" i="15"/>
  <c r="BE140" i="15" s="1"/>
  <c r="BE83" i="15"/>
  <c r="BE146" i="15" s="1"/>
  <c r="BE81" i="15"/>
  <c r="BE144" i="15" s="1"/>
  <c r="BE91" i="15"/>
  <c r="BE154" i="15" s="1"/>
  <c r="BE87" i="15"/>
  <c r="BE150" i="15" s="1"/>
  <c r="BE52" i="15"/>
  <c r="BE115" i="15" s="1"/>
  <c r="BE79" i="15"/>
  <c r="BE142" i="15" s="1"/>
  <c r="BE93" i="15"/>
  <c r="BE156" i="15" s="1"/>
  <c r="BE50" i="15"/>
  <c r="BE113" i="15" s="1"/>
  <c r="BE65" i="15"/>
  <c r="BE128" i="15" s="1"/>
  <c r="BE39" i="15"/>
  <c r="BE105" i="15" s="1"/>
  <c r="BG38" i="15"/>
  <c r="B95" i="15"/>
  <c r="B218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56" i="8" a="1"/>
  <c r="BC52" i="8" a="1"/>
  <c r="BC77" i="8" a="1"/>
  <c r="BC53" i="8" a="1"/>
  <c r="BC79" i="8" a="1"/>
  <c r="BC78" i="8" a="1"/>
  <c r="BC76" i="8" a="1"/>
  <c r="BC55" i="8" a="1"/>
  <c r="BC80" i="8" a="1"/>
  <c r="BC54" i="8" a="1"/>
  <c r="N157" i="15" l="1"/>
  <c r="BC53" i="8"/>
  <c r="BC56" i="8"/>
  <c r="BC54" i="8"/>
  <c r="BC52" i="8"/>
  <c r="BC55" i="8"/>
  <c r="BC77" i="8"/>
  <c r="BC76" i="8"/>
  <c r="BC80" i="8"/>
  <c r="BC79" i="8"/>
  <c r="BC78" i="8"/>
  <c r="J157" i="15"/>
  <c r="F157" i="15"/>
  <c r="BE157" i="15"/>
  <c r="BD157" i="15"/>
  <c r="AZ157" i="15"/>
  <c r="AV157" i="15"/>
  <c r="AR157" i="15"/>
  <c r="AN157" i="15"/>
  <c r="AJ157" i="15"/>
  <c r="AF157" i="15"/>
  <c r="AB157" i="15"/>
  <c r="X157" i="15"/>
  <c r="T157" i="15"/>
  <c r="P157" i="15"/>
  <c r="L157" i="15"/>
  <c r="H157" i="15"/>
  <c r="BA157" i="15"/>
  <c r="AW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K157" i="15"/>
  <c r="G157" i="15"/>
  <c r="B158" i="15"/>
  <c r="BH38" i="15"/>
  <c r="B96" i="15"/>
  <c r="B219" i="15" s="1"/>
  <c r="BB98" i="8"/>
  <c r="BB92" i="8"/>
  <c r="BB91" i="8"/>
  <c r="BB90" i="8"/>
  <c r="BB89" i="8"/>
  <c r="BB97" i="8"/>
  <c r="BB95" i="8"/>
  <c r="BB88" i="8"/>
  <c r="BB94" i="8"/>
  <c r="BD50" i="8"/>
  <c r="BB96" i="8"/>
  <c r="BD76" i="8" a="1"/>
  <c r="BD78" i="8" a="1"/>
  <c r="BD53" i="8" a="1"/>
  <c r="BD52" i="8" a="1"/>
  <c r="BD77" i="8" a="1"/>
  <c r="BD56" i="8" a="1"/>
  <c r="BD79" i="8" a="1"/>
  <c r="BD80" i="8" a="1"/>
  <c r="BD54" i="8" a="1"/>
  <c r="BD55" i="8" a="1"/>
  <c r="BD54" i="8" l="1"/>
  <c r="BD55" i="8"/>
  <c r="BD56" i="8"/>
  <c r="BD52" i="8"/>
  <c r="BD53" i="8"/>
  <c r="BD79" i="8"/>
  <c r="BD78" i="8"/>
  <c r="BD76" i="8"/>
  <c r="BD80" i="8"/>
  <c r="BD77" i="8"/>
  <c r="B159" i="15"/>
  <c r="BI38" i="15"/>
  <c r="B97" i="15"/>
  <c r="B220" i="15" s="1"/>
  <c r="BE50" i="8"/>
  <c r="BC84" i="8" a="1"/>
  <c r="AV95" i="15" a="1"/>
  <c r="BC95" i="15" a="1"/>
  <c r="L95" i="15" a="1"/>
  <c r="BG79" i="15" a="1"/>
  <c r="BF52" i="15" a="1"/>
  <c r="BG57" i="15" a="1"/>
  <c r="BF89" i="15" a="1"/>
  <c r="R95" i="15" a="1"/>
  <c r="AB96" i="15" a="1"/>
  <c r="BF58" i="15" a="1"/>
  <c r="AU96" i="15" a="1"/>
  <c r="BH73" i="15" a="1"/>
  <c r="AQ95" i="15" a="1"/>
  <c r="BH95" i="15" a="1"/>
  <c r="BF91" i="15" a="1"/>
  <c r="BG44" i="15" a="1"/>
  <c r="BH80" i="15" a="1"/>
  <c r="BF81" i="15" a="1"/>
  <c r="BH83" i="15" a="1"/>
  <c r="BE70" i="8" a="1"/>
  <c r="BE61" i="8" a="1"/>
  <c r="AN97" i="15" a="1"/>
  <c r="AH97" i="15" a="1"/>
  <c r="BF69" i="15" a="1"/>
  <c r="AM96" i="15" a="1"/>
  <c r="BE56" i="8" a="1"/>
  <c r="BH88" i="15" a="1"/>
  <c r="BF96" i="15" a="1"/>
  <c r="T95" i="15" a="1"/>
  <c r="BD58" i="8" a="1"/>
  <c r="BF75" i="15" a="1"/>
  <c r="BF85" i="15" a="1"/>
  <c r="BH59" i="15" a="1"/>
  <c r="BH64" i="15" a="1"/>
  <c r="BF92" i="15" a="1"/>
  <c r="BH84" i="15" a="1"/>
  <c r="Y96" i="15" a="1"/>
  <c r="BG59" i="15" a="1"/>
  <c r="Y95" i="15" a="1"/>
  <c r="BH54" i="15" a="1"/>
  <c r="BG97" i="15" a="1"/>
  <c r="BG64" i="15" a="1"/>
  <c r="BB95" i="15" a="1"/>
  <c r="BF88" i="15" a="1"/>
  <c r="BE103" i="8" a="1"/>
  <c r="BH58" i="15" a="1"/>
  <c r="BH81" i="15" a="1"/>
  <c r="BG62" i="15" a="1"/>
  <c r="BH71" i="15" a="1"/>
  <c r="BH52" i="15" a="1"/>
  <c r="BD103" i="8" a="1"/>
  <c r="BE54" i="8" a="1"/>
  <c r="BD62" i="8" a="1"/>
  <c r="BG56" i="15" a="1"/>
  <c r="AY97" i="15" a="1"/>
  <c r="BF61" i="15" a="1"/>
  <c r="T96" i="15" a="1"/>
  <c r="BE83" i="8" a="1"/>
  <c r="K96" i="15" a="1"/>
  <c r="BG53" i="15" a="1"/>
  <c r="AL97" i="15" a="1"/>
  <c r="O95" i="15" a="1"/>
  <c r="S96" i="15" a="1"/>
  <c r="BH82" i="15" a="1"/>
  <c r="BF59" i="15" a="1"/>
  <c r="BG82" i="15" a="1"/>
  <c r="BG88" i="15" a="1"/>
  <c r="AK95" i="15" a="1"/>
  <c r="Z97" i="15" a="1"/>
  <c r="BF56" i="15" a="1"/>
  <c r="AL95" i="15" a="1"/>
  <c r="AN96" i="15" a="1"/>
  <c r="BD59" i="8" a="1"/>
  <c r="BE74" i="8" a="1"/>
  <c r="BH57" i="15" a="1"/>
  <c r="BF87" i="15" a="1"/>
  <c r="AH96" i="15" a="1"/>
  <c r="BE55" i="8" a="1"/>
  <c r="BG47" i="15" a="1"/>
  <c r="C95" i="15" a="1"/>
  <c r="BF77" i="15" a="1"/>
  <c r="V97" i="15" a="1"/>
  <c r="AK96" i="15" a="1"/>
  <c r="AO97" i="15" a="1"/>
  <c r="C96" i="15" a="1"/>
  <c r="U97" i="15" a="1"/>
  <c r="BF50" i="15" a="1"/>
  <c r="AP97" i="15" a="1"/>
  <c r="BC70" i="8" a="1"/>
  <c r="BH61" i="15" a="1"/>
  <c r="BD60" i="8" a="1"/>
  <c r="BD66" i="8" a="1"/>
  <c r="AC96" i="15" a="1"/>
  <c r="M95" i="15" a="1"/>
  <c r="G97" i="15" a="1"/>
  <c r="BC65" i="8" a="1"/>
  <c r="E95" i="15" a="1"/>
  <c r="P95" i="15" a="1"/>
  <c r="BH92" i="15" a="1"/>
  <c r="BH79" i="15" a="1"/>
  <c r="BH76" i="15" a="1"/>
  <c r="BE100" i="8" a="1"/>
  <c r="BG49" i="15" a="1"/>
  <c r="H96" i="15" a="1"/>
  <c r="BG61" i="15" a="1"/>
  <c r="AZ96" i="15" a="1"/>
  <c r="BH48" i="15" a="1"/>
  <c r="BE67" i="8" a="1"/>
  <c r="BG71" i="15" a="1"/>
  <c r="BH86" i="15" a="1"/>
  <c r="AF97" i="15" a="1"/>
  <c r="BF73" i="15" a="1"/>
  <c r="BH77" i="15" a="1"/>
  <c r="BE64" i="8" a="1"/>
  <c r="BC61" i="8" a="1"/>
  <c r="BC73" i="8" a="1"/>
  <c r="BH91" i="15" a="1"/>
  <c r="BF86" i="15" a="1"/>
  <c r="AF95" i="15" a="1"/>
  <c r="BG93" i="15" a="1"/>
  <c r="BH78" i="15" a="1"/>
  <c r="BF54" i="15" a="1"/>
  <c r="BH44" i="15" a="1"/>
  <c r="BC59" i="8" a="1"/>
  <c r="AT97" i="15" a="1"/>
  <c r="BH68" i="15" a="1"/>
  <c r="BE68" i="8" a="1"/>
  <c r="BH85" i="15" a="1"/>
  <c r="BF63" i="15" a="1"/>
  <c r="BB97" i="15" a="1"/>
  <c r="BE104" i="8" a="1"/>
  <c r="BH67" i="15" a="1"/>
  <c r="BE72" i="8" a="1"/>
  <c r="BH72" i="15" a="1"/>
  <c r="BH70" i="15" a="1"/>
  <c r="BD101" i="8" a="1"/>
  <c r="BG86" i="15" a="1"/>
  <c r="BG95" i="15" a="1"/>
  <c r="BF55" i="15" a="1"/>
  <c r="BC60" i="8" a="1"/>
  <c r="L96" i="15" a="1"/>
  <c r="BG68" i="15" a="1"/>
  <c r="BE95" i="15" a="1"/>
  <c r="H95" i="15" a="1"/>
  <c r="BC96" i="15" a="1"/>
  <c r="I96" i="15" a="1"/>
  <c r="G95" i="15" a="1"/>
  <c r="AU97" i="15" a="1"/>
  <c r="BF82" i="15" a="1"/>
  <c r="BH66" i="15" a="1"/>
  <c r="BD104" i="8" a="1"/>
  <c r="R96" i="15" a="1"/>
  <c r="BF46" i="15" a="1"/>
  <c r="AV97" i="15" a="1"/>
  <c r="BC67" i="8" a="1"/>
  <c r="BH53" i="15" a="1"/>
  <c r="BD70" i="8" a="1"/>
  <c r="BF53" i="15" a="1"/>
  <c r="AL96" i="15" a="1"/>
  <c r="BD74" i="8" a="1"/>
  <c r="AT95" i="15" a="1"/>
  <c r="C97" i="15" a="1"/>
  <c r="AX96" i="15" a="1"/>
  <c r="BH69" i="15" a="1"/>
  <c r="D95" i="15" a="1"/>
  <c r="BG45" i="15" a="1"/>
  <c r="BG70" i="15" a="1"/>
  <c r="AT96" i="15" a="1"/>
  <c r="BE84" i="8" a="1"/>
  <c r="BG73" i="15" a="1"/>
  <c r="BE96" i="15" a="1"/>
  <c r="BH39" i="15" a="1"/>
  <c r="BC97" i="15" a="1"/>
  <c r="BD83" i="8" a="1"/>
  <c r="BG67" i="15" a="1"/>
  <c r="BG87" i="15" a="1"/>
  <c r="AV96" i="15" a="1"/>
  <c r="AG97" i="15" a="1"/>
  <c r="AJ97" i="15" a="1"/>
  <c r="O97" i="15" a="1"/>
  <c r="BH75" i="15" a="1"/>
  <c r="U95" i="15" a="1"/>
  <c r="AA96" i="15" a="1"/>
  <c r="BE53" i="8" a="1"/>
  <c r="BC66" i="8" a="1"/>
  <c r="BH43" i="15" a="1"/>
  <c r="G96" i="15" a="1"/>
  <c r="BG91" i="15" a="1"/>
  <c r="W95" i="15" a="1"/>
  <c r="BF90" i="15" a="1"/>
  <c r="BH49" i="15" a="1"/>
  <c r="AR96" i="15" a="1"/>
  <c r="BG74" i="15" a="1"/>
  <c r="AW95" i="15" a="1"/>
  <c r="BC68" i="8" a="1"/>
  <c r="BG63" i="15" a="1"/>
  <c r="BG72" i="15" a="1"/>
  <c r="F96" i="15" a="1"/>
  <c r="X97" i="15" a="1"/>
  <c r="BG75" i="15" a="1"/>
  <c r="Z96" i="15" a="1"/>
  <c r="Q97" i="15" a="1"/>
  <c r="BF97" i="15" a="1"/>
  <c r="BG84" i="15" a="1"/>
  <c r="BD71" i="8" a="1"/>
  <c r="BD82" i="8" a="1"/>
  <c r="BC64" i="8" a="1"/>
  <c r="BE76" i="8" a="1"/>
  <c r="BH51" i="15" a="1"/>
  <c r="BH96" i="15" a="1"/>
  <c r="BG66" i="15" a="1"/>
  <c r="BE85" i="8" a="1"/>
  <c r="BF65" i="15" a="1"/>
  <c r="BF70" i="15" a="1"/>
  <c r="BD85" i="8" a="1"/>
  <c r="K97" i="15" a="1"/>
  <c r="J95" i="15" a="1"/>
  <c r="BG51" i="15" a="1"/>
  <c r="BD102" i="8" a="1"/>
  <c r="BF79" i="15" a="1"/>
  <c r="BF80" i="15" a="1"/>
  <c r="AE96" i="15" a="1"/>
  <c r="BF51" i="15" a="1"/>
  <c r="BF49" i="15" a="1"/>
  <c r="BG55" i="15" a="1"/>
  <c r="AW97" i="15" a="1"/>
  <c r="AM97" i="15" a="1"/>
  <c r="BE58" i="8" a="1"/>
  <c r="AS97" i="15" a="1"/>
  <c r="AS95" i="15" a="1"/>
  <c r="AO95" i="15" a="1"/>
  <c r="AP96" i="15" a="1"/>
  <c r="BF44" i="15" a="1"/>
  <c r="BE101" i="8" a="1"/>
  <c r="V95" i="15" a="1"/>
  <c r="AN95" i="15" a="1"/>
  <c r="AI96" i="15" a="1"/>
  <c r="AP95" i="15" a="1"/>
  <c r="BG46" i="15" a="1"/>
  <c r="BF48" i="15" a="1"/>
  <c r="BD73" i="8" a="1"/>
  <c r="E97" i="15" a="1"/>
  <c r="AS96" i="15" a="1"/>
  <c r="AW96" i="15" a="1"/>
  <c r="D97" i="15" a="1"/>
  <c r="AA95" i="15" a="1"/>
  <c r="AA97" i="15" a="1"/>
  <c r="BE59" i="8" a="1"/>
  <c r="E96" i="15" a="1"/>
  <c r="BC85" i="8" a="1"/>
  <c r="S95" i="15" a="1"/>
  <c r="BD97" i="15" a="1"/>
  <c r="AY95" i="15" a="1"/>
  <c r="I95" i="15" a="1"/>
  <c r="BH87" i="15" a="1"/>
  <c r="AC95" i="15" a="1"/>
  <c r="BG90" i="15" a="1"/>
  <c r="BE97" i="15" a="1"/>
  <c r="V96" i="15" a="1"/>
  <c r="BE79" i="8" a="1"/>
  <c r="D96" i="15" a="1"/>
  <c r="BG83" i="15" a="1"/>
  <c r="AX95" i="15" a="1"/>
  <c r="T97" i="15" a="1"/>
  <c r="I97" i="15" a="1"/>
  <c r="F97" i="15" a="1"/>
  <c r="BF47" i="15" a="1"/>
  <c r="BF66" i="15" a="1"/>
  <c r="X95" i="15" a="1"/>
  <c r="BF64" i="15" a="1"/>
  <c r="BF78" i="15" a="1"/>
  <c r="BG58" i="15" a="1"/>
  <c r="BA95" i="15" a="1"/>
  <c r="BF84" i="15" a="1"/>
  <c r="BE60" i="8" a="1"/>
  <c r="BG85" i="15" a="1"/>
  <c r="BE65" i="8" a="1"/>
  <c r="BE86" i="8" a="1"/>
  <c r="BG54" i="15" a="1"/>
  <c r="AZ97" i="15" a="1"/>
  <c r="AG95" i="15" a="1"/>
  <c r="AO96" i="15" a="1"/>
  <c r="N95" i="15" a="1"/>
  <c r="BF45" i="15" a="1"/>
  <c r="AF96" i="15" a="1"/>
  <c r="AR95" i="15" a="1"/>
  <c r="BH65" i="15" a="1"/>
  <c r="BG65" i="15" a="1"/>
  <c r="AC97" i="15" a="1"/>
  <c r="AX97" i="15" a="1"/>
  <c r="AQ96" i="15" a="1"/>
  <c r="AH95" i="15" a="1"/>
  <c r="BE71" i="8" a="1"/>
  <c r="N96" i="15" a="1"/>
  <c r="M96" i="15" a="1"/>
  <c r="BF57" i="15" a="1"/>
  <c r="H97" i="15" a="1"/>
  <c r="BF94" i="15" a="1"/>
  <c r="BH45" i="15" a="1"/>
  <c r="BH97" i="15" a="1"/>
  <c r="X96" i="15" a="1"/>
  <c r="BG48" i="15" a="1"/>
  <c r="BG60" i="15" a="1"/>
  <c r="BF76" i="15" a="1"/>
  <c r="BH94" i="15" a="1"/>
  <c r="BH93" i="15" a="1"/>
  <c r="BG43" i="15" a="1"/>
  <c r="J96" i="15" a="1"/>
  <c r="BD84" i="8" a="1"/>
  <c r="AU95" i="15" a="1"/>
  <c r="BC74" i="8" a="1"/>
  <c r="BE52" i="8" a="1"/>
  <c r="BH62" i="15" a="1"/>
  <c r="BE82" i="8" a="1"/>
  <c r="AM95" i="15" a="1"/>
  <c r="BC82" i="8" a="1"/>
  <c r="BF68" i="15" a="1"/>
  <c r="BF83" i="15" a="1"/>
  <c r="BD61" i="8" a="1"/>
  <c r="BD68" i="8" a="1"/>
  <c r="S97" i="15" a="1"/>
  <c r="BC102" i="8" a="1"/>
  <c r="BD95" i="15" a="1"/>
  <c r="P97" i="15" a="1"/>
  <c r="BA96" i="15" a="1"/>
  <c r="BD64" i="8" a="1"/>
  <c r="BG89" i="15" a="1"/>
  <c r="Y97" i="15" a="1"/>
  <c r="BF93" i="15" a="1"/>
  <c r="F95" i="15" a="1"/>
  <c r="AD96" i="15" a="1"/>
  <c r="AJ96" i="15" a="1"/>
  <c r="BD100" i="8" a="1"/>
  <c r="BA97" i="15" a="1"/>
  <c r="BC71" i="8" a="1"/>
  <c r="Q95" i="15" a="1"/>
  <c r="BH90" i="15" a="1"/>
  <c r="BE78" i="8" a="1"/>
  <c r="O96" i="15" a="1"/>
  <c r="BB96" i="15" a="1"/>
  <c r="AK97" i="15" a="1"/>
  <c r="AY96" i="15" a="1"/>
  <c r="BE66" i="8" a="1"/>
  <c r="L97" i="15" a="1"/>
  <c r="BG52" i="15" a="1"/>
  <c r="BC58" i="8" a="1"/>
  <c r="BF39" i="15" a="1"/>
  <c r="BG78" i="15" a="1"/>
  <c r="AI95" i="15" a="1"/>
  <c r="AB97" i="15" a="1"/>
  <c r="BE62" i="8" a="1"/>
  <c r="BF74" i="15" a="1"/>
  <c r="K95" i="15" a="1"/>
  <c r="BH46" i="15" a="1"/>
  <c r="BH56" i="15" a="1"/>
  <c r="W96" i="15" a="1"/>
  <c r="BH50" i="15" a="1"/>
  <c r="BC101" i="8" a="1"/>
  <c r="Z95" i="15" a="1"/>
  <c r="BH60" i="15" a="1"/>
  <c r="AD97" i="15" a="1"/>
  <c r="J97" i="15" a="1"/>
  <c r="AQ97" i="15" a="1"/>
  <c r="BE77" i="8" a="1"/>
  <c r="BH89" i="15" a="1"/>
  <c r="BH47" i="15" a="1"/>
  <c r="AD95" i="15" a="1"/>
  <c r="BH55" i="15" a="1"/>
  <c r="N97" i="15" a="1"/>
  <c r="BG96" i="15" a="1"/>
  <c r="BE102" i="8" a="1"/>
  <c r="BC72" i="8" a="1"/>
  <c r="AB95" i="15" a="1"/>
  <c r="BF71" i="15" a="1"/>
  <c r="BG94" i="15" a="1"/>
  <c r="BF62" i="15" a="1"/>
  <c r="BC83" i="8" a="1"/>
  <c r="BG81" i="15" a="1"/>
  <c r="BF67" i="15" a="1"/>
  <c r="AG96" i="15" a="1"/>
  <c r="BG92" i="15" a="1"/>
  <c r="M97" i="15" a="1"/>
  <c r="BC100" i="8" a="1"/>
  <c r="BG77" i="15" a="1"/>
  <c r="BC104" i="8" a="1"/>
  <c r="BC103" i="8" a="1"/>
  <c r="BG76" i="15" a="1"/>
  <c r="AI97" i="15" a="1"/>
  <c r="BH63" i="15" a="1"/>
  <c r="BE80" i="8" a="1"/>
  <c r="BD67" i="8" a="1"/>
  <c r="P96" i="15" a="1"/>
  <c r="BF60" i="15" a="1"/>
  <c r="BG50" i="15" a="1"/>
  <c r="BF72" i="15" a="1"/>
  <c r="AE95" i="15" a="1"/>
  <c r="AZ95" i="15" a="1"/>
  <c r="BG80" i="15" a="1"/>
  <c r="BD86" i="8" a="1"/>
  <c r="BF43" i="15" a="1"/>
  <c r="BD65" i="8" a="1"/>
  <c r="BG39" i="15" a="1"/>
  <c r="AR97" i="15" a="1"/>
  <c r="R97" i="15" a="1"/>
  <c r="BD72" i="8" a="1"/>
  <c r="AE97" i="15" a="1"/>
  <c r="BC62" i="8" a="1"/>
  <c r="BG69" i="15" a="1"/>
  <c r="Q96" i="15" a="1"/>
  <c r="BD96" i="15" a="1"/>
  <c r="BE73" i="8" a="1"/>
  <c r="BH74" i="15" a="1"/>
  <c r="AJ95" i="15" a="1"/>
  <c r="W97" i="15" a="1"/>
  <c r="BC86" i="8" a="1"/>
  <c r="U96" i="15" a="1"/>
  <c r="BF95" i="15" a="1"/>
  <c r="BE53" i="8" l="1"/>
  <c r="BE54" i="8"/>
  <c r="BE56" i="8"/>
  <c r="BE52" i="8"/>
  <c r="BE55" i="8"/>
  <c r="BE77" i="8"/>
  <c r="BE78" i="8"/>
  <c r="BE76" i="8"/>
  <c r="BE80" i="8"/>
  <c r="BE79" i="8"/>
  <c r="BF51" i="15"/>
  <c r="BF114" i="15" s="1"/>
  <c r="AE96" i="15"/>
  <c r="BG64" i="15"/>
  <c r="BG127" i="15" s="1"/>
  <c r="BF96" i="15"/>
  <c r="BF75" i="15"/>
  <c r="BF138" i="15" s="1"/>
  <c r="BG75" i="15"/>
  <c r="BG138" i="15" s="1"/>
  <c r="BF88" i="15"/>
  <c r="BF151" i="15" s="1"/>
  <c r="V95" i="15"/>
  <c r="BG39" i="15"/>
  <c r="BG105" i="15" s="1"/>
  <c r="BG72" i="15"/>
  <c r="BG135" i="15" s="1"/>
  <c r="BG45" i="15"/>
  <c r="BG108" i="15" s="1"/>
  <c r="BG57" i="15"/>
  <c r="BG120" i="15" s="1"/>
  <c r="U95" i="15"/>
  <c r="BF57" i="15"/>
  <c r="BF120" i="15" s="1"/>
  <c r="L96" i="15"/>
  <c r="BG67" i="15"/>
  <c r="BG130" i="15" s="1"/>
  <c r="BE96" i="15"/>
  <c r="BD70" i="8"/>
  <c r="BF47" i="15"/>
  <c r="BF110" i="15" s="1"/>
  <c r="BF65" i="15"/>
  <c r="BF128" i="15" s="1"/>
  <c r="BG61" i="15"/>
  <c r="BG124" i="15" s="1"/>
  <c r="G96" i="15"/>
  <c r="X96" i="15"/>
  <c r="AM95" i="15"/>
  <c r="BD95" i="15"/>
  <c r="BF60" i="15"/>
  <c r="BF123" i="15" s="1"/>
  <c r="BF72" i="15"/>
  <c r="BF135" i="15" s="1"/>
  <c r="AK96" i="15"/>
  <c r="Q96" i="15"/>
  <c r="BD66" i="8"/>
  <c r="BG80" i="15"/>
  <c r="BG143" i="15" s="1"/>
  <c r="BA96" i="15"/>
  <c r="AS95" i="15"/>
  <c r="BF95" i="15"/>
  <c r="BF61" i="15"/>
  <c r="BF124" i="15" s="1"/>
  <c r="BC103" i="8"/>
  <c r="AD95" i="15"/>
  <c r="AH96" i="15"/>
  <c r="BD102" i="8"/>
  <c r="BG63" i="15"/>
  <c r="BG126" i="15" s="1"/>
  <c r="AL96" i="15"/>
  <c r="BF54" i="15"/>
  <c r="BF117" i="15" s="1"/>
  <c r="AU95" i="15"/>
  <c r="BC100" i="8"/>
  <c r="BF84" i="15"/>
  <c r="BF147" i="15" s="1"/>
  <c r="AC96" i="15"/>
  <c r="BD86" i="8"/>
  <c r="BG73" i="15"/>
  <c r="BG136" i="15" s="1"/>
  <c r="AX96" i="15"/>
  <c r="AE95" i="15"/>
  <c r="P95" i="15"/>
  <c r="O95" i="15"/>
  <c r="AB95" i="15"/>
  <c r="BC86" i="8"/>
  <c r="AI96" i="15"/>
  <c r="AS96" i="15"/>
  <c r="BD74" i="8"/>
  <c r="R95" i="15"/>
  <c r="BF58" i="15"/>
  <c r="BF121" i="15" s="1"/>
  <c r="BC82" i="8"/>
  <c r="BF69" i="15"/>
  <c r="BF132" i="15" s="1"/>
  <c r="BF87" i="15"/>
  <c r="BF150" i="15" s="1"/>
  <c r="BC96" i="15"/>
  <c r="BG87" i="15"/>
  <c r="BG150" i="15" s="1"/>
  <c r="BB96" i="15"/>
  <c r="D96" i="15"/>
  <c r="D159" i="15" s="1"/>
  <c r="BF43" i="15"/>
  <c r="BF106" i="15" s="1"/>
  <c r="C95" i="15"/>
  <c r="C158" i="15" s="1"/>
  <c r="AJ95" i="15"/>
  <c r="W95" i="15"/>
  <c r="BD83" i="8"/>
  <c r="W96" i="15"/>
  <c r="Y96" i="15"/>
  <c r="BG94" i="15"/>
  <c r="BG157" i="15" s="1"/>
  <c r="BC61" i="8"/>
  <c r="BC101" i="8"/>
  <c r="BF73" i="15"/>
  <c r="BF136" i="15" s="1"/>
  <c r="BC72" i="8"/>
  <c r="BD60" i="8"/>
  <c r="U96" i="15"/>
  <c r="AQ96" i="15"/>
  <c r="AU96" i="15"/>
  <c r="AD96" i="15"/>
  <c r="BG46" i="15"/>
  <c r="BG109" i="15" s="1"/>
  <c r="BG93" i="15"/>
  <c r="BG156" i="15" s="1"/>
  <c r="BG83" i="15"/>
  <c r="BG146" i="15" s="1"/>
  <c r="BG53" i="15"/>
  <c r="BG116" i="15" s="1"/>
  <c r="AN95" i="15"/>
  <c r="Q95" i="15"/>
  <c r="AV95" i="15"/>
  <c r="Z95" i="15"/>
  <c r="BC67" i="8"/>
  <c r="AY95" i="15"/>
  <c r="H95" i="15"/>
  <c r="BF80" i="15"/>
  <c r="BF143" i="15" s="1"/>
  <c r="R96" i="15"/>
  <c r="BD101" i="8"/>
  <c r="BG48" i="15"/>
  <c r="BG111" i="15" s="1"/>
  <c r="BG43" i="15"/>
  <c r="BG106" i="15" s="1"/>
  <c r="BG65" i="15"/>
  <c r="BG128" i="15" s="1"/>
  <c r="BG79" i="15"/>
  <c r="BG142" i="15" s="1"/>
  <c r="BG62" i="15"/>
  <c r="BG125" i="15" s="1"/>
  <c r="BG92" i="15"/>
  <c r="BG155" i="15" s="1"/>
  <c r="BC62" i="8"/>
  <c r="BC95" i="15"/>
  <c r="BF91" i="15"/>
  <c r="BF154" i="15" s="1"/>
  <c r="BF63" i="15"/>
  <c r="BF126" i="15" s="1"/>
  <c r="BF81" i="15"/>
  <c r="BF144" i="15" s="1"/>
  <c r="AF95" i="15"/>
  <c r="BF89" i="15"/>
  <c r="BF152" i="15" s="1"/>
  <c r="BF39" i="15"/>
  <c r="BF105" i="15" s="1"/>
  <c r="BC102" i="8"/>
  <c r="BG68" i="15"/>
  <c r="BG131" i="15" s="1"/>
  <c r="V96" i="15"/>
  <c r="J96" i="15"/>
  <c r="N96" i="15"/>
  <c r="BD62" i="8"/>
  <c r="K96" i="15"/>
  <c r="BG47" i="15"/>
  <c r="BG110" i="15" s="1"/>
  <c r="BG52" i="15"/>
  <c r="BG115" i="15" s="1"/>
  <c r="AC95" i="15"/>
  <c r="G95" i="15"/>
  <c r="AT95" i="15"/>
  <c r="L95" i="15"/>
  <c r="BC65" i="8"/>
  <c r="BC71" i="8"/>
  <c r="BF53" i="15"/>
  <c r="BF116" i="15" s="1"/>
  <c r="BF52" i="15"/>
  <c r="BF115" i="15" s="1"/>
  <c r="BD100" i="8"/>
  <c r="AZ96" i="15"/>
  <c r="M96" i="15"/>
  <c r="BG78" i="15"/>
  <c r="BG141" i="15" s="1"/>
  <c r="BG56" i="15"/>
  <c r="BG119" i="15" s="1"/>
  <c r="BD84" i="8"/>
  <c r="C96" i="15"/>
  <c r="C159" i="15" s="1"/>
  <c r="BD82" i="8"/>
  <c r="BG71" i="15"/>
  <c r="BG134" i="15" s="1"/>
  <c r="BC74" i="8"/>
  <c r="BA95" i="15"/>
  <c r="BF86" i="15"/>
  <c r="BF149" i="15" s="1"/>
  <c r="BC83" i="8"/>
  <c r="F95" i="15"/>
  <c r="BF49" i="15"/>
  <c r="BF112" i="15" s="1"/>
  <c r="M95" i="15"/>
  <c r="BF45" i="15"/>
  <c r="BF108" i="15" s="1"/>
  <c r="AG96" i="15"/>
  <c r="Y95" i="15"/>
  <c r="AL95" i="15"/>
  <c r="AZ95" i="15"/>
  <c r="BF90" i="15"/>
  <c r="BF153" i="15" s="1"/>
  <c r="BD104" i="8"/>
  <c r="BG96" i="15"/>
  <c r="BD68" i="8"/>
  <c r="AW96" i="15"/>
  <c r="BF92" i="15"/>
  <c r="BF155" i="15" s="1"/>
  <c r="BC64" i="8"/>
  <c r="BF93" i="15"/>
  <c r="BF156" i="15" s="1"/>
  <c r="BF76" i="15"/>
  <c r="BF139" i="15" s="1"/>
  <c r="BG49" i="15"/>
  <c r="BG112" i="15" s="1"/>
  <c r="BG85" i="15"/>
  <c r="BG148" i="15" s="1"/>
  <c r="BD64" i="8"/>
  <c r="BD103" i="8"/>
  <c r="BF85" i="15"/>
  <c r="BF148" i="15" s="1"/>
  <c r="BC85" i="8"/>
  <c r="AG95" i="15"/>
  <c r="AX95" i="15"/>
  <c r="BF83" i="15"/>
  <c r="BF146" i="15" s="1"/>
  <c r="O96" i="15"/>
  <c r="BG74" i="15"/>
  <c r="BG137" i="15" s="1"/>
  <c r="AB96" i="15"/>
  <c r="BG76" i="15"/>
  <c r="BG139" i="15" s="1"/>
  <c r="BF56" i="15"/>
  <c r="BF119" i="15" s="1"/>
  <c r="BF62" i="15"/>
  <c r="BF125" i="15" s="1"/>
  <c r="BB95" i="15"/>
  <c r="BF46" i="15"/>
  <c r="BF109" i="15" s="1"/>
  <c r="AO96" i="15"/>
  <c r="BG50" i="15"/>
  <c r="BG113" i="15" s="1"/>
  <c r="AJ96" i="15"/>
  <c r="BG59" i="15"/>
  <c r="BG122" i="15" s="1"/>
  <c r="AY96" i="15"/>
  <c r="BF70" i="15"/>
  <c r="BF133" i="15" s="1"/>
  <c r="BF79" i="15"/>
  <c r="BF142" i="15" s="1"/>
  <c r="BF48" i="15"/>
  <c r="BF111" i="15" s="1"/>
  <c r="BF94" i="15"/>
  <c r="BF157" i="15" s="1"/>
  <c r="AN96" i="15"/>
  <c r="BG81" i="15"/>
  <c r="BG144" i="15" s="1"/>
  <c r="BD72" i="8"/>
  <c r="E96" i="15"/>
  <c r="BG90" i="15"/>
  <c r="BG153" i="15" s="1"/>
  <c r="J95" i="15"/>
  <c r="BF68" i="15"/>
  <c r="BF131" i="15" s="1"/>
  <c r="BF71" i="15"/>
  <c r="BF134" i="15" s="1"/>
  <c r="I95" i="15"/>
  <c r="T96" i="15"/>
  <c r="BD61" i="8"/>
  <c r="BD59" i="8"/>
  <c r="BD67" i="8"/>
  <c r="AR96" i="15"/>
  <c r="AA95" i="15"/>
  <c r="AR95" i="15"/>
  <c r="BC68" i="8"/>
  <c r="AP95" i="15"/>
  <c r="BF82" i="15"/>
  <c r="BF145" i="15" s="1"/>
  <c r="Z96" i="15"/>
  <c r="BG95" i="15"/>
  <c r="BD73" i="8"/>
  <c r="I96" i="15"/>
  <c r="P96" i="15"/>
  <c r="BG70" i="15"/>
  <c r="BG133" i="15" s="1"/>
  <c r="S96" i="15"/>
  <c r="BG69" i="15"/>
  <c r="BG132" i="15" s="1"/>
  <c r="AP96" i="15"/>
  <c r="BE95" i="15"/>
  <c r="AI95" i="15"/>
  <c r="BC73" i="8"/>
  <c r="BC104" i="8"/>
  <c r="BF66" i="15"/>
  <c r="BF129" i="15" s="1"/>
  <c r="BF50" i="15"/>
  <c r="BF113" i="15" s="1"/>
  <c r="BG66" i="15"/>
  <c r="BG129" i="15" s="1"/>
  <c r="AV96" i="15"/>
  <c r="BD58" i="8"/>
  <c r="BD94" i="8" s="1"/>
  <c r="F96" i="15"/>
  <c r="F159" i="15" s="1"/>
  <c r="BG54" i="15"/>
  <c r="BG117" i="15" s="1"/>
  <c r="BG91" i="15"/>
  <c r="BG154" i="15" s="1"/>
  <c r="BD65" i="8"/>
  <c r="BG82" i="15"/>
  <c r="BG145" i="15" s="1"/>
  <c r="AM96" i="15"/>
  <c r="BC66" i="8"/>
  <c r="BF78" i="15"/>
  <c r="BF141" i="15" s="1"/>
  <c r="AH95" i="15"/>
  <c r="BF74" i="15"/>
  <c r="BF137" i="15" s="1"/>
  <c r="BC58" i="8"/>
  <c r="BC94" i="8" s="1"/>
  <c r="X95" i="15"/>
  <c r="AO95" i="15"/>
  <c r="S95" i="15"/>
  <c r="D95" i="15"/>
  <c r="D158" i="15" s="1"/>
  <c r="BG77" i="15"/>
  <c r="BG140" i="15" s="1"/>
  <c r="BG84" i="15"/>
  <c r="BG147" i="15" s="1"/>
  <c r="BG89" i="15"/>
  <c r="BG152" i="15" s="1"/>
  <c r="AF96" i="15"/>
  <c r="BG55" i="15"/>
  <c r="BG118" i="15" s="1"/>
  <c r="BG88" i="15"/>
  <c r="BG151" i="15" s="1"/>
  <c r="AT96" i="15"/>
  <c r="BG60" i="15"/>
  <c r="BG123" i="15" s="1"/>
  <c r="AW95" i="15"/>
  <c r="AK95" i="15"/>
  <c r="BF44" i="15"/>
  <c r="BF107" i="15" s="1"/>
  <c r="BC59" i="8"/>
  <c r="AQ95" i="15"/>
  <c r="BF59" i="15"/>
  <c r="BF122" i="15" s="1"/>
  <c r="BC60" i="8"/>
  <c r="BF55" i="15"/>
  <c r="BF118" i="15" s="1"/>
  <c r="BF64" i="15"/>
  <c r="BF127" i="15" s="1"/>
  <c r="BD71" i="8"/>
  <c r="H96" i="15"/>
  <c r="BG51" i="15"/>
  <c r="BG114" i="15" s="1"/>
  <c r="BG58" i="15"/>
  <c r="BG121" i="15" s="1"/>
  <c r="BD96" i="15"/>
  <c r="BD159" i="15" s="1"/>
  <c r="BG86" i="15"/>
  <c r="BG149" i="15" s="1"/>
  <c r="BD85" i="8"/>
  <c r="BG44" i="15"/>
  <c r="BG107" i="15" s="1"/>
  <c r="AA96" i="15"/>
  <c r="AA159" i="15" s="1"/>
  <c r="K95" i="15"/>
  <c r="BF67" i="15"/>
  <c r="BF130" i="15" s="1"/>
  <c r="T95" i="15"/>
  <c r="BF77" i="15"/>
  <c r="BF140" i="15" s="1"/>
  <c r="BC70" i="8"/>
  <c r="N95" i="15"/>
  <c r="N158" i="15" s="1"/>
  <c r="E95" i="15"/>
  <c r="BC84" i="8"/>
  <c r="D97" i="15"/>
  <c r="D160" i="15" s="1"/>
  <c r="B160" i="15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60" i="15" s="1"/>
  <c r="AU97" i="15"/>
  <c r="AV97" i="15"/>
  <c r="AW97" i="15"/>
  <c r="AX97" i="15"/>
  <c r="AX160" i="15" s="1"/>
  <c r="AY97" i="15"/>
  <c r="AZ97" i="15"/>
  <c r="BA97" i="15"/>
  <c r="BB97" i="15"/>
  <c r="BB160" i="15" s="1"/>
  <c r="BC97" i="15"/>
  <c r="BD97" i="15"/>
  <c r="BE97" i="15"/>
  <c r="BF97" i="15"/>
  <c r="BF160" i="15" s="1"/>
  <c r="BG97" i="15"/>
  <c r="BH43" i="15"/>
  <c r="BH106" i="15" s="1"/>
  <c r="BH50" i="15"/>
  <c r="BH113" i="15" s="1"/>
  <c r="BH56" i="15"/>
  <c r="BH119" i="15" s="1"/>
  <c r="BH49" i="15"/>
  <c r="BH112" i="15" s="1"/>
  <c r="BH57" i="15"/>
  <c r="BH120" i="15" s="1"/>
  <c r="BH67" i="15"/>
  <c r="BH130" i="15" s="1"/>
  <c r="BH62" i="15"/>
  <c r="BH125" i="15" s="1"/>
  <c r="BH72" i="15"/>
  <c r="BH135" i="15" s="1"/>
  <c r="BH71" i="15"/>
  <c r="BH134" i="15" s="1"/>
  <c r="BH79" i="15"/>
  <c r="BH142" i="15" s="1"/>
  <c r="BH85" i="15"/>
  <c r="BH148" i="15" s="1"/>
  <c r="BH93" i="15"/>
  <c r="BH156" i="15" s="1"/>
  <c r="BH91" i="15"/>
  <c r="BH154" i="15" s="1"/>
  <c r="BH95" i="15"/>
  <c r="BH45" i="15"/>
  <c r="BH108" i="15" s="1"/>
  <c r="BH53" i="15"/>
  <c r="BH116" i="15" s="1"/>
  <c r="BH58" i="15"/>
  <c r="BH121" i="15" s="1"/>
  <c r="BH51" i="15"/>
  <c r="BH114" i="15" s="1"/>
  <c r="BH59" i="15"/>
  <c r="BH122" i="15" s="1"/>
  <c r="BH69" i="15"/>
  <c r="BH132" i="15" s="1"/>
  <c r="BH66" i="15"/>
  <c r="BH129" i="15" s="1"/>
  <c r="BH75" i="15"/>
  <c r="BH138" i="15" s="1"/>
  <c r="BH74" i="15"/>
  <c r="BH137" i="15" s="1"/>
  <c r="BH80" i="15"/>
  <c r="BH143" i="15" s="1"/>
  <c r="BH84" i="15"/>
  <c r="BH147" i="15" s="1"/>
  <c r="BH86" i="15"/>
  <c r="BH149" i="15" s="1"/>
  <c r="BH92" i="15"/>
  <c r="BH155" i="15" s="1"/>
  <c r="BH96" i="15"/>
  <c r="BH44" i="15"/>
  <c r="BH107" i="15" s="1"/>
  <c r="BH54" i="15"/>
  <c r="BH117" i="15" s="1"/>
  <c r="BH47" i="15"/>
  <c r="BH110" i="15" s="1"/>
  <c r="BH52" i="15"/>
  <c r="BH115" i="15" s="1"/>
  <c r="BH63" i="15"/>
  <c r="BH126" i="15" s="1"/>
  <c r="BH61" i="15"/>
  <c r="BH124" i="15" s="1"/>
  <c r="BH68" i="15"/>
  <c r="BH131" i="15" s="1"/>
  <c r="BH77" i="15"/>
  <c r="BH140" i="15" s="1"/>
  <c r="BH76" i="15"/>
  <c r="BH139" i="15" s="1"/>
  <c r="BH81" i="15"/>
  <c r="BH144" i="15" s="1"/>
  <c r="BH82" i="15"/>
  <c r="BH145" i="15" s="1"/>
  <c r="BH87" i="15"/>
  <c r="BH150" i="15" s="1"/>
  <c r="BH88" i="15"/>
  <c r="BH151" i="15" s="1"/>
  <c r="BH97" i="15"/>
  <c r="BH46" i="15"/>
  <c r="BH109" i="15" s="1"/>
  <c r="BH55" i="15"/>
  <c r="BH118" i="15" s="1"/>
  <c r="BH48" i="15"/>
  <c r="BH111" i="15" s="1"/>
  <c r="BH60" i="15"/>
  <c r="BH123" i="15" s="1"/>
  <c r="BH64" i="15"/>
  <c r="BH127" i="15" s="1"/>
  <c r="BH65" i="15"/>
  <c r="BH128" i="15" s="1"/>
  <c r="BH70" i="15"/>
  <c r="BH133" i="15" s="1"/>
  <c r="BH73" i="15"/>
  <c r="BH136" i="15" s="1"/>
  <c r="BH78" i="15"/>
  <c r="BH141" i="15" s="1"/>
  <c r="BH83" i="15"/>
  <c r="BH146" i="15" s="1"/>
  <c r="BH89" i="15"/>
  <c r="BH152" i="15" s="1"/>
  <c r="BH90" i="15"/>
  <c r="BH153" i="15" s="1"/>
  <c r="BH94" i="15"/>
  <c r="BH157" i="15" s="1"/>
  <c r="BH39" i="15"/>
  <c r="BH105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AZ98" i="15" a="1"/>
  <c r="BI80" i="15" a="1"/>
  <c r="BI88" i="15" a="1"/>
  <c r="N98" i="15" a="1"/>
  <c r="BI87" i="15" a="1"/>
  <c r="BI82" i="15" a="1"/>
  <c r="BI78" i="15" a="1"/>
  <c r="BI65" i="15" a="1"/>
  <c r="AR98" i="15" a="1"/>
  <c r="E98" i="15" a="1"/>
  <c r="BF64" i="8" a="1"/>
  <c r="O98" i="15" a="1"/>
  <c r="AM98" i="15" a="1"/>
  <c r="BI84" i="15" a="1"/>
  <c r="BF72" i="8" a="1"/>
  <c r="BI56" i="15" a="1"/>
  <c r="AJ98" i="15" a="1"/>
  <c r="BD98" i="15" a="1"/>
  <c r="BI90" i="15" a="1"/>
  <c r="W98" i="15" a="1"/>
  <c r="BF102" i="8" a="1"/>
  <c r="C98" i="15" a="1"/>
  <c r="BI45" i="15" a="1"/>
  <c r="BH98" i="15" a="1"/>
  <c r="BI64" i="15" a="1"/>
  <c r="BF65" i="8" a="1"/>
  <c r="I98" i="15" a="1"/>
  <c r="BF79" i="8" a="1"/>
  <c r="BF73" i="8" a="1"/>
  <c r="BI46" i="15" a="1"/>
  <c r="S98" i="15" a="1"/>
  <c r="AU98" i="15" a="1"/>
  <c r="BA98" i="15" a="1"/>
  <c r="BE98" i="15" a="1"/>
  <c r="BI71" i="15" a="1"/>
  <c r="BI63" i="15" a="1"/>
  <c r="BI93" i="15" a="1"/>
  <c r="BF85" i="8" a="1"/>
  <c r="Z98" i="15" a="1"/>
  <c r="Y98" i="15" a="1"/>
  <c r="BF59" i="8" a="1"/>
  <c r="BI86" i="15" a="1"/>
  <c r="AE98" i="15" a="1"/>
  <c r="BI77" i="15" a="1"/>
  <c r="AY98" i="15" a="1"/>
  <c r="BI51" i="15" a="1"/>
  <c r="BG98" i="15" a="1"/>
  <c r="AV98" i="15" a="1"/>
  <c r="AK98" i="15" a="1"/>
  <c r="BI75" i="15" a="1"/>
  <c r="BF77" i="8" a="1"/>
  <c r="BF100" i="8" a="1"/>
  <c r="X98" i="15" a="1"/>
  <c r="BF68" i="8" a="1"/>
  <c r="BI68" i="15" a="1"/>
  <c r="V98" i="15" a="1"/>
  <c r="BI53" i="15" a="1"/>
  <c r="BI70" i="15" a="1"/>
  <c r="P98" i="15" a="1"/>
  <c r="F98" i="15" a="1"/>
  <c r="BF55" i="8" a="1"/>
  <c r="AC98" i="15" a="1"/>
  <c r="BI96" i="15" a="1"/>
  <c r="D98" i="15" a="1"/>
  <c r="AB98" i="15" a="1"/>
  <c r="BI74" i="15" a="1"/>
  <c r="BI72" i="15" a="1"/>
  <c r="BI83" i="15" a="1"/>
  <c r="BI79" i="15" a="1"/>
  <c r="AQ98" i="15" a="1"/>
  <c r="BF80" i="8" a="1"/>
  <c r="AS98" i="15" a="1"/>
  <c r="H98" i="15" a="1"/>
  <c r="BI47" i="15" a="1"/>
  <c r="T98" i="15" a="1"/>
  <c r="AO98" i="15" a="1"/>
  <c r="BF67" i="8" a="1"/>
  <c r="AG98" i="15" a="1"/>
  <c r="BF76" i="8" a="1"/>
  <c r="AL98" i="15" a="1"/>
  <c r="BI67" i="15" a="1"/>
  <c r="BI62" i="15" a="1"/>
  <c r="J98" i="15" a="1"/>
  <c r="BF103" i="8" a="1"/>
  <c r="BF82" i="8" a="1"/>
  <c r="BI54" i="15" a="1"/>
  <c r="BI50" i="15" a="1"/>
  <c r="R98" i="15" a="1"/>
  <c r="BF78" i="8" a="1"/>
  <c r="M98" i="15" a="1"/>
  <c r="BI48" i="15" a="1"/>
  <c r="BB98" i="15" a="1"/>
  <c r="BF74" i="8" a="1"/>
  <c r="BI69" i="15" a="1"/>
  <c r="AN98" i="15" a="1"/>
  <c r="BI57" i="15" a="1"/>
  <c r="BI97" i="15" a="1"/>
  <c r="BF60" i="8" a="1"/>
  <c r="BF56" i="8" a="1"/>
  <c r="AT98" i="15" a="1"/>
  <c r="BI98" i="15" a="1"/>
  <c r="BI66" i="15" a="1"/>
  <c r="BI94" i="15" a="1"/>
  <c r="AF98" i="15" a="1"/>
  <c r="K98" i="15" a="1"/>
  <c r="BF61" i="8" a="1"/>
  <c r="BF86" i="8" a="1"/>
  <c r="AW98" i="15" a="1"/>
  <c r="AP98" i="15" a="1"/>
  <c r="BF53" i="8" a="1"/>
  <c r="BI76" i="15" a="1"/>
  <c r="BI92" i="15" a="1"/>
  <c r="BF83" i="8" a="1"/>
  <c r="BI60" i="15" a="1"/>
  <c r="BI85" i="15" a="1"/>
  <c r="BI89" i="15" a="1"/>
  <c r="BF58" i="8" a="1"/>
  <c r="BF52" i="8" a="1"/>
  <c r="AD98" i="15" a="1"/>
  <c r="AI98" i="15" a="1"/>
  <c r="BF70" i="8" a="1"/>
  <c r="BI44" i="15" a="1"/>
  <c r="BI59" i="15" a="1"/>
  <c r="AX98" i="15" a="1"/>
  <c r="BF101" i="8" a="1"/>
  <c r="BI39" i="15" a="1"/>
  <c r="L98" i="15" a="1"/>
  <c r="BF54" i="8" a="1"/>
  <c r="BF98" i="15" a="1"/>
  <c r="Q98" i="15" a="1"/>
  <c r="BF62" i="8" a="1"/>
  <c r="BI52" i="15" a="1"/>
  <c r="BI58" i="15" a="1"/>
  <c r="G98" i="15" a="1"/>
  <c r="BF104" i="8" a="1"/>
  <c r="BI61" i="15" a="1"/>
  <c r="BF84" i="8" a="1"/>
  <c r="BI55" i="15" a="1"/>
  <c r="BI73" i="15" a="1"/>
  <c r="U98" i="15" a="1"/>
  <c r="BI49" i="15" a="1"/>
  <c r="BF71" i="8" a="1"/>
  <c r="AA98" i="15" a="1"/>
  <c r="BC98" i="15" a="1"/>
  <c r="BI43" i="15" a="1"/>
  <c r="BI91" i="15" a="1"/>
  <c r="BI95" i="15" a="1"/>
  <c r="BF66" i="8" a="1"/>
  <c r="BI81" i="15" a="1"/>
  <c r="AH98" i="15" a="1"/>
  <c r="B221" i="15" l="1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78" i="8"/>
  <c r="BF76" i="8"/>
  <c r="BF80" i="8"/>
  <c r="BF79" i="8"/>
  <c r="BF77" i="8"/>
  <c r="AP159" i="15"/>
  <c r="P159" i="15"/>
  <c r="Z159" i="15"/>
  <c r="E159" i="15"/>
  <c r="AY159" i="15"/>
  <c r="AO159" i="15"/>
  <c r="O159" i="15"/>
  <c r="BG159" i="15"/>
  <c r="BH159" i="15"/>
  <c r="AV159" i="15"/>
  <c r="BB158" i="15"/>
  <c r="BD95" i="8"/>
  <c r="H158" i="15"/>
  <c r="AN158" i="15"/>
  <c r="AD158" i="15"/>
  <c r="BC88" i="8"/>
  <c r="AI158" i="15"/>
  <c r="AP158" i="15"/>
  <c r="J158" i="15"/>
  <c r="AX158" i="15"/>
  <c r="F158" i="15"/>
  <c r="G158" i="15"/>
  <c r="O158" i="15"/>
  <c r="AM158" i="15"/>
  <c r="BH158" i="15"/>
  <c r="Z158" i="15"/>
  <c r="AJ158" i="15"/>
  <c r="AK158" i="15"/>
  <c r="AO158" i="15"/>
  <c r="M158" i="15"/>
  <c r="AF158" i="15"/>
  <c r="AY158" i="15"/>
  <c r="W158" i="15"/>
  <c r="W159" i="15"/>
  <c r="AC159" i="15"/>
  <c r="AH158" i="15"/>
  <c r="AR158" i="15"/>
  <c r="BD158" i="15"/>
  <c r="E158" i="15"/>
  <c r="T158" i="15"/>
  <c r="AQ158" i="15"/>
  <c r="AW158" i="15"/>
  <c r="X158" i="15"/>
  <c r="Q158" i="15"/>
  <c r="K158" i="15"/>
  <c r="S158" i="15"/>
  <c r="BE158" i="15"/>
  <c r="BC98" i="8"/>
  <c r="BD97" i="8"/>
  <c r="I158" i="15"/>
  <c r="M159" i="15"/>
  <c r="AS159" i="15"/>
  <c r="AF159" i="15"/>
  <c r="AM159" i="15"/>
  <c r="BD92" i="8"/>
  <c r="BC159" i="15"/>
  <c r="BD91" i="8"/>
  <c r="AT158" i="15"/>
  <c r="AG158" i="15"/>
  <c r="AZ158" i="15"/>
  <c r="AU158" i="15"/>
  <c r="BD88" i="8"/>
  <c r="AA158" i="15"/>
  <c r="Y158" i="15"/>
  <c r="BA158" i="15"/>
  <c r="BD98" i="8"/>
  <c r="AB158" i="15"/>
  <c r="AS158" i="15"/>
  <c r="G159" i="15"/>
  <c r="BC89" i="8"/>
  <c r="AC158" i="15"/>
  <c r="BD90" i="8"/>
  <c r="P158" i="15"/>
  <c r="U158" i="15"/>
  <c r="BC97" i="8"/>
  <c r="R159" i="15"/>
  <c r="BD89" i="8"/>
  <c r="AL158" i="15"/>
  <c r="L158" i="15"/>
  <c r="BC158" i="15"/>
  <c r="AV158" i="15"/>
  <c r="BC96" i="8"/>
  <c r="R158" i="15"/>
  <c r="BC92" i="8"/>
  <c r="AE158" i="15"/>
  <c r="BF158" i="15"/>
  <c r="BD96" i="8"/>
  <c r="X159" i="15"/>
  <c r="L159" i="15"/>
  <c r="V158" i="15"/>
  <c r="BC95" i="8"/>
  <c r="AH159" i="15"/>
  <c r="BF159" i="15"/>
  <c r="T159" i="15"/>
  <c r="AJ159" i="15"/>
  <c r="AZ159" i="15"/>
  <c r="Q159" i="15"/>
  <c r="AG159" i="15"/>
  <c r="AW159" i="15"/>
  <c r="K159" i="15"/>
  <c r="AQ159" i="15"/>
  <c r="BC91" i="8"/>
  <c r="BC90" i="8"/>
  <c r="J159" i="15"/>
  <c r="BB159" i="15"/>
  <c r="AX159" i="15"/>
  <c r="AL159" i="15"/>
  <c r="H159" i="15"/>
  <c r="AN159" i="15"/>
  <c r="U159" i="15"/>
  <c r="AK159" i="15"/>
  <c r="BA159" i="15"/>
  <c r="AE159" i="15"/>
  <c r="V159" i="15"/>
  <c r="AB159" i="15"/>
  <c r="AR159" i="15"/>
  <c r="I159" i="15"/>
  <c r="Y159" i="15"/>
  <c r="BE159" i="15"/>
  <c r="S159" i="15"/>
  <c r="AI159" i="15"/>
  <c r="N159" i="15"/>
  <c r="AT159" i="15"/>
  <c r="BG158" i="15"/>
  <c r="AD159" i="15"/>
  <c r="F160" i="15"/>
  <c r="K160" i="15"/>
  <c r="BH160" i="15"/>
  <c r="AW160" i="15"/>
  <c r="AS160" i="15"/>
  <c r="AG160" i="15"/>
  <c r="U160" i="15"/>
  <c r="I160" i="15"/>
  <c r="BA160" i="15"/>
  <c r="AO160" i="15"/>
  <c r="AB160" i="15"/>
  <c r="Q160" i="15"/>
  <c r="M160" i="15"/>
  <c r="BE160" i="15"/>
  <c r="AK160" i="15"/>
  <c r="Y160" i="15"/>
  <c r="E160" i="15"/>
  <c r="BD160" i="15"/>
  <c r="AZ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BG160" i="15"/>
  <c r="BC160" i="15"/>
  <c r="AY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B161" i="15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V161" i="15" s="1"/>
  <c r="W98" i="15"/>
  <c r="X98" i="15"/>
  <c r="Y98" i="15"/>
  <c r="Z98" i="15"/>
  <c r="Z161" i="15" s="1"/>
  <c r="AA98" i="15"/>
  <c r="AB98" i="15"/>
  <c r="AC98" i="15"/>
  <c r="AD98" i="15"/>
  <c r="AD161" i="15" s="1"/>
  <c r="AE98" i="15"/>
  <c r="AF98" i="15"/>
  <c r="AG98" i="15"/>
  <c r="AH98" i="15"/>
  <c r="AH161" i="15" s="1"/>
  <c r="AI98" i="15"/>
  <c r="AJ98" i="15"/>
  <c r="AK98" i="15"/>
  <c r="AL98" i="15"/>
  <c r="AL161" i="15" s="1"/>
  <c r="AM98" i="15"/>
  <c r="AN98" i="15"/>
  <c r="AO98" i="15"/>
  <c r="AP98" i="15"/>
  <c r="AP161" i="15" s="1"/>
  <c r="AQ98" i="15"/>
  <c r="AR98" i="15"/>
  <c r="AS98" i="15"/>
  <c r="AT98" i="15"/>
  <c r="AT161" i="15" s="1"/>
  <c r="AU98" i="15"/>
  <c r="AV98" i="15"/>
  <c r="AW98" i="15"/>
  <c r="AX98" i="15"/>
  <c r="AX161" i="15" s="1"/>
  <c r="AY98" i="15"/>
  <c r="AZ98" i="15"/>
  <c r="BA98" i="15"/>
  <c r="BB98" i="15"/>
  <c r="BB161" i="15" s="1"/>
  <c r="BC98" i="15"/>
  <c r="BD98" i="15"/>
  <c r="BE98" i="15"/>
  <c r="BF98" i="15"/>
  <c r="BF161" i="15" s="1"/>
  <c r="BG98" i="15"/>
  <c r="BH98" i="15"/>
  <c r="BI52" i="15"/>
  <c r="BI115" i="15" s="1"/>
  <c r="BI78" i="15"/>
  <c r="BI141" i="15" s="1"/>
  <c r="BI53" i="15"/>
  <c r="BI116" i="15" s="1"/>
  <c r="BI62" i="15"/>
  <c r="BI125" i="15" s="1"/>
  <c r="BI72" i="15"/>
  <c r="BI135" i="15" s="1"/>
  <c r="BI86" i="15"/>
  <c r="BI149" i="15" s="1"/>
  <c r="BI92" i="15"/>
  <c r="BI155" i="15" s="1"/>
  <c r="BI43" i="15"/>
  <c r="BI106" i="15" s="1"/>
  <c r="BI48" i="15"/>
  <c r="BI111" i="15" s="1"/>
  <c r="BI49" i="15"/>
  <c r="BI112" i="15" s="1"/>
  <c r="BI54" i="15"/>
  <c r="BI117" i="15" s="1"/>
  <c r="BI57" i="15"/>
  <c r="BI120" i="15" s="1"/>
  <c r="BI59" i="15"/>
  <c r="BI122" i="15" s="1"/>
  <c r="BI66" i="15"/>
  <c r="BI129" i="15" s="1"/>
  <c r="BI70" i="15"/>
  <c r="BI133" i="15" s="1"/>
  <c r="BI75" i="15"/>
  <c r="BI138" i="15" s="1"/>
  <c r="BI79" i="15"/>
  <c r="BI142" i="15" s="1"/>
  <c r="BI80" i="15"/>
  <c r="BI143" i="15" s="1"/>
  <c r="BI88" i="15"/>
  <c r="BI151" i="15" s="1"/>
  <c r="BI90" i="15"/>
  <c r="BI153" i="15" s="1"/>
  <c r="BI97" i="15"/>
  <c r="BI160" i="15" s="1"/>
  <c r="BI56" i="15"/>
  <c r="BI119" i="15" s="1"/>
  <c r="BI68" i="15"/>
  <c r="BI131" i="15" s="1"/>
  <c r="BI46" i="15"/>
  <c r="BI109" i="15" s="1"/>
  <c r="BI60" i="15"/>
  <c r="BI123" i="15" s="1"/>
  <c r="BI64" i="15"/>
  <c r="BI127" i="15" s="1"/>
  <c r="BI76" i="15"/>
  <c r="BI139" i="15" s="1"/>
  <c r="BI84" i="15"/>
  <c r="BI147" i="15" s="1"/>
  <c r="BI98" i="15"/>
  <c r="BI45" i="15"/>
  <c r="BI108" i="15" s="1"/>
  <c r="BI50" i="15"/>
  <c r="BI113" i="15" s="1"/>
  <c r="BI51" i="15"/>
  <c r="BI114" i="15" s="1"/>
  <c r="BI55" i="15"/>
  <c r="BI118" i="15" s="1"/>
  <c r="BI61" i="15"/>
  <c r="BI124" i="15" s="1"/>
  <c r="BI63" i="15"/>
  <c r="BI126" i="15" s="1"/>
  <c r="BI67" i="15"/>
  <c r="BI130" i="15" s="1"/>
  <c r="BI71" i="15"/>
  <c r="BI134" i="15" s="1"/>
  <c r="BI77" i="15"/>
  <c r="BI140" i="15" s="1"/>
  <c r="BI82" i="15"/>
  <c r="BI145" i="15" s="1"/>
  <c r="BI81" i="15"/>
  <c r="BI144" i="15" s="1"/>
  <c r="BI94" i="15"/>
  <c r="BI157" i="15" s="1"/>
  <c r="BI87" i="15"/>
  <c r="BI150" i="15" s="1"/>
  <c r="BI95" i="15"/>
  <c r="BI158" i="15" s="1"/>
  <c r="BI44" i="15"/>
  <c r="BI107" i="15" s="1"/>
  <c r="BI65" i="15"/>
  <c r="BI128" i="15" s="1"/>
  <c r="BI74" i="15"/>
  <c r="BI137" i="15" s="1"/>
  <c r="BI73" i="15"/>
  <c r="BI136" i="15" s="1"/>
  <c r="BI85" i="15"/>
  <c r="BI148" i="15" s="1"/>
  <c r="BI83" i="15"/>
  <c r="BI146" i="15" s="1"/>
  <c r="BI89" i="15"/>
  <c r="BI152" i="15" s="1"/>
  <c r="BI91" i="15"/>
  <c r="BI154" i="15" s="1"/>
  <c r="BI96" i="15"/>
  <c r="BI159" i="15" s="1"/>
  <c r="BI58" i="15"/>
  <c r="BI121" i="15" s="1"/>
  <c r="BI47" i="15"/>
  <c r="BI110" i="15" s="1"/>
  <c r="BI69" i="15"/>
  <c r="BI132" i="15" s="1"/>
  <c r="BI93" i="15"/>
  <c r="BI156" i="15" s="1"/>
  <c r="BI39" i="15"/>
  <c r="BI105" i="15" s="1"/>
  <c r="BK38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I99" i="15" a="1"/>
  <c r="BE99" i="15" a="1"/>
  <c r="BA99" i="15" a="1"/>
  <c r="AW99" i="15" a="1"/>
  <c r="AS99" i="15" a="1"/>
  <c r="AO99" i="15" a="1"/>
  <c r="AK99" i="15" a="1"/>
  <c r="AG99" i="15" a="1"/>
  <c r="AC99" i="15" a="1"/>
  <c r="Y99" i="15" a="1"/>
  <c r="U99" i="15" a="1"/>
  <c r="Q99" i="15" a="1"/>
  <c r="M99" i="15" a="1"/>
  <c r="I99" i="15" a="1"/>
  <c r="F99" i="15" a="1"/>
  <c r="BG78" i="8" a="1"/>
  <c r="BJ86" i="15" a="1"/>
  <c r="BG104" i="8" a="1"/>
  <c r="BG71" i="8" a="1"/>
  <c r="BJ92" i="15" a="1"/>
  <c r="BJ62" i="15" a="1"/>
  <c r="BJ68" i="15" a="1"/>
  <c r="BJ67" i="15" a="1"/>
  <c r="BJ61" i="15" a="1"/>
  <c r="BJ94" i="15" a="1"/>
  <c r="BG56" i="8" a="1"/>
  <c r="BJ54" i="15" a="1"/>
  <c r="BJ72" i="15" a="1"/>
  <c r="BG103" i="8" a="1"/>
  <c r="BJ57" i="15" a="1"/>
  <c r="BG58" i="8" a="1"/>
  <c r="BJ76" i="15" a="1"/>
  <c r="BH99" i="15" a="1"/>
  <c r="BD99" i="15" a="1"/>
  <c r="AZ99" i="15" a="1"/>
  <c r="AV99" i="15" a="1"/>
  <c r="AR99" i="15" a="1"/>
  <c r="AN99" i="15" a="1"/>
  <c r="AJ99" i="15" a="1"/>
  <c r="AF99" i="15" a="1"/>
  <c r="AB99" i="15" a="1"/>
  <c r="X99" i="15" a="1"/>
  <c r="T99" i="15" a="1"/>
  <c r="P99" i="15" a="1"/>
  <c r="L99" i="15" a="1"/>
  <c r="H99" i="15" a="1"/>
  <c r="D99" i="15" a="1"/>
  <c r="BG54" i="8" a="1"/>
  <c r="BG68" i="8" a="1"/>
  <c r="BG70" i="8" a="1"/>
  <c r="BJ59" i="15" a="1"/>
  <c r="BG100" i="8" a="1"/>
  <c r="BG64" i="8" a="1"/>
  <c r="BJ88" i="15" a="1"/>
  <c r="BG76" i="8" a="1"/>
  <c r="BJ45" i="15" a="1"/>
  <c r="BG82" i="8" a="1"/>
  <c r="BJ43" i="15" a="1"/>
  <c r="BJ98" i="15" a="1"/>
  <c r="BJ70" i="15" a="1"/>
  <c r="BG52" i="8" a="1"/>
  <c r="BG79" i="8" a="1"/>
  <c r="BJ63" i="15" a="1"/>
  <c r="BJ84" i="15" a="1"/>
  <c r="BJ58" i="15" a="1"/>
  <c r="BG99" i="15" a="1"/>
  <c r="BC99" i="15" a="1"/>
  <c r="AY99" i="15" a="1"/>
  <c r="AU99" i="15" a="1"/>
  <c r="AQ99" i="15" a="1"/>
  <c r="AM99" i="15" a="1"/>
  <c r="AI99" i="15" a="1"/>
  <c r="AE99" i="15" a="1"/>
  <c r="AA99" i="15" a="1"/>
  <c r="W99" i="15" a="1"/>
  <c r="S99" i="15" a="1"/>
  <c r="O99" i="15" a="1"/>
  <c r="J99" i="15" a="1"/>
  <c r="G99" i="15" a="1"/>
  <c r="C99" i="15" a="1"/>
  <c r="BJ96" i="15" a="1"/>
  <c r="BG85" i="8" a="1"/>
  <c r="BJ39" i="15" a="1"/>
  <c r="BJ73" i="15" a="1"/>
  <c r="BJ81" i="15" a="1"/>
  <c r="BG60" i="8" a="1"/>
  <c r="BJ64" i="15" a="1"/>
  <c r="BJ87" i="15" a="1"/>
  <c r="BJ75" i="15" a="1"/>
  <c r="BG83" i="8" a="1"/>
  <c r="BJ46" i="15" a="1"/>
  <c r="BG61" i="8" a="1"/>
  <c r="BJ48" i="15" a="1"/>
  <c r="BG62" i="8" a="1"/>
  <c r="BG55" i="8" a="1"/>
  <c r="BG67" i="8" a="1"/>
  <c r="BJ50" i="15" a="1"/>
  <c r="BJ69" i="15" a="1"/>
  <c r="BG86" i="8" a="1"/>
  <c r="BG66" i="8" a="1"/>
  <c r="BJ83" i="15" a="1"/>
  <c r="BG84" i="8" a="1"/>
  <c r="BG65" i="8" a="1"/>
  <c r="BG80" i="8" a="1"/>
  <c r="BJ55" i="15" a="1"/>
  <c r="BJ97" i="15" a="1"/>
  <c r="BJ47" i="15" a="1"/>
  <c r="BJ60" i="15" a="1"/>
  <c r="BJ99" i="15" a="1"/>
  <c r="BF99" i="15" a="1"/>
  <c r="BB99" i="15" a="1"/>
  <c r="AX99" i="15" a="1"/>
  <c r="AT99" i="15" a="1"/>
  <c r="AP99" i="15" a="1"/>
  <c r="AL99" i="15" a="1"/>
  <c r="AH99" i="15" a="1"/>
  <c r="AD99" i="15" a="1"/>
  <c r="Z99" i="15" a="1"/>
  <c r="V99" i="15" a="1"/>
  <c r="R99" i="15" a="1"/>
  <c r="N99" i="15" a="1"/>
  <c r="K99" i="15" a="1"/>
  <c r="E99" i="15" a="1"/>
  <c r="BK99" i="15" a="1"/>
  <c r="BG72" i="8" a="1"/>
  <c r="BG102" i="8" a="1"/>
  <c r="BJ77" i="15" a="1"/>
  <c r="BJ95" i="15" a="1"/>
  <c r="BJ65" i="15" a="1"/>
  <c r="BJ56" i="15" a="1"/>
  <c r="BJ91" i="15" a="1"/>
  <c r="BJ71" i="15" a="1"/>
  <c r="BJ89" i="15" a="1"/>
  <c r="BG77" i="8" a="1"/>
  <c r="BJ82" i="15" a="1"/>
  <c r="BJ79" i="15" a="1"/>
  <c r="BJ66" i="15" a="1"/>
  <c r="BG101" i="8" a="1"/>
  <c r="BJ93" i="15" a="1"/>
  <c r="BG73" i="8" a="1"/>
  <c r="BJ53" i="15" a="1"/>
  <c r="BJ49" i="15" a="1"/>
  <c r="BG74" i="8" a="1"/>
  <c r="BG59" i="8" a="1"/>
  <c r="BG53" i="8" a="1"/>
  <c r="BJ74" i="15" a="1"/>
  <c r="BJ51" i="15" a="1"/>
  <c r="BJ90" i="15" a="1"/>
  <c r="BJ85" i="15" a="1"/>
  <c r="BJ44" i="15" a="1"/>
  <c r="BJ80" i="15" a="1"/>
  <c r="BJ78" i="15" a="1"/>
  <c r="BJ52" i="15" a="1"/>
  <c r="C99" i="15" l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222" i="15"/>
  <c r="B100" i="15"/>
  <c r="BK99" i="15"/>
  <c r="R161" i="15"/>
  <c r="N161" i="15"/>
  <c r="K161" i="15"/>
  <c r="BG52" i="8"/>
  <c r="BG55" i="8"/>
  <c r="BG56" i="8"/>
  <c r="BG54" i="8"/>
  <c r="BG53" i="8"/>
  <c r="BG79" i="8"/>
  <c r="BG77" i="8"/>
  <c r="BG78" i="8"/>
  <c r="BG76" i="8"/>
  <c r="BG80" i="8"/>
  <c r="F161" i="15"/>
  <c r="BI161" i="15"/>
  <c r="BE161" i="15"/>
  <c r="BA161" i="15"/>
  <c r="AW161" i="15"/>
  <c r="BH161" i="15"/>
  <c r="BD161" i="15"/>
  <c r="AZ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BG161" i="15"/>
  <c r="BC161" i="15"/>
  <c r="AY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J44" i="15"/>
  <c r="BJ107" i="15" s="1"/>
  <c r="BJ47" i="15"/>
  <c r="BJ110" i="15" s="1"/>
  <c r="BJ53" i="15"/>
  <c r="BJ116" i="15" s="1"/>
  <c r="BJ57" i="15"/>
  <c r="BJ120" i="15" s="1"/>
  <c r="BJ60" i="15"/>
  <c r="BJ123" i="15" s="1"/>
  <c r="BJ66" i="15"/>
  <c r="BJ129" i="15" s="1"/>
  <c r="BJ62" i="15"/>
  <c r="BJ125" i="15" s="1"/>
  <c r="BJ69" i="15"/>
  <c r="BJ132" i="15" s="1"/>
  <c r="BJ71" i="15"/>
  <c r="BJ134" i="15" s="1"/>
  <c r="BJ79" i="15"/>
  <c r="BJ142" i="15" s="1"/>
  <c r="BJ82" i="15"/>
  <c r="BJ145" i="15" s="1"/>
  <c r="BJ92" i="15"/>
  <c r="BJ155" i="15" s="1"/>
  <c r="BJ88" i="15"/>
  <c r="BJ151" i="15" s="1"/>
  <c r="BJ95" i="15"/>
  <c r="BJ158" i="15" s="1"/>
  <c r="BJ46" i="15"/>
  <c r="BJ109" i="15" s="1"/>
  <c r="BJ48" i="15"/>
  <c r="BJ111" i="15" s="1"/>
  <c r="BJ54" i="15"/>
  <c r="BJ117" i="15" s="1"/>
  <c r="BJ50" i="15"/>
  <c r="BJ113" i="15" s="1"/>
  <c r="BJ64" i="15"/>
  <c r="BJ127" i="15" s="1"/>
  <c r="BJ68" i="15"/>
  <c r="BJ131" i="15" s="1"/>
  <c r="BJ72" i="15"/>
  <c r="BJ135" i="15" s="1"/>
  <c r="BJ73" i="15"/>
  <c r="BJ136" i="15" s="1"/>
  <c r="BJ75" i="15"/>
  <c r="BJ138" i="15" s="1"/>
  <c r="BJ80" i="15"/>
  <c r="BJ143" i="15" s="1"/>
  <c r="BJ85" i="15"/>
  <c r="BJ148" i="15" s="1"/>
  <c r="BJ86" i="15"/>
  <c r="BJ149" i="15" s="1"/>
  <c r="BJ93" i="15"/>
  <c r="BJ156" i="15" s="1"/>
  <c r="BJ96" i="15"/>
  <c r="BJ159" i="15" s="1"/>
  <c r="BJ43" i="15"/>
  <c r="BJ106" i="15" s="1"/>
  <c r="BJ49" i="15"/>
  <c r="BJ112" i="15" s="1"/>
  <c r="BJ55" i="15"/>
  <c r="BJ118" i="15" s="1"/>
  <c r="BJ52" i="15"/>
  <c r="BJ115" i="15" s="1"/>
  <c r="BJ61" i="15"/>
  <c r="BJ124" i="15" s="1"/>
  <c r="BJ70" i="15"/>
  <c r="BJ133" i="15" s="1"/>
  <c r="BJ63" i="15"/>
  <c r="BJ126" i="15" s="1"/>
  <c r="BJ76" i="15"/>
  <c r="BJ139" i="15" s="1"/>
  <c r="BJ77" i="15"/>
  <c r="BJ140" i="15" s="1"/>
  <c r="BJ81" i="15"/>
  <c r="BJ144" i="15" s="1"/>
  <c r="BJ83" i="15"/>
  <c r="BJ146" i="15" s="1"/>
  <c r="BJ87" i="15"/>
  <c r="BJ150" i="15" s="1"/>
  <c r="BJ89" i="15"/>
  <c r="BJ152" i="15" s="1"/>
  <c r="BJ98" i="15"/>
  <c r="BJ161" i="15" s="1"/>
  <c r="BJ45" i="15"/>
  <c r="BJ108" i="15" s="1"/>
  <c r="BJ51" i="15"/>
  <c r="BJ114" i="15" s="1"/>
  <c r="BJ56" i="15"/>
  <c r="BJ119" i="15" s="1"/>
  <c r="BJ59" i="15"/>
  <c r="BJ122" i="15" s="1"/>
  <c r="BJ65" i="15"/>
  <c r="BJ128" i="15" s="1"/>
  <c r="BJ58" i="15"/>
  <c r="BJ121" i="15" s="1"/>
  <c r="BJ67" i="15"/>
  <c r="BJ130" i="15" s="1"/>
  <c r="BJ74" i="15"/>
  <c r="BJ137" i="15" s="1"/>
  <c r="BJ78" i="15"/>
  <c r="BJ141" i="15" s="1"/>
  <c r="BJ84" i="15"/>
  <c r="BJ147" i="15" s="1"/>
  <c r="BJ90" i="15"/>
  <c r="BJ153" i="15" s="1"/>
  <c r="BJ91" i="15"/>
  <c r="BJ154" i="15" s="1"/>
  <c r="BJ94" i="15"/>
  <c r="BJ157" i="15" s="1"/>
  <c r="BJ97" i="15"/>
  <c r="BJ160" i="15" s="1"/>
  <c r="BJ39" i="15"/>
  <c r="BJ105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I100" i="15" a="1"/>
  <c r="BE100" i="15" a="1"/>
  <c r="BA100" i="15" a="1"/>
  <c r="AW100" i="15" a="1"/>
  <c r="AS100" i="15" a="1"/>
  <c r="AO100" i="15" a="1"/>
  <c r="AK100" i="15" a="1"/>
  <c r="AG100" i="15" a="1"/>
  <c r="AC100" i="15" a="1"/>
  <c r="Y100" i="15" a="1"/>
  <c r="U100" i="15" a="1"/>
  <c r="Q100" i="15" a="1"/>
  <c r="M100" i="15" a="1"/>
  <c r="I100" i="15" a="1"/>
  <c r="F100" i="15" a="1"/>
  <c r="BL99" i="15" a="1"/>
  <c r="BK95" i="15" a="1"/>
  <c r="BK78" i="15" a="1"/>
  <c r="BK91" i="15" a="1"/>
  <c r="BK68" i="15" a="1"/>
  <c r="BH102" i="8" a="1"/>
  <c r="BH100" i="8" a="1"/>
  <c r="BH71" i="8" a="1"/>
  <c r="BK65" i="15" a="1"/>
  <c r="BK85" i="15" a="1"/>
  <c r="BK56" i="15" a="1"/>
  <c r="BK84" i="15" a="1"/>
  <c r="BH67" i="8" a="1"/>
  <c r="BK48" i="15" a="1"/>
  <c r="BH61" i="8" a="1"/>
  <c r="BK49" i="15" a="1"/>
  <c r="BK87" i="15" a="1"/>
  <c r="BK93" i="15" a="1"/>
  <c r="BH104" i="8" a="1"/>
  <c r="BH58" i="8" a="1"/>
  <c r="BH64" i="8" a="1"/>
  <c r="BK63" i="15" a="1"/>
  <c r="BK77" i="15" a="1"/>
  <c r="BK50" i="15" a="1"/>
  <c r="BK43" i="15" a="1"/>
  <c r="BK72" i="15" a="1"/>
  <c r="BK81" i="15" a="1"/>
  <c r="BH100" i="15" a="1"/>
  <c r="BD100" i="15" a="1"/>
  <c r="AZ100" i="15" a="1"/>
  <c r="AV100" i="15" a="1"/>
  <c r="AR100" i="15" a="1"/>
  <c r="AN100" i="15" a="1"/>
  <c r="AJ100" i="15" a="1"/>
  <c r="AF100" i="15" a="1"/>
  <c r="AB100" i="15" a="1"/>
  <c r="X100" i="15" a="1"/>
  <c r="T100" i="15" a="1"/>
  <c r="P100" i="15" a="1"/>
  <c r="L100" i="15" a="1"/>
  <c r="H100" i="15" a="1"/>
  <c r="C100" i="15" a="1"/>
  <c r="BH76" i="8" a="1"/>
  <c r="BH70" i="8" a="1"/>
  <c r="BH65" i="8" a="1"/>
  <c r="BH73" i="8" a="1"/>
  <c r="BH66" i="8" a="1"/>
  <c r="BH79" i="8" a="1"/>
  <c r="BK97" i="15" a="1"/>
  <c r="BK80" i="15" a="1"/>
  <c r="BK55" i="15" a="1"/>
  <c r="BH68" i="8" a="1"/>
  <c r="BK89" i="15" a="1"/>
  <c r="BH78" i="8" a="1"/>
  <c r="BK76" i="15" a="1"/>
  <c r="BK71" i="15" a="1"/>
  <c r="BH74" i="8" a="1"/>
  <c r="BK92" i="15" a="1"/>
  <c r="BK46" i="15" a="1"/>
  <c r="BH80" i="8" a="1"/>
  <c r="BK60" i="15" a="1"/>
  <c r="BK51" i="15" a="1"/>
  <c r="BK100" i="15" a="1"/>
  <c r="BG100" i="15" a="1"/>
  <c r="BC100" i="15" a="1"/>
  <c r="AY100" i="15" a="1"/>
  <c r="AU100" i="15" a="1"/>
  <c r="AQ100" i="15" a="1"/>
  <c r="AM100" i="15" a="1"/>
  <c r="AI100" i="15" a="1"/>
  <c r="AD100" i="15" a="1"/>
  <c r="AA100" i="15" a="1"/>
  <c r="W100" i="15" a="1"/>
  <c r="S100" i="15" a="1"/>
  <c r="O100" i="15" a="1"/>
  <c r="K100" i="15" a="1"/>
  <c r="G100" i="15" a="1"/>
  <c r="D100" i="15" a="1"/>
  <c r="BH56" i="8" a="1"/>
  <c r="BH101" i="8" a="1"/>
  <c r="BK66" i="15" a="1"/>
  <c r="BH85" i="8" a="1"/>
  <c r="BK58" i="15" a="1"/>
  <c r="BH53" i="8" a="1"/>
  <c r="BK61" i="15" a="1"/>
  <c r="BK88" i="15" a="1"/>
  <c r="BK82" i="15" a="1"/>
  <c r="BK98" i="15" a="1"/>
  <c r="BK39" i="15" a="1"/>
  <c r="BH54" i="8" a="1"/>
  <c r="BH60" i="8" a="1"/>
  <c r="BK44" i="15" a="1"/>
  <c r="BK52" i="15" a="1"/>
  <c r="BK62" i="15" a="1"/>
  <c r="BK47" i="15" a="1"/>
  <c r="BH77" i="8" a="1"/>
  <c r="BK73" i="15" a="1"/>
  <c r="BH84" i="8" a="1"/>
  <c r="BJ100" i="15" a="1"/>
  <c r="BF100" i="15" a="1"/>
  <c r="BB100" i="15" a="1"/>
  <c r="AX100" i="15" a="1"/>
  <c r="AT100" i="15" a="1"/>
  <c r="AP100" i="15" a="1"/>
  <c r="AL100" i="15" a="1"/>
  <c r="AH100" i="15" a="1"/>
  <c r="AE100" i="15" a="1"/>
  <c r="Z100" i="15" a="1"/>
  <c r="V100" i="15" a="1"/>
  <c r="R100" i="15" a="1"/>
  <c r="N100" i="15" a="1"/>
  <c r="J100" i="15" a="1"/>
  <c r="E100" i="15" a="1"/>
  <c r="BL100" i="15" a="1"/>
  <c r="BH55" i="8" a="1"/>
  <c r="BK54" i="15" a="1"/>
  <c r="BK57" i="15" a="1"/>
  <c r="BH82" i="8" a="1"/>
  <c r="BH59" i="8" a="1"/>
  <c r="BK67" i="15" a="1"/>
  <c r="BK45" i="15" a="1"/>
  <c r="BK53" i="15" a="1"/>
  <c r="BH72" i="8" a="1"/>
  <c r="BH103" i="8" a="1"/>
  <c r="BK79" i="15" a="1"/>
  <c r="BK75" i="15" a="1"/>
  <c r="BH62" i="8" a="1"/>
  <c r="BK59" i="15" a="1"/>
  <c r="BK86" i="15" a="1"/>
  <c r="BK90" i="15" a="1"/>
  <c r="BK70" i="15" a="1"/>
  <c r="BH52" i="8" a="1"/>
  <c r="BK96" i="15" a="1"/>
  <c r="BH83" i="8" a="1"/>
  <c r="BK64" i="15" a="1"/>
  <c r="BK69" i="15" a="1"/>
  <c r="BK83" i="15" a="1"/>
  <c r="BK94" i="15" a="1"/>
  <c r="BH86" i="8" a="1"/>
  <c r="BK74" i="15" a="1"/>
  <c r="D100" i="15" l="1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101" i="15"/>
  <c r="B223" i="15"/>
  <c r="BL100" i="15"/>
  <c r="BL99" i="15"/>
  <c r="BH55" i="8"/>
  <c r="BH52" i="8"/>
  <c r="BH54" i="8"/>
  <c r="BH53" i="8"/>
  <c r="BH56" i="8"/>
  <c r="BH77" i="8"/>
  <c r="BH78" i="8"/>
  <c r="BH79" i="8"/>
  <c r="BH76" i="8"/>
  <c r="BH80" i="8"/>
  <c r="BK50" i="15"/>
  <c r="BK113" i="15" s="1"/>
  <c r="BK65" i="15"/>
  <c r="BK128" i="15" s="1"/>
  <c r="BK75" i="15"/>
  <c r="BK138" i="15" s="1"/>
  <c r="BK52" i="15"/>
  <c r="BK115" i="15" s="1"/>
  <c r="BK57" i="15"/>
  <c r="BK120" i="15" s="1"/>
  <c r="BK70" i="15"/>
  <c r="BK133" i="15" s="1"/>
  <c r="BK77" i="15"/>
  <c r="BK140" i="15" s="1"/>
  <c r="BK94" i="15"/>
  <c r="BK157" i="15" s="1"/>
  <c r="BK93" i="15"/>
  <c r="BK156" i="15" s="1"/>
  <c r="BK43" i="15"/>
  <c r="BK106" i="15" s="1"/>
  <c r="BK47" i="15"/>
  <c r="BK110" i="15" s="1"/>
  <c r="BK59" i="15"/>
  <c r="BK122" i="15" s="1"/>
  <c r="BK54" i="15"/>
  <c r="BK117" i="15" s="1"/>
  <c r="BK58" i="15"/>
  <c r="BK121" i="15" s="1"/>
  <c r="BK64" i="15"/>
  <c r="BK127" i="15" s="1"/>
  <c r="BK67" i="15"/>
  <c r="BK130" i="15" s="1"/>
  <c r="BK71" i="15"/>
  <c r="BK134" i="15" s="1"/>
  <c r="BK78" i="15"/>
  <c r="BK141" i="15" s="1"/>
  <c r="BK82" i="15"/>
  <c r="BK145" i="15" s="1"/>
  <c r="BK81" i="15"/>
  <c r="BK144" i="15" s="1"/>
  <c r="BK89" i="15"/>
  <c r="BK152" i="15" s="1"/>
  <c r="BK91" i="15"/>
  <c r="BK154" i="15" s="1"/>
  <c r="BK98" i="15"/>
  <c r="BK161" i="15" s="1"/>
  <c r="BK46" i="15"/>
  <c r="BK109" i="15" s="1"/>
  <c r="BK56" i="15"/>
  <c r="BK119" i="15" s="1"/>
  <c r="BK69" i="15"/>
  <c r="BK132" i="15" s="1"/>
  <c r="BK86" i="15"/>
  <c r="BK149" i="15" s="1"/>
  <c r="BK45" i="15"/>
  <c r="BK108" i="15" s="1"/>
  <c r="BK53" i="15"/>
  <c r="BK116" i="15" s="1"/>
  <c r="BK66" i="15"/>
  <c r="BK129" i="15" s="1"/>
  <c r="BK76" i="15"/>
  <c r="BK139" i="15" s="1"/>
  <c r="BK85" i="15"/>
  <c r="BK148" i="15" s="1"/>
  <c r="BK44" i="15"/>
  <c r="BK107" i="15" s="1"/>
  <c r="BK49" i="15"/>
  <c r="BK112" i="15" s="1"/>
  <c r="BK48" i="15"/>
  <c r="BK111" i="15" s="1"/>
  <c r="BK55" i="15"/>
  <c r="BK118" i="15" s="1"/>
  <c r="BK62" i="15"/>
  <c r="BK125" i="15" s="1"/>
  <c r="BK61" i="15"/>
  <c r="BK124" i="15" s="1"/>
  <c r="BK68" i="15"/>
  <c r="BK131" i="15" s="1"/>
  <c r="BK72" i="15"/>
  <c r="BK135" i="15" s="1"/>
  <c r="BK74" i="15"/>
  <c r="BK137" i="15" s="1"/>
  <c r="BK83" i="15"/>
  <c r="BK146" i="15" s="1"/>
  <c r="BK84" i="15"/>
  <c r="BK147" i="15" s="1"/>
  <c r="BK90" i="15"/>
  <c r="BK153" i="15" s="1"/>
  <c r="BK87" i="15"/>
  <c r="BK150" i="15" s="1"/>
  <c r="BK95" i="15"/>
  <c r="BK158" i="15" s="1"/>
  <c r="BK63" i="15"/>
  <c r="BK126" i="15" s="1"/>
  <c r="BK73" i="15"/>
  <c r="BK136" i="15" s="1"/>
  <c r="BK79" i="15"/>
  <c r="BK142" i="15" s="1"/>
  <c r="BK92" i="15"/>
  <c r="BK155" i="15" s="1"/>
  <c r="BK88" i="15"/>
  <c r="BK151" i="15" s="1"/>
  <c r="BK96" i="15"/>
  <c r="BK159" i="15" s="1"/>
  <c r="BK51" i="15"/>
  <c r="BK114" i="15" s="1"/>
  <c r="BK60" i="15"/>
  <c r="BK123" i="15" s="1"/>
  <c r="BK80" i="15"/>
  <c r="BK143" i="15" s="1"/>
  <c r="BK97" i="15"/>
  <c r="BK160" i="15" s="1"/>
  <c r="BK39" i="15"/>
  <c r="BK105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I101" i="15" a="1"/>
  <c r="BE101" i="15" a="1"/>
  <c r="BA101" i="15" a="1"/>
  <c r="AW101" i="15" a="1"/>
  <c r="AS101" i="15" a="1"/>
  <c r="AO101" i="15" a="1"/>
  <c r="AK101" i="15" a="1"/>
  <c r="AG101" i="15" a="1"/>
  <c r="AC101" i="15" a="1"/>
  <c r="Y101" i="15" a="1"/>
  <c r="U101" i="15" a="1"/>
  <c r="Q101" i="15" a="1"/>
  <c r="M101" i="15" a="1"/>
  <c r="I101" i="15" a="1"/>
  <c r="E101" i="15" a="1"/>
  <c r="BM100" i="15" a="1"/>
  <c r="BI102" i="8" a="1"/>
  <c r="BL55" i="15" a="1"/>
  <c r="BL94" i="15" a="1"/>
  <c r="BL78" i="15" a="1"/>
  <c r="BL50" i="15" a="1"/>
  <c r="BI60" i="8" a="1"/>
  <c r="BI55" i="8" a="1"/>
  <c r="BL67" i="15" a="1"/>
  <c r="BL85" i="15" a="1"/>
  <c r="BL39" i="15" a="1"/>
  <c r="BL57" i="15" a="1"/>
  <c r="BI82" i="8" a="1"/>
  <c r="BI83" i="8" a="1"/>
  <c r="BL46" i="15" a="1"/>
  <c r="BI70" i="8" a="1"/>
  <c r="BL72" i="15" a="1"/>
  <c r="BI104" i="8" a="1"/>
  <c r="BI54" i="8" a="1"/>
  <c r="BL80" i="15" a="1"/>
  <c r="BL82" i="15" a="1"/>
  <c r="BL88" i="15" a="1"/>
  <c r="BL52" i="15" a="1"/>
  <c r="BL54" i="15" a="1"/>
  <c r="BL101" i="15" a="1"/>
  <c r="BH101" i="15" a="1"/>
  <c r="BD101" i="15" a="1"/>
  <c r="AZ101" i="15" a="1"/>
  <c r="AV101" i="15" a="1"/>
  <c r="AR101" i="15" a="1"/>
  <c r="AN101" i="15" a="1"/>
  <c r="AJ101" i="15" a="1"/>
  <c r="AF101" i="15" a="1"/>
  <c r="AB101" i="15" a="1"/>
  <c r="X101" i="15" a="1"/>
  <c r="T101" i="15" a="1"/>
  <c r="P101" i="15" a="1"/>
  <c r="L101" i="15" a="1"/>
  <c r="H101" i="15" a="1"/>
  <c r="D101" i="15" a="1"/>
  <c r="BM99" i="15" a="1"/>
  <c r="BL56" i="15" a="1"/>
  <c r="BI85" i="8" a="1"/>
  <c r="BL83" i="15" a="1"/>
  <c r="BL45" i="15" a="1"/>
  <c r="BL69" i="15" a="1"/>
  <c r="BL77" i="15" a="1"/>
  <c r="BI62" i="8" a="1"/>
  <c r="BI61" i="8" a="1"/>
  <c r="BL60" i="15" a="1"/>
  <c r="BI59" i="8" a="1"/>
  <c r="BL51" i="15" a="1"/>
  <c r="BI77" i="8" a="1"/>
  <c r="BL87" i="15" a="1"/>
  <c r="BL76" i="15" a="1"/>
  <c r="BI74" i="8" a="1"/>
  <c r="BL75" i="15" a="1"/>
  <c r="BI86" i="8" a="1"/>
  <c r="BI101" i="8" a="1"/>
  <c r="BI73" i="8" a="1"/>
  <c r="BI84" i="8" a="1"/>
  <c r="BL44" i="15" a="1"/>
  <c r="BL43" i="15" a="1"/>
  <c r="BL84" i="15" a="1"/>
  <c r="BK101" i="15" a="1"/>
  <c r="BG101" i="15" a="1"/>
  <c r="BC101" i="15" a="1"/>
  <c r="AY101" i="15" a="1"/>
  <c r="AU101" i="15" a="1"/>
  <c r="AQ101" i="15" a="1"/>
  <c r="AM101" i="15" a="1"/>
  <c r="AI101" i="15" a="1"/>
  <c r="AE101" i="15" a="1"/>
  <c r="AA101" i="15" a="1"/>
  <c r="W101" i="15" a="1"/>
  <c r="S101" i="15" a="1"/>
  <c r="O101" i="15" a="1"/>
  <c r="K101" i="15" a="1"/>
  <c r="G101" i="15" a="1"/>
  <c r="C101" i="15" a="1"/>
  <c r="BI76" i="8" a="1"/>
  <c r="BI72" i="8" a="1"/>
  <c r="BL91" i="15" a="1"/>
  <c r="BL61" i="15" a="1"/>
  <c r="BL53" i="15" a="1"/>
  <c r="BL81" i="15" a="1"/>
  <c r="BI78" i="8" a="1"/>
  <c r="BI68" i="8" a="1"/>
  <c r="BL47" i="15" a="1"/>
  <c r="BI66" i="8" a="1"/>
  <c r="BL96" i="15" a="1"/>
  <c r="BL79" i="15" a="1"/>
  <c r="BI53" i="8" a="1"/>
  <c r="BI71" i="8" a="1"/>
  <c r="BL63" i="15" a="1"/>
  <c r="BL68" i="15" a="1"/>
  <c r="BL98" i="15" a="1"/>
  <c r="BL62" i="15" a="1"/>
  <c r="BL97" i="15" a="1"/>
  <c r="BL49" i="15" a="1"/>
  <c r="BI100" i="8" a="1"/>
  <c r="BL92" i="15" a="1"/>
  <c r="BL73" i="15" a="1"/>
  <c r="BJ101" i="15" a="1"/>
  <c r="BF101" i="15" a="1"/>
  <c r="BB101" i="15" a="1"/>
  <c r="AX101" i="15" a="1"/>
  <c r="AT101" i="15" a="1"/>
  <c r="AP101" i="15" a="1"/>
  <c r="AL101" i="15" a="1"/>
  <c r="AH101" i="15" a="1"/>
  <c r="AD101" i="15" a="1"/>
  <c r="Z101" i="15" a="1"/>
  <c r="V101" i="15" a="1"/>
  <c r="R101" i="15" a="1"/>
  <c r="N101" i="15" a="1"/>
  <c r="J101" i="15" a="1"/>
  <c r="F101" i="15" a="1"/>
  <c r="BM101" i="15" a="1"/>
  <c r="BI56" i="8" a="1"/>
  <c r="BL65" i="15" a="1"/>
  <c r="BL95" i="15" a="1"/>
  <c r="BL90" i="15" a="1"/>
  <c r="BL59" i="15" a="1"/>
  <c r="BI65" i="8" a="1"/>
  <c r="BI79" i="8" a="1"/>
  <c r="BI58" i="8" a="1"/>
  <c r="BI67" i="8" a="1"/>
  <c r="BI103" i="8" a="1"/>
  <c r="BL93" i="15" a="1"/>
  <c r="BI64" i="8" a="1"/>
  <c r="BI52" i="8" a="1"/>
  <c r="BL58" i="15" a="1"/>
  <c r="BL74" i="15" a="1"/>
  <c r="BL71" i="15" a="1"/>
  <c r="BL48" i="15" a="1"/>
  <c r="BI80" i="8" a="1"/>
  <c r="BL64" i="15" a="1"/>
  <c r="BL89" i="15" a="1"/>
  <c r="BL86" i="15" a="1"/>
  <c r="BL70" i="15" a="1"/>
  <c r="BL66" i="15" a="1"/>
  <c r="C101" i="15" l="1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102" i="15"/>
  <c r="B224" i="15"/>
  <c r="BM101" i="15"/>
  <c r="BM100" i="15"/>
  <c r="BM99" i="15"/>
  <c r="BI52" i="8"/>
  <c r="BI55" i="8"/>
  <c r="BI56" i="8"/>
  <c r="BI54" i="8"/>
  <c r="BI53" i="8"/>
  <c r="BI79" i="8"/>
  <c r="BI76" i="8"/>
  <c r="BI80" i="8"/>
  <c r="BI77" i="8"/>
  <c r="BI78" i="8"/>
  <c r="BL43" i="15"/>
  <c r="BL106" i="15" s="1"/>
  <c r="BL58" i="15"/>
  <c r="BL121" i="15" s="1"/>
  <c r="BL54" i="15"/>
  <c r="BL117" i="15" s="1"/>
  <c r="BL47" i="15"/>
  <c r="BL110" i="15" s="1"/>
  <c r="BL57" i="15"/>
  <c r="BL120" i="15" s="1"/>
  <c r="BL67" i="15"/>
  <c r="BL130" i="15" s="1"/>
  <c r="BL63" i="15"/>
  <c r="BL126" i="15" s="1"/>
  <c r="BL70" i="15"/>
  <c r="BL133" i="15" s="1"/>
  <c r="BL71" i="15"/>
  <c r="BL134" i="15" s="1"/>
  <c r="BL79" i="15"/>
  <c r="BL142" i="15" s="1"/>
  <c r="BL82" i="15"/>
  <c r="BL145" i="15" s="1"/>
  <c r="BL93" i="15"/>
  <c r="BL156" i="15" s="1"/>
  <c r="BL89" i="15"/>
  <c r="BL152" i="15" s="1"/>
  <c r="BL95" i="15"/>
  <c r="BL158" i="15" s="1"/>
  <c r="BL45" i="15"/>
  <c r="BL108" i="15" s="1"/>
  <c r="BL50" i="15"/>
  <c r="BL113" i="15" s="1"/>
  <c r="BL55" i="15"/>
  <c r="BL118" i="15" s="1"/>
  <c r="BL48" i="15"/>
  <c r="BL111" i="15" s="1"/>
  <c r="BL61" i="15"/>
  <c r="BL124" i="15" s="1"/>
  <c r="BL69" i="15"/>
  <c r="BL132" i="15" s="1"/>
  <c r="BL64" i="15"/>
  <c r="BL127" i="15" s="1"/>
  <c r="BL74" i="15"/>
  <c r="BL137" i="15" s="1"/>
  <c r="BL72" i="15"/>
  <c r="BL135" i="15" s="1"/>
  <c r="BL80" i="15"/>
  <c r="BL143" i="15" s="1"/>
  <c r="BL83" i="15"/>
  <c r="BL146" i="15" s="1"/>
  <c r="BL86" i="15"/>
  <c r="BL149" i="15" s="1"/>
  <c r="BL92" i="15"/>
  <c r="BL155" i="15" s="1"/>
  <c r="BL96" i="15"/>
  <c r="BL159" i="15" s="1"/>
  <c r="BL44" i="15"/>
  <c r="BL107" i="15" s="1"/>
  <c r="BL52" i="15"/>
  <c r="BL115" i="15" s="1"/>
  <c r="BL56" i="15"/>
  <c r="BL119" i="15" s="1"/>
  <c r="BL49" i="15"/>
  <c r="BL112" i="15" s="1"/>
  <c r="BL65" i="15"/>
  <c r="BL128" i="15" s="1"/>
  <c r="BL73" i="15"/>
  <c r="BL136" i="15" s="1"/>
  <c r="BL66" i="15"/>
  <c r="BL129" i="15" s="1"/>
  <c r="BL75" i="15"/>
  <c r="BL138" i="15" s="1"/>
  <c r="BL76" i="15"/>
  <c r="BL139" i="15" s="1"/>
  <c r="BL81" i="15"/>
  <c r="BL144" i="15" s="1"/>
  <c r="BL84" i="15"/>
  <c r="BL147" i="15" s="1"/>
  <c r="BL87" i="15"/>
  <c r="BL150" i="15" s="1"/>
  <c r="BL90" i="15"/>
  <c r="BL153" i="15" s="1"/>
  <c r="BL97" i="15"/>
  <c r="BL160" i="15" s="1"/>
  <c r="BL46" i="15"/>
  <c r="BL109" i="15" s="1"/>
  <c r="BL53" i="15"/>
  <c r="BL116" i="15" s="1"/>
  <c r="BL60" i="15"/>
  <c r="BL123" i="15" s="1"/>
  <c r="BL51" i="15"/>
  <c r="BL114" i="15" s="1"/>
  <c r="BL62" i="15"/>
  <c r="BL125" i="15" s="1"/>
  <c r="BL59" i="15"/>
  <c r="BL122" i="15" s="1"/>
  <c r="BL68" i="15"/>
  <c r="BL131" i="15" s="1"/>
  <c r="BL77" i="15"/>
  <c r="BL140" i="15" s="1"/>
  <c r="BL78" i="15"/>
  <c r="BL141" i="15" s="1"/>
  <c r="BL85" i="15"/>
  <c r="BL148" i="15" s="1"/>
  <c r="BL91" i="15"/>
  <c r="BL154" i="15" s="1"/>
  <c r="BL88" i="15"/>
  <c r="BL151" i="15" s="1"/>
  <c r="BL94" i="15"/>
  <c r="BL157" i="15" s="1"/>
  <c r="BL98" i="15"/>
  <c r="BL161" i="15" s="1"/>
  <c r="BL39" i="15"/>
  <c r="BL105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K102" i="15" a="1"/>
  <c r="AJ102" i="15" a="1"/>
  <c r="AT102" i="15" a="1"/>
  <c r="O102" i="15" a="1"/>
  <c r="M102" i="15" a="1"/>
  <c r="BH102" i="15" a="1"/>
  <c r="N102" i="15" a="1"/>
  <c r="AL102" i="15" a="1"/>
  <c r="W102" i="15" a="1"/>
  <c r="AD102" i="15" a="1"/>
  <c r="AI102" i="15" a="1"/>
  <c r="AH102" i="15" a="1"/>
  <c r="AU102" i="15" a="1"/>
  <c r="AP102" i="15" a="1"/>
  <c r="K102" i="15" a="1"/>
  <c r="S102" i="15" a="1"/>
  <c r="BJ78" i="8" a="1"/>
  <c r="BM93" i="15" a="1"/>
  <c r="BM67" i="15" a="1"/>
  <c r="BM49" i="15" a="1"/>
  <c r="BJ62" i="8" a="1"/>
  <c r="BM47" i="15" a="1"/>
  <c r="BJ77" i="8" a="1"/>
  <c r="BM84" i="15" a="1"/>
  <c r="BJ64" i="8" a="1"/>
  <c r="BM53" i="15" a="1"/>
  <c r="BJ73" i="8" a="1"/>
  <c r="BJ72" i="8" a="1"/>
  <c r="BJ52" i="8" a="1"/>
  <c r="BJ101" i="8" a="1"/>
  <c r="BM64" i="15" a="1"/>
  <c r="BM69" i="15" a="1"/>
  <c r="BM44" i="15" a="1"/>
  <c r="BM71" i="15" a="1"/>
  <c r="BM76" i="15" a="1"/>
  <c r="BJ71" i="8" a="1"/>
  <c r="BJ100" i="8" a="1"/>
  <c r="BJ59" i="8" a="1"/>
  <c r="BM56" i="15" a="1"/>
  <c r="BJ65" i="8" a="1"/>
  <c r="L102" i="15" a="1"/>
  <c r="BA102" i="15" a="1"/>
  <c r="Y102" i="15" a="1"/>
  <c r="AA102" i="15" a="1"/>
  <c r="J102" i="15" a="1"/>
  <c r="Z102" i="15" a="1"/>
  <c r="BJ55" i="8" a="1"/>
  <c r="BJ102" i="8" a="1"/>
  <c r="BM88" i="15" a="1"/>
  <c r="BM94" i="15" a="1"/>
  <c r="BJ104" i="8" a="1"/>
  <c r="BJ76" i="8" a="1"/>
  <c r="BM45" i="15" a="1"/>
  <c r="BC102" i="15" a="1"/>
  <c r="AK102" i="15" a="1"/>
  <c r="AR102" i="15" a="1"/>
  <c r="BN101" i="15" a="1"/>
  <c r="BM60" i="15" a="1"/>
  <c r="BM68" i="15" a="1"/>
  <c r="BJ85" i="8" a="1"/>
  <c r="BM80" i="15" a="1"/>
  <c r="BM90" i="15" a="1"/>
  <c r="T102" i="15" a="1"/>
  <c r="D102" i="15" a="1"/>
  <c r="AX102" i="15" a="1"/>
  <c r="E102" i="15" a="1"/>
  <c r="AB102" i="15" a="1"/>
  <c r="AQ102" i="15" a="1"/>
  <c r="H102" i="15" a="1"/>
  <c r="X102" i="15" a="1"/>
  <c r="AO102" i="15" a="1"/>
  <c r="BI102" i="15" a="1"/>
  <c r="BD102" i="15" a="1"/>
  <c r="AF102" i="15" a="1"/>
  <c r="AG102" i="15" a="1"/>
  <c r="BJ102" i="15" a="1"/>
  <c r="U102" i="15" a="1"/>
  <c r="BN100" i="15" a="1"/>
  <c r="BM72" i="15" a="1"/>
  <c r="BM92" i="15" a="1"/>
  <c r="BM78" i="15" a="1"/>
  <c r="BM52" i="15" a="1"/>
  <c r="BM61" i="15" a="1"/>
  <c r="BM82" i="15" a="1"/>
  <c r="BJ53" i="8" a="1"/>
  <c r="BJ66" i="8" a="1"/>
  <c r="BM85" i="15" a="1"/>
  <c r="BM86" i="15" a="1"/>
  <c r="BM50" i="15" a="1"/>
  <c r="BJ80" i="8" a="1"/>
  <c r="BM91" i="15" a="1"/>
  <c r="BM70" i="15" a="1"/>
  <c r="BJ84" i="8" a="1"/>
  <c r="BM43" i="15" a="1"/>
  <c r="BM96" i="15" a="1"/>
  <c r="BJ56" i="8" a="1"/>
  <c r="BM74" i="15" a="1"/>
  <c r="BM83" i="15" a="1"/>
  <c r="BJ83" i="8" a="1"/>
  <c r="BM79" i="15" a="1"/>
  <c r="BM54" i="15" a="1"/>
  <c r="BJ79" i="8" a="1"/>
  <c r="BM48" i="15" a="1"/>
  <c r="BJ82" i="8" a="1"/>
  <c r="BM97" i="15" a="1"/>
  <c r="BL102" i="15" a="1"/>
  <c r="F102" i="15" a="1"/>
  <c r="AZ102" i="15" a="1"/>
  <c r="BB102" i="15" a="1"/>
  <c r="G102" i="15" a="1"/>
  <c r="BF102" i="15" a="1"/>
  <c r="BG102" i="15" a="1"/>
  <c r="BE102" i="15" a="1"/>
  <c r="AM102" i="15" a="1"/>
  <c r="AV102" i="15" a="1"/>
  <c r="V102" i="15" a="1"/>
  <c r="Q102" i="15" a="1"/>
  <c r="AN102" i="15" a="1"/>
  <c r="P102" i="15" a="1"/>
  <c r="AW102" i="15" a="1"/>
  <c r="AY102" i="15" a="1"/>
  <c r="BN99" i="15" a="1"/>
  <c r="BJ86" i="8" a="1"/>
  <c r="BJ70" i="8" a="1"/>
  <c r="BM58" i="15" a="1"/>
  <c r="BM95" i="15" a="1"/>
  <c r="BM57" i="15" a="1"/>
  <c r="BM62" i="15" a="1"/>
  <c r="BM73" i="15" a="1"/>
  <c r="BJ103" i="8" a="1"/>
  <c r="BM55" i="15" a="1"/>
  <c r="BM77" i="15" a="1"/>
  <c r="BM51" i="15" a="1"/>
  <c r="BJ54" i="8" a="1"/>
  <c r="BM87" i="15" a="1"/>
  <c r="BM59" i="15" a="1"/>
  <c r="BJ67" i="8" a="1"/>
  <c r="BJ60" i="8" a="1"/>
  <c r="BM102" i="15" a="1"/>
  <c r="BM89" i="15" a="1"/>
  <c r="BM63" i="15" a="1"/>
  <c r="BM46" i="15" a="1"/>
  <c r="BM65" i="15" a="1"/>
  <c r="BJ74" i="8" a="1"/>
  <c r="BM66" i="15" a="1"/>
  <c r="R102" i="15" a="1"/>
  <c r="AS102" i="15" a="1"/>
  <c r="I102" i="15" a="1"/>
  <c r="AE102" i="15" a="1"/>
  <c r="C102" i="15" a="1"/>
  <c r="AC102" i="15" a="1"/>
  <c r="BJ68" i="8" a="1"/>
  <c r="BM81" i="15" a="1"/>
  <c r="BJ58" i="8" a="1"/>
  <c r="BM39" i="15" a="1"/>
  <c r="BM98" i="15" a="1"/>
  <c r="BJ61" i="8" a="1"/>
  <c r="BM75" i="15" a="1"/>
  <c r="S102" i="15" l="1"/>
  <c r="AY102" i="15"/>
  <c r="U102" i="15"/>
  <c r="AC102" i="15"/>
  <c r="K102" i="15"/>
  <c r="AW102" i="15"/>
  <c r="BJ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BD102" i="15"/>
  <c r="C102" i="15"/>
  <c r="C162" i="15" s="1"/>
  <c r="AI102" i="15"/>
  <c r="V102" i="15"/>
  <c r="BI102" i="15"/>
  <c r="AE102" i="15"/>
  <c r="AD102" i="15"/>
  <c r="AV102" i="15"/>
  <c r="AO102" i="15"/>
  <c r="AA102" i="15"/>
  <c r="W102" i="15"/>
  <c r="AM102" i="15"/>
  <c r="X102" i="15"/>
  <c r="AK102" i="15"/>
  <c r="AL102" i="15"/>
  <c r="BE102" i="15"/>
  <c r="H102" i="15"/>
  <c r="I102" i="15"/>
  <c r="N102" i="15"/>
  <c r="BG102" i="15"/>
  <c r="AQ102" i="15"/>
  <c r="Y102" i="15"/>
  <c r="BH102" i="15"/>
  <c r="BF102" i="15"/>
  <c r="AB102" i="15"/>
  <c r="AS102" i="15"/>
  <c r="M102" i="15"/>
  <c r="G102" i="15"/>
  <c r="E102" i="15"/>
  <c r="BA102" i="15"/>
  <c r="O102" i="15"/>
  <c r="BB102" i="15"/>
  <c r="AX102" i="15"/>
  <c r="BC102" i="15"/>
  <c r="AT102" i="15"/>
  <c r="AZ102" i="15"/>
  <c r="D102" i="15"/>
  <c r="D162" i="15" s="1"/>
  <c r="L102" i="15"/>
  <c r="AJ102" i="15"/>
  <c r="F102" i="15"/>
  <c r="T102" i="15"/>
  <c r="T162" i="15" s="1"/>
  <c r="R102" i="15"/>
  <c r="BK102" i="15"/>
  <c r="BL102" i="15"/>
  <c r="B225" i="15"/>
  <c r="B162" i="15"/>
  <c r="BN101" i="15"/>
  <c r="BN100" i="15"/>
  <c r="BN99" i="15"/>
  <c r="BJ52" i="8"/>
  <c r="BJ53" i="8"/>
  <c r="BJ55" i="8"/>
  <c r="BJ56" i="8"/>
  <c r="BJ54" i="8"/>
  <c r="BJ79" i="8"/>
  <c r="BJ78" i="8"/>
  <c r="BJ76" i="8"/>
  <c r="BJ80" i="8"/>
  <c r="BJ77" i="8"/>
  <c r="BM43" i="15"/>
  <c r="BM106" i="15" s="1"/>
  <c r="BM48" i="15"/>
  <c r="BM111" i="15" s="1"/>
  <c r="BM60" i="15"/>
  <c r="BM123" i="15" s="1"/>
  <c r="BM53" i="15"/>
  <c r="BM116" i="15" s="1"/>
  <c r="BM59" i="15"/>
  <c r="BM122" i="15" s="1"/>
  <c r="BM61" i="15"/>
  <c r="BM124" i="15" s="1"/>
  <c r="BM66" i="15"/>
  <c r="BM129" i="15" s="1"/>
  <c r="BM70" i="15"/>
  <c r="BM133" i="15" s="1"/>
  <c r="BM75" i="15"/>
  <c r="BM138" i="15" s="1"/>
  <c r="BM83" i="15"/>
  <c r="BM146" i="15" s="1"/>
  <c r="BM80" i="15"/>
  <c r="BM143" i="15" s="1"/>
  <c r="BM90" i="15"/>
  <c r="BM153" i="15" s="1"/>
  <c r="BM94" i="15"/>
  <c r="BM157" i="15" s="1"/>
  <c r="BM97" i="15"/>
  <c r="BM160" i="15" s="1"/>
  <c r="BM102" i="15"/>
  <c r="BM45" i="15"/>
  <c r="BM108" i="15" s="1"/>
  <c r="BM50" i="15"/>
  <c r="BM113" i="15" s="1"/>
  <c r="BM47" i="15"/>
  <c r="BM110" i="15" s="1"/>
  <c r="BM54" i="15"/>
  <c r="BM117" i="15" s="1"/>
  <c r="BM63" i="15"/>
  <c r="BM126" i="15" s="1"/>
  <c r="BM65" i="15"/>
  <c r="BM128" i="15" s="1"/>
  <c r="BM67" i="15"/>
  <c r="BM130" i="15" s="1"/>
  <c r="BM71" i="15"/>
  <c r="BM134" i="15" s="1"/>
  <c r="BM77" i="15"/>
  <c r="BM140" i="15" s="1"/>
  <c r="BM84" i="15"/>
  <c r="BM147" i="15" s="1"/>
  <c r="BM81" i="15"/>
  <c r="BM144" i="15" s="1"/>
  <c r="BM91" i="15"/>
  <c r="BM154" i="15" s="1"/>
  <c r="BM87" i="15"/>
  <c r="BM150" i="15" s="1"/>
  <c r="BM95" i="15"/>
  <c r="BM158" i="15" s="1"/>
  <c r="BM44" i="15"/>
  <c r="BM107" i="15" s="1"/>
  <c r="BM51" i="15"/>
  <c r="BM114" i="15" s="1"/>
  <c r="BM49" i="15"/>
  <c r="BM112" i="15" s="1"/>
  <c r="BM55" i="15"/>
  <c r="BM118" i="15" s="1"/>
  <c r="BM64" i="15"/>
  <c r="BM127" i="15" s="1"/>
  <c r="BM62" i="15"/>
  <c r="BM125" i="15" s="1"/>
  <c r="BM68" i="15"/>
  <c r="BM131" i="15" s="1"/>
  <c r="BM73" i="15"/>
  <c r="BM136" i="15" s="1"/>
  <c r="BM78" i="15"/>
  <c r="BM141" i="15" s="1"/>
  <c r="BM85" i="15"/>
  <c r="BM148" i="15" s="1"/>
  <c r="BM82" i="15"/>
  <c r="BM145" i="15" s="1"/>
  <c r="BM93" i="15"/>
  <c r="BM156" i="15" s="1"/>
  <c r="BM89" i="15"/>
  <c r="BM152" i="15" s="1"/>
  <c r="BM96" i="15"/>
  <c r="BM159" i="15" s="1"/>
  <c r="BM46" i="15"/>
  <c r="BM109" i="15" s="1"/>
  <c r="BM58" i="15"/>
  <c r="BM121" i="15" s="1"/>
  <c r="BM52" i="15"/>
  <c r="BM115" i="15" s="1"/>
  <c r="BM56" i="15"/>
  <c r="BM119" i="15" s="1"/>
  <c r="BM57" i="15"/>
  <c r="BM120" i="15" s="1"/>
  <c r="BM72" i="15"/>
  <c r="BM135" i="15" s="1"/>
  <c r="BM69" i="15"/>
  <c r="BM132" i="15" s="1"/>
  <c r="BM74" i="15"/>
  <c r="BM137" i="15" s="1"/>
  <c r="BM76" i="15"/>
  <c r="BM139" i="15" s="1"/>
  <c r="BM79" i="15"/>
  <c r="BM142" i="15" s="1"/>
  <c r="BM86" i="15"/>
  <c r="BM149" i="15" s="1"/>
  <c r="BM88" i="15"/>
  <c r="BM151" i="15" s="1"/>
  <c r="BM92" i="15"/>
  <c r="BM155" i="15" s="1"/>
  <c r="BM98" i="15"/>
  <c r="BM161" i="15" s="1"/>
  <c r="BM39" i="15"/>
  <c r="BM105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K53" i="8" a="1"/>
  <c r="BN55" i="15" a="1"/>
  <c r="BN92" i="15" a="1"/>
  <c r="BN61" i="15" a="1"/>
  <c r="BN90" i="15" a="1"/>
  <c r="BK79" i="8" a="1"/>
  <c r="BN95" i="15" a="1"/>
  <c r="BN97" i="15" a="1"/>
  <c r="BN53" i="15" a="1"/>
  <c r="BN58" i="15" a="1"/>
  <c r="BN67" i="15" a="1"/>
  <c r="BN60" i="15" a="1"/>
  <c r="BK61" i="8" a="1"/>
  <c r="BK60" i="8" a="1"/>
  <c r="BN96" i="15" a="1"/>
  <c r="BK70" i="8" a="1"/>
  <c r="BN54" i="15" a="1"/>
  <c r="BN51" i="15" a="1"/>
  <c r="BK74" i="8" a="1"/>
  <c r="BN75" i="15" a="1"/>
  <c r="BN43" i="15" a="1"/>
  <c r="BN65" i="15" a="1"/>
  <c r="BN81" i="15" a="1"/>
  <c r="BN76" i="15" a="1"/>
  <c r="BN79" i="15" a="1"/>
  <c r="BK103" i="8" a="1"/>
  <c r="BN87" i="15" a="1"/>
  <c r="BO100" i="15" a="1"/>
  <c r="BN48" i="15" a="1"/>
  <c r="BN64" i="15" a="1"/>
  <c r="BN72" i="15" a="1"/>
  <c r="BN78" i="15" a="1"/>
  <c r="BK73" i="8" a="1"/>
  <c r="BK77" i="8" a="1"/>
  <c r="BK85" i="8" a="1"/>
  <c r="BK67" i="8" a="1"/>
  <c r="BN74" i="15" a="1"/>
  <c r="BK64" i="8" a="1"/>
  <c r="BK101" i="8" a="1"/>
  <c r="BK76" i="8" a="1"/>
  <c r="BK86" i="8" a="1"/>
  <c r="BN82" i="15" a="1"/>
  <c r="BN62" i="15" a="1"/>
  <c r="BN89" i="15" a="1"/>
  <c r="BN94" i="15" a="1"/>
  <c r="BN57" i="15" a="1"/>
  <c r="BN52" i="15" a="1"/>
  <c r="BN83" i="15" a="1"/>
  <c r="BK102" i="8" a="1"/>
  <c r="BN80" i="15" a="1"/>
  <c r="BN69" i="15" a="1"/>
  <c r="BK83" i="8" a="1"/>
  <c r="BK54" i="8" a="1"/>
  <c r="BN91" i="15" a="1"/>
  <c r="BN102" i="15" a="1"/>
  <c r="BK71" i="8" a="1"/>
  <c r="BN66" i="15" a="1"/>
  <c r="BK100" i="8" a="1"/>
  <c r="BK55" i="8" a="1"/>
  <c r="BN73" i="15" a="1"/>
  <c r="BN63" i="15" a="1"/>
  <c r="BN68" i="15" a="1"/>
  <c r="BN88" i="15" a="1"/>
  <c r="BN84" i="15" a="1"/>
  <c r="BK80" i="8" a="1"/>
  <c r="BN44" i="15" a="1"/>
  <c r="BN93" i="15" a="1"/>
  <c r="BN50" i="15" a="1"/>
  <c r="BK82" i="8" a="1"/>
  <c r="BN49" i="15" a="1"/>
  <c r="BN98" i="15" a="1"/>
  <c r="BK52" i="8" a="1"/>
  <c r="BN70" i="15" a="1"/>
  <c r="BN85" i="15" a="1"/>
  <c r="BN86" i="15" a="1"/>
  <c r="BK78" i="8" a="1"/>
  <c r="BK72" i="8" a="1"/>
  <c r="BN77" i="15" a="1"/>
  <c r="BK68" i="8" a="1"/>
  <c r="BN71" i="15" a="1"/>
  <c r="BK104" i="8" a="1"/>
  <c r="BN47" i="15" a="1"/>
  <c r="BN39" i="15" a="1"/>
  <c r="BN59" i="15" a="1"/>
  <c r="BK59" i="8" a="1"/>
  <c r="BK65" i="8" a="1"/>
  <c r="BK66" i="8" a="1"/>
  <c r="BK56" i="8" a="1"/>
  <c r="BN45" i="15" a="1"/>
  <c r="BN46" i="15" a="1"/>
  <c r="BK62" i="8" a="1"/>
  <c r="BN56" i="15" a="1"/>
  <c r="BK84" i="8" a="1"/>
  <c r="BK58" i="8" a="1"/>
  <c r="BO101" i="15" a="1"/>
  <c r="BK162" i="15" l="1"/>
  <c r="AJ162" i="15"/>
  <c r="AT162" i="15"/>
  <c r="O162" i="15"/>
  <c r="M162" i="15"/>
  <c r="BH162" i="15"/>
  <c r="N162" i="15"/>
  <c r="AL162" i="15"/>
  <c r="BM162" i="15"/>
  <c r="BL162" i="15"/>
  <c r="F162" i="15"/>
  <c r="AZ162" i="15"/>
  <c r="BB162" i="15"/>
  <c r="G162" i="15"/>
  <c r="BF162" i="15"/>
  <c r="BG162" i="15"/>
  <c r="BE162" i="15"/>
  <c r="AM162" i="15"/>
  <c r="AV162" i="15"/>
  <c r="W162" i="15"/>
  <c r="R162" i="15"/>
  <c r="L162" i="15"/>
  <c r="BC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BI162" i="15"/>
  <c r="BD162" i="15"/>
  <c r="AF162" i="15"/>
  <c r="AG162" i="15"/>
  <c r="BJ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O101" i="15"/>
  <c r="BO100" i="15"/>
  <c r="BK56" i="8"/>
  <c r="BK54" i="8"/>
  <c r="BK53" i="8"/>
  <c r="BK52" i="8"/>
  <c r="BK55" i="8"/>
  <c r="BK77" i="8"/>
  <c r="BK78" i="8"/>
  <c r="BK80" i="8"/>
  <c r="BK76" i="8"/>
  <c r="BK79" i="8"/>
  <c r="BN44" i="15"/>
  <c r="BN107" i="15" s="1"/>
  <c r="BN53" i="15"/>
  <c r="BN116" i="15" s="1"/>
  <c r="BN58" i="15"/>
  <c r="BN121" i="15" s="1"/>
  <c r="BN64" i="15"/>
  <c r="BN127" i="15" s="1"/>
  <c r="BN73" i="15"/>
  <c r="BN136" i="15" s="1"/>
  <c r="BN83" i="15"/>
  <c r="BN146" i="15" s="1"/>
  <c r="BN90" i="15"/>
  <c r="BN153" i="15" s="1"/>
  <c r="BN48" i="15"/>
  <c r="BN111" i="15" s="1"/>
  <c r="BN50" i="15"/>
  <c r="BN113" i="15" s="1"/>
  <c r="BN68" i="15"/>
  <c r="BN131" i="15" s="1"/>
  <c r="BN76" i="15"/>
  <c r="BN139" i="15" s="1"/>
  <c r="BN80" i="15"/>
  <c r="BN143" i="15" s="1"/>
  <c r="BN86" i="15"/>
  <c r="BN149" i="15" s="1"/>
  <c r="BN96" i="15"/>
  <c r="BN159" i="15" s="1"/>
  <c r="BN43" i="15"/>
  <c r="BN106" i="15" s="1"/>
  <c r="BN49" i="15"/>
  <c r="BN112" i="15" s="1"/>
  <c r="BN55" i="15"/>
  <c r="BN118" i="15" s="1"/>
  <c r="BN52" i="15"/>
  <c r="BN115" i="15" s="1"/>
  <c r="BN74" i="15"/>
  <c r="BN137" i="15" s="1"/>
  <c r="BN70" i="15"/>
  <c r="BN133" i="15" s="1"/>
  <c r="BN65" i="15"/>
  <c r="BN128" i="15" s="1"/>
  <c r="BN72" i="15"/>
  <c r="BN135" i="15" s="1"/>
  <c r="BN77" i="15"/>
  <c r="BN140" i="15" s="1"/>
  <c r="BN81" i="15"/>
  <c r="BN144" i="15" s="1"/>
  <c r="BN85" i="15"/>
  <c r="BN148" i="15" s="1"/>
  <c r="BN87" i="15"/>
  <c r="BN150" i="15" s="1"/>
  <c r="BN91" i="15"/>
  <c r="BN154" i="15" s="1"/>
  <c r="BN98" i="15"/>
  <c r="BN161" i="15" s="1"/>
  <c r="BN47" i="15"/>
  <c r="BN110" i="15" s="1"/>
  <c r="BN57" i="15"/>
  <c r="BN120" i="15" s="1"/>
  <c r="BN66" i="15"/>
  <c r="BN129" i="15" s="1"/>
  <c r="BN69" i="15"/>
  <c r="BN132" i="15" s="1"/>
  <c r="BN79" i="15"/>
  <c r="BN142" i="15" s="1"/>
  <c r="BN92" i="15"/>
  <c r="BN155" i="15" s="1"/>
  <c r="BN95" i="15"/>
  <c r="BN158" i="15" s="1"/>
  <c r="BN46" i="15"/>
  <c r="BN109" i="15" s="1"/>
  <c r="BN54" i="15"/>
  <c r="BN117" i="15" s="1"/>
  <c r="BN62" i="15"/>
  <c r="BN125" i="15" s="1"/>
  <c r="BN61" i="15"/>
  <c r="BN124" i="15" s="1"/>
  <c r="BN75" i="15"/>
  <c r="BN138" i="15" s="1"/>
  <c r="BN84" i="15"/>
  <c r="BN147" i="15" s="1"/>
  <c r="BN93" i="15"/>
  <c r="BN156" i="15" s="1"/>
  <c r="BN45" i="15"/>
  <c r="BN108" i="15" s="1"/>
  <c r="BN51" i="15"/>
  <c r="BN114" i="15" s="1"/>
  <c r="BN56" i="15"/>
  <c r="BN119" i="15" s="1"/>
  <c r="BN59" i="15"/>
  <c r="BN122" i="15" s="1"/>
  <c r="BN63" i="15"/>
  <c r="BN126" i="15" s="1"/>
  <c r="BN60" i="15"/>
  <c r="BN123" i="15" s="1"/>
  <c r="BN67" i="15"/>
  <c r="BN130" i="15" s="1"/>
  <c r="BN71" i="15"/>
  <c r="BN134" i="15" s="1"/>
  <c r="BN78" i="15"/>
  <c r="BN141" i="15" s="1"/>
  <c r="BN82" i="15"/>
  <c r="BN145" i="15" s="1"/>
  <c r="BN88" i="15"/>
  <c r="BN151" i="15" s="1"/>
  <c r="BN89" i="15"/>
  <c r="BN152" i="15" s="1"/>
  <c r="BN94" i="15"/>
  <c r="BN157" i="15" s="1"/>
  <c r="BN97" i="15"/>
  <c r="BN160" i="15" s="1"/>
  <c r="BN102" i="15"/>
  <c r="BN162" i="15" s="1"/>
  <c r="BN39" i="15"/>
  <c r="BN105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O99" i="15" a="1"/>
  <c r="BL79" i="8" a="1"/>
  <c r="BL104" i="8" a="1"/>
  <c r="BO74" i="15" a="1"/>
  <c r="BL61" i="8" a="1"/>
  <c r="BO97" i="15" a="1"/>
  <c r="BL72" i="8" a="1"/>
  <c r="BL80" i="8" a="1"/>
  <c r="BL59" i="8" a="1"/>
  <c r="BO69" i="15" a="1"/>
  <c r="BO52" i="15" a="1"/>
  <c r="BL71" i="8" a="1"/>
  <c r="BO102" i="15" a="1"/>
  <c r="BL53" i="8" a="1"/>
  <c r="BO90" i="15" a="1"/>
  <c r="BO84" i="15" a="1"/>
  <c r="BL73" i="8" a="1"/>
  <c r="BO73" i="15" a="1"/>
  <c r="BL78" i="8" a="1"/>
  <c r="BL64" i="8" a="1"/>
  <c r="BL84" i="8" a="1"/>
  <c r="BO83" i="15" a="1"/>
  <c r="BO76" i="15" a="1"/>
  <c r="BO53" i="15" a="1"/>
  <c r="BO66" i="15" a="1"/>
  <c r="BP101" i="15" a="1"/>
  <c r="BL54" i="8" a="1"/>
  <c r="BO63" i="15" a="1"/>
  <c r="BL65" i="8" a="1"/>
  <c r="BO78" i="15" a="1"/>
  <c r="BO79" i="15" a="1"/>
  <c r="BO67" i="15" a="1"/>
  <c r="BL77" i="8" a="1"/>
  <c r="BO95" i="15" a="1"/>
  <c r="BL101" i="8" a="1"/>
  <c r="BO89" i="15" a="1"/>
  <c r="BO75" i="15" a="1"/>
  <c r="BO39" i="15" a="1"/>
  <c r="BO56" i="15" a="1"/>
  <c r="BO55" i="15" a="1"/>
  <c r="BO65" i="15" a="1"/>
  <c r="BO58" i="15" a="1"/>
  <c r="BO98" i="15" a="1"/>
  <c r="BL52" i="8" a="1"/>
  <c r="BL74" i="8" a="1"/>
  <c r="BO48" i="15" a="1"/>
  <c r="BO87" i="15" a="1"/>
  <c r="BO72" i="15" a="1"/>
  <c r="BO70" i="15" a="1"/>
  <c r="BP100" i="15" a="1"/>
  <c r="BL103" i="8" a="1"/>
  <c r="BO46" i="15" a="1"/>
  <c r="BO81" i="15" a="1"/>
  <c r="BO77" i="15" a="1"/>
  <c r="BO71" i="15" a="1"/>
  <c r="BL83" i="8" a="1"/>
  <c r="BL56" i="8" a="1"/>
  <c r="BO68" i="15" a="1"/>
  <c r="BO54" i="15" a="1"/>
  <c r="BO93" i="15" a="1"/>
  <c r="BO96" i="15" a="1"/>
  <c r="BL76" i="8" a="1"/>
  <c r="BO62" i="15" a="1"/>
  <c r="BO44" i="15" a="1"/>
  <c r="BO50" i="15" a="1"/>
  <c r="BO47" i="15" a="1"/>
  <c r="BO94" i="15" a="1"/>
  <c r="BO91" i="15" a="1"/>
  <c r="BL82" i="8" a="1"/>
  <c r="BO92" i="15" a="1"/>
  <c r="BL86" i="8" a="1"/>
  <c r="BO43" i="15" a="1"/>
  <c r="BO45" i="15" a="1"/>
  <c r="BP99" i="15" a="1"/>
  <c r="BO88" i="15" a="1"/>
  <c r="BL58" i="8" a="1"/>
  <c r="BO60" i="15" a="1"/>
  <c r="BO61" i="15" a="1"/>
  <c r="BO82" i="15" a="1"/>
  <c r="BO57" i="15" a="1"/>
  <c r="BO51" i="15" a="1"/>
  <c r="BO86" i="15" a="1"/>
  <c r="BO64" i="15" a="1"/>
  <c r="BL62" i="8" a="1"/>
  <c r="BL60" i="8" a="1"/>
  <c r="BL55" i="8" a="1"/>
  <c r="BO80" i="15" a="1"/>
  <c r="BO85" i="15" a="1"/>
  <c r="BL102" i="8" a="1"/>
  <c r="BL70" i="8" a="1"/>
  <c r="BO59" i="15" a="1"/>
  <c r="BL66" i="8" a="1"/>
  <c r="BO49" i="15" a="1"/>
  <c r="BL100" i="8" a="1"/>
  <c r="BL68" i="8" a="1"/>
  <c r="BL67" i="8" a="1"/>
  <c r="BL85" i="8" a="1"/>
  <c r="BO99" i="15" l="1"/>
  <c r="BP101" i="15"/>
  <c r="BP100" i="15"/>
  <c r="BP99" i="15"/>
  <c r="BL53" i="8"/>
  <c r="BL56" i="8"/>
  <c r="BL54" i="8"/>
  <c r="BL52" i="8"/>
  <c r="BL55" i="8"/>
  <c r="BL77" i="8"/>
  <c r="BL79" i="8"/>
  <c r="BL78" i="8"/>
  <c r="BL76" i="8"/>
  <c r="BL80" i="8"/>
  <c r="BO44" i="15"/>
  <c r="BO107" i="15" s="1"/>
  <c r="BO47" i="15"/>
  <c r="BO110" i="15" s="1"/>
  <c r="BO48" i="15"/>
  <c r="BO111" i="15" s="1"/>
  <c r="BO54" i="15"/>
  <c r="BO117" i="15" s="1"/>
  <c r="BO60" i="15"/>
  <c r="BO123" i="15" s="1"/>
  <c r="BO58" i="15"/>
  <c r="BO121" i="15" s="1"/>
  <c r="BO66" i="15"/>
  <c r="BO129" i="15" s="1"/>
  <c r="BO70" i="15"/>
  <c r="BO133" i="15" s="1"/>
  <c r="BO72" i="15"/>
  <c r="BO135" i="15" s="1"/>
  <c r="BO84" i="15"/>
  <c r="BO147" i="15" s="1"/>
  <c r="BO81" i="15"/>
  <c r="BO144" i="15" s="1"/>
  <c r="BO91" i="15"/>
  <c r="BO154" i="15" s="1"/>
  <c r="BO87" i="15"/>
  <c r="BO150" i="15" s="1"/>
  <c r="BO98" i="15"/>
  <c r="BO161" i="15" s="1"/>
  <c r="BO102" i="15"/>
  <c r="BO162" i="15" s="1"/>
  <c r="BO46" i="15"/>
  <c r="BO109" i="15" s="1"/>
  <c r="BO49" i="15"/>
  <c r="BO112" i="15" s="1"/>
  <c r="BO50" i="15"/>
  <c r="BO113" i="15" s="1"/>
  <c r="BO55" i="15"/>
  <c r="BO118" i="15" s="1"/>
  <c r="BO64" i="15"/>
  <c r="BO127" i="15" s="1"/>
  <c r="BO62" i="15"/>
  <c r="BO125" i="15" s="1"/>
  <c r="BO67" i="15"/>
  <c r="BO130" i="15" s="1"/>
  <c r="BO71" i="15"/>
  <c r="BO134" i="15" s="1"/>
  <c r="BO75" i="15"/>
  <c r="BO138" i="15" s="1"/>
  <c r="BO86" i="15"/>
  <c r="BO149" i="15" s="1"/>
  <c r="BO82" i="15"/>
  <c r="BO145" i="15" s="1"/>
  <c r="BO88" i="15"/>
  <c r="BO151" i="15" s="1"/>
  <c r="BO90" i="15"/>
  <c r="BO153" i="15" s="1"/>
  <c r="BO95" i="15"/>
  <c r="BO158" i="15" s="1"/>
  <c r="BO43" i="15"/>
  <c r="BO106" i="15" s="1"/>
  <c r="BO52" i="15"/>
  <c r="BO115" i="15" s="1"/>
  <c r="BO51" i="15"/>
  <c r="BO114" i="15" s="1"/>
  <c r="BO56" i="15"/>
  <c r="BO119" i="15" s="1"/>
  <c r="BO61" i="15"/>
  <c r="BO124" i="15" s="1"/>
  <c r="BO73" i="15"/>
  <c r="BO136" i="15" s="1"/>
  <c r="BO68" i="15"/>
  <c r="BO131" i="15" s="1"/>
  <c r="BO74" i="15"/>
  <c r="BO137" i="15" s="1"/>
  <c r="BO77" i="15"/>
  <c r="BO140" i="15" s="1"/>
  <c r="BO79" i="15"/>
  <c r="BO142" i="15" s="1"/>
  <c r="BO83" i="15"/>
  <c r="BO146" i="15" s="1"/>
  <c r="BO92" i="15"/>
  <c r="BO155" i="15" s="1"/>
  <c r="BO93" i="15"/>
  <c r="BO156" i="15" s="1"/>
  <c r="BO96" i="15"/>
  <c r="BO159" i="15" s="1"/>
  <c r="BO45" i="15"/>
  <c r="BO108" i="15" s="1"/>
  <c r="BO57" i="15"/>
  <c r="BO120" i="15" s="1"/>
  <c r="BO53" i="15"/>
  <c r="BO116" i="15" s="1"/>
  <c r="BO59" i="15"/>
  <c r="BO122" i="15" s="1"/>
  <c r="BO65" i="15"/>
  <c r="BO128" i="15" s="1"/>
  <c r="BO63" i="15"/>
  <c r="BO126" i="15" s="1"/>
  <c r="BO69" i="15"/>
  <c r="BO132" i="15" s="1"/>
  <c r="BO76" i="15"/>
  <c r="BO139" i="15" s="1"/>
  <c r="BO78" i="15"/>
  <c r="BO141" i="15" s="1"/>
  <c r="BO80" i="15"/>
  <c r="BO143" i="15" s="1"/>
  <c r="BO85" i="15"/>
  <c r="BO148" i="15" s="1"/>
  <c r="BO89" i="15"/>
  <c r="BO152" i="15" s="1"/>
  <c r="BO94" i="15"/>
  <c r="BO157" i="15" s="1"/>
  <c r="BO97" i="15"/>
  <c r="BO160" i="15" s="1"/>
  <c r="BO39" i="15"/>
  <c r="BO105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M78" i="8" a="1"/>
  <c r="BP46" i="15" a="1"/>
  <c r="BP60" i="15" a="1"/>
  <c r="BP66" i="15" a="1"/>
  <c r="BP64" i="15" a="1"/>
  <c r="BM61" i="8" a="1"/>
  <c r="BM76" i="8" a="1"/>
  <c r="BP102" i="15" a="1"/>
  <c r="BP58" i="15" a="1"/>
  <c r="BP53" i="15" a="1"/>
  <c r="BM58" i="8" a="1"/>
  <c r="BM70" i="8" a="1"/>
  <c r="BM55" i="8" a="1"/>
  <c r="BP96" i="15" a="1"/>
  <c r="BP65" i="15" a="1"/>
  <c r="BM85" i="8" a="1"/>
  <c r="BP82" i="15" a="1"/>
  <c r="BP50" i="15" a="1"/>
  <c r="BP71" i="15" a="1"/>
  <c r="BM60" i="8" a="1"/>
  <c r="BM82" i="8" a="1"/>
  <c r="BM103" i="8" a="1"/>
  <c r="BP76" i="15" a="1"/>
  <c r="BP67" i="15" a="1"/>
  <c r="BP61" i="15" a="1"/>
  <c r="BP92" i="15" a="1"/>
  <c r="BM101" i="8" a="1"/>
  <c r="BQ101" i="15" a="1"/>
  <c r="BM54" i="8" a="1"/>
  <c r="BM64" i="8" a="1"/>
  <c r="BM102" i="8" a="1"/>
  <c r="BP69" i="15" a="1"/>
  <c r="BP59" i="15" a="1"/>
  <c r="BP72" i="15" a="1"/>
  <c r="BM77" i="8" a="1"/>
  <c r="BM62" i="8" a="1"/>
  <c r="BP75" i="15" a="1"/>
  <c r="BP85" i="15" a="1"/>
  <c r="BP83" i="15" a="1"/>
  <c r="BM73" i="8" a="1"/>
  <c r="BM53" i="8" a="1"/>
  <c r="BP57" i="15" a="1"/>
  <c r="BP86" i="15" a="1"/>
  <c r="BM104" i="8" a="1"/>
  <c r="BM71" i="8" a="1"/>
  <c r="BP79" i="15" a="1"/>
  <c r="BP91" i="15" a="1"/>
  <c r="BM100" i="8" a="1"/>
  <c r="BQ100" i="15" a="1"/>
  <c r="BP45" i="15" a="1"/>
  <c r="BP68" i="15" a="1"/>
  <c r="BP93" i="15" a="1"/>
  <c r="BP70" i="15" a="1"/>
  <c r="BM74" i="8" a="1"/>
  <c r="BP80" i="15" a="1"/>
  <c r="BM56" i="8" a="1"/>
  <c r="BM65" i="8" a="1"/>
  <c r="BP88" i="15" a="1"/>
  <c r="BP52" i="15" a="1"/>
  <c r="BP39" i="15" a="1"/>
  <c r="BP94" i="15" a="1"/>
  <c r="BP44" i="15" a="1"/>
  <c r="BP98" i="15" a="1"/>
  <c r="BP62" i="15" a="1"/>
  <c r="BP63" i="15" a="1"/>
  <c r="BP49" i="15" a="1"/>
  <c r="BM80" i="8" a="1"/>
  <c r="BP54" i="15" a="1"/>
  <c r="BP95" i="15" a="1"/>
  <c r="BQ99" i="15" a="1"/>
  <c r="BP48" i="15" a="1"/>
  <c r="BM83" i="8" a="1"/>
  <c r="BP43" i="15" a="1"/>
  <c r="BP89" i="15" a="1"/>
  <c r="BP55" i="15" a="1"/>
  <c r="BP74" i="15" a="1"/>
  <c r="BM84" i="8" a="1"/>
  <c r="BM67" i="8" a="1"/>
  <c r="BM72" i="8" a="1"/>
  <c r="BP84" i="15" a="1"/>
  <c r="BP51" i="15" a="1"/>
  <c r="BM79" i="8" a="1"/>
  <c r="BM86" i="8" a="1"/>
  <c r="BP47" i="15" a="1"/>
  <c r="BM66" i="8" a="1"/>
  <c r="BP87" i="15" a="1"/>
  <c r="BM59" i="8" a="1"/>
  <c r="BM52" i="8" a="1"/>
  <c r="BP77" i="15" a="1"/>
  <c r="BP73" i="15" a="1"/>
  <c r="BP97" i="15" a="1"/>
  <c r="BM68" i="8" a="1"/>
  <c r="BP78" i="15" a="1"/>
  <c r="BP81" i="15" a="1"/>
  <c r="BP56" i="15" a="1"/>
  <c r="BP90" i="15" a="1"/>
  <c r="BQ101" i="15" l="1"/>
  <c r="BQ100" i="15"/>
  <c r="BQ99" i="15"/>
  <c r="BM53" i="8"/>
  <c r="BM56" i="8"/>
  <c r="BM54" i="8"/>
  <c r="BM52" i="8"/>
  <c r="BM55" i="8"/>
  <c r="BM77" i="8"/>
  <c r="BM78" i="8"/>
  <c r="BM80" i="8"/>
  <c r="BM79" i="8"/>
  <c r="BM76" i="8"/>
  <c r="BP43" i="15"/>
  <c r="BP106" i="15" s="1"/>
  <c r="BP60" i="15"/>
  <c r="BP123" i="15" s="1"/>
  <c r="BP54" i="15"/>
  <c r="BP117" i="15" s="1"/>
  <c r="BP48" i="15"/>
  <c r="BP111" i="15" s="1"/>
  <c r="BP59" i="15"/>
  <c r="BP122" i="15" s="1"/>
  <c r="BP69" i="15"/>
  <c r="BP132" i="15" s="1"/>
  <c r="BP62" i="15"/>
  <c r="BP125" i="15" s="1"/>
  <c r="BP72" i="15"/>
  <c r="BP135" i="15" s="1"/>
  <c r="BP71" i="15"/>
  <c r="BP134" i="15" s="1"/>
  <c r="BP79" i="15"/>
  <c r="BP142" i="15" s="1"/>
  <c r="BP85" i="15"/>
  <c r="BP148" i="15" s="1"/>
  <c r="BP93" i="15"/>
  <c r="BP156" i="15" s="1"/>
  <c r="BP91" i="15"/>
  <c r="BP154" i="15" s="1"/>
  <c r="BP95" i="15"/>
  <c r="BP158" i="15" s="1"/>
  <c r="BP45" i="15"/>
  <c r="BP108" i="15" s="1"/>
  <c r="BP50" i="15"/>
  <c r="BP113" i="15" s="1"/>
  <c r="BP55" i="15"/>
  <c r="BP118" i="15" s="1"/>
  <c r="BP49" i="15"/>
  <c r="BP112" i="15" s="1"/>
  <c r="BP63" i="15"/>
  <c r="BP126" i="15" s="1"/>
  <c r="BP57" i="15"/>
  <c r="BP120" i="15" s="1"/>
  <c r="BP66" i="15"/>
  <c r="BP129" i="15" s="1"/>
  <c r="BP75" i="15"/>
  <c r="BP138" i="15" s="1"/>
  <c r="BP74" i="15"/>
  <c r="BP137" i="15" s="1"/>
  <c r="BP80" i="15"/>
  <c r="BP143" i="15" s="1"/>
  <c r="BP84" i="15"/>
  <c r="BP147" i="15" s="1"/>
  <c r="BP86" i="15"/>
  <c r="BP149" i="15" s="1"/>
  <c r="BP92" i="15"/>
  <c r="BP155" i="15" s="1"/>
  <c r="BP96" i="15"/>
  <c r="BP159" i="15" s="1"/>
  <c r="BP44" i="15"/>
  <c r="BP107" i="15" s="1"/>
  <c r="BP52" i="15"/>
  <c r="BP115" i="15" s="1"/>
  <c r="BP56" i="15"/>
  <c r="BP119" i="15" s="1"/>
  <c r="BP51" i="15"/>
  <c r="BP114" i="15" s="1"/>
  <c r="BP64" i="15"/>
  <c r="BP127" i="15" s="1"/>
  <c r="BP61" i="15"/>
  <c r="BP124" i="15" s="1"/>
  <c r="BP68" i="15"/>
  <c r="BP131" i="15" s="1"/>
  <c r="BP77" i="15"/>
  <c r="BP140" i="15" s="1"/>
  <c r="BP76" i="15"/>
  <c r="BP139" i="15" s="1"/>
  <c r="BP81" i="15"/>
  <c r="BP144" i="15" s="1"/>
  <c r="BP82" i="15"/>
  <c r="BP145" i="15" s="1"/>
  <c r="BP87" i="15"/>
  <c r="BP150" i="15" s="1"/>
  <c r="BP88" i="15"/>
  <c r="BP151" i="15" s="1"/>
  <c r="BP97" i="15"/>
  <c r="BP160" i="15" s="1"/>
  <c r="BP46" i="15"/>
  <c r="BP109" i="15" s="1"/>
  <c r="BP53" i="15"/>
  <c r="BP116" i="15" s="1"/>
  <c r="BP47" i="15"/>
  <c r="BP110" i="15" s="1"/>
  <c r="BP58" i="15"/>
  <c r="BP121" i="15" s="1"/>
  <c r="BP67" i="15"/>
  <c r="BP130" i="15" s="1"/>
  <c r="BP65" i="15"/>
  <c r="BP128" i="15" s="1"/>
  <c r="BP70" i="15"/>
  <c r="BP133" i="15" s="1"/>
  <c r="BP73" i="15"/>
  <c r="BP136" i="15" s="1"/>
  <c r="BP78" i="15"/>
  <c r="BP141" i="15" s="1"/>
  <c r="BP83" i="15"/>
  <c r="BP146" i="15" s="1"/>
  <c r="BP89" i="15"/>
  <c r="BP152" i="15" s="1"/>
  <c r="BP90" i="15"/>
  <c r="BP153" i="15" s="1"/>
  <c r="BP94" i="15"/>
  <c r="BP157" i="15" s="1"/>
  <c r="BP98" i="15"/>
  <c r="BP161" i="15" s="1"/>
  <c r="BP102" i="15"/>
  <c r="BP162" i="15" s="1"/>
  <c r="BP39" i="15"/>
  <c r="BP105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R101" i="15" a="1"/>
  <c r="BN55" i="8" a="1"/>
  <c r="BQ75" i="15" a="1"/>
  <c r="BQ84" i="15" a="1"/>
  <c r="BN85" i="8" a="1"/>
  <c r="BQ45" i="15" a="1"/>
  <c r="BN76" i="8" a="1"/>
  <c r="BQ78" i="15" a="1"/>
  <c r="BN83" i="8" a="1"/>
  <c r="BQ81" i="15" a="1"/>
  <c r="BN64" i="8" a="1"/>
  <c r="BN79" i="8" a="1"/>
  <c r="BN66" i="8" a="1"/>
  <c r="BQ57" i="15" a="1"/>
  <c r="BQ102" i="15" a="1"/>
  <c r="BQ72" i="15" a="1"/>
  <c r="BQ82" i="15" a="1"/>
  <c r="BN70" i="8" a="1"/>
  <c r="BQ43" i="15" a="1"/>
  <c r="BQ64" i="15" a="1"/>
  <c r="BQ39" i="15" a="1"/>
  <c r="BQ61" i="15" a="1"/>
  <c r="BQ97" i="15" a="1"/>
  <c r="BQ89" i="15" a="1"/>
  <c r="BR100" i="15" a="1"/>
  <c r="BQ93" i="15" a="1"/>
  <c r="BQ55" i="15" a="1"/>
  <c r="BQ95" i="15" a="1"/>
  <c r="BQ86" i="15" a="1"/>
  <c r="BN73" i="8" a="1"/>
  <c r="BN53" i="8" a="1"/>
  <c r="BN84" i="8" a="1"/>
  <c r="BQ48" i="15" a="1"/>
  <c r="BQ68" i="15" a="1"/>
  <c r="BN104" i="8" a="1"/>
  <c r="BN52" i="8" a="1"/>
  <c r="BN102" i="8" a="1"/>
  <c r="BQ96" i="15" a="1"/>
  <c r="BQ88" i="15" a="1"/>
  <c r="BQ49" i="15" a="1"/>
  <c r="BQ46" i="15" a="1"/>
  <c r="BN72" i="8" a="1"/>
  <c r="BN59" i="8" a="1"/>
  <c r="BQ62" i="15" a="1"/>
  <c r="BQ58" i="15" a="1"/>
  <c r="BQ87" i="15" a="1"/>
  <c r="BQ80" i="15" a="1"/>
  <c r="BQ67" i="15" a="1"/>
  <c r="BR99" i="15" a="1"/>
  <c r="BN60" i="8" a="1"/>
  <c r="BN61" i="8" a="1"/>
  <c r="BQ76" i="15" a="1"/>
  <c r="BQ83" i="15" a="1"/>
  <c r="BQ91" i="15" a="1"/>
  <c r="BN103" i="8" a="1"/>
  <c r="BN71" i="8" a="1"/>
  <c r="BN58" i="8" a="1"/>
  <c r="BN62" i="8" a="1"/>
  <c r="BQ63" i="15" a="1"/>
  <c r="BN54" i="8" a="1"/>
  <c r="BN68" i="8" a="1"/>
  <c r="BQ69" i="15" a="1"/>
  <c r="BQ90" i="15" a="1"/>
  <c r="BQ47" i="15" a="1"/>
  <c r="BQ94" i="15" a="1"/>
  <c r="BN78" i="8" a="1"/>
  <c r="BN74" i="8" a="1"/>
  <c r="BQ98" i="15" a="1"/>
  <c r="BQ50" i="15" a="1"/>
  <c r="BQ51" i="15" a="1"/>
  <c r="BQ59" i="15" a="1"/>
  <c r="BQ60" i="15" a="1"/>
  <c r="BN101" i="8" a="1"/>
  <c r="BN77" i="8" a="1"/>
  <c r="BQ71" i="15" a="1"/>
  <c r="BQ73" i="15" a="1"/>
  <c r="BQ52" i="15" a="1"/>
  <c r="BQ65" i="15" a="1"/>
  <c r="BN80" i="8" a="1"/>
  <c r="BN65" i="8" a="1"/>
  <c r="BQ77" i="15" a="1"/>
  <c r="BQ56" i="15" a="1"/>
  <c r="BQ53" i="15" a="1"/>
  <c r="BQ54" i="15" a="1"/>
  <c r="BQ85" i="15" a="1"/>
  <c r="BQ70" i="15" a="1"/>
  <c r="BQ66" i="15" a="1"/>
  <c r="BN82" i="8" a="1"/>
  <c r="BQ79" i="15" a="1"/>
  <c r="BN86" i="8" a="1"/>
  <c r="BN56" i="8" a="1"/>
  <c r="BQ44" i="15" a="1"/>
  <c r="BQ74" i="15" a="1"/>
  <c r="BQ92" i="15" a="1"/>
  <c r="BN67" i="8" a="1"/>
  <c r="BN100" i="8" a="1"/>
  <c r="BR101" i="15" l="1"/>
  <c r="BR100" i="15"/>
  <c r="BR99" i="15"/>
  <c r="BN54" i="8"/>
  <c r="BN53" i="8"/>
  <c r="BN55" i="8"/>
  <c r="BN56" i="8"/>
  <c r="BN52" i="8"/>
  <c r="BN76" i="8"/>
  <c r="BN77" i="8"/>
  <c r="BN78" i="8"/>
  <c r="BN79" i="8"/>
  <c r="BN80" i="8"/>
  <c r="BQ58" i="15"/>
  <c r="BQ121" i="15" s="1"/>
  <c r="BQ68" i="15"/>
  <c r="BQ131" i="15" s="1"/>
  <c r="BQ46" i="15"/>
  <c r="BQ109" i="15" s="1"/>
  <c r="BQ60" i="15"/>
  <c r="BQ123" i="15" s="1"/>
  <c r="BQ64" i="15"/>
  <c r="BQ127" i="15" s="1"/>
  <c r="BQ72" i="15"/>
  <c r="BQ135" i="15" s="1"/>
  <c r="BQ84" i="15"/>
  <c r="BQ147" i="15" s="1"/>
  <c r="BQ92" i="15"/>
  <c r="BQ155" i="15" s="1"/>
  <c r="BQ43" i="15"/>
  <c r="BQ106" i="15" s="1"/>
  <c r="BQ47" i="15"/>
  <c r="BQ110" i="15" s="1"/>
  <c r="BQ51" i="15"/>
  <c r="BQ114" i="15" s="1"/>
  <c r="BQ53" i="15"/>
  <c r="BQ116" i="15" s="1"/>
  <c r="BQ57" i="15"/>
  <c r="BQ120" i="15" s="1"/>
  <c r="BQ74" i="15"/>
  <c r="BQ137" i="15" s="1"/>
  <c r="BQ66" i="15"/>
  <c r="BQ129" i="15" s="1"/>
  <c r="BQ70" i="15"/>
  <c r="BQ133" i="15" s="1"/>
  <c r="BQ75" i="15"/>
  <c r="BQ138" i="15" s="1"/>
  <c r="BQ82" i="15"/>
  <c r="BQ145" i="15" s="1"/>
  <c r="BQ80" i="15"/>
  <c r="BQ143" i="15" s="1"/>
  <c r="BQ88" i="15"/>
  <c r="BQ151" i="15" s="1"/>
  <c r="BQ90" i="15"/>
  <c r="BQ153" i="15" s="1"/>
  <c r="BQ97" i="15"/>
  <c r="BQ160" i="15" s="1"/>
  <c r="BQ44" i="15"/>
  <c r="BQ107" i="15" s="1"/>
  <c r="BQ65" i="15"/>
  <c r="BQ128" i="15" s="1"/>
  <c r="BQ73" i="15"/>
  <c r="BQ136" i="15" s="1"/>
  <c r="BQ50" i="15"/>
  <c r="BQ113" i="15" s="1"/>
  <c r="BQ56" i="15"/>
  <c r="BQ119" i="15" s="1"/>
  <c r="BQ69" i="15"/>
  <c r="BQ132" i="15" s="1"/>
  <c r="BQ76" i="15"/>
  <c r="BQ139" i="15" s="1"/>
  <c r="BQ93" i="15"/>
  <c r="BQ156" i="15" s="1"/>
  <c r="BQ98" i="15"/>
  <c r="BQ161" i="15" s="1"/>
  <c r="BQ45" i="15"/>
  <c r="BQ108" i="15" s="1"/>
  <c r="BQ48" i="15"/>
  <c r="BQ111" i="15" s="1"/>
  <c r="BQ52" i="15"/>
  <c r="BQ115" i="15" s="1"/>
  <c r="BQ54" i="15"/>
  <c r="BQ117" i="15" s="1"/>
  <c r="BQ61" i="15"/>
  <c r="BQ124" i="15" s="1"/>
  <c r="BQ59" i="15"/>
  <c r="BQ122" i="15" s="1"/>
  <c r="BQ67" i="15"/>
  <c r="BQ130" i="15" s="1"/>
  <c r="BQ71" i="15"/>
  <c r="BQ134" i="15" s="1"/>
  <c r="BQ77" i="15"/>
  <c r="BQ140" i="15" s="1"/>
  <c r="BQ85" i="15"/>
  <c r="BQ148" i="15" s="1"/>
  <c r="BQ81" i="15"/>
  <c r="BQ144" i="15" s="1"/>
  <c r="BQ94" i="15"/>
  <c r="BQ157" i="15" s="1"/>
  <c r="BQ87" i="15"/>
  <c r="BQ150" i="15" s="1"/>
  <c r="BQ95" i="15"/>
  <c r="BQ158" i="15" s="1"/>
  <c r="BQ102" i="15"/>
  <c r="BQ162" i="15" s="1"/>
  <c r="BQ55" i="15"/>
  <c r="BQ118" i="15" s="1"/>
  <c r="BQ78" i="15"/>
  <c r="BQ141" i="15" s="1"/>
  <c r="BQ86" i="15"/>
  <c r="BQ149" i="15" s="1"/>
  <c r="BQ83" i="15"/>
  <c r="BQ146" i="15" s="1"/>
  <c r="BQ89" i="15"/>
  <c r="BQ152" i="15" s="1"/>
  <c r="BQ91" i="15"/>
  <c r="BQ154" i="15" s="1"/>
  <c r="BQ96" i="15"/>
  <c r="BQ159" i="15" s="1"/>
  <c r="BQ49" i="15"/>
  <c r="BQ112" i="15" s="1"/>
  <c r="BQ63" i="15"/>
  <c r="BQ126" i="15" s="1"/>
  <c r="BQ62" i="15"/>
  <c r="BQ125" i="15" s="1"/>
  <c r="BQ79" i="15"/>
  <c r="BQ142" i="15" s="1"/>
  <c r="BQ39" i="15"/>
  <c r="BQ105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S101" i="15" a="1"/>
  <c r="BO52" i="8" a="1"/>
  <c r="BR94" i="15" a="1"/>
  <c r="BO104" i="8" a="1"/>
  <c r="BR74" i="15" a="1"/>
  <c r="BR53" i="15" a="1"/>
  <c r="BO86" i="8" a="1"/>
  <c r="BR55" i="15" a="1"/>
  <c r="BO70" i="8" a="1"/>
  <c r="BR64" i="15" a="1"/>
  <c r="BO77" i="8" a="1"/>
  <c r="BO83" i="8" a="1"/>
  <c r="BR61" i="15" a="1"/>
  <c r="BO74" i="8" a="1"/>
  <c r="BO101" i="8" a="1"/>
  <c r="BR65" i="15" a="1"/>
  <c r="BR68" i="15" a="1"/>
  <c r="BO80" i="8" a="1"/>
  <c r="BR76" i="15" a="1"/>
  <c r="BR88" i="15" a="1"/>
  <c r="BR48" i="15" a="1"/>
  <c r="BR90" i="15" a="1"/>
  <c r="BO62" i="8" a="1"/>
  <c r="BO72" i="8" a="1"/>
  <c r="BS100" i="15" a="1"/>
  <c r="BO100" i="8" a="1"/>
  <c r="BR72" i="15" a="1"/>
  <c r="BR85" i="15" a="1"/>
  <c r="BR69" i="15" a="1"/>
  <c r="BO78" i="8" a="1"/>
  <c r="BR58" i="15" a="1"/>
  <c r="BR47" i="15" a="1"/>
  <c r="BO60" i="8" a="1"/>
  <c r="BR46" i="15" a="1"/>
  <c r="BO53" i="8" a="1"/>
  <c r="BR89" i="15" a="1"/>
  <c r="BR49" i="15" a="1"/>
  <c r="BO58" i="8" a="1"/>
  <c r="BR83" i="15" a="1"/>
  <c r="BO64" i="8" a="1"/>
  <c r="BR54" i="15" a="1"/>
  <c r="BO55" i="8" a="1"/>
  <c r="BR52" i="15" a="1"/>
  <c r="BR80" i="15" a="1"/>
  <c r="BR97" i="15" a="1"/>
  <c r="BR102" i="15" a="1"/>
  <c r="BR75" i="15" a="1"/>
  <c r="BR50" i="15" a="1"/>
  <c r="BS99" i="15" a="1"/>
  <c r="BO103" i="8" a="1"/>
  <c r="BR66" i="15" a="1"/>
  <c r="BO59" i="8" a="1"/>
  <c r="BO82" i="8" a="1"/>
  <c r="BO79" i="8" a="1"/>
  <c r="BO85" i="8" a="1"/>
  <c r="BO102" i="8" a="1"/>
  <c r="BR44" i="15" a="1"/>
  <c r="BR86" i="15" a="1"/>
  <c r="BO56" i="8" a="1"/>
  <c r="BR92" i="15" a="1"/>
  <c r="BR39" i="15" a="1"/>
  <c r="BR82" i="15" a="1"/>
  <c r="BO61" i="8" a="1"/>
  <c r="BR96" i="15" a="1"/>
  <c r="BR51" i="15" a="1"/>
  <c r="BR60" i="15" a="1"/>
  <c r="BO73" i="8" a="1"/>
  <c r="BR57" i="15" a="1"/>
  <c r="BR62" i="15" a="1"/>
  <c r="BO67" i="8" a="1"/>
  <c r="BR79" i="15" a="1"/>
  <c r="BR56" i="15" a="1"/>
  <c r="BO76" i="8" a="1"/>
  <c r="BR95" i="15" a="1"/>
  <c r="BR93" i="15" a="1"/>
  <c r="BR78" i="15" a="1"/>
  <c r="BR59" i="15" a="1"/>
  <c r="BO54" i="8" a="1"/>
  <c r="BR98" i="15" a="1"/>
  <c r="BR84" i="15" a="1"/>
  <c r="BR91" i="15" a="1"/>
  <c r="BR73" i="15" a="1"/>
  <c r="BO65" i="8" a="1"/>
  <c r="BO71" i="8" a="1"/>
  <c r="BR67" i="15" a="1"/>
  <c r="BR43" i="15" a="1"/>
  <c r="BR45" i="15" a="1"/>
  <c r="BR81" i="15" a="1"/>
  <c r="BR63" i="15" a="1"/>
  <c r="BO68" i="8" a="1"/>
  <c r="BO84" i="8" a="1"/>
  <c r="BR87" i="15" a="1"/>
  <c r="BR71" i="15" a="1"/>
  <c r="BR77" i="15" a="1"/>
  <c r="BR70" i="15" a="1"/>
  <c r="BO66" i="8" a="1"/>
  <c r="BS101" i="15" l="1"/>
  <c r="BS100" i="15"/>
  <c r="BS99" i="15"/>
  <c r="BO56" i="8"/>
  <c r="BO54" i="8"/>
  <c r="BO52" i="8"/>
  <c r="BO55" i="8"/>
  <c r="BO53" i="8"/>
  <c r="BO79" i="8"/>
  <c r="BO76" i="8"/>
  <c r="BO80" i="8"/>
  <c r="BO77" i="8"/>
  <c r="BO78" i="8"/>
  <c r="BR46" i="15"/>
  <c r="BR109" i="15" s="1"/>
  <c r="BR43" i="15"/>
  <c r="BR106" i="15" s="1"/>
  <c r="BR50" i="15"/>
  <c r="BR113" i="15" s="1"/>
  <c r="BR44" i="15"/>
  <c r="BR107" i="15" s="1"/>
  <c r="BR57" i="15"/>
  <c r="BR120" i="15" s="1"/>
  <c r="BR55" i="15"/>
  <c r="BR118" i="15" s="1"/>
  <c r="BR48" i="15"/>
  <c r="BR111" i="15" s="1"/>
  <c r="BR60" i="15"/>
  <c r="BR123" i="15" s="1"/>
  <c r="BR66" i="15"/>
  <c r="BR129" i="15" s="1"/>
  <c r="BR58" i="15"/>
  <c r="BR121" i="15" s="1"/>
  <c r="BR69" i="15"/>
  <c r="BR132" i="15" s="1"/>
  <c r="BR71" i="15"/>
  <c r="BR134" i="15" s="1"/>
  <c r="BR79" i="15"/>
  <c r="BR142" i="15" s="1"/>
  <c r="BR82" i="15"/>
  <c r="BR145" i="15" s="1"/>
  <c r="BR92" i="15"/>
  <c r="BR155" i="15" s="1"/>
  <c r="BR88" i="15"/>
  <c r="BR151" i="15" s="1"/>
  <c r="BR95" i="15"/>
  <c r="BR158" i="15" s="1"/>
  <c r="BR51" i="15"/>
  <c r="BR114" i="15" s="1"/>
  <c r="BR56" i="15"/>
  <c r="BR119" i="15" s="1"/>
  <c r="BR49" i="15"/>
  <c r="BR112" i="15" s="1"/>
  <c r="BR64" i="15"/>
  <c r="BR127" i="15" s="1"/>
  <c r="BR68" i="15"/>
  <c r="BR131" i="15" s="1"/>
  <c r="BR62" i="15"/>
  <c r="BR125" i="15" s="1"/>
  <c r="BR73" i="15"/>
  <c r="BR136" i="15" s="1"/>
  <c r="BR75" i="15"/>
  <c r="BR138" i="15" s="1"/>
  <c r="BR80" i="15"/>
  <c r="BR143" i="15" s="1"/>
  <c r="BR85" i="15"/>
  <c r="BR148" i="15" s="1"/>
  <c r="BR86" i="15"/>
  <c r="BR149" i="15" s="1"/>
  <c r="BR93" i="15"/>
  <c r="BR156" i="15" s="1"/>
  <c r="BR96" i="15"/>
  <c r="BR159" i="15" s="1"/>
  <c r="BR59" i="15"/>
  <c r="BR122" i="15" s="1"/>
  <c r="BR70" i="15"/>
  <c r="BR133" i="15" s="1"/>
  <c r="BR63" i="15"/>
  <c r="BR126" i="15" s="1"/>
  <c r="BR76" i="15"/>
  <c r="BR139" i="15" s="1"/>
  <c r="BR77" i="15"/>
  <c r="BR140" i="15" s="1"/>
  <c r="BR81" i="15"/>
  <c r="BR144" i="15" s="1"/>
  <c r="BR83" i="15"/>
  <c r="BR146" i="15" s="1"/>
  <c r="BR87" i="15"/>
  <c r="BR150" i="15" s="1"/>
  <c r="BR89" i="15"/>
  <c r="BR152" i="15" s="1"/>
  <c r="BR98" i="15"/>
  <c r="BR161" i="15" s="1"/>
  <c r="BR53" i="15"/>
  <c r="BR116" i="15" s="1"/>
  <c r="BR61" i="15"/>
  <c r="BR124" i="15" s="1"/>
  <c r="BR45" i="15"/>
  <c r="BR108" i="15" s="1"/>
  <c r="BR54" i="15"/>
  <c r="BR117" i="15" s="1"/>
  <c r="BR47" i="15"/>
  <c r="BR110" i="15" s="1"/>
  <c r="BR52" i="15"/>
  <c r="BR115" i="15" s="1"/>
  <c r="BR65" i="15"/>
  <c r="BR128" i="15" s="1"/>
  <c r="BR72" i="15"/>
  <c r="BR135" i="15" s="1"/>
  <c r="BR67" i="15"/>
  <c r="BR130" i="15" s="1"/>
  <c r="BR74" i="15"/>
  <c r="BR137" i="15" s="1"/>
  <c r="BR78" i="15"/>
  <c r="BR141" i="15" s="1"/>
  <c r="BR84" i="15"/>
  <c r="BR147" i="15" s="1"/>
  <c r="BR90" i="15"/>
  <c r="BR153" i="15" s="1"/>
  <c r="BR91" i="15"/>
  <c r="BR154" i="15" s="1"/>
  <c r="BR94" i="15"/>
  <c r="BR157" i="15" s="1"/>
  <c r="BR97" i="15"/>
  <c r="BR160" i="15" s="1"/>
  <c r="BR102" i="15"/>
  <c r="BR162" i="15" s="1"/>
  <c r="BR39" i="15"/>
  <c r="BR105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T101" i="15" a="1"/>
  <c r="BP52" i="8" a="1"/>
  <c r="BP101" i="8" a="1"/>
  <c r="BS88" i="15" a="1"/>
  <c r="BS83" i="15" a="1"/>
  <c r="BS94" i="15" a="1"/>
  <c r="BP102" i="8" a="1"/>
  <c r="BS73" i="15" a="1"/>
  <c r="BP66" i="8" a="1"/>
  <c r="BS67" i="15" a="1"/>
  <c r="BS74" i="15" a="1"/>
  <c r="BS48" i="15" a="1"/>
  <c r="BS44" i="15" a="1"/>
  <c r="BS63" i="15" a="1"/>
  <c r="BS39" i="15" a="1"/>
  <c r="BS52" i="15" a="1"/>
  <c r="BS64" i="15" a="1"/>
  <c r="BP77" i="8" a="1"/>
  <c r="BS59" i="15" a="1"/>
  <c r="BS80" i="15" a="1"/>
  <c r="BS93" i="15" a="1"/>
  <c r="BP60" i="8" a="1"/>
  <c r="BS56" i="15" a="1"/>
  <c r="BP82" i="8" a="1"/>
  <c r="BS70" i="15" a="1"/>
  <c r="BS92" i="15" a="1"/>
  <c r="BT100" i="15" a="1"/>
  <c r="BS82" i="15" a="1"/>
  <c r="BS97" i="15" a="1"/>
  <c r="BS90" i="15" a="1"/>
  <c r="BP85" i="8" a="1"/>
  <c r="BP80" i="8" a="1"/>
  <c r="BS65" i="15" a="1"/>
  <c r="BS95" i="15" a="1"/>
  <c r="BP64" i="8" a="1"/>
  <c r="BS79" i="15" a="1"/>
  <c r="BP76" i="8" a="1"/>
  <c r="BP86" i="8" a="1"/>
  <c r="BP68" i="8" a="1"/>
  <c r="BP84" i="8" a="1"/>
  <c r="BS49" i="15" a="1"/>
  <c r="BS77" i="15" a="1"/>
  <c r="BS96" i="15" a="1"/>
  <c r="BP55" i="8" a="1"/>
  <c r="BS89" i="15" a="1"/>
  <c r="BS84" i="15" a="1"/>
  <c r="BP71" i="8" a="1"/>
  <c r="BS57" i="15" a="1"/>
  <c r="BT99" i="15" a="1"/>
  <c r="BP73" i="8" a="1"/>
  <c r="BP58" i="8" a="1"/>
  <c r="BP67" i="8" a="1"/>
  <c r="BS81" i="15" a="1"/>
  <c r="BP79" i="8" a="1"/>
  <c r="BS72" i="15" a="1"/>
  <c r="BS85" i="15" a="1"/>
  <c r="BS60" i="15" a="1"/>
  <c r="BS51" i="15" a="1"/>
  <c r="BP56" i="8" a="1"/>
  <c r="BP61" i="8" a="1"/>
  <c r="BS55" i="15" a="1"/>
  <c r="BP74" i="8" a="1"/>
  <c r="BS91" i="15" a="1"/>
  <c r="BP62" i="8" a="1"/>
  <c r="BS62" i="15" a="1"/>
  <c r="BP104" i="8" a="1"/>
  <c r="BS66" i="15" a="1"/>
  <c r="BS43" i="15" a="1"/>
  <c r="BS54" i="15" a="1"/>
  <c r="BS71" i="15" a="1"/>
  <c r="BS45" i="15" a="1"/>
  <c r="BP78" i="8" a="1"/>
  <c r="BS47" i="15" a="1"/>
  <c r="BP59" i="8" a="1"/>
  <c r="BS86" i="15" a="1"/>
  <c r="BS78" i="15" a="1"/>
  <c r="BP53" i="8" a="1"/>
  <c r="BP70" i="8" a="1"/>
  <c r="BS102" i="15" a="1"/>
  <c r="BS50" i="15" a="1"/>
  <c r="BS61" i="15" a="1"/>
  <c r="BP54" i="8" a="1"/>
  <c r="BP103" i="8" a="1"/>
  <c r="BS87" i="15" a="1"/>
  <c r="BS68" i="15" a="1"/>
  <c r="BS58" i="15" a="1"/>
  <c r="BP65" i="8" a="1"/>
  <c r="BS76" i="15" a="1"/>
  <c r="BS98" i="15" a="1"/>
  <c r="BS69" i="15" a="1"/>
  <c r="BP83" i="8" a="1"/>
  <c r="BS75" i="15" a="1"/>
  <c r="BS46" i="15" a="1"/>
  <c r="BP100" i="8" a="1"/>
  <c r="BS53" i="15" a="1"/>
  <c r="BP72" i="8" a="1"/>
  <c r="BT101" i="15" l="1"/>
  <c r="BT100" i="15"/>
  <c r="BT99" i="15"/>
  <c r="BP54" i="8"/>
  <c r="BP53" i="8"/>
  <c r="BP52" i="8"/>
  <c r="BP55" i="8"/>
  <c r="BP56" i="8"/>
  <c r="BP79" i="8"/>
  <c r="BP78" i="8"/>
  <c r="BP77" i="8"/>
  <c r="BP76" i="8"/>
  <c r="BP80" i="8"/>
  <c r="BS43" i="15"/>
  <c r="BS106" i="15" s="1"/>
  <c r="BS48" i="15"/>
  <c r="BS111" i="15" s="1"/>
  <c r="BS47" i="15"/>
  <c r="BS110" i="15" s="1"/>
  <c r="BS53" i="15"/>
  <c r="BS116" i="15" s="1"/>
  <c r="BS58" i="15"/>
  <c r="BS121" i="15" s="1"/>
  <c r="BS64" i="15"/>
  <c r="BS127" i="15" s="1"/>
  <c r="BS67" i="15"/>
  <c r="BS130" i="15" s="1"/>
  <c r="BS71" i="15"/>
  <c r="BS134" i="15" s="1"/>
  <c r="BS78" i="15"/>
  <c r="BS141" i="15" s="1"/>
  <c r="BS82" i="15"/>
  <c r="BS145" i="15" s="1"/>
  <c r="BS81" i="15"/>
  <c r="BS144" i="15" s="1"/>
  <c r="BS89" i="15"/>
  <c r="BS152" i="15" s="1"/>
  <c r="BS91" i="15"/>
  <c r="BS154" i="15" s="1"/>
  <c r="BS98" i="15"/>
  <c r="BS161" i="15" s="1"/>
  <c r="BS44" i="15"/>
  <c r="BS107" i="15" s="1"/>
  <c r="BS50" i="15"/>
  <c r="BS113" i="15" s="1"/>
  <c r="BS49" i="15"/>
  <c r="BS112" i="15" s="1"/>
  <c r="BS54" i="15"/>
  <c r="BS117" i="15" s="1"/>
  <c r="BS62" i="15"/>
  <c r="BS125" i="15" s="1"/>
  <c r="BS61" i="15"/>
  <c r="BS124" i="15" s="1"/>
  <c r="BS68" i="15"/>
  <c r="BS131" i="15" s="1"/>
  <c r="BS72" i="15"/>
  <c r="BS135" i="15" s="1"/>
  <c r="BS74" i="15"/>
  <c r="BS137" i="15" s="1"/>
  <c r="BS83" i="15"/>
  <c r="BS146" i="15" s="1"/>
  <c r="BS84" i="15"/>
  <c r="BS147" i="15" s="1"/>
  <c r="BS90" i="15"/>
  <c r="BS153" i="15" s="1"/>
  <c r="BS87" i="15"/>
  <c r="BS150" i="15" s="1"/>
  <c r="BS95" i="15"/>
  <c r="BS158" i="15" s="1"/>
  <c r="BS102" i="15"/>
  <c r="BS162" i="15" s="1"/>
  <c r="BS46" i="15"/>
  <c r="BS109" i="15" s="1"/>
  <c r="BS57" i="15"/>
  <c r="BS120" i="15" s="1"/>
  <c r="BS51" i="15"/>
  <c r="BS114" i="15" s="1"/>
  <c r="BS55" i="15"/>
  <c r="BS118" i="15" s="1"/>
  <c r="BS63" i="15"/>
  <c r="BS126" i="15" s="1"/>
  <c r="BS65" i="15"/>
  <c r="BS128" i="15" s="1"/>
  <c r="BS69" i="15"/>
  <c r="BS132" i="15" s="1"/>
  <c r="BS73" i="15"/>
  <c r="BS136" i="15" s="1"/>
  <c r="BS75" i="15"/>
  <c r="BS138" i="15" s="1"/>
  <c r="BS79" i="15"/>
  <c r="BS142" i="15" s="1"/>
  <c r="BS86" i="15"/>
  <c r="BS149" i="15" s="1"/>
  <c r="BS92" i="15"/>
  <c r="BS155" i="15" s="1"/>
  <c r="BS88" i="15"/>
  <c r="BS151" i="15" s="1"/>
  <c r="BS96" i="15"/>
  <c r="BS159" i="15" s="1"/>
  <c r="BS45" i="15"/>
  <c r="BS108" i="15" s="1"/>
  <c r="BS59" i="15"/>
  <c r="BS122" i="15" s="1"/>
  <c r="BS52" i="15"/>
  <c r="BS115" i="15" s="1"/>
  <c r="BS56" i="15"/>
  <c r="BS119" i="15" s="1"/>
  <c r="BS60" i="15"/>
  <c r="BS123" i="15" s="1"/>
  <c r="BS66" i="15"/>
  <c r="BS129" i="15" s="1"/>
  <c r="BS70" i="15"/>
  <c r="BS133" i="15" s="1"/>
  <c r="BS76" i="15"/>
  <c r="BS139" i="15" s="1"/>
  <c r="BS77" i="15"/>
  <c r="BS140" i="15" s="1"/>
  <c r="BS80" i="15"/>
  <c r="BS143" i="15" s="1"/>
  <c r="BS85" i="15"/>
  <c r="BS148" i="15" s="1"/>
  <c r="BS94" i="15"/>
  <c r="BS157" i="15" s="1"/>
  <c r="BS93" i="15"/>
  <c r="BS156" i="15" s="1"/>
  <c r="BS97" i="15"/>
  <c r="BS160" i="15" s="1"/>
  <c r="BS39" i="15"/>
  <c r="BS105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U101" i="15" a="1"/>
  <c r="BQ56" i="8" a="1"/>
  <c r="BT94" i="15" a="1"/>
  <c r="BQ83" i="8" a="1"/>
  <c r="BT83" i="15" a="1"/>
  <c r="BT55" i="15" a="1"/>
  <c r="BQ55" i="8" a="1"/>
  <c r="BQ82" i="8" a="1"/>
  <c r="BT56" i="15" a="1"/>
  <c r="BT64" i="15" a="1"/>
  <c r="BT66" i="15" a="1"/>
  <c r="BQ52" i="8" a="1"/>
  <c r="BQ84" i="8" a="1"/>
  <c r="BQ60" i="8" a="1"/>
  <c r="BQ66" i="8" a="1"/>
  <c r="BT87" i="15" a="1"/>
  <c r="BT73" i="15" a="1"/>
  <c r="BT74" i="15" a="1"/>
  <c r="BT72" i="15" a="1"/>
  <c r="BQ104" i="8" a="1"/>
  <c r="BT44" i="15" a="1"/>
  <c r="BT51" i="15" a="1"/>
  <c r="BT53" i="15" a="1"/>
  <c r="BQ73" i="8" a="1"/>
  <c r="BQ80" i="8" a="1"/>
  <c r="BQ65" i="8" a="1"/>
  <c r="BT65" i="15" a="1"/>
  <c r="BT82" i="15" a="1"/>
  <c r="BU100" i="15" a="1"/>
  <c r="BT79" i="15" a="1"/>
  <c r="BT61" i="15" a="1"/>
  <c r="BQ85" i="8" a="1"/>
  <c r="BQ62" i="8" a="1"/>
  <c r="BT67" i="15" a="1"/>
  <c r="BT102" i="15" a="1"/>
  <c r="BQ71" i="8" a="1"/>
  <c r="BT78" i="15" a="1"/>
  <c r="BT69" i="15" a="1"/>
  <c r="BT95" i="15" a="1"/>
  <c r="BT90" i="15" a="1"/>
  <c r="BT47" i="15" a="1"/>
  <c r="BT97" i="15" a="1"/>
  <c r="BT85" i="15" a="1"/>
  <c r="BT86" i="15" a="1"/>
  <c r="BT71" i="15" a="1"/>
  <c r="BT77" i="15" a="1"/>
  <c r="BT93" i="15" a="1"/>
  <c r="BT80" i="15" a="1"/>
  <c r="BU99" i="15" a="1"/>
  <c r="BQ68" i="8" a="1"/>
  <c r="BT63" i="15" a="1"/>
  <c r="BT96" i="15" a="1"/>
  <c r="BT70" i="15" a="1"/>
  <c r="BQ78" i="8" a="1"/>
  <c r="BT62" i="15" a="1"/>
  <c r="BQ74" i="8" a="1"/>
  <c r="BT58" i="15" a="1"/>
  <c r="BT91" i="15" a="1"/>
  <c r="BQ77" i="8" a="1"/>
  <c r="BT50" i="15" a="1"/>
  <c r="BQ59" i="8" a="1"/>
  <c r="BT84" i="15" a="1"/>
  <c r="BT76" i="15" a="1"/>
  <c r="BT57" i="15" a="1"/>
  <c r="BT81" i="15" a="1"/>
  <c r="BQ54" i="8" a="1"/>
  <c r="BQ103" i="8" a="1"/>
  <c r="BQ86" i="8" a="1"/>
  <c r="BT43" i="15" a="1"/>
  <c r="BQ76" i="8" a="1"/>
  <c r="BQ70" i="8" a="1"/>
  <c r="BT48" i="15" a="1"/>
  <c r="BQ58" i="8" a="1"/>
  <c r="BQ67" i="8" a="1"/>
  <c r="BQ79" i="8" a="1"/>
  <c r="BQ100" i="8" a="1"/>
  <c r="BQ101" i="8" a="1"/>
  <c r="BT68" i="15" a="1"/>
  <c r="BT75" i="15" a="1"/>
  <c r="BQ53" i="8" a="1"/>
  <c r="BT98" i="15" a="1"/>
  <c r="BT88" i="15" a="1"/>
  <c r="BT39" i="15" a="1"/>
  <c r="BQ72" i="8" a="1"/>
  <c r="BQ64" i="8" a="1"/>
  <c r="BT59" i="15" a="1"/>
  <c r="BT54" i="15" a="1"/>
  <c r="BT89" i="15" a="1"/>
  <c r="BQ61" i="8" a="1"/>
  <c r="BQ102" i="8" a="1"/>
  <c r="BT60" i="15" a="1"/>
  <c r="BT45" i="15" a="1"/>
  <c r="BT92" i="15" a="1"/>
  <c r="BT52" i="15" a="1"/>
  <c r="BT49" i="15" a="1"/>
  <c r="BT46" i="15" a="1"/>
  <c r="BU101" i="15" l="1"/>
  <c r="BU100" i="15"/>
  <c r="BU99" i="15"/>
  <c r="BQ52" i="8"/>
  <c r="BQ55" i="8"/>
  <c r="BQ56" i="8"/>
  <c r="BQ54" i="8"/>
  <c r="BQ53" i="8"/>
  <c r="BQ79" i="8"/>
  <c r="BQ76" i="8"/>
  <c r="BQ80" i="8"/>
  <c r="BQ77" i="8"/>
  <c r="BQ78" i="8"/>
  <c r="BT43" i="15"/>
  <c r="BT106" i="15" s="1"/>
  <c r="BT47" i="15"/>
  <c r="BT110" i="15" s="1"/>
  <c r="BT52" i="15"/>
  <c r="BT115" i="15" s="1"/>
  <c r="BT56" i="15"/>
  <c r="BT119" i="15" s="1"/>
  <c r="BT57" i="15"/>
  <c r="BT120" i="15" s="1"/>
  <c r="BT62" i="15"/>
  <c r="BT125" i="15" s="1"/>
  <c r="BT63" i="15"/>
  <c r="BT126" i="15" s="1"/>
  <c r="BT70" i="15"/>
  <c r="BT133" i="15" s="1"/>
  <c r="BT71" i="15"/>
  <c r="BT134" i="15" s="1"/>
  <c r="BT79" i="15"/>
  <c r="BT142" i="15" s="1"/>
  <c r="BT83" i="15"/>
  <c r="BT146" i="15" s="1"/>
  <c r="BT85" i="15"/>
  <c r="BT148" i="15" s="1"/>
  <c r="BT89" i="15"/>
  <c r="BT152" i="15" s="1"/>
  <c r="BT95" i="15"/>
  <c r="BT158" i="15" s="1"/>
  <c r="BT45" i="15"/>
  <c r="BT108" i="15" s="1"/>
  <c r="BT48" i="15"/>
  <c r="BT111" i="15" s="1"/>
  <c r="BT53" i="15"/>
  <c r="BT116" i="15" s="1"/>
  <c r="BT51" i="15"/>
  <c r="BT114" i="15" s="1"/>
  <c r="BT61" i="15"/>
  <c r="BT124" i="15" s="1"/>
  <c r="BT67" i="15"/>
  <c r="BT130" i="15" s="1"/>
  <c r="BT64" i="15"/>
  <c r="BT127" i="15" s="1"/>
  <c r="BT74" i="15"/>
  <c r="BT137" i="15" s="1"/>
  <c r="BT72" i="15"/>
  <c r="BT135" i="15" s="1"/>
  <c r="BT80" i="15"/>
  <c r="BT143" i="15" s="1"/>
  <c r="BT84" i="15"/>
  <c r="BT147" i="15" s="1"/>
  <c r="BT86" i="15"/>
  <c r="BT149" i="15" s="1"/>
  <c r="BT92" i="15"/>
  <c r="BT155" i="15" s="1"/>
  <c r="BT96" i="15"/>
  <c r="BT159" i="15" s="1"/>
  <c r="BT44" i="15"/>
  <c r="BT107" i="15" s="1"/>
  <c r="BT49" i="15"/>
  <c r="BT112" i="15" s="1"/>
  <c r="BT54" i="15"/>
  <c r="BT117" i="15" s="1"/>
  <c r="BT58" i="15"/>
  <c r="BT121" i="15" s="1"/>
  <c r="BT65" i="15"/>
  <c r="BT128" i="15" s="1"/>
  <c r="BT69" i="15"/>
  <c r="BT132" i="15" s="1"/>
  <c r="BT66" i="15"/>
  <c r="BT129" i="15" s="1"/>
  <c r="BT75" i="15"/>
  <c r="BT138" i="15" s="1"/>
  <c r="BT76" i="15"/>
  <c r="BT139" i="15" s="1"/>
  <c r="BT81" i="15"/>
  <c r="BT144" i="15" s="1"/>
  <c r="BT91" i="15"/>
  <c r="BT154" i="15" s="1"/>
  <c r="BT87" i="15"/>
  <c r="BT150" i="15" s="1"/>
  <c r="BT90" i="15"/>
  <c r="BT153" i="15" s="1"/>
  <c r="BT97" i="15"/>
  <c r="BT160" i="15" s="1"/>
  <c r="BT46" i="15"/>
  <c r="BT109" i="15" s="1"/>
  <c r="BT50" i="15"/>
  <c r="BT113" i="15" s="1"/>
  <c r="BT55" i="15"/>
  <c r="BT118" i="15" s="1"/>
  <c r="BT60" i="15"/>
  <c r="BT123" i="15" s="1"/>
  <c r="BT73" i="15"/>
  <c r="BT136" i="15" s="1"/>
  <c r="BT59" i="15"/>
  <c r="BT122" i="15" s="1"/>
  <c r="BT68" i="15"/>
  <c r="BT131" i="15" s="1"/>
  <c r="BT77" i="15"/>
  <c r="BT140" i="15" s="1"/>
  <c r="BT78" i="15"/>
  <c r="BT141" i="15" s="1"/>
  <c r="BT82" i="15"/>
  <c r="BT145" i="15" s="1"/>
  <c r="BT93" i="15"/>
  <c r="BT156" i="15" s="1"/>
  <c r="BT88" i="15"/>
  <c r="BT151" i="15" s="1"/>
  <c r="BT94" i="15"/>
  <c r="BT157" i="15" s="1"/>
  <c r="BT98" i="15"/>
  <c r="BT161" i="15" s="1"/>
  <c r="BT102" i="15"/>
  <c r="BT162" i="15" s="1"/>
  <c r="BT39" i="15"/>
  <c r="BT105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V101" i="15" a="1"/>
  <c r="BR56" i="8" a="1"/>
  <c r="BR65" i="8" a="1"/>
  <c r="BU84" i="15" a="1"/>
  <c r="BR103" i="8" a="1"/>
  <c r="BR59" i="8" a="1"/>
  <c r="BR78" i="8" a="1"/>
  <c r="BU79" i="15" a="1"/>
  <c r="BU68" i="15" a="1"/>
  <c r="BU95" i="15" a="1"/>
  <c r="BR60" i="8" a="1"/>
  <c r="BR67" i="8" a="1"/>
  <c r="BR64" i="8" a="1"/>
  <c r="BR72" i="8" a="1"/>
  <c r="BU102" i="15" a="1"/>
  <c r="BU89" i="15" a="1"/>
  <c r="BR71" i="8" a="1"/>
  <c r="BR70" i="8" a="1"/>
  <c r="BR53" i="8" a="1"/>
  <c r="BU81" i="15" a="1"/>
  <c r="BR84" i="8" a="1"/>
  <c r="BR104" i="8" a="1"/>
  <c r="BU85" i="15" a="1"/>
  <c r="BU52" i="15" a="1"/>
  <c r="BU62" i="15" a="1"/>
  <c r="BU48" i="15" a="1"/>
  <c r="BV100" i="15" a="1"/>
  <c r="BU73" i="15" a="1"/>
  <c r="BU65" i="15" a="1"/>
  <c r="BU96" i="15" a="1"/>
  <c r="BU77" i="15" a="1"/>
  <c r="BR82" i="8" a="1"/>
  <c r="BR52" i="8" a="1"/>
  <c r="BU44" i="15" a="1"/>
  <c r="BU64" i="15" a="1"/>
  <c r="BU97" i="15" a="1"/>
  <c r="BU92" i="15" a="1"/>
  <c r="BR79" i="8" a="1"/>
  <c r="BU60" i="15" a="1"/>
  <c r="BU61" i="15" a="1"/>
  <c r="BU94" i="15" a="1"/>
  <c r="BU63" i="15" a="1"/>
  <c r="BU57" i="15" a="1"/>
  <c r="BU39" i="15" a="1"/>
  <c r="BU75" i="15" a="1"/>
  <c r="BR74" i="8" a="1"/>
  <c r="BU98" i="15" a="1"/>
  <c r="BU86" i="15" a="1"/>
  <c r="BU88" i="15" a="1"/>
  <c r="BV99" i="15" a="1"/>
  <c r="BU46" i="15" a="1"/>
  <c r="BU53" i="15" a="1"/>
  <c r="BU90" i="15" a="1"/>
  <c r="BU76" i="15" a="1"/>
  <c r="BU83" i="15" a="1"/>
  <c r="BR83" i="8" a="1"/>
  <c r="BU71" i="15" a="1"/>
  <c r="BU80" i="15" a="1"/>
  <c r="BU58" i="15" a="1"/>
  <c r="BU55" i="15" a="1"/>
  <c r="BR55" i="8" a="1"/>
  <c r="BU51" i="15" a="1"/>
  <c r="BU49" i="15" a="1"/>
  <c r="BU78" i="15" a="1"/>
  <c r="BR68" i="8" a="1"/>
  <c r="BU69" i="15" a="1"/>
  <c r="BR100" i="8" a="1"/>
  <c r="BR58" i="8" a="1"/>
  <c r="BR62" i="8" a="1"/>
  <c r="BR101" i="8" a="1"/>
  <c r="BU74" i="15" a="1"/>
  <c r="BU66" i="15" a="1"/>
  <c r="BR80" i="8" a="1"/>
  <c r="BR85" i="8" a="1"/>
  <c r="BR73" i="8" a="1"/>
  <c r="BU82" i="15" a="1"/>
  <c r="BU70" i="15" a="1"/>
  <c r="BR76" i="8" a="1"/>
  <c r="BU50" i="15" a="1"/>
  <c r="BU43" i="15" a="1"/>
  <c r="BU93" i="15" a="1"/>
  <c r="BR86" i="8" a="1"/>
  <c r="BU91" i="15" a="1"/>
  <c r="BR54" i="8" a="1"/>
  <c r="BU45" i="15" a="1"/>
  <c r="BR66" i="8" a="1"/>
  <c r="BU87" i="15" a="1"/>
  <c r="BU67" i="15" a="1"/>
  <c r="BU54" i="15" a="1"/>
  <c r="BR77" i="8" a="1"/>
  <c r="BU72" i="15" a="1"/>
  <c r="BR61" i="8" a="1"/>
  <c r="BU59" i="15" a="1"/>
  <c r="BU56" i="15" a="1"/>
  <c r="BU47" i="15" a="1"/>
  <c r="BR102" i="8" a="1"/>
  <c r="BV39" i="15" a="1"/>
  <c r="BV101" i="15" l="1"/>
  <c r="BV100" i="15"/>
  <c r="BV99" i="15"/>
  <c r="BR54" i="8"/>
  <c r="BR52" i="8"/>
  <c r="BR56" i="8"/>
  <c r="BR53" i="8"/>
  <c r="BR55" i="8"/>
  <c r="BR78" i="8"/>
  <c r="BR80" i="8"/>
  <c r="BR77" i="8"/>
  <c r="BR79" i="8"/>
  <c r="BR76" i="8"/>
  <c r="BU44" i="15"/>
  <c r="BU107" i="15" s="1"/>
  <c r="BU43" i="15"/>
  <c r="BU106" i="15" s="1"/>
  <c r="BU47" i="15"/>
  <c r="BU110" i="15" s="1"/>
  <c r="BU60" i="15"/>
  <c r="BU123" i="15" s="1"/>
  <c r="BU54" i="15"/>
  <c r="BU117" i="15" s="1"/>
  <c r="BU59" i="15"/>
  <c r="BU122" i="15" s="1"/>
  <c r="BU61" i="15"/>
  <c r="BU124" i="15" s="1"/>
  <c r="BU66" i="15"/>
  <c r="BU129" i="15" s="1"/>
  <c r="BU70" i="15"/>
  <c r="BU133" i="15" s="1"/>
  <c r="BU75" i="15"/>
  <c r="BU138" i="15" s="1"/>
  <c r="BU83" i="15"/>
  <c r="BU146" i="15" s="1"/>
  <c r="BU80" i="15"/>
  <c r="BU143" i="15" s="1"/>
  <c r="BU90" i="15"/>
  <c r="BU153" i="15" s="1"/>
  <c r="BU94" i="15"/>
  <c r="BU157" i="15" s="1"/>
  <c r="BU97" i="15"/>
  <c r="BU160" i="15" s="1"/>
  <c r="BU102" i="15"/>
  <c r="BU162" i="15" s="1"/>
  <c r="BU45" i="15"/>
  <c r="BU108" i="15" s="1"/>
  <c r="BU49" i="15"/>
  <c r="BU112" i="15" s="1"/>
  <c r="BU48" i="15"/>
  <c r="BU111" i="15" s="1"/>
  <c r="BU55" i="15"/>
  <c r="BU118" i="15" s="1"/>
  <c r="BU63" i="15"/>
  <c r="BU126" i="15" s="1"/>
  <c r="BU65" i="15"/>
  <c r="BU128" i="15" s="1"/>
  <c r="BU67" i="15"/>
  <c r="BU130" i="15" s="1"/>
  <c r="BU71" i="15"/>
  <c r="BU134" i="15" s="1"/>
  <c r="BU77" i="15"/>
  <c r="BU140" i="15" s="1"/>
  <c r="BU85" i="15"/>
  <c r="BU148" i="15" s="1"/>
  <c r="BU81" i="15"/>
  <c r="BU144" i="15" s="1"/>
  <c r="BU91" i="15"/>
  <c r="BU154" i="15" s="1"/>
  <c r="BU87" i="15"/>
  <c r="BU150" i="15" s="1"/>
  <c r="BU95" i="15"/>
  <c r="BU158" i="15" s="1"/>
  <c r="BU51" i="15"/>
  <c r="BU114" i="15" s="1"/>
  <c r="BU56" i="15"/>
  <c r="BU119" i="15" s="1"/>
  <c r="BU64" i="15"/>
  <c r="BU127" i="15" s="1"/>
  <c r="BU72" i="15"/>
  <c r="BU135" i="15" s="1"/>
  <c r="BU68" i="15"/>
  <c r="BU131" i="15" s="1"/>
  <c r="BU73" i="15"/>
  <c r="BU136" i="15" s="1"/>
  <c r="BU78" i="15"/>
  <c r="BU141" i="15" s="1"/>
  <c r="BU84" i="15"/>
  <c r="BU147" i="15" s="1"/>
  <c r="BU82" i="15"/>
  <c r="BU145" i="15" s="1"/>
  <c r="BU93" i="15"/>
  <c r="BU156" i="15" s="1"/>
  <c r="BU89" i="15"/>
  <c r="BU152" i="15" s="1"/>
  <c r="BU96" i="15"/>
  <c r="BU159" i="15" s="1"/>
  <c r="BU50" i="15"/>
  <c r="BU113" i="15" s="1"/>
  <c r="BU46" i="15"/>
  <c r="BU109" i="15" s="1"/>
  <c r="BU52" i="15"/>
  <c r="BU115" i="15" s="1"/>
  <c r="BU53" i="15"/>
  <c r="BU116" i="15" s="1"/>
  <c r="BU58" i="15"/>
  <c r="BU121" i="15" s="1"/>
  <c r="BU57" i="15"/>
  <c r="BU120" i="15" s="1"/>
  <c r="BU62" i="15"/>
  <c r="BU125" i="15" s="1"/>
  <c r="BU69" i="15"/>
  <c r="BU132" i="15" s="1"/>
  <c r="BU74" i="15"/>
  <c r="BU137" i="15" s="1"/>
  <c r="BU76" i="15"/>
  <c r="BU139" i="15" s="1"/>
  <c r="BU79" i="15"/>
  <c r="BU142" i="15" s="1"/>
  <c r="BU86" i="15"/>
  <c r="BU149" i="15" s="1"/>
  <c r="BU88" i="15"/>
  <c r="BU151" i="15" s="1"/>
  <c r="BU92" i="15"/>
  <c r="BU155" i="15" s="1"/>
  <c r="BU98" i="15"/>
  <c r="BU161" i="15" s="1"/>
  <c r="BV39" i="15"/>
  <c r="BV105" i="15" s="1"/>
  <c r="BU39" i="15"/>
  <c r="BU105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7" i="8" a="1"/>
  <c r="BV74" i="15" a="1"/>
  <c r="BV46" i="15" a="1"/>
  <c r="BV86" i="15" a="1"/>
  <c r="BV78" i="15" a="1"/>
  <c r="BV93" i="15" a="1"/>
  <c r="BS80" i="8" a="1"/>
  <c r="BS61" i="8" a="1"/>
  <c r="BV82" i="15" a="1"/>
  <c r="BV63" i="15" a="1"/>
  <c r="BV92" i="15" a="1"/>
  <c r="BV52" i="15" a="1"/>
  <c r="BS54" i="8" a="1"/>
  <c r="BV57" i="15" a="1"/>
  <c r="BV62" i="15" a="1"/>
  <c r="BV95" i="15" a="1"/>
  <c r="BV72" i="15" a="1"/>
  <c r="BV47" i="15" a="1"/>
  <c r="BV67" i="15" a="1"/>
  <c r="BS102" i="8" a="1"/>
  <c r="BV70" i="15" a="1"/>
  <c r="BV97" i="15" a="1"/>
  <c r="BS62" i="8" a="1"/>
  <c r="BS52" i="8" a="1"/>
  <c r="BV89" i="15" a="1"/>
  <c r="BV73" i="15" a="1"/>
  <c r="BV81" i="15" a="1"/>
  <c r="BV96" i="15" a="1"/>
  <c r="BV79" i="15" a="1"/>
  <c r="BS53" i="8" a="1"/>
  <c r="BV56" i="15" a="1"/>
  <c r="BV44" i="15" a="1"/>
  <c r="BV85" i="15" a="1"/>
  <c r="BV68" i="15" a="1"/>
  <c r="BV53" i="15" a="1"/>
  <c r="BV98" i="15" a="1"/>
  <c r="BV55" i="15" a="1"/>
  <c r="BS71" i="8" a="1"/>
  <c r="BS101" i="8" a="1"/>
  <c r="BV48" i="15" a="1"/>
  <c r="BS78" i="8" a="1"/>
  <c r="BS82" i="8" a="1"/>
  <c r="BS59" i="8" a="1"/>
  <c r="BS70" i="8" a="1"/>
  <c r="BV91" i="15" a="1"/>
  <c r="BV59" i="15" a="1"/>
  <c r="BS100" i="8" a="1"/>
  <c r="BV88" i="15" a="1"/>
  <c r="BV51" i="15" a="1"/>
  <c r="BS73" i="8" a="1"/>
  <c r="BV69" i="15" a="1"/>
  <c r="BV83" i="15" a="1"/>
  <c r="BV64" i="15" a="1"/>
  <c r="BS64" i="8" a="1"/>
  <c r="BV65" i="15" a="1"/>
  <c r="BV77" i="15" a="1"/>
  <c r="BV80" i="15" a="1"/>
  <c r="BS76" i="8" a="1"/>
  <c r="BS72" i="8" a="1"/>
  <c r="BV60" i="15" a="1"/>
  <c r="BV49" i="15" a="1"/>
  <c r="BS68" i="8" a="1"/>
  <c r="BV102" i="15" a="1"/>
  <c r="BS55" i="8" a="1"/>
  <c r="BV90" i="15" a="1"/>
  <c r="BS104" i="8" a="1"/>
  <c r="BV87" i="15" a="1"/>
  <c r="BS74" i="8" a="1"/>
  <c r="BS66" i="8" a="1"/>
  <c r="BS86" i="8" a="1"/>
  <c r="BV71" i="15" a="1"/>
  <c r="BS85" i="8" a="1"/>
  <c r="BV45" i="15" a="1"/>
  <c r="BV50" i="15" a="1"/>
  <c r="BS79" i="8" a="1"/>
  <c r="BS67" i="8" a="1"/>
  <c r="BV43" i="15" a="1"/>
  <c r="BV75" i="15" a="1"/>
  <c r="BV58" i="15" a="1"/>
  <c r="BV94" i="15" a="1"/>
  <c r="BS56" i="8" a="1"/>
  <c r="BS65" i="8" a="1"/>
  <c r="BV66" i="15" a="1"/>
  <c r="BS60" i="8" a="1"/>
  <c r="BS83" i="8" a="1"/>
  <c r="BV54" i="15" a="1"/>
  <c r="BV84" i="15" a="1"/>
  <c r="BV76" i="15" a="1"/>
  <c r="BS103" i="8" a="1"/>
  <c r="BS84" i="8" a="1"/>
  <c r="BV61" i="15" a="1"/>
  <c r="BS58" i="8" a="1"/>
  <c r="BS54" i="8" l="1"/>
  <c r="BS53" i="8"/>
  <c r="BS52" i="8"/>
  <c r="BS55" i="8"/>
  <c r="BS56" i="8"/>
  <c r="BS80" i="8"/>
  <c r="BS77" i="8"/>
  <c r="BS78" i="8"/>
  <c r="BS76" i="8"/>
  <c r="BS79" i="8"/>
  <c r="BV53" i="15"/>
  <c r="BV116" i="15" s="1"/>
  <c r="BV52" i="15"/>
  <c r="BV115" i="15" s="1"/>
  <c r="BV67" i="15"/>
  <c r="BV130" i="15" s="1"/>
  <c r="BV81" i="15"/>
  <c r="BV144" i="15" s="1"/>
  <c r="BV87" i="15"/>
  <c r="BV150" i="15" s="1"/>
  <c r="BV45" i="15"/>
  <c r="BV108" i="15" s="1"/>
  <c r="BV57" i="15"/>
  <c r="BV120" i="15" s="1"/>
  <c r="BV64" i="15"/>
  <c r="BV127" i="15" s="1"/>
  <c r="BV82" i="15"/>
  <c r="BV145" i="15" s="1"/>
  <c r="BV44" i="15"/>
  <c r="BV107" i="15" s="1"/>
  <c r="BV59" i="15"/>
  <c r="BV122" i="15" s="1"/>
  <c r="BV55" i="15"/>
  <c r="BV118" i="15" s="1"/>
  <c r="BV49" i="15"/>
  <c r="BV112" i="15" s="1"/>
  <c r="BV58" i="15"/>
  <c r="BV121" i="15" s="1"/>
  <c r="BV68" i="15"/>
  <c r="BV131" i="15" s="1"/>
  <c r="BV61" i="15"/>
  <c r="BV124" i="15" s="1"/>
  <c r="BV74" i="15"/>
  <c r="BV137" i="15" s="1"/>
  <c r="BV73" i="15"/>
  <c r="BV136" i="15" s="1"/>
  <c r="BV79" i="15"/>
  <c r="BV142" i="15" s="1"/>
  <c r="BV83" i="15"/>
  <c r="BV146" i="15" s="1"/>
  <c r="BV85" i="15"/>
  <c r="BV148" i="15" s="1"/>
  <c r="BV90" i="15"/>
  <c r="BV153" i="15" s="1"/>
  <c r="BV95" i="15"/>
  <c r="BV158" i="15" s="1"/>
  <c r="BV43" i="15"/>
  <c r="BV106" i="15" s="1"/>
  <c r="BV63" i="15"/>
  <c r="BV126" i="15" s="1"/>
  <c r="BV72" i="15"/>
  <c r="BV135" i="15" s="1"/>
  <c r="BV88" i="15"/>
  <c r="BV151" i="15" s="1"/>
  <c r="BV91" i="15"/>
  <c r="BV154" i="15" s="1"/>
  <c r="BV54" i="15"/>
  <c r="BV117" i="15" s="1"/>
  <c r="BV66" i="15"/>
  <c r="BV129" i="15" s="1"/>
  <c r="BV69" i="15"/>
  <c r="BV132" i="15" s="1"/>
  <c r="BV78" i="15"/>
  <c r="BV141" i="15" s="1"/>
  <c r="BV46" i="15"/>
  <c r="BV109" i="15" s="1"/>
  <c r="BV51" i="15"/>
  <c r="BV114" i="15" s="1"/>
  <c r="BV56" i="15"/>
  <c r="BV119" i="15" s="1"/>
  <c r="BV50" i="15"/>
  <c r="BV113" i="15" s="1"/>
  <c r="BV62" i="15"/>
  <c r="BV125" i="15" s="1"/>
  <c r="BV70" i="15"/>
  <c r="BV133" i="15" s="1"/>
  <c r="BV65" i="15"/>
  <c r="BV128" i="15" s="1"/>
  <c r="BV76" i="15"/>
  <c r="BV139" i="15" s="1"/>
  <c r="BV75" i="15"/>
  <c r="BV138" i="15" s="1"/>
  <c r="BV80" i="15"/>
  <c r="BV143" i="15" s="1"/>
  <c r="BV84" i="15"/>
  <c r="BV147" i="15" s="1"/>
  <c r="BV86" i="15"/>
  <c r="BV149" i="15" s="1"/>
  <c r="BV93" i="15"/>
  <c r="BV156" i="15" s="1"/>
  <c r="BV96" i="15"/>
  <c r="BV159" i="15" s="1"/>
  <c r="BV47" i="15"/>
  <c r="BV110" i="15" s="1"/>
  <c r="BV60" i="15"/>
  <c r="BV123" i="15" s="1"/>
  <c r="BV77" i="15"/>
  <c r="BV140" i="15" s="1"/>
  <c r="BV98" i="15"/>
  <c r="BV161" i="15" s="1"/>
  <c r="BV48" i="15"/>
  <c r="BV111" i="15" s="1"/>
  <c r="BV71" i="15"/>
  <c r="BV134" i="15" s="1"/>
  <c r="BV92" i="15"/>
  <c r="BV155" i="15" s="1"/>
  <c r="BV89" i="15"/>
  <c r="BV152" i="15" s="1"/>
  <c r="BV94" i="15"/>
  <c r="BV157" i="15" s="1"/>
  <c r="BV97" i="15"/>
  <c r="BV160" i="15" s="1"/>
  <c r="BV102" i="15"/>
  <c r="BV162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53" i="8" a="1"/>
  <c r="BT104" i="8" a="1"/>
  <c r="BT62" i="8" a="1"/>
  <c r="BT76" i="8" a="1"/>
  <c r="BT65" i="8" a="1"/>
  <c r="BT74" i="8" a="1"/>
  <c r="BT77" i="8" a="1"/>
  <c r="BT85" i="8" a="1"/>
  <c r="BT59" i="8" a="1"/>
  <c r="BT68" i="8" a="1"/>
  <c r="BT82" i="8" a="1"/>
  <c r="BT73" i="8" a="1"/>
  <c r="BT55" i="8" a="1"/>
  <c r="BT80" i="8" a="1"/>
  <c r="BT101" i="8" a="1"/>
  <c r="BT54" i="8" a="1"/>
  <c r="BT70" i="8" a="1"/>
  <c r="BT84" i="8" a="1"/>
  <c r="BT56" i="8" a="1"/>
  <c r="BT71" i="8" a="1"/>
  <c r="BT100" i="8" a="1"/>
  <c r="BT72" i="8" a="1"/>
  <c r="BT67" i="8" a="1"/>
  <c r="BT78" i="8" a="1"/>
  <c r="BT60" i="8" a="1"/>
  <c r="BT52" i="8" a="1"/>
  <c r="BT58" i="8" a="1"/>
  <c r="BT61" i="8" a="1"/>
  <c r="BT64" i="8" a="1"/>
  <c r="BT103" i="8" a="1"/>
  <c r="BT83" i="8" a="1"/>
  <c r="BT66" i="8" a="1"/>
  <c r="BT79" i="8" a="1"/>
  <c r="BT86" i="8" a="1"/>
  <c r="BT102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103" i="8" a="1"/>
  <c r="BU73" i="8" a="1"/>
  <c r="BU52" i="8" a="1"/>
  <c r="BU72" i="8" a="1"/>
  <c r="BU77" i="8" a="1"/>
  <c r="BU85" i="8" a="1"/>
  <c r="BU76" i="8" a="1"/>
  <c r="BU60" i="8" a="1"/>
  <c r="BU101" i="8" a="1"/>
  <c r="BU58" i="8" a="1"/>
  <c r="BU80" i="8" a="1"/>
  <c r="BU65" i="8" a="1"/>
  <c r="BU71" i="8" a="1"/>
  <c r="BU82" i="8" a="1"/>
  <c r="BU84" i="8" a="1"/>
  <c r="BU102" i="8" a="1"/>
  <c r="BU53" i="8" a="1"/>
  <c r="BU59" i="8" a="1"/>
  <c r="BU56" i="8" a="1"/>
  <c r="BU86" i="8" a="1"/>
  <c r="BU78" i="8" a="1"/>
  <c r="BU62" i="8" a="1"/>
  <c r="BU74" i="8" a="1"/>
  <c r="BU79" i="8" a="1"/>
  <c r="BU83" i="8" a="1"/>
  <c r="BU70" i="8" a="1"/>
  <c r="BU68" i="8" a="1"/>
  <c r="BU64" i="8" a="1"/>
  <c r="BU104" i="8" a="1"/>
  <c r="BU100" i="8" a="1"/>
  <c r="BU54" i="8" a="1"/>
  <c r="BU61" i="8" a="1"/>
  <c r="BU55" i="8" a="1"/>
  <c r="BU66" i="8" a="1"/>
  <c r="BU67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72" i="8" a="1"/>
  <c r="BV65" i="8" a="1"/>
  <c r="BV73" i="8" a="1"/>
  <c r="BV64" i="8" a="1"/>
  <c r="BV83" i="8" a="1"/>
  <c r="BV68" i="8" a="1"/>
  <c r="BV52" i="8" a="1"/>
  <c r="BV100" i="8" a="1"/>
  <c r="BV62" i="8" a="1"/>
  <c r="BV53" i="8" a="1"/>
  <c r="BV85" i="8" a="1"/>
  <c r="BV74" i="8" a="1"/>
  <c r="BV71" i="8" a="1"/>
  <c r="BV70" i="8" a="1"/>
  <c r="BV78" i="8" a="1"/>
  <c r="BV101" i="8" a="1"/>
  <c r="BV102" i="8" a="1"/>
  <c r="BV56" i="8" a="1"/>
  <c r="BV86" i="8" a="1"/>
  <c r="BV104" i="8" a="1"/>
  <c r="BV67" i="8" a="1"/>
  <c r="BV79" i="8" a="1"/>
  <c r="BV80" i="8" a="1"/>
  <c r="BV84" i="8" a="1"/>
  <c r="BV76" i="8" a="1"/>
  <c r="BV61" i="8" a="1"/>
  <c r="BV77" i="8" a="1"/>
  <c r="BV66" i="8" a="1"/>
  <c r="BV103" i="8" a="1"/>
  <c r="BV82" i="8" a="1"/>
  <c r="BV60" i="8" a="1"/>
  <c r="BV54" i="8" a="1"/>
  <c r="BV55" i="8" a="1"/>
  <c r="BV59" i="8" a="1"/>
  <c r="BV58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<sst xmlns="http://schemas.openxmlformats.org/spreadsheetml/2006/main" count="839" uniqueCount="199">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</sst>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1158</c:v>
                </c:pt>
                <c:pt idx="63">
                  <c:v>1294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17</c:v>
                </c:pt>
                <c:pt idx="62">
                  <c:v>21</c:v>
                </c:pt>
                <c:pt idx="63">
                  <c:v>21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1771</c:v>
                </c:pt>
                <c:pt idx="62">
                  <c:v>2085</c:v>
                </c:pt>
                <c:pt idx="63">
                  <c:v>2107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34</c:v>
                </c:pt>
                <c:pt idx="62">
                  <c:v>56</c:v>
                </c:pt>
                <c:pt idx="63">
                  <c:v>87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9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138</c:v>
                </c:pt>
                <c:pt idx="53">
                  <c:v>138</c:v>
                </c:pt>
                <c:pt idx="54">
                  <c:v>268</c:v>
                </c:pt>
                <c:pt idx="55">
                  <c:v>285</c:v>
                </c:pt>
                <c:pt idx="56">
                  <c:v>415</c:v>
                </c:pt>
                <c:pt idx="57">
                  <c:v>507</c:v>
                </c:pt>
                <c:pt idx="58">
                  <c:v>747</c:v>
                </c:pt>
                <c:pt idx="59">
                  <c:v>743</c:v>
                </c:pt>
                <c:pt idx="60">
                  <c:v>736</c:v>
                </c:pt>
                <c:pt idx="61">
                  <c:v>1028</c:v>
                </c:pt>
                <c:pt idx="62">
                  <c:v>1162</c:v>
                </c:pt>
                <c:pt idx="63">
                  <c:v>1304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8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44</c:v>
                </c:pt>
                <c:pt idx="63">
                  <c:v>52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10</c:v>
                </c:pt>
                <c:pt idx="60">
                  <c:v>9</c:v>
                </c:pt>
                <c:pt idx="61">
                  <c:v>9</c:v>
                </c:pt>
                <c:pt idx="62">
                  <c:v>12</c:v>
                </c:pt>
                <c:pt idx="63">
                  <c:v>15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7</c:v>
                </c:pt>
                <c:pt idx="41">
                  <c:v>9</c:v>
                </c:pt>
                <c:pt idx="42">
                  <c:v>9</c:v>
                </c:pt>
                <c:pt idx="43">
                  <c:v>13</c:v>
                </c:pt>
                <c:pt idx="44">
                  <c:v>17</c:v>
                </c:pt>
                <c:pt idx="45">
                  <c:v>26</c:v>
                </c:pt>
                <c:pt idx="46">
                  <c:v>35</c:v>
                </c:pt>
                <c:pt idx="47">
                  <c:v>43</c:v>
                </c:pt>
                <c:pt idx="48">
                  <c:v>66</c:v>
                </c:pt>
                <c:pt idx="49">
                  <c:v>77</c:v>
                </c:pt>
                <c:pt idx="50">
                  <c:v>106</c:v>
                </c:pt>
                <c:pt idx="51">
                  <c:v>170</c:v>
                </c:pt>
                <c:pt idx="52">
                  <c:v>277</c:v>
                </c:pt>
                <c:pt idx="53">
                  <c:v>365</c:v>
                </c:pt>
                <c:pt idx="54">
                  <c:v>465</c:v>
                </c:pt>
                <c:pt idx="55">
                  <c:v>610</c:v>
                </c:pt>
                <c:pt idx="56">
                  <c:v>742</c:v>
                </c:pt>
                <c:pt idx="57">
                  <c:v>948</c:v>
                </c:pt>
                <c:pt idx="58">
                  <c:v>1119</c:v>
                </c:pt>
                <c:pt idx="59">
                  <c:v>1236</c:v>
                </c:pt>
                <c:pt idx="60">
                  <c:v>1382</c:v>
                </c:pt>
                <c:pt idx="61">
                  <c:v>1465</c:v>
                </c:pt>
                <c:pt idx="62">
                  <c:v>1530</c:v>
                </c:pt>
                <c:pt idx="63">
                  <c:v>1629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4</c:v>
                </c:pt>
                <c:pt idx="57">
                  <c:v>8</c:v>
                </c:pt>
                <c:pt idx="58">
                  <c:v>9</c:v>
                </c:pt>
                <c:pt idx="59">
                  <c:v>16</c:v>
                </c:pt>
                <c:pt idx="60">
                  <c:v>26</c:v>
                </c:pt>
                <c:pt idx="61">
                  <c:v>35</c:v>
                </c:pt>
                <c:pt idx="62">
                  <c:v>56</c:v>
                </c:pt>
                <c:pt idx="63">
                  <c:v>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9877</c:v>
                </c:pt>
                <c:pt idx="22">
                  <c:v>10897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52</c:v>
                </c:pt>
                <c:pt idx="1">
                  <c:v>67</c:v>
                </c:pt>
                <c:pt idx="2">
                  <c:v>101</c:v>
                </c:pt>
                <c:pt idx="3">
                  <c:v>118</c:v>
                </c:pt>
                <c:pt idx="4">
                  <c:v>168</c:v>
                </c:pt>
                <c:pt idx="5">
                  <c:v>168</c:v>
                </c:pt>
                <c:pt idx="6">
                  <c:v>232</c:v>
                </c:pt>
                <c:pt idx="7">
                  <c:v>241</c:v>
                </c:pt>
                <c:pt idx="8">
                  <c:v>266</c:v>
                </c:pt>
                <c:pt idx="9">
                  <c:v>319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73</c:v>
                </c:pt>
                <c:pt idx="1">
                  <c:v>92</c:v>
                </c:pt>
                <c:pt idx="2">
                  <c:v>100</c:v>
                </c:pt>
                <c:pt idx="3">
                  <c:v>100</c:v>
                </c:pt>
                <c:pt idx="4">
                  <c:v>144</c:v>
                </c:pt>
                <c:pt idx="5">
                  <c:v>165</c:v>
                </c:pt>
                <c:pt idx="6">
                  <c:v>182</c:v>
                </c:pt>
                <c:pt idx="7">
                  <c:v>222</c:v>
                </c:pt>
                <c:pt idx="8">
                  <c:v>272</c:v>
                </c:pt>
                <c:pt idx="9">
                  <c:v>299</c:v>
                </c:pt>
                <c:pt idx="10">
                  <c:v>358</c:v>
                </c:pt>
                <c:pt idx="11">
                  <c:v>376</c:v>
                </c:pt>
                <c:pt idx="12">
                  <c:v>414</c:v>
                </c:pt>
                <c:pt idx="13">
                  <c:v>466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54</c:v>
                </c:pt>
                <c:pt idx="1">
                  <c:v>76</c:v>
                </c:pt>
                <c:pt idx="2">
                  <c:v>89</c:v>
                </c:pt>
                <c:pt idx="3">
                  <c:v>116</c:v>
                </c:pt>
                <c:pt idx="4">
                  <c:v>134</c:v>
                </c:pt>
                <c:pt idx="5">
                  <c:v>184</c:v>
                </c:pt>
                <c:pt idx="6">
                  <c:v>282</c:v>
                </c:pt>
                <c:pt idx="7">
                  <c:v>289</c:v>
                </c:pt>
                <c:pt idx="8">
                  <c:v>302</c:v>
                </c:pt>
                <c:pt idx="9">
                  <c:v>306</c:v>
                </c:pt>
                <c:pt idx="10">
                  <c:v>341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123</c:v>
                </c:pt>
                <c:pt idx="1">
                  <c:v>123</c:v>
                </c:pt>
                <c:pt idx="2">
                  <c:v>193</c:v>
                </c:pt>
                <c:pt idx="3">
                  <c:v>282</c:v>
                </c:pt>
                <c:pt idx="4">
                  <c:v>377</c:v>
                </c:pt>
                <c:pt idx="5">
                  <c:v>418</c:v>
                </c:pt>
                <c:pt idx="6">
                  <c:v>418</c:v>
                </c:pt>
                <c:pt idx="7">
                  <c:v>470</c:v>
                </c:pt>
                <c:pt idx="8">
                  <c:v>532</c:v>
                </c:pt>
                <c:pt idx="9">
                  <c:v>624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59</c:v>
                </c:pt>
                <c:pt idx="1">
                  <c:v>86</c:v>
                </c:pt>
                <c:pt idx="2">
                  <c:v>111</c:v>
                </c:pt>
                <c:pt idx="3">
                  <c:v>145</c:v>
                </c:pt>
                <c:pt idx="4">
                  <c:v>167</c:v>
                </c:pt>
                <c:pt idx="5">
                  <c:v>202</c:v>
                </c:pt>
                <c:pt idx="6">
                  <c:v>226</c:v>
                </c:pt>
                <c:pt idx="7">
                  <c:v>255</c:v>
                </c:pt>
                <c:pt idx="8">
                  <c:v>293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68</c:v>
                </c:pt>
                <c:pt idx="1">
                  <c:v>79</c:v>
                </c:pt>
                <c:pt idx="2">
                  <c:v>108</c:v>
                </c:pt>
                <c:pt idx="3">
                  <c:v>173</c:v>
                </c:pt>
                <c:pt idx="4">
                  <c:v>282</c:v>
                </c:pt>
                <c:pt idx="5">
                  <c:v>372</c:v>
                </c:pt>
                <c:pt idx="6">
                  <c:v>472</c:v>
                </c:pt>
                <c:pt idx="7">
                  <c:v>619</c:v>
                </c:pt>
                <c:pt idx="8">
                  <c:v>751</c:v>
                </c:pt>
                <c:pt idx="9">
                  <c:v>961</c:v>
                </c:pt>
                <c:pt idx="10">
                  <c:v>1136</c:v>
                </c:pt>
                <c:pt idx="11">
                  <c:v>1262</c:v>
                </c:pt>
                <c:pt idx="12">
                  <c:v>1417</c:v>
                </c:pt>
                <c:pt idx="13">
                  <c:v>1509</c:v>
                </c:pt>
                <c:pt idx="14">
                  <c:v>1598</c:v>
                </c:pt>
                <c:pt idx="15">
                  <c:v>1708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266</c:v>
                </c:pt>
                <c:pt idx="6">
                  <c:v>276</c:v>
                </c:pt>
                <c:pt idx="7">
                  <c:v>322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51</c:v>
                </c:pt>
                <c:pt idx="1">
                  <c:v>57</c:v>
                </c:pt>
                <c:pt idx="2">
                  <c:v>66</c:v>
                </c:pt>
                <c:pt idx="3">
                  <c:v>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230</c:v>
                </c:pt>
                <c:pt idx="5">
                  <c:v>256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99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95</c:v>
                </c:pt>
                <c:pt idx="4">
                  <c:v>104</c:v>
                </c:pt>
                <c:pt idx="5">
                  <c:v>129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61</c:v>
                </c:pt>
                <c:pt idx="1">
                  <c:v>85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228</c:v>
                </c:pt>
                <c:pt idx="6">
                  <c:v>228</c:v>
                </c:pt>
                <c:pt idx="7">
                  <c:v>228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56</c:v>
                </c:pt>
                <c:pt idx="1">
                  <c:v>75</c:v>
                </c:pt>
                <c:pt idx="2">
                  <c:v>81</c:v>
                </c:pt>
                <c:pt idx="3">
                  <c:v>87</c:v>
                </c:pt>
                <c:pt idx="4">
                  <c:v>96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180</c:v>
                </c:pt>
                <c:pt idx="1">
                  <c:v>258</c:v>
                </c:pt>
                <c:pt idx="2">
                  <c:v>265</c:v>
                </c:pt>
                <c:pt idx="3">
                  <c:v>291</c:v>
                </c:pt>
                <c:pt idx="4">
                  <c:v>330</c:v>
                </c:pt>
                <c:pt idx="5">
                  <c:v>422</c:v>
                </c:pt>
                <c:pt idx="6">
                  <c:v>511</c:v>
                </c:pt>
                <c:pt idx="7">
                  <c:v>638</c:v>
                </c:pt>
                <c:pt idx="8">
                  <c:v>834</c:v>
                </c:pt>
                <c:pt idx="9">
                  <c:v>918</c:v>
                </c:pt>
                <c:pt idx="10">
                  <c:v>939</c:v>
                </c:pt>
                <c:pt idx="11">
                  <c:v>1165</c:v>
                </c:pt>
                <c:pt idx="12">
                  <c:v>1211</c:v>
                </c:pt>
                <c:pt idx="13">
                  <c:v>1354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53</c:v>
                </c:pt>
                <c:pt idx="1">
                  <c:v>76</c:v>
                </c:pt>
                <c:pt idx="2">
                  <c:v>98</c:v>
                </c:pt>
                <c:pt idx="3">
                  <c:v>116</c:v>
                </c:pt>
                <c:pt idx="4">
                  <c:v>173</c:v>
                </c:pt>
                <c:pt idx="5">
                  <c:v>225</c:v>
                </c:pt>
                <c:pt idx="6">
                  <c:v>311</c:v>
                </c:pt>
                <c:pt idx="7">
                  <c:v>346</c:v>
                </c:pt>
                <c:pt idx="8">
                  <c:v>433</c:v>
                </c:pt>
                <c:pt idx="9">
                  <c:v>490</c:v>
                </c:pt>
                <c:pt idx="10">
                  <c:v>527</c:v>
                </c:pt>
                <c:pt idx="11">
                  <c:v>606</c:v>
                </c:pt>
                <c:pt idx="12">
                  <c:v>651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51</c:v>
                </c:pt>
                <c:pt idx="1">
                  <c:v>77</c:v>
                </c:pt>
                <c:pt idx="2">
                  <c:v>108</c:v>
                </c:pt>
                <c:pt idx="3">
                  <c:v>156</c:v>
                </c:pt>
                <c:pt idx="4">
                  <c:v>204</c:v>
                </c:pt>
                <c:pt idx="5">
                  <c:v>350</c:v>
                </c:pt>
                <c:pt idx="6">
                  <c:v>406</c:v>
                </c:pt>
                <c:pt idx="7">
                  <c:v>508</c:v>
                </c:pt>
                <c:pt idx="8">
                  <c:v>608</c:v>
                </c:pt>
                <c:pt idx="9">
                  <c:v>796</c:v>
                </c:pt>
                <c:pt idx="10">
                  <c:v>1212</c:v>
                </c:pt>
                <c:pt idx="11">
                  <c:v>1432</c:v>
                </c:pt>
                <c:pt idx="12">
                  <c:v>1676</c:v>
                </c:pt>
                <c:pt idx="13">
                  <c:v>1782</c:v>
                </c:pt>
                <c:pt idx="14">
                  <c:v>1822</c:v>
                </c:pt>
                <c:pt idx="15">
                  <c:v>2162</c:v>
                </c:pt>
                <c:pt idx="16">
                  <c:v>2215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62</c:v>
                </c:pt>
                <c:pt idx="1">
                  <c:v>72</c:v>
                </c:pt>
                <c:pt idx="2">
                  <c:v>80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59</c:v>
                </c:pt>
                <c:pt idx="1">
                  <c:v>92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270</c:v>
                </c:pt>
                <c:pt idx="6">
                  <c:v>294</c:v>
                </c:pt>
                <c:pt idx="7">
                  <c:v>424</c:v>
                </c:pt>
                <c:pt idx="8">
                  <c:v>526</c:v>
                </c:pt>
                <c:pt idx="9">
                  <c:v>773</c:v>
                </c:pt>
                <c:pt idx="10">
                  <c:v>773</c:v>
                </c:pt>
                <c:pt idx="11">
                  <c:v>773</c:v>
                </c:pt>
                <c:pt idx="12">
                  <c:v>1068</c:v>
                </c:pt>
                <c:pt idx="13">
                  <c:v>1211</c:v>
                </c:pt>
                <c:pt idx="14">
                  <c:v>1363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Dashboard'!$E$102:$BV$102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114.12399062604929</c:v>
                </c:pt>
                <c:pt idx="22">
                  <c:v>125.90960067348983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7.6765571231806931</c:v>
                </c:pt>
                <c:pt idx="1">
                  <c:v>9.890948601021277</c:v>
                </c:pt>
                <c:pt idx="2">
                  <c:v>14.91023595079327</c:v>
                </c:pt>
                <c:pt idx="3">
                  <c:v>17.419879625679265</c:v>
                </c:pt>
                <c:pt idx="4">
                  <c:v>24.801184551814547</c:v>
                </c:pt>
                <c:pt idx="5">
                  <c:v>24.801184551814547</c:v>
                </c:pt>
                <c:pt idx="6">
                  <c:v>34.249254857267701</c:v>
                </c:pt>
                <c:pt idx="7">
                  <c:v>35.577889743972058</c:v>
                </c:pt>
                <c:pt idx="8">
                  <c:v>39.268542207039694</c:v>
                </c:pt>
                <c:pt idx="9">
                  <c:v>47.092725428743094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37.48087448527977</c:v>
                </c:pt>
                <c:pt idx="1">
                  <c:v>47.236170584188201</c:v>
                </c:pt>
                <c:pt idx="2">
                  <c:v>51.343663678465447</c:v>
                </c:pt>
                <c:pt idx="3">
                  <c:v>51.343663678465447</c:v>
                </c:pt>
                <c:pt idx="4">
                  <c:v>73.934875696990233</c:v>
                </c:pt>
                <c:pt idx="5">
                  <c:v>84.717045069467972</c:v>
                </c:pt>
                <c:pt idx="6">
                  <c:v>93.445467894807095</c:v>
                </c:pt>
                <c:pt idx="7">
                  <c:v>113.98293336619327</c:v>
                </c:pt>
                <c:pt idx="8">
                  <c:v>139.654765205426</c:v>
                </c:pt>
                <c:pt idx="9">
                  <c:v>153.51755439861168</c:v>
                </c:pt>
                <c:pt idx="10">
                  <c:v>183.81031596890628</c:v>
                </c:pt>
                <c:pt idx="11">
                  <c:v>193.05217543103007</c:v>
                </c:pt>
                <c:pt idx="12">
                  <c:v>212.56276762884693</c:v>
                </c:pt>
                <c:pt idx="13">
                  <c:v>239.26147274164893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18.741410186997626</c:v>
                </c:pt>
                <c:pt idx="1">
                  <c:v>26.376799522441107</c:v>
                </c:pt>
                <c:pt idx="2">
                  <c:v>30.888620493384977</c:v>
                </c:pt>
                <c:pt idx="3">
                  <c:v>40.25932558688379</c:v>
                </c:pt>
                <c:pt idx="4">
                  <c:v>46.506462315882999</c:v>
                </c:pt>
                <c:pt idx="5">
                  <c:v>63.859619896436364</c:v>
                </c:pt>
                <c:pt idx="6">
                  <c:v>97.871808754320938</c:v>
                </c:pt>
                <c:pt idx="7">
                  <c:v>100.30125081559841</c:v>
                </c:pt>
                <c:pt idx="8">
                  <c:v>104.81307178654227</c:v>
                </c:pt>
                <c:pt idx="9">
                  <c:v>106.20132439298655</c:v>
                </c:pt>
                <c:pt idx="10">
                  <c:v>118.3485346993739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11.884322067060427</c:v>
                </c:pt>
                <c:pt idx="1">
                  <c:v>11.884322067060427</c:v>
                </c:pt>
                <c:pt idx="2">
                  <c:v>18.647757389777745</c:v>
                </c:pt>
                <c:pt idx="3">
                  <c:v>27.246982300089758</c:v>
                </c:pt>
                <c:pt idx="4">
                  <c:v>36.425930238063259</c:v>
                </c:pt>
                <c:pt idx="5">
                  <c:v>40.387370927083403</c:v>
                </c:pt>
                <c:pt idx="6">
                  <c:v>40.387370927083403</c:v>
                </c:pt>
                <c:pt idx="7">
                  <c:v>45.41163716681627</c:v>
                </c:pt>
                <c:pt idx="8">
                  <c:v>51.402108452651603</c:v>
                </c:pt>
                <c:pt idx="9">
                  <c:v>60.291194876794371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18.511894676732119</c:v>
                </c:pt>
                <c:pt idx="1">
                  <c:v>26.983439698287494</c:v>
                </c:pt>
                <c:pt idx="2">
                  <c:v>34.82746286639432</c:v>
                </c:pt>
                <c:pt idx="3">
                  <c:v>45.49533437501961</c:v>
                </c:pt>
                <c:pt idx="4">
                  <c:v>52.398074762953627</c:v>
                </c:pt>
                <c:pt idx="5">
                  <c:v>63.37970719830318</c:v>
                </c:pt>
                <c:pt idx="6">
                  <c:v>70.909969439685739</c:v>
                </c:pt>
                <c:pt idx="7">
                  <c:v>80.009036314689666</c:v>
                </c:pt>
                <c:pt idx="8">
                  <c:v>91.931951530212032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13.614158725074077</c:v>
                </c:pt>
                <c:pt idx="1">
                  <c:v>15.816449107071355</c:v>
                </c:pt>
                <c:pt idx="2">
                  <c:v>21.622487386882359</c:v>
                </c:pt>
                <c:pt idx="3">
                  <c:v>34.636021462320812</c:v>
                </c:pt>
                <c:pt idx="4">
                  <c:v>56.458717065748374</c:v>
                </c:pt>
                <c:pt idx="5">
                  <c:v>74.47745655481701</c:v>
                </c:pt>
                <c:pt idx="6">
                  <c:v>94.498278209337712</c:v>
                </c:pt>
                <c:pt idx="7">
                  <c:v>123.92888604148315</c:v>
                </c:pt>
                <c:pt idx="8">
                  <c:v>150.35637062545047</c:v>
                </c:pt>
                <c:pt idx="9">
                  <c:v>192.40009609994394</c:v>
                </c:pt>
                <c:pt idx="10">
                  <c:v>227.43653399535518</c:v>
                </c:pt>
                <c:pt idx="11">
                  <c:v>252.66276928005126</c:v>
                </c:pt>
                <c:pt idx="12">
                  <c:v>283.69504284455832</c:v>
                </c:pt>
                <c:pt idx="13">
                  <c:v>302.11419876671738</c:v>
                </c:pt>
                <c:pt idx="14">
                  <c:v>319.93273003924082</c:v>
                </c:pt>
                <c:pt idx="15">
                  <c:v>341.95563385921361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134.08677329757685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69.464307604298611</c:v>
                </c:pt>
                <c:pt idx="1">
                  <c:v>77.636579087157273</c:v>
                </c:pt>
                <c:pt idx="2">
                  <c:v>89.894986311445265</c:v>
                </c:pt>
                <c:pt idx="3">
                  <c:v>106.23952927716257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15.870806749732029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130.05371783997737</c:v>
                </c:pt>
                <c:pt idx="5">
                  <c:v>144.75544246536614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62.199604184337012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24.158656485867187</c:v>
                </c:pt>
                <c:pt idx="1">
                  <c:v>24.158656485867187</c:v>
                </c:pt>
                <c:pt idx="2">
                  <c:v>24.158656485867187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47.219192222376776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12.015040467050229</c:v>
                </c:pt>
                <c:pt idx="1">
                  <c:v>16.742269503266712</c:v>
                </c:pt>
                <c:pt idx="2">
                  <c:v>19.302851897883972</c:v>
                </c:pt>
                <c:pt idx="3">
                  <c:v>19.302851897883972</c:v>
                </c:pt>
                <c:pt idx="4">
                  <c:v>19.302851897883972</c:v>
                </c:pt>
                <c:pt idx="5">
                  <c:v>44.908675844056589</c:v>
                </c:pt>
                <c:pt idx="6">
                  <c:v>44.908675844056589</c:v>
                </c:pt>
                <c:pt idx="7">
                  <c:v>44.908675844056589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20.255215718047399</c:v>
                </c:pt>
                <c:pt idx="1">
                  <c:v>27.127521050956336</c:v>
                </c:pt>
                <c:pt idx="2">
                  <c:v>29.297722735032842</c:v>
                </c:pt>
                <c:pt idx="3">
                  <c:v>31.467924419109352</c:v>
                </c:pt>
                <c:pt idx="4">
                  <c:v>34.723226945224113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50.942002530119467</c:v>
                </c:pt>
                <c:pt idx="1">
                  <c:v>73.016870293171223</c:v>
                </c:pt>
                <c:pt idx="2">
                  <c:v>74.997948169342536</c:v>
                </c:pt>
                <c:pt idx="3">
                  <c:v>82.35623742369313</c:v>
                </c:pt>
                <c:pt idx="4">
                  <c:v>93.393671305219016</c:v>
                </c:pt>
                <c:pt idx="5">
                  <c:v>119.43069482061341</c:v>
                </c:pt>
                <c:pt idx="6">
                  <c:v>144.61868496050579</c:v>
                </c:pt>
                <c:pt idx="7">
                  <c:v>180.56109785675676</c:v>
                </c:pt>
                <c:pt idx="8">
                  <c:v>236.03127838955351</c:v>
                </c:pt>
                <c:pt idx="9">
                  <c:v>259.8042129036092</c:v>
                </c:pt>
                <c:pt idx="10">
                  <c:v>265.74744653212315</c:v>
                </c:pt>
                <c:pt idx="11">
                  <c:v>329.70796081993984</c:v>
                </c:pt>
                <c:pt idx="12">
                  <c:v>342.72647257763703</c:v>
                </c:pt>
                <c:pt idx="13">
                  <c:v>383.19706347656523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15.408992455408411</c:v>
                </c:pt>
                <c:pt idx="1">
                  <c:v>22.09591370964225</c:v>
                </c:pt>
                <c:pt idx="2">
                  <c:v>28.49209925717027</c:v>
                </c:pt>
                <c:pt idx="3">
                  <c:v>33.725341977875011</c:v>
                </c:pt>
                <c:pt idx="4">
                  <c:v>50.297277260106696</c:v>
                </c:pt>
                <c:pt idx="5">
                  <c:v>65.415534008809288</c:v>
                </c:pt>
                <c:pt idx="6">
                  <c:v>90.418804785509735</c:v>
                </c:pt>
                <c:pt idx="7">
                  <c:v>100.59455452021339</c:v>
                </c:pt>
                <c:pt idx="8">
                  <c:v>125.88856100361967</c:v>
                </c:pt>
                <c:pt idx="9">
                  <c:v>142.46049628585135</c:v>
                </c:pt>
                <c:pt idx="10">
                  <c:v>153.21771743396664</c:v>
                </c:pt>
                <c:pt idx="11">
                  <c:v>176.18583826372634</c:v>
                </c:pt>
                <c:pt idx="12">
                  <c:v>189.26894506548823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6.3818205707349733</c:v>
                </c:pt>
                <c:pt idx="1">
                  <c:v>9.6352977244429976</c:v>
                </c:pt>
                <c:pt idx="2">
                  <c:v>13.514443561556416</c:v>
                </c:pt>
                <c:pt idx="3">
                  <c:v>19.520862922248153</c:v>
                </c:pt>
                <c:pt idx="4">
                  <c:v>25.527282282939893</c:v>
                </c:pt>
                <c:pt idx="5">
                  <c:v>43.796807838377269</c:v>
                </c:pt>
                <c:pt idx="6">
                  <c:v>50.804297092517629</c:v>
                </c:pt>
                <c:pt idx="7">
                  <c:v>63.567938233987576</c:v>
                </c:pt>
                <c:pt idx="8">
                  <c:v>76.081311902095365</c:v>
                </c:pt>
                <c:pt idx="9">
                  <c:v>99.606454398138013</c:v>
                </c:pt>
                <c:pt idx="10">
                  <c:v>151.66208885746641</c:v>
                </c:pt>
                <c:pt idx="11">
                  <c:v>179.19151092730357</c:v>
                </c:pt>
                <c:pt idx="12">
                  <c:v>209.72414267748655</c:v>
                </c:pt>
                <c:pt idx="13">
                  <c:v>222.98831876568082</c:v>
                </c:pt>
                <c:pt idx="14">
                  <c:v>227.99366823292394</c:v>
                </c:pt>
                <c:pt idx="15">
                  <c:v>270.53913870449043</c:v>
                </c:pt>
                <c:pt idx="16">
                  <c:v>277.17122674858751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48.881635484913701</c:v>
                </c:pt>
                <c:pt idx="1">
                  <c:v>56.765770240544953</c:v>
                </c:pt>
                <c:pt idx="2">
                  <c:v>63.073078045049947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3.8791085677016217</c:v>
                </c:pt>
                <c:pt idx="1">
                  <c:v>6.0487794615008337</c:v>
                </c:pt>
                <c:pt idx="2">
                  <c:v>9.2046643979360514</c:v>
                </c:pt>
                <c:pt idx="3">
                  <c:v>9.2046643979360514</c:v>
                </c:pt>
                <c:pt idx="4">
                  <c:v>9.2046643979360514</c:v>
                </c:pt>
                <c:pt idx="5">
                  <c:v>17.751852767448099</c:v>
                </c:pt>
                <c:pt idx="6">
                  <c:v>19.329795235665706</c:v>
                </c:pt>
                <c:pt idx="7">
                  <c:v>27.876983605177756</c:v>
                </c:pt>
                <c:pt idx="8">
                  <c:v>34.583239095102591</c:v>
                </c:pt>
                <c:pt idx="9">
                  <c:v>50.822896997175484</c:v>
                </c:pt>
                <c:pt idx="10">
                  <c:v>50.822896997175484</c:v>
                </c:pt>
                <c:pt idx="11">
                  <c:v>50.822896997175484</c:v>
                </c:pt>
                <c:pt idx="12">
                  <c:v>70.218439835683597</c:v>
                </c:pt>
                <c:pt idx="13">
                  <c:v>79.620347042146847</c:v>
                </c:pt>
                <c:pt idx="14">
                  <c:v>89.613982674191703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1400" b="0" i="0" baseline="0">
                <a:effectLst/>
              </a:rPr>
              <a:t>Average daily growth rate of confirmed cases (smoothened)</a:t>
            </a:r>
            <a:endParaRPr lang="de-CH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0.71743303820000004</c:v>
                </c:pt>
                <c:pt idx="1">
                  <c:v>0.64670298559999995</c:v>
                </c:pt>
                <c:pt idx="2">
                  <c:v>0.53345039969999997</c:v>
                </c:pt>
                <c:pt idx="3">
                  <c:v>0.48824478560000001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0.21673258179999999</c:v>
                </c:pt>
                <c:pt idx="11">
                  <c:v>0.25685504809999998</c:v>
                </c:pt>
                <c:pt idx="12">
                  <c:v>0.2723351389</c:v>
                </c:pt>
                <c:pt idx="13">
                  <c:v>0.32657515079999999</c:v>
                </c:pt>
                <c:pt idx="14">
                  <c:v>0.33835293729999999</c:v>
                </c:pt>
                <c:pt idx="15">
                  <c:v>0.30567088650000002</c:v>
                </c:pt>
                <c:pt idx="16">
                  <c:v>0.25954379259999999</c:v>
                </c:pt>
                <c:pt idx="17">
                  <c:v>0.20188107720000001</c:v>
                </c:pt>
                <c:pt idx="18">
                  <c:v>0.2112739595</c:v>
                </c:pt>
                <c:pt idx="19">
                  <c:v>0.22415027430000001</c:v>
                </c:pt>
                <c:pt idx="20">
                  <c:v>0.2497986395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0.10327022380000001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0.20736820140000001</c:v>
                </c:pt>
                <c:pt idx="19">
                  <c:v>0.13101914140000001</c:v>
                </c:pt>
                <c:pt idx="20">
                  <c:v>6.4844316799999996E-2</c:v>
                </c:pt>
                <c:pt idx="21">
                  <c:v>2.9883572000000001E-2</c:v>
                </c:pt>
                <c:pt idx="22">
                  <c:v>4.1466412799999998E-2</c:v>
                </c:pt>
                <c:pt idx="23">
                  <c:v>6.3197220900000003E-2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0.18920711500000001</c:v>
                </c:pt>
                <c:pt idx="10">
                  <c:v>0.31607401299999999</c:v>
                </c:pt>
                <c:pt idx="11">
                  <c:v>0.31607401299999999</c:v>
                </c:pt>
                <c:pt idx="12">
                  <c:v>0.31607401299999999</c:v>
                </c:pt>
                <c:pt idx="13">
                  <c:v>0.25743342969999999</c:v>
                </c:pt>
                <c:pt idx="14">
                  <c:v>0.13621936649999999</c:v>
                </c:pt>
                <c:pt idx="15">
                  <c:v>5.7371263399999997E-2</c:v>
                </c:pt>
                <c:pt idx="16">
                  <c:v>8.7757305899999999E-2</c:v>
                </c:pt>
                <c:pt idx="17">
                  <c:v>0.1582921853</c:v>
                </c:pt>
                <c:pt idx="18">
                  <c:v>0.2178832856</c:v>
                </c:pt>
                <c:pt idx="19">
                  <c:v>0.2178832856</c:v>
                </c:pt>
                <c:pt idx="20">
                  <c:v>0.11962776899999999</c:v>
                </c:pt>
                <c:pt idx="21">
                  <c:v>0.17803961430000001</c:v>
                </c:pt>
                <c:pt idx="22">
                  <c:v>0.2237126371</c:v>
                </c:pt>
                <c:pt idx="23">
                  <c:v>0.30937621789999997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0.64560408410000003</c:v>
                </c:pt>
                <c:pt idx="4">
                  <c:v>0.62657656169999998</c:v>
                </c:pt>
                <c:pt idx="5">
                  <c:v>0.38378257519999998</c:v>
                </c:pt>
                <c:pt idx="6">
                  <c:v>0.24466595460000001</c:v>
                </c:pt>
                <c:pt idx="7">
                  <c:v>0.1464106949</c:v>
                </c:pt>
                <c:pt idx="8">
                  <c:v>0.1132112998</c:v>
                </c:pt>
                <c:pt idx="9">
                  <c:v>0.1038766198</c:v>
                </c:pt>
                <c:pt idx="10">
                  <c:v>0.14557175489999999</c:v>
                </c:pt>
                <c:pt idx="11">
                  <c:v>0.19309982540000001</c:v>
                </c:pt>
                <c:pt idx="12">
                  <c:v>0.20612754050000001</c:v>
                </c:pt>
                <c:pt idx="13">
                  <c:v>0.18309273700000001</c:v>
                </c:pt>
                <c:pt idx="14">
                  <c:v>0.16954402599999999</c:v>
                </c:pt>
                <c:pt idx="15">
                  <c:v>0.18337272590000001</c:v>
                </c:pt>
                <c:pt idx="16">
                  <c:v>0.2469393265</c:v>
                </c:pt>
                <c:pt idx="17">
                  <c:v>0.31378318789999998</c:v>
                </c:pt>
                <c:pt idx="18">
                  <c:v>0.35149126759999999</c:v>
                </c:pt>
                <c:pt idx="19">
                  <c:v>0.3167997226</c:v>
                </c:pt>
                <c:pt idx="20">
                  <c:v>0.26759761599999998</c:v>
                </c:pt>
                <c:pt idx="21">
                  <c:v>0.2235535998</c:v>
                </c:pt>
                <c:pt idx="22">
                  <c:v>0.17552905630000001</c:v>
                </c:pt>
                <c:pt idx="23">
                  <c:v>0.16139793259999999</c:v>
                </c:pt>
                <c:pt idx="24">
                  <c:v>0.1992481203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0.58339277570000003</c:v>
                </c:pt>
                <c:pt idx="6">
                  <c:v>0.6068568379</c:v>
                </c:pt>
                <c:pt idx="7">
                  <c:v>0.51111913890000005</c:v>
                </c:pt>
                <c:pt idx="8">
                  <c:v>0.3446566204</c:v>
                </c:pt>
                <c:pt idx="9">
                  <c:v>0.22164029669999999</c:v>
                </c:pt>
                <c:pt idx="10">
                  <c:v>0.24249942599999999</c:v>
                </c:pt>
                <c:pt idx="11">
                  <c:v>0.28975472429999999</c:v>
                </c:pt>
                <c:pt idx="12">
                  <c:v>0.32879118089999998</c:v>
                </c:pt>
                <c:pt idx="13">
                  <c:v>0.31383005930000002</c:v>
                </c:pt>
                <c:pt idx="14">
                  <c:v>0.2453906512</c:v>
                </c:pt>
                <c:pt idx="15">
                  <c:v>0.1928696379</c:v>
                </c:pt>
                <c:pt idx="16">
                  <c:v>0.16669921200000001</c:v>
                </c:pt>
                <c:pt idx="17">
                  <c:v>0.1814962668</c:v>
                </c:pt>
                <c:pt idx="18">
                  <c:v>0.1839873528</c:v>
                </c:pt>
                <c:pt idx="19">
                  <c:v>0.18001484200000001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0.12560386470000001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0.18920711500000001</c:v>
                </c:pt>
                <c:pt idx="4">
                  <c:v>0.23593091699999999</c:v>
                </c:pt>
                <c:pt idx="5">
                  <c:v>0.4564753151</c:v>
                </c:pt>
                <c:pt idx="6">
                  <c:v>0.6068568379</c:v>
                </c:pt>
                <c:pt idx="7">
                  <c:v>0.52439824450000005</c:v>
                </c:pt>
                <c:pt idx="8">
                  <c:v>0.44477577080000003</c:v>
                </c:pt>
                <c:pt idx="9">
                  <c:v>0.25975556960000001</c:v>
                </c:pt>
                <c:pt idx="10">
                  <c:v>0.16625342479999999</c:v>
                </c:pt>
                <c:pt idx="11">
                  <c:v>0.14863890890000001</c:v>
                </c:pt>
                <c:pt idx="12">
                  <c:v>0.17176899209999999</c:v>
                </c:pt>
                <c:pt idx="13">
                  <c:v>0.2042226214</c:v>
                </c:pt>
                <c:pt idx="14">
                  <c:v>0.24361338199999999</c:v>
                </c:pt>
                <c:pt idx="15">
                  <c:v>0.23546107059999999</c:v>
                </c:pt>
                <c:pt idx="16">
                  <c:v>0.25026513299999997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0.11437908500000001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0.28928541619999998</c:v>
                </c:pt>
                <c:pt idx="21">
                  <c:v>0.215655441</c:v>
                </c:pt>
                <c:pt idx="22">
                  <c:v>0.13621936649999999</c:v>
                </c:pt>
                <c:pt idx="23">
                  <c:v>0.10847578300000001</c:v>
                </c:pt>
                <c:pt idx="24">
                  <c:v>0.17293233080000001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0.37744930799999998</c:v>
                </c:pt>
                <c:pt idx="6">
                  <c:v>0.25743342969999999</c:v>
                </c:pt>
                <c:pt idx="7">
                  <c:v>0.2014057071</c:v>
                </c:pt>
                <c:pt idx="8">
                  <c:v>0.17017365970000001</c:v>
                </c:pt>
                <c:pt idx="9">
                  <c:v>0.20539052369999999</c:v>
                </c:pt>
                <c:pt idx="10">
                  <c:v>0.251098551</c:v>
                </c:pt>
                <c:pt idx="11">
                  <c:v>0.27948057990000003</c:v>
                </c:pt>
                <c:pt idx="12">
                  <c:v>0.3049669102</c:v>
                </c:pt>
                <c:pt idx="13">
                  <c:v>0.28929240880000001</c:v>
                </c:pt>
                <c:pt idx="14">
                  <c:v>0.25356634109999998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0.14901960780000001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#N/A</c:v>
                </c:pt>
                <c:pt idx="1">
                  <c:v>0.46450027620000001</c:v>
                </c:pt>
                <c:pt idx="2">
                  <c:v>0.29099444870000002</c:v>
                </c:pt>
                <c:pt idx="3">
                  <c:v>0.1989956534</c:v>
                </c:pt>
                <c:pt idx="4">
                  <c:v>0.19695480230000001</c:v>
                </c:pt>
                <c:pt idx="5">
                  <c:v>0.24915130999999999</c:v>
                </c:pt>
                <c:pt idx="6">
                  <c:v>0.32904182529999998</c:v>
                </c:pt>
                <c:pt idx="7">
                  <c:v>0.35661589519999998</c:v>
                </c:pt>
                <c:pt idx="8">
                  <c:v>0.39335949660000002</c:v>
                </c:pt>
                <c:pt idx="9">
                  <c:v>0.35897458580000002</c:v>
                </c:pt>
                <c:pt idx="10">
                  <c:v>0.3446566204</c:v>
                </c:pt>
                <c:pt idx="11">
                  <c:v>0.36074986660000002</c:v>
                </c:pt>
                <c:pt idx="12">
                  <c:v>0.39893573789999998</c:v>
                </c:pt>
                <c:pt idx="13">
                  <c:v>0.44250735289999998</c:v>
                </c:pt>
                <c:pt idx="14">
                  <c:v>0.44960458009999998</c:v>
                </c:pt>
                <c:pt idx="15">
                  <c:v>0.41982708400000002</c:v>
                </c:pt>
                <c:pt idx="16">
                  <c:v>0.34491645669999998</c:v>
                </c:pt>
                <c:pt idx="17">
                  <c:v>0.29571411850000001</c:v>
                </c:pt>
                <c:pt idx="18">
                  <c:v>0.26110253480000001</c:v>
                </c:pt>
                <c:pt idx="19">
                  <c:v>0.2309528535</c:v>
                </c:pt>
                <c:pt idx="20">
                  <c:v>0.19964080370000001</c:v>
                </c:pt>
                <c:pt idx="21">
                  <c:v>0.15775349280000001</c:v>
                </c:pt>
                <c:pt idx="22">
                  <c:v>0.1226532884</c:v>
                </c:pt>
                <c:pt idx="23">
                  <c:v>9.4199650999999995E-2</c:v>
                </c:pt>
                <c:pt idx="24">
                  <c:v>6.8836045100000007E-2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0.20880526190000001</c:v>
                </c:pt>
                <c:pt idx="22">
                  <c:v>0.21218172490000001</c:v>
                </c:pt>
                <c:pt idx="23">
                  <c:v>0.1949941818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0.14263692589999999</c:v>
                </c:pt>
                <c:pt idx="23">
                  <c:v>9.6818716599999993E-2</c:v>
                </c:pt>
                <c:pt idx="24">
                  <c:v>0.16666666669999999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0.34267480709999998</c:v>
                </c:pt>
                <c:pt idx="8">
                  <c:v>0.25743342969999999</c:v>
                </c:pt>
                <c:pt idx="9">
                  <c:v>0.17233465440000001</c:v>
                </c:pt>
                <c:pt idx="10">
                  <c:v>0.175456745</c:v>
                </c:pt>
                <c:pt idx="11">
                  <c:v>0.17760370689999999</c:v>
                </c:pt>
                <c:pt idx="12">
                  <c:v>0.22700664440000001</c:v>
                </c:pt>
                <c:pt idx="13">
                  <c:v>0.24618848460000001</c:v>
                </c:pt>
                <c:pt idx="14">
                  <c:v>0.2295763059</c:v>
                </c:pt>
                <c:pt idx="15">
                  <c:v>0.2288070992</c:v>
                </c:pt>
                <c:pt idx="16">
                  <c:v>0.18481071029999999</c:v>
                </c:pt>
                <c:pt idx="17">
                  <c:v>0.18556478400000001</c:v>
                </c:pt>
                <c:pt idx="18">
                  <c:v>0.18296434240000001</c:v>
                </c:pt>
                <c:pt idx="19">
                  <c:v>0.19695480230000001</c:v>
                </c:pt>
                <c:pt idx="20">
                  <c:v>0.195807963</c:v>
                </c:pt>
                <c:pt idx="21">
                  <c:v>0.17992297709999999</c:v>
                </c:pt>
                <c:pt idx="22">
                  <c:v>0.1664210502</c:v>
                </c:pt>
                <c:pt idx="23">
                  <c:v>0.1448604402</c:v>
                </c:pt>
                <c:pt idx="24">
                  <c:v>0.18181818180000001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0.22012136539999999</c:v>
                </c:pt>
                <c:pt idx="23">
                  <c:v>0.2198555727</c:v>
                </c:pt>
                <c:pt idx="24">
                  <c:v>0.11219512199999999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0.1130434783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0.28775478850000002</c:v>
                </c:pt>
                <c:pt idx="18">
                  <c:v>0.47629586190000001</c:v>
                </c:pt>
                <c:pt idx="19">
                  <c:v>0.63617329990000004</c:v>
                </c:pt>
                <c:pt idx="20">
                  <c:v>0.68615549450000002</c:v>
                </c:pt>
                <c:pt idx="21">
                  <c:v>0.34501601009999999</c:v>
                </c:pt>
                <c:pt idx="22">
                  <c:v>0.19695480230000001</c:v>
                </c:pt>
                <c:pt idx="23">
                  <c:v>9.8001391399999999E-2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0.73205080759999996</c:v>
                </c:pt>
                <c:pt idx="22">
                  <c:v>1.0305431849</c:v>
                </c:pt>
                <c:pt idx="23">
                  <c:v>1.2508283034000001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0.26632043789999998</c:v>
                </c:pt>
                <c:pt idx="8">
                  <c:v>0.1066819197</c:v>
                </c:pt>
                <c:pt idx="9">
                  <c:v>4.6635139399999997E-2</c:v>
                </c:pt>
                <c:pt idx="10">
                  <c:v>#N/A</c:v>
                </c:pt>
                <c:pt idx="11">
                  <c:v>3.9289877600000002E-2</c:v>
                </c:pt>
                <c:pt idx="12">
                  <c:v>0.1066819197</c:v>
                </c:pt>
                <c:pt idx="13">
                  <c:v>0.17233465440000001</c:v>
                </c:pt>
                <c:pt idx="14">
                  <c:v>0.20539052369999999</c:v>
                </c:pt>
                <c:pt idx="15">
                  <c:v>0.16737752580000001</c:v>
                </c:pt>
                <c:pt idx="16">
                  <c:v>9.62893893E-2</c:v>
                </c:pt>
                <c:pt idx="17">
                  <c:v>3.4895318799999998E-2</c:v>
                </c:pt>
                <c:pt idx="18">
                  <c:v>6.5150025000000004E-3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0.3380161378</c:v>
                </c:pt>
                <c:pt idx="24">
                  <c:v>6.6153846154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0.96798967130000002</c:v>
                </c:pt>
                <c:pt idx="17">
                  <c:v>1.3205957871</c:v>
                </c:pt>
                <c:pt idx="18">
                  <c:v>1.6679677974</c:v>
                </c:pt>
                <c:pt idx="19">
                  <c:v>1.7636255460000001</c:v>
                </c:pt>
                <c:pt idx="20">
                  <c:v>0.44831546849999998</c:v>
                </c:pt>
                <c:pt idx="21">
                  <c:v>0.27094469049999997</c:v>
                </c:pt>
                <c:pt idx="22">
                  <c:v>0.14908080900000001</c:v>
                </c:pt>
                <c:pt idx="23">
                  <c:v>0.17006219859999999</c:v>
                </c:pt>
                <c:pt idx="24">
                  <c:v>0.2403846154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0.1066819197</c:v>
                </c:pt>
                <c:pt idx="9">
                  <c:v>4.6635139399999997E-2</c:v>
                </c:pt>
                <c:pt idx="10">
                  <c:v>0.3339838987</c:v>
                </c:pt>
                <c:pt idx="11">
                  <c:v>0.51967137129999996</c:v>
                </c:pt>
                <c:pt idx="12">
                  <c:v>0.65487545979999995</c:v>
                </c:pt>
                <c:pt idx="13">
                  <c:v>0.65487545979999995</c:v>
                </c:pt>
                <c:pt idx="14">
                  <c:v>0.2405513001</c:v>
                </c:pt>
                <c:pt idx="15">
                  <c:v>0.2454754938</c:v>
                </c:pt>
                <c:pt idx="16">
                  <c:v>0.28579919469999998</c:v>
                </c:pt>
                <c:pt idx="17">
                  <c:v>0.4390841795</c:v>
                </c:pt>
                <c:pt idx="18">
                  <c:v>0.525964141</c:v>
                </c:pt>
                <c:pt idx="19">
                  <c:v>0.38214592829999999</c:v>
                </c:pt>
                <c:pt idx="20">
                  <c:v>0.2433991174</c:v>
                </c:pt>
                <c:pt idx="21">
                  <c:v>0.2174528114</c:v>
                </c:pt>
                <c:pt idx="22">
                  <c:v>0.2275239791</c:v>
                </c:pt>
                <c:pt idx="23">
                  <c:v>0.2490719207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0.1034482759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7.4569931800000003E-2</c:v>
                </c:pt>
                <c:pt idx="1">
                  <c:v>0.23593091699999999</c:v>
                </c:pt>
                <c:pt idx="2">
                  <c:v>0.38378257519999998</c:v>
                </c:pt>
                <c:pt idx="3">
                  <c:v>0.46977784020000002</c:v>
                </c:pt>
                <c:pt idx="4">
                  <c:v>0.39157884189999997</c:v>
                </c:pt>
                <c:pt idx="5">
                  <c:v>0.209896735</c:v>
                </c:pt>
                <c:pt idx="6">
                  <c:v>8.0624086499999997E-2</c:v>
                </c:pt>
                <c:pt idx="7">
                  <c:v>1.7397827300000002E-2</c:v>
                </c:pt>
                <c:pt idx="8">
                  <c:v>#N/A</c:v>
                </c:pt>
                <c:pt idx="9">
                  <c:v>#N/A</c:v>
                </c:pt>
                <c:pt idx="10">
                  <c:v>0.8865381215</c:v>
                </c:pt>
                <c:pt idx="11">
                  <c:v>1.3311923905</c:v>
                </c:pt>
                <c:pt idx="12">
                  <c:v>1.6164715479</c:v>
                </c:pt>
                <c:pt idx="13">
                  <c:v>1.7141465052</c:v>
                </c:pt>
                <c:pt idx="14">
                  <c:v>0.46950148819999998</c:v>
                </c:pt>
                <c:pt idx="15">
                  <c:v>0.2387114316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0.11808422790000001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0.1066819197</c:v>
                </c:pt>
                <c:pt idx="17">
                  <c:v>0.23593091699999999</c:v>
                </c:pt>
                <c:pt idx="18">
                  <c:v>0.3339838987</c:v>
                </c:pt>
                <c:pt idx="19">
                  <c:v>0.44279797599999998</c:v>
                </c:pt>
                <c:pt idx="20">
                  <c:v>0.36232208170000002</c:v>
                </c:pt>
                <c:pt idx="21">
                  <c:v>0.34634837039999999</c:v>
                </c:pt>
                <c:pt idx="22">
                  <c:v>0.32746965639999998</c:v>
                </c:pt>
                <c:pt idx="23">
                  <c:v>0.29000022819999999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0.31607401299999999</c:v>
                </c:pt>
                <c:pt idx="4">
                  <c:v>0.25743342969999999</c:v>
                </c:pt>
                <c:pt idx="5">
                  <c:v>0.20736820140000001</c:v>
                </c:pt>
                <c:pt idx="6">
                  <c:v>0.17405488590000001</c:v>
                </c:pt>
                <c:pt idx="7">
                  <c:v>0.2014057071</c:v>
                </c:pt>
                <c:pt idx="8">
                  <c:v>0.24466595460000001</c:v>
                </c:pt>
                <c:pt idx="9">
                  <c:v>0.31607401299999999</c:v>
                </c:pt>
                <c:pt idx="10">
                  <c:v>0.38046014410000001</c:v>
                </c:pt>
                <c:pt idx="11">
                  <c:v>0.43156912269999997</c:v>
                </c:pt>
                <c:pt idx="12">
                  <c:v>0.4496850355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7.4257425700000004E-2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0.38378257519999998</c:v>
                </c:pt>
                <c:pt idx="11">
                  <c:v>0.40237809879999997</c:v>
                </c:pt>
                <c:pt idx="12">
                  <c:v>0.43379567740000002</c:v>
                </c:pt>
                <c:pt idx="13">
                  <c:v>0.42016827750000002</c:v>
                </c:pt>
                <c:pt idx="14">
                  <c:v>0.38754850470000002</c:v>
                </c:pt>
                <c:pt idx="15">
                  <c:v>0.34289544220000001</c:v>
                </c:pt>
                <c:pt idx="16">
                  <c:v>0.28102434949999999</c:v>
                </c:pt>
                <c:pt idx="17">
                  <c:v>0.28481804230000002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2.4514338600000001E-2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0.1582921853</c:v>
                </c:pt>
                <c:pt idx="8">
                  <c:v>6.4844316799999996E-2</c:v>
                </c:pt>
                <c:pt idx="9">
                  <c:v>#N/A</c:v>
                </c:pt>
                <c:pt idx="10">
                  <c:v>#N/A</c:v>
                </c:pt>
                <c:pt idx="11">
                  <c:v>0.20539052369999999</c:v>
                </c:pt>
                <c:pt idx="12">
                  <c:v>0.33979660239999998</c:v>
                </c:pt>
                <c:pt idx="13">
                  <c:v>0.44279797599999998</c:v>
                </c:pt>
                <c:pt idx="14">
                  <c:v>0.53525978389999995</c:v>
                </c:pt>
                <c:pt idx="15">
                  <c:v>0.33857915760000001</c:v>
                </c:pt>
                <c:pt idx="16">
                  <c:v>0.25525981149999999</c:v>
                </c:pt>
                <c:pt idx="17">
                  <c:v>0.1656467908</c:v>
                </c:pt>
                <c:pt idx="18">
                  <c:v>0.1771323826</c:v>
                </c:pt>
                <c:pt idx="19">
                  <c:v>0.18430306369999999</c:v>
                </c:pt>
                <c:pt idx="20">
                  <c:v>0.18920711500000001</c:v>
                </c:pt>
                <c:pt idx="21">
                  <c:v>0.21711369080000001</c:v>
                </c:pt>
                <c:pt idx="22">
                  <c:v>0.17341068549999999</c:v>
                </c:pt>
                <c:pt idx="23">
                  <c:v>0.1556015929</c:v>
                </c:pt>
                <c:pt idx="24">
                  <c:v>0.11111111110000001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0.41421356240000001</c:v>
                </c:pt>
                <c:pt idx="3">
                  <c:v>0.57584180809999996</c:v>
                </c:pt>
                <c:pt idx="4">
                  <c:v>0.73205080759999996</c:v>
                </c:pt>
                <c:pt idx="5">
                  <c:v>0.54981363620000001</c:v>
                </c:pt>
                <c:pt idx="6">
                  <c:v>0.46846377729999999</c:v>
                </c:pt>
                <c:pt idx="7">
                  <c:v>0.30405381320000002</c:v>
                </c:pt>
                <c:pt idx="8">
                  <c:v>0.23593091699999999</c:v>
                </c:pt>
                <c:pt idx="9">
                  <c:v>0.18522311559999999</c:v>
                </c:pt>
                <c:pt idx="10">
                  <c:v>0.2109794177</c:v>
                </c:pt>
                <c:pt idx="11">
                  <c:v>0.28418414250000001</c:v>
                </c:pt>
                <c:pt idx="12">
                  <c:v>0.3108201196</c:v>
                </c:pt>
                <c:pt idx="13">
                  <c:v>0.29791691910000001</c:v>
                </c:pt>
                <c:pt idx="14">
                  <c:v>0.28775478850000002</c:v>
                </c:pt>
                <c:pt idx="15">
                  <c:v>0.24715352209999999</c:v>
                </c:pt>
                <c:pt idx="16">
                  <c:v>0.2765960643</c:v>
                </c:pt>
                <c:pt idx="17">
                  <c:v>0.31187595620000003</c:v>
                </c:pt>
                <c:pt idx="18">
                  <c:v>0.3303951316</c:v>
                </c:pt>
                <c:pt idx="19">
                  <c:v>0.30979784929999998</c:v>
                </c:pt>
                <c:pt idx="20">
                  <c:v>0.23775859569999999</c:v>
                </c:pt>
                <c:pt idx="21">
                  <c:v>0.2039856223</c:v>
                </c:pt>
                <c:pt idx="22">
                  <c:v>0.15365197250000001</c:v>
                </c:pt>
                <c:pt idx="23">
                  <c:v>0.15143001850000001</c:v>
                </c:pt>
                <c:pt idx="24">
                  <c:v>0.1255161024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Dashboard'!$AS$224:$BV$224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Dashboard'!$AS$225:$BV$225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tabSelected="1" zoomScaleNormal="100" workbookViewId="0">
      <selection activeCell="E15" sqref="E15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166</v>
      </c>
      <c r="J4" s="1" t="s">
        <v>134</v>
      </c>
      <c r="K4" s="1" t="s">
        <v>134</v>
      </c>
      <c r="L4" s="1" t="s">
        <v>165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71</v>
      </c>
      <c r="Q5" s="1">
        <f ca="1">P5-1</f>
        <v>70</v>
      </c>
      <c r="R5" s="1">
        <f ca="1">Q5-7</f>
        <v>63</v>
      </c>
    </row>
    <row r="6" spans="1:20" s="1" customFormat="1" x14ac:dyDescent="0.25">
      <c r="C6" s="7" t="s">
        <v>156</v>
      </c>
      <c r="D6" s="8"/>
      <c r="E6" s="8"/>
      <c r="F6" s="9"/>
      <c r="G6" s="7" t="s">
        <v>166</v>
      </c>
      <c r="H6" s="24"/>
      <c r="I6" s="8"/>
      <c r="J6" s="7" t="s">
        <v>155</v>
      </c>
      <c r="K6" s="9"/>
      <c r="L6" s="7" t="s">
        <v>170</v>
      </c>
      <c r="M6" s="8"/>
      <c r="N6" s="7" t="s">
        <v>154</v>
      </c>
      <c r="O6" s="9"/>
      <c r="P6" s="7" t="s">
        <v>153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6" t="s">
        <v>168</v>
      </c>
      <c r="H7" s="6" t="s">
        <v>169</v>
      </c>
      <c r="I7" s="6" t="s">
        <v>167</v>
      </c>
      <c r="J7" s="10" t="s">
        <v>63</v>
      </c>
      <c r="K7" s="11" t="s">
        <v>147</v>
      </c>
      <c r="L7" s="6" t="s">
        <v>165</v>
      </c>
      <c r="M7" s="6" t="s">
        <v>171</v>
      </c>
      <c r="N7" s="10" t="s">
        <v>139</v>
      </c>
      <c r="O7" s="11" t="s">
        <v>149</v>
      </c>
      <c r="P7" s="10" t="s">
        <v>150</v>
      </c>
      <c r="Q7" s="6" t="s">
        <v>151</v>
      </c>
      <c r="R7" s="11" t="s">
        <v>152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23</v>
      </c>
      <c r="C8" s="15" t="s">
        <v>178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1354</v>
      </c>
      <c r="K8" s="9" cm="1">
        <f t="array" aca="1" ref="K8" ca="1">INDIRECT(ADDRESS($B8,K$5,1,1,K$4))</f>
        <v>383.19706347660002</v>
      </c>
      <c r="L8" s="15" cm="1">
        <f t="array" aca="1" ref="L8" ca="1">INDIRECT(ADDRESS($B8,L$5,1,1,L$4))</f>
        <v>306</v>
      </c>
      <c r="M8" s="25">
        <f ca="1">L8/J8</f>
        <v>0.22599704579025109</v>
      </c>
      <c r="N8" s="12" cm="1">
        <f t="array" aca="1" ref="N8" ca="1">INDIRECT(ADDRESS($B8,N$5,1,1,N$4))</f>
        <v>4.43131462E-2</v>
      </c>
      <c r="O8" s="14" cm="1">
        <f t="array" aca="1" ref="O8" ca="1">INDIRECT(ADDRESS($B8,O$5,1,1,O$4))</f>
        <v>9.4043887100000001E-2</v>
      </c>
      <c r="P8" s="12" cm="1">
        <f t="array" aca="1" ref="P8" ca="1">INDIRECT(ADDRESS($B8,P$5,1,1,P$4))</f>
        <v>0.11808422790000001</v>
      </c>
      <c r="Q8" s="13" cm="1">
        <f t="array" aca="1" ref="Q8" ca="1">INDIRECT(ADDRESS($B8,Q$5,1,1,Q$4))</f>
        <v>0.1177063871</v>
      </c>
      <c r="R8" s="14" cm="1">
        <f t="array" aca="1" ref="R8" ca="1">INDIRECT(ADDRESS($B8,R$5,1,1,R$4))</f>
        <v>0.15774258029999999</v>
      </c>
    </row>
    <row r="9" spans="1:20" s="1" customFormat="1" x14ac:dyDescent="0.25">
      <c r="A9" s="1">
        <v>6</v>
      </c>
      <c r="B9" s="1">
        <f ca="1">MATCH($C9,INDIRECT("'"&amp;$E$4&amp;"'!A:A"),0)</f>
        <v>26</v>
      </c>
      <c r="C9" s="15" t="s">
        <v>175</v>
      </c>
      <c r="D9" s="8"/>
      <c r="E9" s="8" cm="1">
        <f t="array" aca="1" ref="E9" ca="1">INDIRECT(ADDRESS($B9,E$5,1,1,E$4))</f>
        <v>799145</v>
      </c>
      <c r="F9" s="9" cm="1">
        <f t="array" aca="1" ref="F9" ca="1">INDIRECT(ADDRESS($B9,F$5,1,1,F$4))</f>
        <v>3212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2215</v>
      </c>
      <c r="K9" s="9" cm="1">
        <f t="array" aca="1" ref="K9" ca="1">INDIRECT(ADDRESS($B9,K$5,1,1,K$4))</f>
        <v>277.17122674860002</v>
      </c>
      <c r="L9" s="15" cm="1">
        <f t="array" aca="1" ref="L9" ca="1">INDIRECT(ADDRESS($B9,L$5,1,1,L$4))</f>
        <v>291</v>
      </c>
      <c r="M9" s="25">
        <f t="shared" ref="M9:M15" ca="1" si="2">L9/J9</f>
        <v>0.13137697516930022</v>
      </c>
      <c r="N9" s="12" cm="1">
        <f t="array" aca="1" ref="N9" ca="1">INDIRECT(ADDRESS($B9,N$5,1,1,N$4))</f>
        <v>9.4808125999999993E-3</v>
      </c>
      <c r="O9" s="14" cm="1">
        <f t="array" aca="1" ref="O9" ca="1">INDIRECT(ADDRESS($B9,O$5,1,1,O$4))</f>
        <v>1.73267327E-2</v>
      </c>
      <c r="P9" s="12" cm="1">
        <f t="array" aca="1" ref="P9" ca="1">INDIRECT(ADDRESS($B9,P$5,1,1,P$4))</f>
        <v>2.4514338600000001E-2</v>
      </c>
      <c r="Q9" s="13" cm="1">
        <f t="array" aca="1" ref="Q9" ca="1">INDIRECT(ADDRESS($B9,Q$5,1,1,Q$4))</f>
        <v>9.4484139300000006E-2</v>
      </c>
      <c r="R9" s="14" cm="1">
        <f t="array" aca="1" ref="R9" ca="1">INDIRECT(ADDRESS($B9,R$5,1,1,R$4))</f>
        <v>0.28102434949999999</v>
      </c>
    </row>
    <row r="10" spans="1:20" s="1" customFormat="1" x14ac:dyDescent="0.25">
      <c r="A10" s="1">
        <v>6</v>
      </c>
      <c r="B10" s="1">
        <f ca="1">MATCH($C10,INDIRECT("'"&amp;$E$4&amp;"'!A:A"),0)</f>
        <v>28</v>
      </c>
      <c r="C10" s="15" t="s">
        <v>173</v>
      </c>
      <c r="D10" s="8"/>
      <c r="E10" s="8" cm="1">
        <f t="array" aca="1" ref="E10" ca="1">INDIRECT(ADDRESS($B10,E$5,1,1,E$4))</f>
        <v>1520968</v>
      </c>
      <c r="F10" s="9" cm="1">
        <f t="array" aca="1" ref="F10" ca="1">INDIRECT(ADDRESS($B10,F$5,1,1,F$4))</f>
        <v>1729</v>
      </c>
      <c r="G10" s="15" cm="1">
        <f t="array" aca="1" ref="G10" ca="1">INDIRECT(ADDRESS($B10,G$5,1,1,G$4))</f>
        <v>855</v>
      </c>
      <c r="H10" s="8">
        <f t="shared" ca="1" si="1"/>
        <v>56.214200430252312</v>
      </c>
      <c r="I10" s="23">
        <f t="shared" ca="1" si="0"/>
        <v>1.5941520467836257</v>
      </c>
      <c r="J10" s="15" cm="1">
        <f t="array" aca="1" ref="J10" ca="1">INDIRECT(ADDRESS($B10,J$5,1,1,J$4))</f>
        <v>1363</v>
      </c>
      <c r="K10" s="9" cm="1">
        <f t="array" aca="1" ref="K10" ca="1">INDIRECT(ADDRESS($B10,K$5,1,1,K$4))</f>
        <v>89.613982674200003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5.1357299999999998E-3</v>
      </c>
      <c r="O10" s="14" cm="1">
        <f t="array" aca="1" ref="O10" ca="1">INDIRECT(ADDRESS($B10,O$5,1,1,O$4))</f>
        <v>1.33079848E-2</v>
      </c>
      <c r="P10" s="12" cm="1">
        <f t="array" aca="1" ref="P10" ca="1">INDIRECT(ADDRESS($B10,P$5,1,1,P$4))</f>
        <v>0.1255161024</v>
      </c>
      <c r="Q10" s="13" cm="1">
        <f t="array" aca="1" ref="Q10" ca="1">INDIRECT(ADDRESS($B10,Q$5,1,1,Q$4))</f>
        <v>0.15143001850000001</v>
      </c>
      <c r="R10" s="14" cm="1">
        <f t="array" aca="1" ref="R10" ca="1">INDIRECT(ADDRESS($B10,R$5,1,1,R$4))</f>
        <v>0.2765960643</v>
      </c>
    </row>
    <row r="11" spans="1:20" s="1" customFormat="1" x14ac:dyDescent="0.25">
      <c r="A11" s="1">
        <v>6</v>
      </c>
      <c r="B11" s="1">
        <f ca="1">MATCH($C11,INDIRECT("'"&amp;$E$4&amp;"'!A:A"),0)</f>
        <v>10</v>
      </c>
      <c r="C11" s="15" t="s">
        <v>191</v>
      </c>
      <c r="D11" s="8"/>
      <c r="E11" s="8" cm="1">
        <f t="array" aca="1" ref="E11" ca="1">INDIRECT(ADDRESS($B11,E$5,1,1,E$4))</f>
        <v>499480</v>
      </c>
      <c r="F11" s="9" cm="1">
        <f t="array" aca="1" ref="F11" ca="1">INDIRECT(ADDRESS($B11,F$5,1,1,F$4))</f>
        <v>1771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1708</v>
      </c>
      <c r="K11" s="9" cm="1">
        <f t="array" aca="1" ref="K11" ca="1">INDIRECT(ADDRESS($B11,K$5,1,1,K$4))</f>
        <v>341.95563385920002</v>
      </c>
      <c r="L11" s="15" cm="1">
        <f t="array" aca="1" ref="L11" ca="1">INDIRECT(ADDRESS($B11,L$5,1,1,L$4))</f>
        <v>258</v>
      </c>
      <c r="M11" s="25">
        <f t="shared" ca="1" si="2"/>
        <v>0.15105386416861827</v>
      </c>
      <c r="N11" s="12" cm="1">
        <f t="array" aca="1" ref="N11" ca="1">INDIRECT(ADDRESS($B11,N$5,1,1,N$4))</f>
        <v>8.7822014E-3</v>
      </c>
      <c r="O11" s="14" cm="1">
        <f t="array" aca="1" ref="O11" ca="1">INDIRECT(ADDRESS($B11,O$5,1,1,O$4))</f>
        <v>1.5608740899999999E-2</v>
      </c>
      <c r="P11" s="12" cm="1">
        <f t="array" aca="1" ref="P11" ca="1">INDIRECT(ADDRESS($B11,P$5,1,1,P$4))</f>
        <v>6.8836045100000007E-2</v>
      </c>
      <c r="Q11" s="13" cm="1">
        <f t="array" aca="1" ref="Q11" ca="1">INDIRECT(ADDRESS($B11,Q$5,1,1,Q$4))</f>
        <v>9.4199650999999995E-2</v>
      </c>
      <c r="R11" s="14" cm="1">
        <f t="array" aca="1" ref="R11" ca="1">INDIRECT(ADDRESS($B11,R$5,1,1,R$4))</f>
        <v>0.34491645669999998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6</v>
      </c>
      <c r="C12" s="15" t="s">
        <v>195</v>
      </c>
      <c r="D12" s="8"/>
      <c r="E12" s="8" cm="1">
        <f t="array" aca="1" ref="E12" ca="1">INDIRECT(ADDRESS($B12,E$5,1,1,E$4))</f>
        <v>194766</v>
      </c>
      <c r="F12" s="9" cm="1">
        <f t="array" aca="1" ref="F12" ca="1">INDIRECT(ADDRESS($B12,F$5,1,1,F$4))</f>
        <v>37</v>
      </c>
      <c r="G12" s="15" cm="1">
        <f t="array" aca="1" ref="G12" ca="1">INDIRECT(ADDRESS($B12,G$5,1,1,G$4))</f>
        <v>235</v>
      </c>
      <c r="H12" s="8">
        <f t="shared" ca="1" si="1"/>
        <v>120.65760964439379</v>
      </c>
      <c r="I12" s="23">
        <f t="shared" ca="1" si="0"/>
        <v>1.9829787234042553</v>
      </c>
      <c r="J12" s="15" cm="1">
        <f t="array" aca="1" ref="J12" ca="1">INDIRECT(ADDRESS($B12,J$5,1,1,J$4))</f>
        <v>466</v>
      </c>
      <c r="K12" s="9" cm="1">
        <f t="array" aca="1" ref="K12" ca="1">INDIRECT(ADDRESS($B12,K$5,1,1,K$4))</f>
        <v>239.26147274159999</v>
      </c>
      <c r="L12" s="15" cm="1">
        <f t="array" aca="1" ref="L12" ca="1">INDIRECT(ADDRESS($B12,L$5,1,1,L$4))</f>
        <v>58</v>
      </c>
      <c r="M12" s="25">
        <f t="shared" ca="1" si="2"/>
        <v>0.12446351931330472</v>
      </c>
      <c r="N12" s="12" cm="1">
        <f t="array" aca="1" ref="N12" ca="1">INDIRECT(ADDRESS($B12,N$5,1,1,N$4))</f>
        <v>1.7167381999999998E-2</v>
      </c>
      <c r="O12" s="14" cm="1">
        <f t="array" aca="1" ref="O12" ca="1">INDIRECT(ADDRESS($B12,O$5,1,1,O$4))</f>
        <v>3.6036036E-2</v>
      </c>
      <c r="P12" s="12" cm="1">
        <f t="array" aca="1" ref="P12" ca="1">INDIRECT(ADDRESS($B12,P$5,1,1,P$4))</f>
        <v>0.12560386470000001</v>
      </c>
      <c r="Q12" s="13" cm="1">
        <f t="array" aca="1" ref="Q12" ca="1">INDIRECT(ADDRESS($B12,Q$5,1,1,Q$4))</f>
        <v>0.12183532969999999</v>
      </c>
      <c r="R12" s="14" cm="1">
        <f t="array" aca="1" ref="R12" ca="1">INDIRECT(ADDRESS($B12,R$5,1,1,R$4))</f>
        <v>0.16669921200000001</v>
      </c>
    </row>
    <row r="13" spans="1:20" s="1" customFormat="1" x14ac:dyDescent="0.25">
      <c r="A13" s="1">
        <v>6</v>
      </c>
      <c r="B13" s="1">
        <f t="shared" ca="1" si="3"/>
        <v>5</v>
      </c>
      <c r="C13" s="15" t="s">
        <v>196</v>
      </c>
      <c r="D13" s="8"/>
      <c r="E13" s="8" cm="1">
        <f t="array" aca="1" ref="E13" ca="1">INDIRECT(ADDRESS($B13,E$5,1,1,E$4))</f>
        <v>677387</v>
      </c>
      <c r="F13" s="9" cm="1">
        <f t="array" aca="1" ref="F13" ca="1">INDIRECT(ADDRESS($B13,F$5,1,1,F$4))</f>
        <v>1404</v>
      </c>
      <c r="G13" s="15" cm="1">
        <f t="array" aca="1" ref="G13" ca="1">INDIRECT(ADDRESS($B13,G$5,1,1,G$4))</f>
        <v>0</v>
      </c>
      <c r="H13" s="8">
        <f t="shared" ca="1" si="1"/>
        <v>0</v>
      </c>
      <c r="I13" s="23" t="e">
        <f t="shared" ca="1" si="0"/>
        <v>#DIV/0!</v>
      </c>
      <c r="J13" s="15" cm="1">
        <f t="array" aca="1" ref="J13" ca="1">INDIRECT(ADDRESS($B13,J$5,1,1,J$4))</f>
        <v>319</v>
      </c>
      <c r="K13" s="9" cm="1">
        <f t="array" aca="1" ref="K13" ca="1">INDIRECT(ADDRESS($B13,K$5,1,1,K$4))</f>
        <v>47.0927254287</v>
      </c>
      <c r="L13" s="15" cm="1">
        <f t="array" aca="1" ref="L13" ca="1">INDIRECT(ADDRESS($B13,L$5,1,1,L$4))</f>
        <v>16</v>
      </c>
      <c r="M13" s="25">
        <f t="shared" ca="1" si="2"/>
        <v>5.0156739811912224E-2</v>
      </c>
      <c r="N13" s="12" cm="1">
        <f t="array" aca="1" ref="N13" ca="1">INDIRECT(ADDRESS($B13,N$5,1,1,N$4))</f>
        <v>6.2695924999999998E-3</v>
      </c>
      <c r="O13" s="14" cm="1">
        <f t="array" aca="1" ref="O13" ca="1">INDIRECT(ADDRESS($B13,O$5,1,1,O$4))</f>
        <v>1.6949152499999998E-2</v>
      </c>
      <c r="P13" s="12" cm="1">
        <f t="array" aca="1" ref="P13" ca="1">INDIRECT(ADDRESS($B13,P$5,1,1,P$4))</f>
        <v>0.1992481203</v>
      </c>
      <c r="Q13" s="13" cm="1">
        <f t="array" aca="1" ref="Q13" ca="1">INDIRECT(ADDRESS($B13,Q$5,1,1,Q$4))</f>
        <v>0.16139793259999999</v>
      </c>
      <c r="R13" s="14" cm="1">
        <f t="array" aca="1" ref="R13" ca="1">INDIRECT(ADDRESS($B13,R$5,1,1,R$4))</f>
        <v>0.2469393265</v>
      </c>
    </row>
    <row r="14" spans="1:20" s="1" customFormat="1" x14ac:dyDescent="0.25">
      <c r="A14" s="1">
        <v>6</v>
      </c>
      <c r="B14" s="1">
        <f t="shared" ca="1" si="3"/>
        <v>14</v>
      </c>
      <c r="C14" s="15" t="s">
        <v>187</v>
      </c>
      <c r="D14" s="8"/>
      <c r="E14" s="8" cm="1">
        <f t="array" aca="1" ref="E14" ca="1">INDIRECT(ADDRESS($B14,E$5,1,1,E$4))</f>
        <v>409557</v>
      </c>
      <c r="F14" s="9" cm="1">
        <f t="array" aca="1" ref="F14" ca="1">INDIRECT(ADDRESS($B14,F$5,1,1,F$4))</f>
        <v>1493</v>
      </c>
      <c r="G14" s="15" cm="1">
        <f t="array" aca="1" ref="G14" ca="1">INDIRECT(ADDRESS($B14,G$5,1,1,G$4))</f>
        <v>0</v>
      </c>
      <c r="H14" s="8">
        <f t="shared" ca="1" si="1"/>
        <v>0</v>
      </c>
      <c r="I14" s="23" t="e">
        <f t="shared" ca="1" si="0"/>
        <v>#DIV/0!</v>
      </c>
      <c r="J14" s="15" cm="1">
        <f t="array" aca="1" ref="J14" ca="1">INDIRECT(ADDRESS($B14,J$5,1,1,J$4))</f>
        <v>228</v>
      </c>
      <c r="K14" s="9" cm="1">
        <f t="array" aca="1" ref="K14" ca="1">INDIRECT(ADDRESS($B14,K$5,1,1,K$4))</f>
        <v>55.669906752899998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8.7719297999999998E-3</v>
      </c>
      <c r="O14" s="14" cm="1">
        <f t="array" aca="1" ref="O14" ca="1">INDIRECT(ADDRESS($B14,O$5,1,1,O$4))</f>
        <v>3.0769230799999998E-2</v>
      </c>
      <c r="P14" s="12" cm="1">
        <f t="array" aca="1" ref="P14" ca="1">INDIRECT(ADDRESS($B14,P$5,1,1,P$4))</f>
        <v>0.11219512199999999</v>
      </c>
      <c r="Q14" s="13" cm="1">
        <f t="array" aca="1" ref="Q14" ca="1">INDIRECT(ADDRESS($B14,Q$5,1,1,Q$4))</f>
        <v>0.2198555727</v>
      </c>
      <c r="R14" s="14" cm="1">
        <f t="array" aca="1" ref="R14" ca="1">INDIRECT(ADDRESS($B14,R$5,1,1,R$4))</f>
        <v>0</v>
      </c>
    </row>
    <row r="15" spans="1:20" s="1" customFormat="1" x14ac:dyDescent="0.25">
      <c r="A15" s="1">
        <v>6</v>
      </c>
      <c r="B15" s="1">
        <f t="shared" ca="1" si="3"/>
        <v>21</v>
      </c>
      <c r="C15" s="15" t="s">
        <v>180</v>
      </c>
      <c r="D15" s="8"/>
      <c r="E15" s="8" cm="1">
        <f t="array" aca="1" ref="E15" ca="1">INDIRECT(ADDRESS($B15,E$5,1,1,E$4))</f>
        <v>507697</v>
      </c>
      <c r="F15" s="9" cm="1">
        <f t="array" aca="1" ref="F15" ca="1">INDIRECT(ADDRESS($B15,F$5,1,1,F$4))</f>
        <v>2026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228</v>
      </c>
      <c r="K15" s="9" cm="1">
        <f t="array" aca="1" ref="K15" ca="1">INDIRECT(ADDRESS($B15,K$5,1,1,K$4))</f>
        <v>44.908675844100003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4.3859648999999999E-3</v>
      </c>
      <c r="O15" s="14" cm="1">
        <f t="array" aca="1" ref="O15" ca="1">INDIRECT(ADDRESS($B15,O$5,1,1,O$4))</f>
        <v>1.17647059E-2</v>
      </c>
      <c r="P15" s="12" cm="1">
        <f t="array" aca="1" ref="P15" ca="1">INDIRECT(ADDRESS($B15,P$5,1,1,P$4))</f>
        <v>0</v>
      </c>
      <c r="Q15" s="13" cm="1">
        <f t="array" aca="1" ref="Q15" ca="1">INDIRECT(ADDRESS($B15,Q$5,1,1,Q$4))</f>
        <v>0.2490719207</v>
      </c>
      <c r="R15" s="14" cm="1">
        <f t="array" aca="1" ref="R15" ca="1">INDIRECT(ADDRESS($B15,R$5,1,1,R$4))</f>
        <v>0.28579919469999998</v>
      </c>
    </row>
    <row r="16" spans="1:20" x14ac:dyDescent="0.25">
      <c r="H16" s="1"/>
      <c r="M16" s="18"/>
    </row>
    <row r="17" spans="3:13" x14ac:dyDescent="0.25">
      <c r="C17" s="26" t="s">
        <v>172</v>
      </c>
      <c r="H17" s="1"/>
      <c r="M17" s="18"/>
    </row>
    <row r="50" spans="1:74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166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cm="1">
        <f t="array" aca="1" ref="BQ52" ca="1">INDIRECT(ADDRESS($B52,BQ$50+$A52,1,1,$C52))</f>
        <v>0</v>
      </c>
      <c r="BR52" s="5" cm="1">
        <f t="array" aca="1" ref="BR52" ca="1">INDIRECT(ADDRESS($B52,BR$50+$A52,1,1,$C52))</f>
        <v>0</v>
      </c>
      <c r="BS52" s="5" cm="1">
        <f t="array" aca="1" ref="BS52" ca="1">INDIRECT(ADDRESS($B52,BS$50+$A52,1,1,$C52))</f>
        <v>0</v>
      </c>
      <c r="BT52" s="5" cm="1">
        <f t="array" aca="1" ref="BT52" ca="1">INDIRECT(ADDRESS($B52,BT$50+$A52,1,1,$C52))</f>
        <v>0</v>
      </c>
      <c r="BU52" s="5" cm="1">
        <f t="array" aca="1" ref="BU52" ca="1">INDIRECT(ADDRESS($B52,BU$50+$A52,1,1,$C52))</f>
        <v>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23</v>
      </c>
      <c r="C53" s="1" t="str">
        <f>C8</f>
        <v>Switzerland Ticino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26</v>
      </c>
      <c r="C54" s="1" t="str">
        <f>C9</f>
        <v>Switzerland Vaud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28</v>
      </c>
      <c r="C55" s="1" t="str">
        <f>C10</f>
        <v>Switzerland Zurich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400</v>
      </c>
      <c r="AU55" s="1" cm="1">
        <f t="array" aca="1" ref="AU55" ca="1">INDIRECT(ADDRESS($B55,AU$50+$A55,1,1,$D55))</f>
        <v>400</v>
      </c>
      <c r="AV55" s="1" cm="1">
        <f t="array" aca="1" ref="AV55" ca="1">INDIRECT(ADDRESS($B55,AV$50+$A55,1,1,$D55))</f>
        <v>400</v>
      </c>
      <c r="AW55" s="1" cm="1">
        <f t="array" aca="1" ref="AW55" ca="1">INDIRECT(ADDRESS($B55,AW$50+$A55,1,1,$D55))</f>
        <v>400</v>
      </c>
      <c r="AX55" s="1" cm="1">
        <f t="array" aca="1" ref="AX55" ca="1">INDIRECT(ADDRESS($B55,AX$50+$A55,1,1,$D55))</f>
        <v>400</v>
      </c>
      <c r="AY55" s="1" cm="1">
        <f t="array" aca="1" ref="AY55" ca="1">INDIRECT(ADDRESS($B55,AY$50+$A55,1,1,$D55))</f>
        <v>400</v>
      </c>
      <c r="AZ55" s="1" cm="1">
        <f t="array" aca="1" ref="AZ55" ca="1">INDIRECT(ADDRESS($B55,AZ$50+$A55,1,1,$D55))</f>
        <v>855</v>
      </c>
      <c r="BA55" s="1" cm="1">
        <f t="array" aca="1" ref="BA55" ca="1">INDIRECT(ADDRESS($B55,BA$50+$A55,1,1,$D55))</f>
        <v>855</v>
      </c>
      <c r="BB55" s="1" cm="1">
        <f t="array" aca="1" ref="BB55" ca="1">INDIRECT(ADDRESS($B55,BB$50+$A55,1,1,$D55))</f>
        <v>855</v>
      </c>
      <c r="BC55" s="1" cm="1">
        <f t="array" aca="1" ref="BC55" ca="1">INDIRECT(ADDRESS($B55,BC$50+$A55,1,1,$D55))</f>
        <v>855</v>
      </c>
      <c r="BD55" s="1" cm="1">
        <f t="array" aca="1" ref="BD55" ca="1">INDIRECT(ADDRESS($B55,BD$50+$A55,1,1,$D55))</f>
        <v>855</v>
      </c>
      <c r="BE55" s="1" cm="1">
        <f t="array" aca="1" ref="BE55" ca="1">INDIRECT(ADDRESS($B55,BE$50+$A55,1,1,$D55))</f>
        <v>855</v>
      </c>
      <c r="BF55" s="1" cm="1">
        <f t="array" aca="1" ref="BF55" ca="1">INDIRECT(ADDRESS($B55,BF$50+$A55,1,1,$D55))</f>
        <v>855</v>
      </c>
      <c r="BG55" s="1" cm="1">
        <f t="array" aca="1" ref="BG55" ca="1">INDIRECT(ADDRESS($B55,BG$50+$A55,1,1,$D55))</f>
        <v>855</v>
      </c>
      <c r="BH55" s="1" cm="1">
        <f t="array" aca="1" ref="BH55" ca="1">INDIRECT(ADDRESS($B55,BH$50+$A55,1,1,$D55))</f>
        <v>855</v>
      </c>
      <c r="BI55" s="1" cm="1">
        <f t="array" aca="1" ref="BI55" ca="1">INDIRECT(ADDRESS($B55,BI$50+$A55,1,1,$D55))</f>
        <v>855</v>
      </c>
      <c r="BJ55" s="1" cm="1">
        <f t="array" aca="1" ref="BJ55" ca="1">INDIRECT(ADDRESS($B55,BJ$50+$A55,1,1,$D55))</f>
        <v>855</v>
      </c>
      <c r="BK55" s="1" cm="1">
        <f t="array" aca="1" ref="BK55" ca="1">INDIRECT(ADDRESS($B55,BK$50+$A55,1,1,$D55))</f>
        <v>855</v>
      </c>
      <c r="BL55" s="1" cm="1">
        <f t="array" aca="1" ref="BL55" ca="1">INDIRECT(ADDRESS($B55,BL$50+$A55,1,1,$D55))</f>
        <v>855</v>
      </c>
      <c r="BM55" s="1" cm="1">
        <f t="array" aca="1" ref="BM55" ca="1">INDIRECT(ADDRESS($B55,BM$50+$A55,1,1,$D55))</f>
        <v>855</v>
      </c>
      <c r="BN55" s="1" cm="1">
        <f t="array" aca="1" ref="BN55" ca="1">INDIRECT(ADDRESS($B55,BN$50+$A55,1,1,$D55))</f>
        <v>855</v>
      </c>
      <c r="BO55" s="1" cm="1">
        <f t="array" aca="1" ref="BO55" ca="1">INDIRECT(ADDRESS($B55,BO$50+$A55,1,1,$D55))</f>
        <v>855</v>
      </c>
      <c r="BP55" s="1" cm="1">
        <f t="array" aca="1" ref="BP55" ca="1">INDIRECT(ADDRESS($B55,BP$50+$A55,1,1,$D55))</f>
        <v>855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10</v>
      </c>
      <c r="C56" s="1" t="str">
        <f>C11</f>
        <v>Switzerland Geneva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134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cm="1">
        <f t="array" aca="1" ref="BQ58" ca="1">INDIRECT(ADDRESS($B58,BQ$50+$A58,1,1,$C58))</f>
        <v>0</v>
      </c>
      <c r="BR58" s="5" cm="1">
        <f t="array" aca="1" ref="BR58" ca="1">INDIRECT(ADDRESS($B58,BR$50+$A58,1,1,$C58))</f>
        <v>0</v>
      </c>
      <c r="BS58" s="5" cm="1">
        <f t="array" aca="1" ref="BS58" ca="1">INDIRECT(ADDRESS($B58,BS$50+$A58,1,1,$C58))</f>
        <v>0</v>
      </c>
      <c r="BT58" s="5" cm="1">
        <f t="array" aca="1" ref="BT58" ca="1">INDIRECT(ADDRESS($B58,BT$50+$A58,1,1,$C58))</f>
        <v>0</v>
      </c>
      <c r="BU58" s="5" cm="1">
        <f t="array" aca="1" ref="BU58" ca="1">INDIRECT(ADDRESS($B58,BU$50+$A58,1,1,$C58))</f>
        <v>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23</v>
      </c>
      <c r="C59" s="1" t="str">
        <f>C8</f>
        <v>Switzerland Ticino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1</v>
      </c>
      <c r="AN59" s="1" cm="1">
        <f t="array" aca="1" ref="AN59" ca="1">INDIRECT(ADDRESS($B59,AN$50+$A59,1,1,$D59))</f>
        <v>1</v>
      </c>
      <c r="AO59" s="1" cm="1">
        <f t="array" aca="1" ref="AO59" ca="1">INDIRECT(ADDRESS($B59,AO$50+$A59,1,1,$D59))</f>
        <v>1</v>
      </c>
      <c r="AP59" s="1" cm="1">
        <f t="array" aca="1" ref="AP59" ca="1">INDIRECT(ADDRESS($B59,AP$50+$A59,1,1,$D59))</f>
        <v>1</v>
      </c>
      <c r="AQ59" s="1" cm="1">
        <f t="array" aca="1" ref="AQ59" ca="1">INDIRECT(ADDRESS($B59,AQ$50+$A59,1,1,$D59))</f>
        <v>1</v>
      </c>
      <c r="AR59" s="1" cm="1">
        <f t="array" aca="1" ref="AR59" ca="1">INDIRECT(ADDRESS($B59,AR$50+$A59,1,1,$D59))</f>
        <v>1</v>
      </c>
      <c r="AS59" s="1" cm="1">
        <f t="array" aca="1" ref="AS59" ca="1">INDIRECT(ADDRESS($B59,AS$50+$A59,1,1,$D59))</f>
        <v>2</v>
      </c>
      <c r="AT59" s="1" cm="1">
        <f t="array" aca="1" ref="AT59" ca="1">INDIRECT(ADDRESS($B59,AT$50+$A59,1,1,$D59))</f>
        <v>4</v>
      </c>
      <c r="AU59" s="1" cm="1">
        <f t="array" aca="1" ref="AU59" ca="1">INDIRECT(ADDRESS($B59,AU$50+$A59,1,1,$D59))</f>
        <v>5</v>
      </c>
      <c r="AV59" s="1" cm="1">
        <f t="array" aca="1" ref="AV59" ca="1">INDIRECT(ADDRESS($B59,AV$50+$A59,1,1,$D59))</f>
        <v>5</v>
      </c>
      <c r="AW59" s="1" cm="1">
        <f t="array" aca="1" ref="AW59" ca="1">INDIRECT(ADDRESS($B59,AW$50+$A59,1,1,$D59))</f>
        <v>5</v>
      </c>
      <c r="AX59" s="1" cm="1">
        <f t="array" aca="1" ref="AX59" ca="1">INDIRECT(ADDRESS($B59,AX$50+$A59,1,1,$D59))</f>
        <v>5</v>
      </c>
      <c r="AY59" s="1" cm="1">
        <f t="array" aca="1" ref="AY59" ca="1">INDIRECT(ADDRESS($B59,AY$50+$A59,1,1,$D59))</f>
        <v>5</v>
      </c>
      <c r="AZ59" s="1" cm="1">
        <f t="array" aca="1" ref="AZ59" ca="1">INDIRECT(ADDRESS($B59,AZ$50+$A59,1,1,$D59))</f>
        <v>5</v>
      </c>
      <c r="BA59" s="1" cm="1">
        <f t="array" aca="1" ref="BA59" ca="1">INDIRECT(ADDRESS($B59,BA$50+$A59,1,1,$D59))</f>
        <v>5</v>
      </c>
      <c r="BB59" s="1" cm="1">
        <f t="array" aca="1" ref="BB59" ca="1">INDIRECT(ADDRESS($B59,BB$50+$A59,1,1,$D59))</f>
        <v>5</v>
      </c>
      <c r="BC59" s="1" cm="1">
        <f t="array" aca="1" ref="BC59" ca="1">INDIRECT(ADDRESS($B59,BC$50+$A59,1,1,$D59))</f>
        <v>180</v>
      </c>
      <c r="BD59" s="1" cm="1">
        <f t="array" aca="1" ref="BD59" ca="1">INDIRECT(ADDRESS($B59,BD$50+$A59,1,1,$D59))</f>
        <v>258</v>
      </c>
      <c r="BE59" s="1" cm="1">
        <f t="array" aca="1" ref="BE59" ca="1">INDIRECT(ADDRESS($B59,BE$50+$A59,1,1,$D59))</f>
        <v>265</v>
      </c>
      <c r="BF59" s="1" cm="1">
        <f t="array" aca="1" ref="BF59" ca="1">INDIRECT(ADDRESS($B59,BF$50+$A59,1,1,$D59))</f>
        <v>291</v>
      </c>
      <c r="BG59" s="1" cm="1">
        <f t="array" aca="1" ref="BG59" ca="1">INDIRECT(ADDRESS($B59,BG$50+$A59,1,1,$D59))</f>
        <v>330</v>
      </c>
      <c r="BH59" s="1" cm="1">
        <f t="array" aca="1" ref="BH59" ca="1">INDIRECT(ADDRESS($B59,BH$50+$A59,1,1,$D59))</f>
        <v>422</v>
      </c>
      <c r="BI59" s="1" cm="1">
        <f t="array" aca="1" ref="BI59" ca="1">INDIRECT(ADDRESS($B59,BI$50+$A59,1,1,$D59))</f>
        <v>511</v>
      </c>
      <c r="BJ59" s="1" cm="1">
        <f t="array" aca="1" ref="BJ59" ca="1">INDIRECT(ADDRESS($B59,BJ$50+$A59,1,1,$D59))</f>
        <v>638</v>
      </c>
      <c r="BK59" s="1" cm="1">
        <f t="array" aca="1" ref="BK59" ca="1">INDIRECT(ADDRESS($B59,BK$50+$A59,1,1,$D59))</f>
        <v>834</v>
      </c>
      <c r="BL59" s="1" cm="1">
        <f t="array" aca="1" ref="BL59" ca="1">INDIRECT(ADDRESS($B59,BL$50+$A59,1,1,$D59))</f>
        <v>918</v>
      </c>
      <c r="BM59" s="1" cm="1">
        <f t="array" aca="1" ref="BM59" ca="1">INDIRECT(ADDRESS($B59,BM$50+$A59,1,1,$D59))</f>
        <v>939</v>
      </c>
      <c r="BN59" s="1" cm="1">
        <f t="array" aca="1" ref="BN59" ca="1">INDIRECT(ADDRESS($B59,BN$50+$A59,1,1,$D59))</f>
        <v>1165</v>
      </c>
      <c r="BO59" s="1" cm="1">
        <f t="array" aca="1" ref="BO59" ca="1">INDIRECT(ADDRESS($B59,BO$50+$A59,1,1,$D59))</f>
        <v>1211</v>
      </c>
      <c r="BP59" s="1" cm="1">
        <f t="array" aca="1" ref="BP59" ca="1">INDIRECT(ADDRESS($B59,BP$50+$A59,1,1,$D59))</f>
        <v>1354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26</v>
      </c>
      <c r="C60" s="1" t="str">
        <f>C9</f>
        <v>Switzerland Vaud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23</v>
      </c>
      <c r="AX60" s="1" cm="1">
        <f t="array" aca="1" ref="AX60" ca="1">INDIRECT(ADDRESS($B60,AX$50+$A60,1,1,$D60))</f>
        <v>30</v>
      </c>
      <c r="AY60" s="1" cm="1">
        <f t="array" aca="1" ref="AY60" ca="1">INDIRECT(ADDRESS($B60,AY$50+$A60,1,1,$D60))</f>
        <v>40</v>
      </c>
      <c r="AZ60" s="1" cm="1">
        <f t="array" aca="1" ref="AZ60" ca="1">INDIRECT(ADDRESS($B60,AZ$50+$A60,1,1,$D60))</f>
        <v>51</v>
      </c>
      <c r="BA60" s="1" cm="1">
        <f t="array" aca="1" ref="BA60" ca="1">INDIRECT(ADDRESS($B60,BA$50+$A60,1,1,$D60))</f>
        <v>77</v>
      </c>
      <c r="BB60" s="1" cm="1">
        <f t="array" aca="1" ref="BB60" ca="1">INDIRECT(ADDRESS($B60,BB$50+$A60,1,1,$D60))</f>
        <v>108</v>
      </c>
      <c r="BC60" s="1" cm="1">
        <f t="array" aca="1" ref="BC60" ca="1">INDIRECT(ADDRESS($B60,BC$50+$A60,1,1,$D60))</f>
        <v>156</v>
      </c>
      <c r="BD60" s="1" cm="1">
        <f t="array" aca="1" ref="BD60" ca="1">INDIRECT(ADDRESS($B60,BD$50+$A60,1,1,$D60))</f>
        <v>204</v>
      </c>
      <c r="BE60" s="1" cm="1">
        <f t="array" aca="1" ref="BE60" ca="1">INDIRECT(ADDRESS($B60,BE$50+$A60,1,1,$D60))</f>
        <v>350</v>
      </c>
      <c r="BF60" s="1" cm="1">
        <f t="array" aca="1" ref="BF60" ca="1">INDIRECT(ADDRESS($B60,BF$50+$A60,1,1,$D60))</f>
        <v>406</v>
      </c>
      <c r="BG60" s="1" cm="1">
        <f t="array" aca="1" ref="BG60" ca="1">INDIRECT(ADDRESS($B60,BG$50+$A60,1,1,$D60))</f>
        <v>508</v>
      </c>
      <c r="BH60" s="1" cm="1">
        <f t="array" aca="1" ref="BH60" ca="1">INDIRECT(ADDRESS($B60,BH$50+$A60,1,1,$D60))</f>
        <v>608</v>
      </c>
      <c r="BI60" s="1" cm="1">
        <f t="array" aca="1" ref="BI60" ca="1">INDIRECT(ADDRESS($B60,BI$50+$A60,1,1,$D60))</f>
        <v>796</v>
      </c>
      <c r="BJ60" s="1" cm="1">
        <f t="array" aca="1" ref="BJ60" ca="1">INDIRECT(ADDRESS($B60,BJ$50+$A60,1,1,$D60))</f>
        <v>1212</v>
      </c>
      <c r="BK60" s="1" cm="1">
        <f t="array" aca="1" ref="BK60" ca="1">INDIRECT(ADDRESS($B60,BK$50+$A60,1,1,$D60))</f>
        <v>1432</v>
      </c>
      <c r="BL60" s="1" cm="1">
        <f t="array" aca="1" ref="BL60" ca="1">INDIRECT(ADDRESS($B60,BL$50+$A60,1,1,$D60))</f>
        <v>1676</v>
      </c>
      <c r="BM60" s="1" cm="1">
        <f t="array" aca="1" ref="BM60" ca="1">INDIRECT(ADDRESS($B60,BM$50+$A60,1,1,$D60))</f>
        <v>1782</v>
      </c>
      <c r="BN60" s="1" cm="1">
        <f t="array" aca="1" ref="BN60" ca="1">INDIRECT(ADDRESS($B60,BN$50+$A60,1,1,$D60))</f>
        <v>1822</v>
      </c>
      <c r="BO60" s="1" cm="1">
        <f t="array" aca="1" ref="BO60" ca="1">INDIRECT(ADDRESS($B60,BO$50+$A60,1,1,$D60))</f>
        <v>2162</v>
      </c>
      <c r="BP60" s="1" cm="1">
        <f t="array" aca="1" ref="BP60" ca="1">INDIRECT(ADDRESS($B60,BP$50+$A60,1,1,$D60))</f>
        <v>2215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28</v>
      </c>
      <c r="C61" s="1" t="str">
        <f>C10</f>
        <v>Switzerland Zurich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0</v>
      </c>
      <c r="AN61" s="1" cm="1">
        <f t="array" aca="1" ref="AN61" ca="1">INDIRECT(ADDRESS($B61,AN$50+$A61,1,1,$D61))</f>
        <v>0</v>
      </c>
      <c r="AO61" s="1" cm="1">
        <f t="array" aca="1" ref="AO61" ca="1">INDIRECT(ADDRESS($B61,AO$50+$A61,1,1,$D61))</f>
        <v>1</v>
      </c>
      <c r="AP61" s="1" cm="1">
        <f t="array" aca="1" ref="AP61" ca="1">INDIRECT(ADDRESS($B61,AP$50+$A61,1,1,$D61))</f>
        <v>2</v>
      </c>
      <c r="AQ61" s="1" cm="1">
        <f t="array" aca="1" ref="AQ61" ca="1">INDIRECT(ADDRESS($B61,AQ$50+$A61,1,1,$D61))</f>
        <v>2</v>
      </c>
      <c r="AR61" s="1" cm="1">
        <f t="array" aca="1" ref="AR61" ca="1">INDIRECT(ADDRESS($B61,AR$50+$A61,1,1,$D61))</f>
        <v>2</v>
      </c>
      <c r="AS61" s="1" cm="1">
        <f t="array" aca="1" ref="AS61" ca="1">INDIRECT(ADDRESS($B61,AS$50+$A61,1,1,$D61))</f>
        <v>2</v>
      </c>
      <c r="AT61" s="1" cm="1">
        <f t="array" aca="1" ref="AT61" ca="1">INDIRECT(ADDRESS($B61,AT$50+$A61,1,1,$D61))</f>
        <v>9</v>
      </c>
      <c r="AU61" s="1" cm="1">
        <f t="array" aca="1" ref="AU61" ca="1">INDIRECT(ADDRESS($B61,AU$50+$A61,1,1,$D61))</f>
        <v>9</v>
      </c>
      <c r="AV61" s="1" cm="1">
        <f t="array" aca="1" ref="AV61" ca="1">INDIRECT(ADDRESS($B61,AV$50+$A61,1,1,$D61))</f>
        <v>19</v>
      </c>
      <c r="AW61" s="1" cm="1">
        <f t="array" aca="1" ref="AW61" ca="1">INDIRECT(ADDRESS($B61,AW$50+$A61,1,1,$D61))</f>
        <v>26</v>
      </c>
      <c r="AX61" s="1" cm="1">
        <f t="array" aca="1" ref="AX61" ca="1">INDIRECT(ADDRESS($B61,AX$50+$A61,1,1,$D61))</f>
        <v>30</v>
      </c>
      <c r="AY61" s="1" cm="1">
        <f t="array" aca="1" ref="AY61" ca="1">INDIRECT(ADDRESS($B61,AY$50+$A61,1,1,$D61))</f>
        <v>37</v>
      </c>
      <c r="AZ61" s="1" cm="1">
        <f t="array" aca="1" ref="AZ61" ca="1">INDIRECT(ADDRESS($B61,AZ$50+$A61,1,1,$D61))</f>
        <v>40</v>
      </c>
      <c r="BA61" s="1" cm="1">
        <f t="array" aca="1" ref="BA61" ca="1">INDIRECT(ADDRESS($B61,BA$50+$A61,1,1,$D61))</f>
        <v>49</v>
      </c>
      <c r="BB61" s="1" cm="1">
        <f t="array" aca="1" ref="BB61" ca="1">INDIRECT(ADDRESS($B61,BB$50+$A61,1,1,$D61))</f>
        <v>59</v>
      </c>
      <c r="BC61" s="1" cm="1">
        <f t="array" aca="1" ref="BC61" ca="1">INDIRECT(ADDRESS($B61,BC$50+$A61,1,1,$D61))</f>
        <v>92</v>
      </c>
      <c r="BD61" s="1" cm="1">
        <f t="array" aca="1" ref="BD61" ca="1">INDIRECT(ADDRESS($B61,BD$50+$A61,1,1,$D61))</f>
        <v>140</v>
      </c>
      <c r="BE61" s="1" cm="1">
        <f t="array" aca="1" ref="BE61" ca="1">INDIRECT(ADDRESS($B61,BE$50+$A61,1,1,$D61))</f>
        <v>140</v>
      </c>
      <c r="BF61" s="1" cm="1">
        <f t="array" aca="1" ref="BF61" ca="1">INDIRECT(ADDRESS($B61,BF$50+$A61,1,1,$D61))</f>
        <v>140</v>
      </c>
      <c r="BG61" s="1" cm="1">
        <f t="array" aca="1" ref="BG61" ca="1">INDIRECT(ADDRESS($B61,BG$50+$A61,1,1,$D61))</f>
        <v>270</v>
      </c>
      <c r="BH61" s="1" cm="1">
        <f t="array" aca="1" ref="BH61" ca="1">INDIRECT(ADDRESS($B61,BH$50+$A61,1,1,$D61))</f>
        <v>294</v>
      </c>
      <c r="BI61" s="1" cm="1">
        <f t="array" aca="1" ref="BI61" ca="1">INDIRECT(ADDRESS($B61,BI$50+$A61,1,1,$D61))</f>
        <v>424</v>
      </c>
      <c r="BJ61" s="1" cm="1">
        <f t="array" aca="1" ref="BJ61" ca="1">INDIRECT(ADDRESS($B61,BJ$50+$A61,1,1,$D61))</f>
        <v>526</v>
      </c>
      <c r="BK61" s="1" cm="1">
        <f t="array" aca="1" ref="BK61" ca="1">INDIRECT(ADDRESS($B61,BK$50+$A61,1,1,$D61))</f>
        <v>773</v>
      </c>
      <c r="BL61" s="1" cm="1">
        <f t="array" aca="1" ref="BL61" ca="1">INDIRECT(ADDRESS($B61,BL$50+$A61,1,1,$D61))</f>
        <v>773</v>
      </c>
      <c r="BM61" s="1" cm="1">
        <f t="array" aca="1" ref="BM61" ca="1">INDIRECT(ADDRESS($B61,BM$50+$A61,1,1,$D61))</f>
        <v>773</v>
      </c>
      <c r="BN61" s="1" cm="1">
        <f t="array" aca="1" ref="BN61" ca="1">INDIRECT(ADDRESS($B61,BN$50+$A61,1,1,$D61))</f>
        <v>1068</v>
      </c>
      <c r="BO61" s="1" cm="1">
        <f t="array" aca="1" ref="BO61" ca="1">INDIRECT(ADDRESS($B61,BO$50+$A61,1,1,$D61))</f>
        <v>1211</v>
      </c>
      <c r="BP61" s="1" cm="1">
        <f t="array" aca="1" ref="BP61" ca="1">INDIRECT(ADDRESS($B61,BP$50+$A61,1,1,$D61))</f>
        <v>1363</v>
      </c>
      <c r="BQ61" s="1" cm="1">
        <f t="array" aca="1" ref="BQ61" ca="1">INDIRECT(ADDRESS($B61,BQ$50+$A61,1,1,$D61))</f>
        <v>0</v>
      </c>
      <c r="BR61" s="1" cm="1">
        <f t="array" aca="1" ref="BR61" ca="1">INDIRECT(ADDRESS($B61,BR$50+$A61,1,1,$D61))</f>
        <v>0</v>
      </c>
      <c r="BS61" s="1" cm="1">
        <f t="array" aca="1" ref="BS61" ca="1">INDIRECT(ADDRESS($B61,BS$50+$A61,1,1,$D61))</f>
        <v>0</v>
      </c>
      <c r="BT61" s="1" cm="1">
        <f t="array" aca="1" ref="BT61" ca="1">INDIRECT(ADDRESS($B61,BT$50+$A61,1,1,$D61))</f>
        <v>0</v>
      </c>
      <c r="BU61" s="1" cm="1">
        <f t="array" aca="1" ref="BU61" ca="1">INDIRECT(ADDRESS($B61,BU$50+$A61,1,1,$D61))</f>
        <v>0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10</v>
      </c>
      <c r="C62" s="1" t="str">
        <f>C11</f>
        <v>Switzerland Geneva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1</v>
      </c>
      <c r="AO62" s="1" cm="1">
        <f t="array" aca="1" ref="AO62" ca="1">INDIRECT(ADDRESS($B62,AO$50+$A62,1,1,$D62))</f>
        <v>1</v>
      </c>
      <c r="AP62" s="1" cm="1">
        <f t="array" aca="1" ref="AP62" ca="1">INDIRECT(ADDRESS($B62,AP$50+$A62,1,1,$D62))</f>
        <v>3</v>
      </c>
      <c r="AQ62" s="1" cm="1">
        <f t="array" aca="1" ref="AQ62" ca="1">INDIRECT(ADDRESS($B62,AQ$50+$A62,1,1,$D62))</f>
        <v>5</v>
      </c>
      <c r="AR62" s="1" cm="1">
        <f t="array" aca="1" ref="AR62" ca="1">INDIRECT(ADDRESS($B62,AR$50+$A62,1,1,$D62))</f>
        <v>7</v>
      </c>
      <c r="AS62" s="1" cm="1">
        <f t="array" aca="1" ref="AS62" ca="1">INDIRECT(ADDRESS($B62,AS$50+$A62,1,1,$D62))</f>
        <v>7</v>
      </c>
      <c r="AT62" s="1" cm="1">
        <f t="array" aca="1" ref="AT62" ca="1">INDIRECT(ADDRESS($B62,AT$50+$A62,1,1,$D62))</f>
        <v>9</v>
      </c>
      <c r="AU62" s="1" cm="1">
        <f t="array" aca="1" ref="AU62" ca="1">INDIRECT(ADDRESS($B62,AU$50+$A62,1,1,$D62))</f>
        <v>9</v>
      </c>
      <c r="AV62" s="1" cm="1">
        <f t="array" aca="1" ref="AV62" ca="1">INDIRECT(ADDRESS($B62,AV$50+$A62,1,1,$D62))</f>
        <v>13</v>
      </c>
      <c r="AW62" s="1" cm="1">
        <f t="array" aca="1" ref="AW62" ca="1">INDIRECT(ADDRESS($B62,AW$50+$A62,1,1,$D62))</f>
        <v>17</v>
      </c>
      <c r="AX62" s="1" cm="1">
        <f t="array" aca="1" ref="AX62" ca="1">INDIRECT(ADDRESS($B62,AX$50+$A62,1,1,$D62))</f>
        <v>26</v>
      </c>
      <c r="AY62" s="1" cm="1">
        <f t="array" aca="1" ref="AY62" ca="1">INDIRECT(ADDRESS($B62,AY$50+$A62,1,1,$D62))</f>
        <v>35</v>
      </c>
      <c r="AZ62" s="1" cm="1">
        <f t="array" aca="1" ref="AZ62" ca="1">INDIRECT(ADDRESS($B62,AZ$50+$A62,1,1,$D62))</f>
        <v>44</v>
      </c>
      <c r="BA62" s="1" cm="1">
        <f t="array" aca="1" ref="BA62" ca="1">INDIRECT(ADDRESS($B62,BA$50+$A62,1,1,$D62))</f>
        <v>68</v>
      </c>
      <c r="BB62" s="1" cm="1">
        <f t="array" aca="1" ref="BB62" ca="1">INDIRECT(ADDRESS($B62,BB$50+$A62,1,1,$D62))</f>
        <v>79</v>
      </c>
      <c r="BC62" s="1" cm="1">
        <f t="array" aca="1" ref="BC62" ca="1">INDIRECT(ADDRESS($B62,BC$50+$A62,1,1,$D62))</f>
        <v>108</v>
      </c>
      <c r="BD62" s="1" cm="1">
        <f t="array" aca="1" ref="BD62" ca="1">INDIRECT(ADDRESS($B62,BD$50+$A62,1,1,$D62))</f>
        <v>173</v>
      </c>
      <c r="BE62" s="1" cm="1">
        <f t="array" aca="1" ref="BE62" ca="1">INDIRECT(ADDRESS($B62,BE$50+$A62,1,1,$D62))</f>
        <v>282</v>
      </c>
      <c r="BF62" s="1" cm="1">
        <f t="array" aca="1" ref="BF62" ca="1">INDIRECT(ADDRESS($B62,BF$50+$A62,1,1,$D62))</f>
        <v>372</v>
      </c>
      <c r="BG62" s="1" cm="1">
        <f t="array" aca="1" ref="BG62" ca="1">INDIRECT(ADDRESS($B62,BG$50+$A62,1,1,$D62))</f>
        <v>472</v>
      </c>
      <c r="BH62" s="1" cm="1">
        <f t="array" aca="1" ref="BH62" ca="1">INDIRECT(ADDRESS($B62,BH$50+$A62,1,1,$D62))</f>
        <v>619</v>
      </c>
      <c r="BI62" s="1" cm="1">
        <f t="array" aca="1" ref="BI62" ca="1">INDIRECT(ADDRESS($B62,BI$50+$A62,1,1,$D62))</f>
        <v>751</v>
      </c>
      <c r="BJ62" s="1" cm="1">
        <f t="array" aca="1" ref="BJ62" ca="1">INDIRECT(ADDRESS($B62,BJ$50+$A62,1,1,$D62))</f>
        <v>961</v>
      </c>
      <c r="BK62" s="1" cm="1">
        <f t="array" aca="1" ref="BK62" ca="1">INDIRECT(ADDRESS($B62,BK$50+$A62,1,1,$D62))</f>
        <v>1136</v>
      </c>
      <c r="BL62" s="1" cm="1">
        <f t="array" aca="1" ref="BL62" ca="1">INDIRECT(ADDRESS($B62,BL$50+$A62,1,1,$D62))</f>
        <v>1262</v>
      </c>
      <c r="BM62" s="1" cm="1">
        <f t="array" aca="1" ref="BM62" ca="1">INDIRECT(ADDRESS($B62,BM$50+$A62,1,1,$D62))</f>
        <v>1417</v>
      </c>
      <c r="BN62" s="1" cm="1">
        <f t="array" aca="1" ref="BN62" ca="1">INDIRECT(ADDRESS($B62,BN$50+$A62,1,1,$D62))</f>
        <v>1509</v>
      </c>
      <c r="BO62" s="1" cm="1">
        <f t="array" aca="1" ref="BO62" ca="1">INDIRECT(ADDRESS($B62,BO$50+$A62,1,1,$D62))</f>
        <v>1598</v>
      </c>
      <c r="BP62" s="1" cm="1">
        <f t="array" aca="1" ref="BP62" ca="1">INDIRECT(ADDRESS($B62,BP$50+$A62,1,1,$D62))</f>
        <v>1708</v>
      </c>
      <c r="BQ62" s="1" cm="1">
        <f t="array" aca="1" ref="BQ62" ca="1">INDIRECT(ADDRESS($B62,BQ$50+$A62,1,1,$D62))</f>
        <v>0</v>
      </c>
      <c r="BR62" s="1" cm="1">
        <f t="array" aca="1" ref="BR62" ca="1">INDIRECT(ADDRESS($B62,BR$50+$A62,1,1,$D62))</f>
        <v>0</v>
      </c>
      <c r="BS62" s="1" cm="1">
        <f t="array" aca="1" ref="BS62" ca="1">INDIRECT(ADDRESS($B62,BS$50+$A62,1,1,$D62))</f>
        <v>0</v>
      </c>
      <c r="BT62" s="1" cm="1">
        <f t="array" aca="1" ref="BT62" ca="1">INDIRECT(ADDRESS($B62,BT$50+$A62,1,1,$D62))</f>
        <v>0</v>
      </c>
      <c r="BU62" s="1" cm="1">
        <f t="array" aca="1" ref="BU62" ca="1">INDIRECT(ADDRESS($B62,BU$50+$A62,1,1,$D62))</f>
        <v>0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136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cm="1">
        <f t="array" aca="1" ref="BQ64" ca="1">INDIRECT(ADDRESS($B64,BQ$50+$A64,1,1,$C64))</f>
        <v>0</v>
      </c>
      <c r="BR64" s="5" cm="1">
        <f t="array" aca="1" ref="BR64" ca="1">INDIRECT(ADDRESS($B64,BR$50+$A64,1,1,$C64))</f>
        <v>0</v>
      </c>
      <c r="BS64" s="5" cm="1">
        <f t="array" aca="1" ref="BS64" ca="1">INDIRECT(ADDRESS($B64,BS$50+$A64,1,1,$C64))</f>
        <v>0</v>
      </c>
      <c r="BT64" s="5" cm="1">
        <f t="array" aca="1" ref="BT64" ca="1">INDIRECT(ADDRESS($B64,BT$50+$A64,1,1,$C64))</f>
        <v>0</v>
      </c>
      <c r="BU64" s="5" cm="1">
        <f t="array" aca="1" ref="BU64" ca="1">INDIRECT(ADDRESS($B64,BU$50+$A64,1,1,$C64))</f>
        <v>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23</v>
      </c>
      <c r="C65" s="1" t="str">
        <f>C8</f>
        <v>Switzerland Ticino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26</v>
      </c>
      <c r="C66" s="1" t="str">
        <f>C9</f>
        <v>Switzerland Vaud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28</v>
      </c>
      <c r="C67" s="1" t="str">
        <f>C10</f>
        <v>Switzerland Zurich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10</v>
      </c>
      <c r="C68" s="1" t="str">
        <f>C11</f>
        <v>Switzerland Geneva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138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cm="1">
        <f t="array" aca="1" ref="BQ70" ca="1">INDIRECT(ADDRESS($B70,BQ$50+$A70,1,1,$C70))</f>
        <v>0</v>
      </c>
      <c r="BR70" s="5" cm="1">
        <f t="array" aca="1" ref="BR70" ca="1">INDIRECT(ADDRESS($B70,BR$50+$A70,1,1,$C70))</f>
        <v>0</v>
      </c>
      <c r="BS70" s="5" cm="1">
        <f t="array" aca="1" ref="BS70" ca="1">INDIRECT(ADDRESS($B70,BS$50+$A70,1,1,$C70))</f>
        <v>0</v>
      </c>
      <c r="BT70" s="5" cm="1">
        <f t="array" aca="1" ref="BT70" ca="1">INDIRECT(ADDRESS($B70,BT$50+$A70,1,1,$C70))</f>
        <v>0</v>
      </c>
      <c r="BU70" s="5" cm="1">
        <f t="array" aca="1" ref="BU70" ca="1">INDIRECT(ADDRESS($B70,BU$50+$A70,1,1,$C70))</f>
        <v>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23</v>
      </c>
      <c r="C71" s="1" t="str">
        <f>C8</f>
        <v>Switzerland Ticino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0</v>
      </c>
      <c r="BH71" s="1" cm="1">
        <f t="array" aca="1" ref="BH71" ca="1">INDIRECT(ADDRESS($B71,BH$50+$A71,1,1,$D71))</f>
        <v>0</v>
      </c>
      <c r="BI71" s="1" cm="1">
        <f t="array" aca="1" ref="BI71" ca="1">INDIRECT(ADDRESS($B71,BI$50+$A71,1,1,$D71))</f>
        <v>0</v>
      </c>
      <c r="BJ71" s="1" cm="1">
        <f t="array" aca="1" ref="BJ71" ca="1">INDIRECT(ADDRESS($B71,BJ$50+$A71,1,1,$D71))</f>
        <v>0</v>
      </c>
      <c r="BK71" s="1" cm="1">
        <f t="array" aca="1" ref="BK71" ca="1">INDIRECT(ADDRESS($B71,BK$50+$A71,1,1,$D71))</f>
        <v>0</v>
      </c>
      <c r="BL71" s="1" cm="1">
        <f t="array" aca="1" ref="BL71" ca="1">INDIRECT(ADDRESS($B71,BL$50+$A71,1,1,$D71))</f>
        <v>0</v>
      </c>
      <c r="BM71" s="1" cm="1">
        <f t="array" aca="1" ref="BM71" ca="1">INDIRECT(ADDRESS($B71,BM$50+$A71,1,1,$D71))</f>
        <v>0</v>
      </c>
      <c r="BN71" s="1" cm="1">
        <f t="array" aca="1" ref="BN71" ca="1">INDIRECT(ADDRESS($B71,BN$50+$A71,1,1,$D71))</f>
        <v>0</v>
      </c>
      <c r="BO71" s="1" cm="1">
        <f t="array" aca="1" ref="BO71" ca="1">INDIRECT(ADDRESS($B71,BO$50+$A71,1,1,$D71))</f>
        <v>0</v>
      </c>
      <c r="BP71" s="1" cm="1">
        <f t="array" aca="1" ref="BP71" ca="1">INDIRECT(ADDRESS($B71,BP$50+$A71,1,1,$D71))</f>
        <v>0</v>
      </c>
      <c r="BQ71" s="1" cm="1">
        <f t="array" aca="1" ref="BQ71" ca="1">INDIRECT(ADDRESS($B71,BQ$50+$A71,1,1,$D71))</f>
        <v>0</v>
      </c>
      <c r="BR71" s="1" cm="1">
        <f t="array" aca="1" ref="BR71" ca="1">INDIRECT(ADDRESS($B71,BR$50+$A71,1,1,$D71))</f>
        <v>0</v>
      </c>
      <c r="BS71" s="1" cm="1">
        <f t="array" aca="1" ref="BS71" ca="1">INDIRECT(ADDRESS($B71,BS$50+$A71,1,1,$D71))</f>
        <v>0</v>
      </c>
      <c r="BT71" s="1" cm="1">
        <f t="array" aca="1" ref="BT71" ca="1">INDIRECT(ADDRESS($B71,BT$50+$A71,1,1,$D71))</f>
        <v>0</v>
      </c>
      <c r="BU71" s="1" cm="1">
        <f t="array" aca="1" ref="BU71" ca="1">INDIRECT(ADDRESS($B71,BU$50+$A71,1,1,$D71))</f>
        <v>0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26</v>
      </c>
      <c r="C72" s="1" t="str">
        <f>C9</f>
        <v>Switzerland Vaud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0</v>
      </c>
      <c r="BK72" s="1" cm="1">
        <f t="array" aca="1" ref="BK72" ca="1">INDIRECT(ADDRESS($B72,BK$50+$A72,1,1,$D72))</f>
        <v>11</v>
      </c>
      <c r="BL72" s="1" cm="1">
        <f t="array" aca="1" ref="BL72" ca="1">INDIRECT(ADDRESS($B72,BL$50+$A72,1,1,$D72))</f>
        <v>15</v>
      </c>
      <c r="BM72" s="1" cm="1">
        <f t="array" aca="1" ref="BM72" ca="1">INDIRECT(ADDRESS($B72,BM$50+$A72,1,1,$D72))</f>
        <v>24</v>
      </c>
      <c r="BN72" s="1" cm="1">
        <f t="array" aca="1" ref="BN72" ca="1">INDIRECT(ADDRESS($B72,BN$50+$A72,1,1,$D72))</f>
        <v>34</v>
      </c>
      <c r="BO72" s="1" cm="1">
        <f t="array" aca="1" ref="BO72" ca="1">INDIRECT(ADDRESS($B72,BO$50+$A72,1,1,$D72))</f>
        <v>56</v>
      </c>
      <c r="BP72" s="1" cm="1">
        <f t="array" aca="1" ref="BP72" ca="1">INDIRECT(ADDRESS($B72,BP$50+$A72,1,1,$D72))</f>
        <v>87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28</v>
      </c>
      <c r="C73" s="1" t="str">
        <f>C10</f>
        <v>Switzerland Zurich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1</v>
      </c>
      <c r="BD73" s="1" cm="1">
        <f t="array" aca="1" ref="BD73" ca="1">INDIRECT(ADDRESS($B73,BD$50+$A73,1,1,$D73))</f>
        <v>2</v>
      </c>
      <c r="BE73" s="1" cm="1">
        <f t="array" aca="1" ref="BE73" ca="1">INDIRECT(ADDRESS($B73,BE$50+$A73,1,1,$D73))</f>
        <v>2</v>
      </c>
      <c r="BF73" s="1" cm="1">
        <f t="array" aca="1" ref="BF73" ca="1">INDIRECT(ADDRESS($B73,BF$50+$A73,1,1,$D73))</f>
        <v>2</v>
      </c>
      <c r="BG73" s="1" cm="1">
        <f t="array" aca="1" ref="BG73" ca="1">INDIRECT(ADDRESS($B73,BG$50+$A73,1,1,$D73))</f>
        <v>1</v>
      </c>
      <c r="BH73" s="1" cm="1">
        <f t="array" aca="1" ref="BH73" ca="1">INDIRECT(ADDRESS($B73,BH$50+$A73,1,1,$D73))</f>
        <v>8</v>
      </c>
      <c r="BI73" s="1" cm="1">
        <f t="array" aca="1" ref="BI73" ca="1">INDIRECT(ADDRESS($B73,BI$50+$A73,1,1,$D73))</f>
        <v>8</v>
      </c>
      <c r="BJ73" s="1" cm="1">
        <f t="array" aca="1" ref="BJ73" ca="1">INDIRECT(ADDRESS($B73,BJ$50+$A73,1,1,$D73))</f>
        <v>16</v>
      </c>
      <c r="BK73" s="1" cm="1">
        <f t="array" aca="1" ref="BK73" ca="1">INDIRECT(ADDRESS($B73,BK$50+$A73,1,1,$D73))</f>
        <v>23</v>
      </c>
      <c r="BL73" s="1" cm="1">
        <f t="array" aca="1" ref="BL73" ca="1">INDIRECT(ADDRESS($B73,BL$50+$A73,1,1,$D73))</f>
        <v>27</v>
      </c>
      <c r="BM73" s="1" cm="1">
        <f t="array" aca="1" ref="BM73" ca="1">INDIRECT(ADDRESS($B73,BM$50+$A73,1,1,$D73))</f>
        <v>34</v>
      </c>
      <c r="BN73" s="1" cm="1">
        <f t="array" aca="1" ref="BN73" ca="1">INDIRECT(ADDRESS($B73,BN$50+$A73,1,1,$D73))</f>
        <v>35</v>
      </c>
      <c r="BO73" s="1" cm="1">
        <f t="array" aca="1" ref="BO73" ca="1">INDIRECT(ADDRESS($B73,BO$50+$A73,1,1,$D73))</f>
        <v>44</v>
      </c>
      <c r="BP73" s="1" cm="1">
        <f t="array" aca="1" ref="BP73" ca="1">INDIRECT(ADDRESS($B73,BP$50+$A73,1,1,$D73))</f>
        <v>52</v>
      </c>
      <c r="BQ73" s="1" cm="1">
        <f t="array" aca="1" ref="BQ73" ca="1">INDIRECT(ADDRESS($B73,BQ$50+$A73,1,1,$D73))</f>
        <v>0</v>
      </c>
      <c r="BR73" s="1" cm="1">
        <f t="array" aca="1" ref="BR73" ca="1">INDIRECT(ADDRESS($B73,BR$50+$A73,1,1,$D73))</f>
        <v>0</v>
      </c>
      <c r="BS73" s="1" cm="1">
        <f t="array" aca="1" ref="BS73" ca="1">INDIRECT(ADDRESS($B73,BS$50+$A73,1,1,$D73))</f>
        <v>0</v>
      </c>
      <c r="BT73" s="1" cm="1">
        <f t="array" aca="1" ref="BT73" ca="1">INDIRECT(ADDRESS($B73,BT$50+$A73,1,1,$D73))</f>
        <v>0</v>
      </c>
      <c r="BU73" s="1" cm="1">
        <f t="array" aca="1" ref="BU73" ca="1">INDIRECT(ADDRESS($B73,BU$50+$A73,1,1,$D73))</f>
        <v>0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10</v>
      </c>
      <c r="C74" s="1" t="str">
        <f>C11</f>
        <v>Switzerland Geneva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1</v>
      </c>
      <c r="BE74" s="1" cm="1">
        <f t="array" aca="1" ref="BE74" ca="1">INDIRECT(ADDRESS($B74,BE$50+$A74,1,1,$D74))</f>
        <v>3</v>
      </c>
      <c r="BF74" s="1" cm="1">
        <f t="array" aca="1" ref="BF74" ca="1">INDIRECT(ADDRESS($B74,BF$50+$A74,1,1,$D74))</f>
        <v>3</v>
      </c>
      <c r="BG74" s="1" cm="1">
        <f t="array" aca="1" ref="BG74" ca="1">INDIRECT(ADDRESS($B74,BG$50+$A74,1,1,$D74))</f>
        <v>3</v>
      </c>
      <c r="BH74" s="1" cm="1">
        <f t="array" aca="1" ref="BH74" ca="1">INDIRECT(ADDRESS($B74,BH$50+$A74,1,1,$D74))</f>
        <v>5</v>
      </c>
      <c r="BI74" s="1" cm="1">
        <f t="array" aca="1" ref="BI74" ca="1">INDIRECT(ADDRESS($B74,BI$50+$A74,1,1,$D74))</f>
        <v>4</v>
      </c>
      <c r="BJ74" s="1" cm="1">
        <f t="array" aca="1" ref="BJ74" ca="1">INDIRECT(ADDRESS($B74,BJ$50+$A74,1,1,$D74))</f>
        <v>8</v>
      </c>
      <c r="BK74" s="1" cm="1">
        <f t="array" aca="1" ref="BK74" ca="1">INDIRECT(ADDRESS($B74,BK$50+$A74,1,1,$D74))</f>
        <v>9</v>
      </c>
      <c r="BL74" s="1" cm="1">
        <f t="array" aca="1" ref="BL74" ca="1">INDIRECT(ADDRESS($B74,BL$50+$A74,1,1,$D74))</f>
        <v>16</v>
      </c>
      <c r="BM74" s="1" cm="1">
        <f t="array" aca="1" ref="BM74" ca="1">INDIRECT(ADDRESS($B74,BM$50+$A74,1,1,$D74))</f>
        <v>26</v>
      </c>
      <c r="BN74" s="1" cm="1">
        <f t="array" aca="1" ref="BN74" ca="1">INDIRECT(ADDRESS($B74,BN$50+$A74,1,1,$D74))</f>
        <v>35</v>
      </c>
      <c r="BO74" s="1" cm="1">
        <f t="array" aca="1" ref="BO74" ca="1">INDIRECT(ADDRESS($B74,BO$50+$A74,1,1,$D74))</f>
        <v>56</v>
      </c>
      <c r="BP74" s="1" cm="1">
        <f t="array" aca="1" ref="BP74" ca="1">INDIRECT(ADDRESS($B74,BP$50+$A74,1,1,$D74))</f>
        <v>64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165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cm="1">
        <f t="array" aca="1" ref="BQ76" ca="1">INDIRECT(ADDRESS($B76,BQ$50+$A76,1,1,$C76))</f>
        <v>0</v>
      </c>
      <c r="BR76" s="5" cm="1">
        <f t="array" aca="1" ref="BR76" ca="1">INDIRECT(ADDRESS($B76,BR$50+$A76,1,1,$C76))</f>
        <v>0</v>
      </c>
      <c r="BS76" s="5" cm="1">
        <f t="array" aca="1" ref="BS76" ca="1">INDIRECT(ADDRESS($B76,BS$50+$A76,1,1,$C76))</f>
        <v>0</v>
      </c>
      <c r="BT76" s="5" cm="1">
        <f t="array" aca="1" ref="BT76" ca="1">INDIRECT(ADDRESS($B76,BT$50+$A76,1,1,$C76))</f>
        <v>0</v>
      </c>
      <c r="BU76" s="5" cm="1">
        <f t="array" aca="1" ref="BU76" ca="1">INDIRECT(ADDRESS($B76,BU$50+$A76,1,1,$C76))</f>
        <v>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23</v>
      </c>
      <c r="C77" s="1" t="str">
        <f>C8</f>
        <v>Switzerland Ticino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65</v>
      </c>
      <c r="BE77" s="1" cm="1">
        <f t="array" aca="1" ref="BE77" ca="1">INDIRECT(ADDRESS($B77,BE$50+$A77,1,1,$D77))</f>
        <v>65</v>
      </c>
      <c r="BF77" s="1" cm="1">
        <f t="array" aca="1" ref="BF77" ca="1">INDIRECT(ADDRESS($B77,BF$50+$A77,1,1,$D77))</f>
        <v>65</v>
      </c>
      <c r="BG77" s="1" cm="1">
        <f t="array" aca="1" ref="BG77" ca="1">INDIRECT(ADDRESS($B77,BG$50+$A77,1,1,$D77))</f>
        <v>65</v>
      </c>
      <c r="BH77" s="1" cm="1">
        <f t="array" aca="1" ref="BH77" ca="1">INDIRECT(ADDRESS($B77,BH$50+$A77,1,1,$D77))</f>
        <v>65</v>
      </c>
      <c r="BI77" s="1" cm="1">
        <f t="array" aca="1" ref="BI77" ca="1">INDIRECT(ADDRESS($B77,BI$50+$A77,1,1,$D77))</f>
        <v>65</v>
      </c>
      <c r="BJ77" s="1" cm="1">
        <f t="array" aca="1" ref="BJ77" ca="1">INDIRECT(ADDRESS($B77,BJ$50+$A77,1,1,$D77))</f>
        <v>155</v>
      </c>
      <c r="BK77" s="1" cm="1">
        <f t="array" aca="1" ref="BK77" ca="1">INDIRECT(ADDRESS($B77,BK$50+$A77,1,1,$D77))</f>
        <v>168</v>
      </c>
      <c r="BL77" s="1" cm="1">
        <f t="array" aca="1" ref="BL77" ca="1">INDIRECT(ADDRESS($B77,BL$50+$A77,1,1,$D77))</f>
        <v>184</v>
      </c>
      <c r="BM77" s="1" cm="1">
        <f t="array" aca="1" ref="BM77" ca="1">INDIRECT(ADDRESS($B77,BM$50+$A77,1,1,$D77))</f>
        <v>246</v>
      </c>
      <c r="BN77" s="1" cm="1">
        <f t="array" aca="1" ref="BN77" ca="1">INDIRECT(ADDRESS($B77,BN$50+$A77,1,1,$D77))</f>
        <v>261</v>
      </c>
      <c r="BO77" s="1" cm="1">
        <f t="array" aca="1" ref="BO77" ca="1">INDIRECT(ADDRESS($B77,BO$50+$A77,1,1,$D77))</f>
        <v>285</v>
      </c>
      <c r="BP77" s="1" cm="1">
        <f t="array" aca="1" ref="BP77" ca="1">INDIRECT(ADDRESS($B77,BP$50+$A77,1,1,$D77))</f>
        <v>306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26</v>
      </c>
      <c r="C78" s="1" t="str">
        <f t="shared" ref="C78:C80" si="9">C9</f>
        <v>Switzerland Vaud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4</v>
      </c>
      <c r="AQ78" s="1" cm="1">
        <f t="array" aca="1" ref="AQ78" ca="1">INDIRECT(ADDRESS($B78,AQ$50+$A78,1,1,$D78))</f>
        <v>4</v>
      </c>
      <c r="AR78" s="1" cm="1">
        <f t="array" aca="1" ref="AR78" ca="1">INDIRECT(ADDRESS($B78,AR$50+$A78,1,1,$D78))</f>
        <v>4</v>
      </c>
      <c r="AS78" s="1" cm="1">
        <f t="array" aca="1" ref="AS78" ca="1">INDIRECT(ADDRESS($B78,AS$50+$A78,1,1,$D78))</f>
        <v>6</v>
      </c>
      <c r="AT78" s="1" cm="1">
        <f t="array" aca="1" ref="AT78" ca="1">INDIRECT(ADDRESS($B78,AT$50+$A78,1,1,$D78))</f>
        <v>8</v>
      </c>
      <c r="AU78" s="1" cm="1">
        <f t="array" aca="1" ref="AU78" ca="1">INDIRECT(ADDRESS($B78,AU$50+$A78,1,1,$D78))</f>
        <v>11</v>
      </c>
      <c r="AV78" s="1" cm="1">
        <f t="array" aca="1" ref="AV78" ca="1">INDIRECT(ADDRESS($B78,AV$50+$A78,1,1,$D78))</f>
        <v>14</v>
      </c>
      <c r="AW78" s="1" cm="1">
        <f t="array" aca="1" ref="AW78" ca="1">INDIRECT(ADDRESS($B78,AW$50+$A78,1,1,$D78))</f>
        <v>15</v>
      </c>
      <c r="AX78" s="1" cm="1">
        <f t="array" aca="1" ref="AX78" ca="1">INDIRECT(ADDRESS($B78,AX$50+$A78,1,1,$D78))</f>
        <v>16</v>
      </c>
      <c r="AY78" s="1" cm="1">
        <f t="array" aca="1" ref="AY78" ca="1">INDIRECT(ADDRESS($B78,AY$50+$A78,1,1,$D78))</f>
        <v>22</v>
      </c>
      <c r="AZ78" s="1" cm="1">
        <f t="array" aca="1" ref="AZ78" ca="1">INDIRECT(ADDRESS($B78,AZ$50+$A78,1,1,$D78))</f>
        <v>29</v>
      </c>
      <c r="BA78" s="1" cm="1">
        <f t="array" aca="1" ref="BA78" ca="1">INDIRECT(ADDRESS($B78,BA$50+$A78,1,1,$D78))</f>
        <v>36</v>
      </c>
      <c r="BB78" s="1" cm="1">
        <f t="array" aca="1" ref="BB78" ca="1">INDIRECT(ADDRESS($B78,BB$50+$A78,1,1,$D78))</f>
        <v>38</v>
      </c>
      <c r="BC78" s="1" cm="1">
        <f t="array" aca="1" ref="BC78" ca="1">INDIRECT(ADDRESS($B78,BC$50+$A78,1,1,$D78))</f>
        <v>43</v>
      </c>
      <c r="BD78" s="1" cm="1">
        <f t="array" aca="1" ref="BD78" ca="1">INDIRECT(ADDRESS($B78,BD$50+$A78,1,1,$D78))</f>
        <v>52</v>
      </c>
      <c r="BE78" s="1" cm="1">
        <f t="array" aca="1" ref="BE78" ca="1">INDIRECT(ADDRESS($B78,BE$50+$A78,1,1,$D78))</f>
        <v>43</v>
      </c>
      <c r="BF78" s="1" cm="1">
        <f t="array" aca="1" ref="BF78" ca="1">INDIRECT(ADDRESS($B78,BF$50+$A78,1,1,$D78))</f>
        <v>62</v>
      </c>
      <c r="BG78" s="1" cm="1">
        <f t="array" aca="1" ref="BG78" ca="1">INDIRECT(ADDRESS($B78,BG$50+$A78,1,1,$D78))</f>
        <v>66</v>
      </c>
      <c r="BH78" s="1" cm="1">
        <f t="array" aca="1" ref="BH78" ca="1">INDIRECT(ADDRESS($B78,BH$50+$A78,1,1,$D78))</f>
        <v>95</v>
      </c>
      <c r="BI78" s="1" cm="1">
        <f t="array" aca="1" ref="BI78" ca="1">INDIRECT(ADDRESS($B78,BI$50+$A78,1,1,$D78))</f>
        <v>128</v>
      </c>
      <c r="BJ78" s="1" cm="1">
        <f t="array" aca="1" ref="BJ78" ca="1">INDIRECT(ADDRESS($B78,BJ$50+$A78,1,1,$D78))</f>
        <v>140</v>
      </c>
      <c r="BK78" s="1" cm="1">
        <f t="array" aca="1" ref="BK78" ca="1">INDIRECT(ADDRESS($B78,BK$50+$A78,1,1,$D78))</f>
        <v>152</v>
      </c>
      <c r="BL78" s="1" cm="1">
        <f t="array" aca="1" ref="BL78" ca="1">INDIRECT(ADDRESS($B78,BL$50+$A78,1,1,$D78))</f>
        <v>175</v>
      </c>
      <c r="BM78" s="1" cm="1">
        <f t="array" aca="1" ref="BM78" ca="1">INDIRECT(ADDRESS($B78,BM$50+$A78,1,1,$D78))</f>
        <v>203</v>
      </c>
      <c r="BN78" s="1" cm="1">
        <f t="array" aca="1" ref="BN78" ca="1">INDIRECT(ADDRESS($B78,BN$50+$A78,1,1,$D78))</f>
        <v>223</v>
      </c>
      <c r="BO78" s="1" cm="1">
        <f t="array" aca="1" ref="BO78" ca="1">INDIRECT(ADDRESS($B78,BO$50+$A78,1,1,$D78))</f>
        <v>266</v>
      </c>
      <c r="BP78" s="1" cm="1">
        <f t="array" aca="1" ref="BP78" ca="1">INDIRECT(ADDRESS($B78,BP$50+$A78,1,1,$D78))</f>
        <v>291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28</v>
      </c>
      <c r="C79" s="1" t="str">
        <f t="shared" si="9"/>
        <v>Switzerland Zurich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10</v>
      </c>
      <c r="C80" s="1" t="str">
        <f t="shared" si="9"/>
        <v>Switzerland Geneva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1</v>
      </c>
      <c r="AO80" s="1" cm="1">
        <f t="array" aca="1" ref="AO80" ca="1">INDIRECT(ADDRESS($B80,AO$50+$A80,1,1,$D80))</f>
        <v>1</v>
      </c>
      <c r="AP80" s="1" cm="1">
        <f t="array" aca="1" ref="AP80" ca="1">INDIRECT(ADDRESS($B80,AP$50+$A80,1,1,$D80))</f>
        <v>2</v>
      </c>
      <c r="AQ80" s="1" cm="1">
        <f t="array" aca="1" ref="AQ80" ca="1">INDIRECT(ADDRESS($B80,AQ$50+$A80,1,1,$D80))</f>
        <v>3</v>
      </c>
      <c r="AR80" s="1" cm="1">
        <f t="array" aca="1" ref="AR80" ca="1">INDIRECT(ADDRESS($B80,AR$50+$A80,1,1,$D80))</f>
        <v>3</v>
      </c>
      <c r="AS80" s="1" cm="1">
        <f t="array" aca="1" ref="AS80" ca="1">INDIRECT(ADDRESS($B80,AS$50+$A80,1,1,$D80))</f>
        <v>3</v>
      </c>
      <c r="AT80" s="1" cm="1">
        <f t="array" aca="1" ref="AT80" ca="1">INDIRECT(ADDRESS($B80,AT$50+$A80,1,1,$D80))</f>
        <v>4</v>
      </c>
      <c r="AU80" s="1" cm="1">
        <f t="array" aca="1" ref="AU80" ca="1">INDIRECT(ADDRESS($B80,AU$50+$A80,1,1,$D80))</f>
        <v>4</v>
      </c>
      <c r="AV80" s="1" cm="1">
        <f t="array" aca="1" ref="AV80" ca="1">INDIRECT(ADDRESS($B80,AV$50+$A80,1,1,$D80))</f>
        <v>5</v>
      </c>
      <c r="AW80" s="1" cm="1">
        <f t="array" aca="1" ref="AW80" ca="1">INDIRECT(ADDRESS($B80,AW$50+$A80,1,1,$D80))</f>
        <v>7</v>
      </c>
      <c r="AX80" s="1" cm="1">
        <f t="array" aca="1" ref="AX80" ca="1">INDIRECT(ADDRESS($B80,AX$50+$A80,1,1,$D80))</f>
        <v>7</v>
      </c>
      <c r="AY80" s="1" cm="1">
        <f t="array" aca="1" ref="AY80" ca="1">INDIRECT(ADDRESS($B80,AY$50+$A80,1,1,$D80))</f>
        <v>9</v>
      </c>
      <c r="AZ80" s="1" cm="1">
        <f t="array" aca="1" ref="AZ80" ca="1">INDIRECT(ADDRESS($B80,AZ$50+$A80,1,1,$D80))</f>
        <v>13</v>
      </c>
      <c r="BA80" s="1" cm="1">
        <f t="array" aca="1" ref="BA80" ca="1">INDIRECT(ADDRESS($B80,BA$50+$A80,1,1,$D80))</f>
        <v>18</v>
      </c>
      <c r="BB80" s="1" cm="1">
        <f t="array" aca="1" ref="BB80" ca="1">INDIRECT(ADDRESS($B80,BB$50+$A80,1,1,$D80))</f>
        <v>20</v>
      </c>
      <c r="BC80" s="1" cm="1">
        <f t="array" aca="1" ref="BC80" ca="1">INDIRECT(ADDRESS($B80,BC$50+$A80,1,1,$D80))</f>
        <v>23</v>
      </c>
      <c r="BD80" s="1" cm="1">
        <f t="array" aca="1" ref="BD80" ca="1">INDIRECT(ADDRESS($B80,BD$50+$A80,1,1,$D80))</f>
        <v>33</v>
      </c>
      <c r="BE80" s="1" cm="1">
        <f t="array" aca="1" ref="BE80" ca="1">INDIRECT(ADDRESS($B80,BE$50+$A80,1,1,$D80))</f>
        <v>43</v>
      </c>
      <c r="BF80" s="1" cm="1">
        <f t="array" aca="1" ref="BF80" ca="1">INDIRECT(ADDRESS($B80,BF$50+$A80,1,1,$D80))</f>
        <v>46</v>
      </c>
      <c r="BG80" s="1" cm="1">
        <f t="array" aca="1" ref="BG80" ca="1">INDIRECT(ADDRESS($B80,BG$50+$A80,1,1,$D80))</f>
        <v>66</v>
      </c>
      <c r="BH80" s="1" cm="1">
        <f t="array" aca="1" ref="BH80" ca="1">INDIRECT(ADDRESS($B80,BH$50+$A80,1,1,$D80))</f>
        <v>75</v>
      </c>
      <c r="BI80" s="1" cm="1">
        <f t="array" aca="1" ref="BI80" ca="1">INDIRECT(ADDRESS($B80,BI$50+$A80,1,1,$D80))</f>
        <v>78</v>
      </c>
      <c r="BJ80" s="1" cm="1">
        <f t="array" aca="1" ref="BJ80" ca="1">INDIRECT(ADDRESS($B80,BJ$50+$A80,1,1,$D80))</f>
        <v>92</v>
      </c>
      <c r="BK80" s="1" cm="1">
        <f t="array" aca="1" ref="BK80" ca="1">INDIRECT(ADDRESS($B80,BK$50+$A80,1,1,$D80))</f>
        <v>109</v>
      </c>
      <c r="BL80" s="1" cm="1">
        <f t="array" aca="1" ref="BL80" ca="1">INDIRECT(ADDRESS($B80,BL$50+$A80,1,1,$D80))</f>
        <v>145</v>
      </c>
      <c r="BM80" s="1" cm="1">
        <f t="array" aca="1" ref="BM80" ca="1">INDIRECT(ADDRESS($B80,BM$50+$A80,1,1,$D80))</f>
        <v>179</v>
      </c>
      <c r="BN80" s="1" cm="1">
        <f t="array" aca="1" ref="BN80" ca="1">INDIRECT(ADDRESS($B80,BN$50+$A80,1,1,$D80))</f>
        <v>214</v>
      </c>
      <c r="BO80" s="1" cm="1">
        <f t="array" aca="1" ref="BO80" ca="1">INDIRECT(ADDRESS($B80,BO$50+$A80,1,1,$D80))</f>
        <v>238</v>
      </c>
      <c r="BP80" s="1" cm="1">
        <f t="array" aca="1" ref="BP80" ca="1">INDIRECT(ADDRESS($B80,BP$50+$A80,1,1,$D80))</f>
        <v>258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139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cm="1">
        <f t="array" aca="1" ref="BQ82" ca="1">INDIRECT(ADDRESS($B82,BQ$50+$A82,1,1,$C82))</f>
        <v>0</v>
      </c>
      <c r="BR82" s="5" cm="1">
        <f t="array" aca="1" ref="BR82" ca="1">INDIRECT(ADDRESS($B82,BR$50+$A82,1,1,$C82))</f>
        <v>0</v>
      </c>
      <c r="BS82" s="5" cm="1">
        <f t="array" aca="1" ref="BS82" ca="1">INDIRECT(ADDRESS($B82,BS$50+$A82,1,1,$C82))</f>
        <v>0</v>
      </c>
      <c r="BT82" s="5" cm="1">
        <f t="array" aca="1" ref="BT82" ca="1">INDIRECT(ADDRESS($B82,BT$50+$A82,1,1,$C82))</f>
        <v>0</v>
      </c>
      <c r="BU82" s="5" cm="1">
        <f t="array" aca="1" ref="BU82" ca="1">INDIRECT(ADDRESS($B82,BU$50+$A82,1,1,$C82))</f>
        <v>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23</v>
      </c>
      <c r="C83" s="1" t="str">
        <f>C8</f>
        <v>Switzerland Ticino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0</v>
      </c>
      <c r="AR83" s="1" cm="1">
        <f t="array" aca="1" ref="AR83" ca="1">INDIRECT(ADDRESS($B83,AR$50+$A83,1,1,$D83))</f>
        <v>0</v>
      </c>
      <c r="AS83" s="1" cm="1">
        <f t="array" aca="1" ref="AS83" ca="1">INDIRECT(ADDRESS($B83,AS$50+$A83,1,1,$D83))</f>
        <v>0</v>
      </c>
      <c r="AT83" s="1" cm="1">
        <f t="array" aca="1" ref="AT83" ca="1">INDIRECT(ADDRESS($B83,AT$50+$A83,1,1,$D83))</f>
        <v>0</v>
      </c>
      <c r="AU83" s="1" cm="1">
        <f t="array" aca="1" ref="AU83" ca="1">INDIRECT(ADDRESS($B83,AU$50+$A83,1,1,$D83))</f>
        <v>0</v>
      </c>
      <c r="AV83" s="1" cm="1">
        <f t="array" aca="1" ref="AV83" ca="1">INDIRECT(ADDRESS($B83,AV$50+$A83,1,1,$D83))</f>
        <v>0</v>
      </c>
      <c r="AW83" s="1" cm="1">
        <f t="array" aca="1" ref="AW83" ca="1">INDIRECT(ADDRESS($B83,AW$50+$A83,1,1,$D83))</f>
        <v>0</v>
      </c>
      <c r="AX83" s="1" cm="1">
        <f t="array" aca="1" ref="AX83" ca="1">INDIRECT(ADDRESS($B83,AX$50+$A83,1,1,$D83))</f>
        <v>0</v>
      </c>
      <c r="AY83" s="1" cm="1">
        <f t="array" aca="1" ref="AY83" ca="1">INDIRECT(ADDRESS($B83,AY$50+$A83,1,1,$D83))</f>
        <v>0</v>
      </c>
      <c r="AZ83" s="1" cm="1">
        <f t="array" aca="1" ref="AZ83" ca="1">INDIRECT(ADDRESS($B83,AZ$50+$A83,1,1,$D83))</f>
        <v>0</v>
      </c>
      <c r="BA83" s="1" cm="1">
        <f t="array" aca="1" ref="BA83" ca="1">INDIRECT(ADDRESS($B83,BA$50+$A83,1,1,$D83))</f>
        <v>1</v>
      </c>
      <c r="BB83" s="1" cm="1">
        <f t="array" aca="1" ref="BB83" ca="1">INDIRECT(ADDRESS($B83,BB$50+$A83,1,1,$D83))</f>
        <v>1</v>
      </c>
      <c r="BC83" s="1" cm="1">
        <f t="array" aca="1" ref="BC83" ca="1">INDIRECT(ADDRESS($B83,BC$50+$A83,1,1,$D83))</f>
        <v>1</v>
      </c>
      <c r="BD83" s="1" cm="1">
        <f t="array" aca="1" ref="BD83" ca="1">INDIRECT(ADDRESS($B83,BD$50+$A83,1,1,$D83))</f>
        <v>1</v>
      </c>
      <c r="BE83" s="1" cm="1">
        <f t="array" aca="1" ref="BE83" ca="1">INDIRECT(ADDRESS($B83,BE$50+$A83,1,1,$D83))</f>
        <v>3</v>
      </c>
      <c r="BF83" s="1" cm="1">
        <f t="array" aca="1" ref="BF83" ca="1">INDIRECT(ADDRESS($B83,BF$50+$A83,1,1,$D83))</f>
        <v>6</v>
      </c>
      <c r="BG83" s="1" cm="1">
        <f t="array" aca="1" ref="BG83" ca="1">INDIRECT(ADDRESS($B83,BG$50+$A83,1,1,$D83))</f>
        <v>8</v>
      </c>
      <c r="BH83" s="1" cm="1">
        <f t="array" aca="1" ref="BH83" ca="1">INDIRECT(ADDRESS($B83,BH$50+$A83,1,1,$D83))</f>
        <v>10</v>
      </c>
      <c r="BI83" s="1" cm="1">
        <f t="array" aca="1" ref="BI83" ca="1">INDIRECT(ADDRESS($B83,BI$50+$A83,1,1,$D83))</f>
        <v>14</v>
      </c>
      <c r="BJ83" s="1" cm="1">
        <f t="array" aca="1" ref="BJ83" ca="1">INDIRECT(ADDRESS($B83,BJ$50+$A83,1,1,$D83))</f>
        <v>15</v>
      </c>
      <c r="BK83" s="1" cm="1">
        <f t="array" aca="1" ref="BK83" ca="1">INDIRECT(ADDRESS($B83,BK$50+$A83,1,1,$D83))</f>
        <v>22</v>
      </c>
      <c r="BL83" s="1" cm="1">
        <f t="array" aca="1" ref="BL83" ca="1">INDIRECT(ADDRESS($B83,BL$50+$A83,1,1,$D83))</f>
        <v>28</v>
      </c>
      <c r="BM83" s="1" cm="1">
        <f t="array" aca="1" ref="BM83" ca="1">INDIRECT(ADDRESS($B83,BM$50+$A83,1,1,$D83))</f>
        <v>37</v>
      </c>
      <c r="BN83" s="1" cm="1">
        <f t="array" aca="1" ref="BN83" ca="1">INDIRECT(ADDRESS($B83,BN$50+$A83,1,1,$D83))</f>
        <v>48</v>
      </c>
      <c r="BO83" s="1" cm="1">
        <f t="array" aca="1" ref="BO83" ca="1">INDIRECT(ADDRESS($B83,BO$50+$A83,1,1,$D83))</f>
        <v>53</v>
      </c>
      <c r="BP83" s="1" cm="1">
        <f t="array" aca="1" ref="BP83" ca="1">INDIRECT(ADDRESS($B83,BP$50+$A83,1,1,$D83))</f>
        <v>60</v>
      </c>
      <c r="BQ83" s="1" cm="1">
        <f t="array" aca="1" ref="BQ83" ca="1">INDIRECT(ADDRESS($B83,BQ$50+$A83,1,1,$D83))</f>
        <v>0</v>
      </c>
      <c r="BR83" s="1" cm="1">
        <f t="array" aca="1" ref="BR83" ca="1">INDIRECT(ADDRESS($B83,BR$50+$A83,1,1,$D83))</f>
        <v>0</v>
      </c>
      <c r="BS83" s="1" cm="1">
        <f t="array" aca="1" ref="BS83" ca="1">INDIRECT(ADDRESS($B83,BS$50+$A83,1,1,$D83))</f>
        <v>0</v>
      </c>
      <c r="BT83" s="1" cm="1">
        <f t="array" aca="1" ref="BT83" ca="1">INDIRECT(ADDRESS($B83,BT$50+$A83,1,1,$D83))</f>
        <v>0</v>
      </c>
      <c r="BU83" s="1" cm="1">
        <f t="array" aca="1" ref="BU83" ca="1">INDIRECT(ADDRESS($B83,BU$50+$A83,1,1,$D83))</f>
        <v>0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26</v>
      </c>
      <c r="C84" s="1" t="str">
        <f>C9</f>
        <v>Switzerland Vaud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1</v>
      </c>
      <c r="AX84" s="1" cm="1">
        <f t="array" aca="1" ref="AX84" ca="1">INDIRECT(ADDRESS($B84,AX$50+$A84,1,1,$D84))</f>
        <v>1</v>
      </c>
      <c r="AY84" s="1" cm="1">
        <f t="array" aca="1" ref="AY84" ca="1">INDIRECT(ADDRESS($B84,AY$50+$A84,1,1,$D84))</f>
        <v>1</v>
      </c>
      <c r="AZ84" s="1" cm="1">
        <f t="array" aca="1" ref="AZ84" ca="1">INDIRECT(ADDRESS($B84,AZ$50+$A84,1,1,$D84))</f>
        <v>1</v>
      </c>
      <c r="BA84" s="1" cm="1">
        <f t="array" aca="1" ref="BA84" ca="1">INDIRECT(ADDRESS($B84,BA$50+$A84,1,1,$D84))</f>
        <v>1</v>
      </c>
      <c r="BB84" s="1" cm="1">
        <f t="array" aca="1" ref="BB84" ca="1">INDIRECT(ADDRESS($B84,BB$50+$A84,1,1,$D84))</f>
        <v>1</v>
      </c>
      <c r="BC84" s="1" cm="1">
        <f t="array" aca="1" ref="BC84" ca="1">INDIRECT(ADDRESS($B84,BC$50+$A84,1,1,$D84))</f>
        <v>1</v>
      </c>
      <c r="BD84" s="1" cm="1">
        <f t="array" aca="1" ref="BD84" ca="1">INDIRECT(ADDRESS($B84,BD$50+$A84,1,1,$D84))</f>
        <v>2</v>
      </c>
      <c r="BE84" s="1" cm="1">
        <f t="array" aca="1" ref="BE84" ca="1">INDIRECT(ADDRESS($B84,BE$50+$A84,1,1,$D84))</f>
        <v>3</v>
      </c>
      <c r="BF84" s="1" cm="1">
        <f t="array" aca="1" ref="BF84" ca="1">INDIRECT(ADDRESS($B84,BF$50+$A84,1,1,$D84))</f>
        <v>4</v>
      </c>
      <c r="BG84" s="1" cm="1">
        <f t="array" aca="1" ref="BG84" ca="1">INDIRECT(ADDRESS($B84,BG$50+$A84,1,1,$D84))</f>
        <v>5</v>
      </c>
      <c r="BH84" s="1" cm="1">
        <f t="array" aca="1" ref="BH84" ca="1">INDIRECT(ADDRESS($B84,BH$50+$A84,1,1,$D84))</f>
        <v>5</v>
      </c>
      <c r="BI84" s="1" cm="1">
        <f t="array" aca="1" ref="BI84" ca="1">INDIRECT(ADDRESS($B84,BI$50+$A84,1,1,$D84))</f>
        <v>5</v>
      </c>
      <c r="BJ84" s="1" cm="1">
        <f t="array" aca="1" ref="BJ84" ca="1">INDIRECT(ADDRESS($B84,BJ$50+$A84,1,1,$D84))</f>
        <v>7</v>
      </c>
      <c r="BK84" s="1" cm="1">
        <f t="array" aca="1" ref="BK84" ca="1">INDIRECT(ADDRESS($B84,BK$50+$A84,1,1,$D84))</f>
        <v>12</v>
      </c>
      <c r="BL84" s="1" cm="1">
        <f t="array" aca="1" ref="BL84" ca="1">INDIRECT(ADDRESS($B84,BL$50+$A84,1,1,$D84))</f>
        <v>15</v>
      </c>
      <c r="BM84" s="1" cm="1">
        <f t="array" aca="1" ref="BM84" ca="1">INDIRECT(ADDRESS($B84,BM$50+$A84,1,1,$D84))</f>
        <v>16</v>
      </c>
      <c r="BN84" s="1" cm="1">
        <f t="array" aca="1" ref="BN84" ca="1">INDIRECT(ADDRESS($B84,BN$50+$A84,1,1,$D84))</f>
        <v>17</v>
      </c>
      <c r="BO84" s="1" cm="1">
        <f t="array" aca="1" ref="BO84" ca="1">INDIRECT(ADDRESS($B84,BO$50+$A84,1,1,$D84))</f>
        <v>21</v>
      </c>
      <c r="BP84" s="1" cm="1">
        <f t="array" aca="1" ref="BP84" ca="1">INDIRECT(ADDRESS($B84,BP$50+$A84,1,1,$D84))</f>
        <v>21</v>
      </c>
      <c r="BQ84" s="1" cm="1">
        <f t="array" aca="1" ref="BQ84" ca="1">INDIRECT(ADDRESS($B84,BQ$50+$A84,1,1,$D84))</f>
        <v>0</v>
      </c>
      <c r="BR84" s="1" cm="1">
        <f t="array" aca="1" ref="BR84" ca="1">INDIRECT(ADDRESS($B84,BR$50+$A84,1,1,$D84))</f>
        <v>0</v>
      </c>
      <c r="BS84" s="1" cm="1">
        <f t="array" aca="1" ref="BS84" ca="1">INDIRECT(ADDRESS($B84,BS$50+$A84,1,1,$D84))</f>
        <v>0</v>
      </c>
      <c r="BT84" s="1" cm="1">
        <f t="array" aca="1" ref="BT84" ca="1">INDIRECT(ADDRESS($B84,BT$50+$A84,1,1,$D84))</f>
        <v>0</v>
      </c>
      <c r="BU84" s="1" cm="1">
        <f t="array" aca="1" ref="BU84" ca="1">INDIRECT(ADDRESS($B84,BU$50+$A84,1,1,$D84))</f>
        <v>0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28</v>
      </c>
      <c r="C85" s="1" t="str">
        <f>C10</f>
        <v>Switzerland Zurich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0</v>
      </c>
      <c r="BD85" s="1" cm="1">
        <f t="array" aca="1" ref="BD85" ca="1">INDIRECT(ADDRESS($B85,BD$50+$A85,1,1,$D85))</f>
        <v>0</v>
      </c>
      <c r="BE85" s="1" cm="1">
        <f t="array" aca="1" ref="BE85" ca="1">INDIRECT(ADDRESS($B85,BE$50+$A85,1,1,$D85))</f>
        <v>0</v>
      </c>
      <c r="BF85" s="1" cm="1">
        <f t="array" aca="1" ref="BF85" ca="1">INDIRECT(ADDRESS($B85,BF$50+$A85,1,1,$D85))</f>
        <v>0</v>
      </c>
      <c r="BG85" s="1" cm="1">
        <f t="array" aca="1" ref="BG85" ca="1">INDIRECT(ADDRESS($B85,BG$50+$A85,1,1,$D85))</f>
        <v>1</v>
      </c>
      <c r="BH85" s="1" cm="1">
        <f t="array" aca="1" ref="BH85" ca="1">INDIRECT(ADDRESS($B85,BH$50+$A85,1,1,$D85))</f>
        <v>1</v>
      </c>
      <c r="BI85" s="1" cm="1">
        <f t="array" aca="1" ref="BI85" ca="1">INDIRECT(ADDRESS($B85,BI$50+$A85,1,1,$D85))</f>
        <v>1</v>
      </c>
      <c r="BJ85" s="1" cm="1">
        <f t="array" aca="1" ref="BJ85" ca="1">INDIRECT(ADDRESS($B85,BJ$50+$A85,1,1,$D85))</f>
        <v>3</v>
      </c>
      <c r="BK85" s="1" cm="1">
        <f t="array" aca="1" ref="BK85" ca="1">INDIRECT(ADDRESS($B85,BK$50+$A85,1,1,$D85))</f>
        <v>3</v>
      </c>
      <c r="BL85" s="1" cm="1">
        <f t="array" aca="1" ref="BL85" ca="1">INDIRECT(ADDRESS($B85,BL$50+$A85,1,1,$D85))</f>
        <v>3</v>
      </c>
      <c r="BM85" s="1" cm="1">
        <f t="array" aca="1" ref="BM85" ca="1">INDIRECT(ADDRESS($B85,BM$50+$A85,1,1,$D85))</f>
        <v>3</v>
      </c>
      <c r="BN85" s="1" cm="1">
        <f t="array" aca="1" ref="BN85" ca="1">INDIRECT(ADDRESS($B85,BN$50+$A85,1,1,$D85))</f>
        <v>5</v>
      </c>
      <c r="BO85" s="1" cm="1">
        <f t="array" aca="1" ref="BO85" ca="1">INDIRECT(ADDRESS($B85,BO$50+$A85,1,1,$D85))</f>
        <v>5</v>
      </c>
      <c r="BP85" s="1" cm="1">
        <f t="array" aca="1" ref="BP85" ca="1">INDIRECT(ADDRESS($B85,BP$50+$A85,1,1,$D85))</f>
        <v>7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10</v>
      </c>
      <c r="C86" s="1" t="str">
        <f>C11</f>
        <v>Switzerland Geneva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1</v>
      </c>
      <c r="BA86" s="1" cm="1">
        <f t="array" aca="1" ref="BA86" ca="1">INDIRECT(ADDRESS($B86,BA$50+$A86,1,1,$D86))</f>
        <v>2</v>
      </c>
      <c r="BB86" s="1" cm="1">
        <f t="array" aca="1" ref="BB86" ca="1">INDIRECT(ADDRESS($B86,BB$50+$A86,1,1,$D86))</f>
        <v>2</v>
      </c>
      <c r="BC86" s="1" cm="1">
        <f t="array" aca="1" ref="BC86" ca="1">INDIRECT(ADDRESS($B86,BC$50+$A86,1,1,$D86))</f>
        <v>2</v>
      </c>
      <c r="BD86" s="1" cm="1">
        <f t="array" aca="1" ref="BD86" ca="1">INDIRECT(ADDRESS($B86,BD$50+$A86,1,1,$D86))</f>
        <v>2</v>
      </c>
      <c r="BE86" s="1" cm="1">
        <f t="array" aca="1" ref="BE86" ca="1">INDIRECT(ADDRESS($B86,BE$50+$A86,1,1,$D86))</f>
        <v>2</v>
      </c>
      <c r="BF86" s="1" cm="1">
        <f t="array" aca="1" ref="BF86" ca="1">INDIRECT(ADDRESS($B86,BF$50+$A86,1,1,$D86))</f>
        <v>4</v>
      </c>
      <c r="BG86" s="1" cm="1">
        <f t="array" aca="1" ref="BG86" ca="1">INDIRECT(ADDRESS($B86,BG$50+$A86,1,1,$D86))</f>
        <v>4</v>
      </c>
      <c r="BH86" s="1" cm="1">
        <f t="array" aca="1" ref="BH86" ca="1">INDIRECT(ADDRESS($B86,BH$50+$A86,1,1,$D86))</f>
        <v>4</v>
      </c>
      <c r="BI86" s="1" cm="1">
        <f t="array" aca="1" ref="BI86" ca="1">INDIRECT(ADDRESS($B86,BI$50+$A86,1,1,$D86))</f>
        <v>5</v>
      </c>
      <c r="BJ86" s="1" cm="1">
        <f t="array" aca="1" ref="BJ86" ca="1">INDIRECT(ADDRESS($B86,BJ$50+$A86,1,1,$D86))</f>
        <v>5</v>
      </c>
      <c r="BK86" s="1" cm="1">
        <f t="array" aca="1" ref="BK86" ca="1">INDIRECT(ADDRESS($B86,BK$50+$A86,1,1,$D86))</f>
        <v>8</v>
      </c>
      <c r="BL86" s="1" cm="1">
        <f t="array" aca="1" ref="BL86" ca="1">INDIRECT(ADDRESS($B86,BL$50+$A86,1,1,$D86))</f>
        <v>10</v>
      </c>
      <c r="BM86" s="1" cm="1">
        <f t="array" aca="1" ref="BM86" ca="1">INDIRECT(ADDRESS($B86,BM$50+$A86,1,1,$D86))</f>
        <v>9</v>
      </c>
      <c r="BN86" s="1" cm="1">
        <f t="array" aca="1" ref="BN86" ca="1">INDIRECT(ADDRESS($B86,BN$50+$A86,1,1,$D86))</f>
        <v>9</v>
      </c>
      <c r="BO86" s="1" cm="1">
        <f t="array" aca="1" ref="BO86" ca="1">INDIRECT(ADDRESS($B86,BO$50+$A86,1,1,$D86))</f>
        <v>12</v>
      </c>
      <c r="BP86" s="1" cm="1">
        <f t="array" aca="1" ref="BP86" ca="1">INDIRECT(ADDRESS($B86,BP$50+$A86,1,1,$D86))</f>
        <v>15</v>
      </c>
      <c r="BQ86" s="1" cm="1">
        <f t="array" aca="1" ref="BQ86" ca="1">INDIRECT(ADDRESS($B86,BQ$50+$A86,1,1,$D86))</f>
        <v>0</v>
      </c>
      <c r="BR86" s="1" cm="1">
        <f t="array" aca="1" ref="BR86" ca="1">INDIRECT(ADDRESS($B86,BR$50+$A86,1,1,$D86))</f>
        <v>0</v>
      </c>
      <c r="BS86" s="1" cm="1">
        <f t="array" aca="1" ref="BS86" ca="1">INDIRECT(ADDRESS($B86,BS$50+$A86,1,1,$D86))</f>
        <v>0</v>
      </c>
      <c r="BT86" s="1" cm="1">
        <f t="array" aca="1" ref="BT86" ca="1">INDIRECT(ADDRESS($B86,BT$50+$A86,1,1,$D86))</f>
        <v>0</v>
      </c>
      <c r="BU86" s="1" cm="1">
        <f t="array" aca="1" ref="BU86" ca="1">INDIRECT(ADDRESS($B86,BU$50+$A86,1,1,$D86))</f>
        <v>0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143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>
        <f t="shared" ref="BQ88:BV88" ca="1" si="12">BQ58</f>
        <v>0</v>
      </c>
      <c r="BR88" s="5">
        <f t="shared" ca="1" si="12"/>
        <v>0</v>
      </c>
      <c r="BS88" s="5">
        <f t="shared" ca="1" si="12"/>
        <v>0</v>
      </c>
      <c r="BT88" s="5">
        <f t="shared" ca="1" si="12"/>
        <v>0</v>
      </c>
      <c r="BU88" s="5">
        <f t="shared" ca="1" si="12"/>
        <v>0</v>
      </c>
      <c r="BV88" s="5">
        <f t="shared" ca="1" si="12"/>
        <v>0</v>
      </c>
    </row>
    <row r="89" spans="1:74" x14ac:dyDescent="0.25">
      <c r="C89" s="1" t="str">
        <f>C8</f>
        <v>Switzerland Ticino</v>
      </c>
      <c r="D89" t="str">
        <f>C88</f>
        <v>Presently ill</v>
      </c>
      <c r="E89" s="1">
        <f t="shared" ref="E89:AJ89" ca="1" si="13">E59-E71-E83</f>
        <v>0</v>
      </c>
      <c r="F89" s="1">
        <f t="shared" ca="1" si="13"/>
        <v>0</v>
      </c>
      <c r="G89" s="1">
        <f t="shared" ca="1" si="13"/>
        <v>0</v>
      </c>
      <c r="H89" s="1">
        <f t="shared" ca="1" si="13"/>
        <v>0</v>
      </c>
      <c r="I89" s="1">
        <f t="shared" ca="1" si="13"/>
        <v>0</v>
      </c>
      <c r="J89" s="1">
        <f t="shared" ca="1" si="13"/>
        <v>0</v>
      </c>
      <c r="K89" s="1">
        <f t="shared" ca="1" si="13"/>
        <v>0</v>
      </c>
      <c r="L89" s="1">
        <f t="shared" ca="1" si="13"/>
        <v>0</v>
      </c>
      <c r="M89" s="1">
        <f t="shared" ca="1" si="13"/>
        <v>0</v>
      </c>
      <c r="N89" s="1">
        <f t="shared" ca="1" si="13"/>
        <v>0</v>
      </c>
      <c r="O89" s="1">
        <f t="shared" ca="1" si="13"/>
        <v>0</v>
      </c>
      <c r="P89" s="1">
        <f t="shared" ca="1" si="13"/>
        <v>0</v>
      </c>
      <c r="Q89" s="1">
        <f t="shared" ca="1" si="13"/>
        <v>0</v>
      </c>
      <c r="R89" s="1">
        <f t="shared" ca="1" si="13"/>
        <v>0</v>
      </c>
      <c r="S89" s="1">
        <f t="shared" ca="1" si="13"/>
        <v>0</v>
      </c>
      <c r="T89" s="1">
        <f t="shared" ca="1" si="13"/>
        <v>0</v>
      </c>
      <c r="U89" s="1">
        <f t="shared" ca="1" si="13"/>
        <v>0</v>
      </c>
      <c r="V89" s="1">
        <f t="shared" ca="1" si="13"/>
        <v>0</v>
      </c>
      <c r="W89" s="1">
        <f t="shared" ca="1" si="13"/>
        <v>0</v>
      </c>
      <c r="X89" s="1">
        <f t="shared" ca="1" si="13"/>
        <v>0</v>
      </c>
      <c r="Y89" s="1">
        <f t="shared" ca="1" si="13"/>
        <v>0</v>
      </c>
      <c r="Z89" s="1">
        <f t="shared" ca="1" si="13"/>
        <v>0</v>
      </c>
      <c r="AA89" s="1">
        <f t="shared" ca="1" si="13"/>
        <v>0</v>
      </c>
      <c r="AB89" s="1">
        <f t="shared" ca="1" si="13"/>
        <v>0</v>
      </c>
      <c r="AC89" s="1">
        <f t="shared" ca="1" si="13"/>
        <v>0</v>
      </c>
      <c r="AD89" s="1">
        <f t="shared" ca="1" si="13"/>
        <v>0</v>
      </c>
      <c r="AE89" s="1">
        <f t="shared" ca="1" si="13"/>
        <v>0</v>
      </c>
      <c r="AF89" s="1">
        <f t="shared" ca="1" si="13"/>
        <v>0</v>
      </c>
      <c r="AG89" s="1">
        <f t="shared" ca="1" si="13"/>
        <v>0</v>
      </c>
      <c r="AH89" s="1">
        <f t="shared" ca="1" si="13"/>
        <v>0</v>
      </c>
      <c r="AI89" s="1">
        <f t="shared" ca="1" si="13"/>
        <v>0</v>
      </c>
      <c r="AJ89" s="1">
        <f t="shared" ca="1" si="13"/>
        <v>0</v>
      </c>
      <c r="AK89" s="1">
        <f t="shared" ref="AK89:BP89" ca="1" si="14">AK59-AK71-AK83</f>
        <v>0</v>
      </c>
      <c r="AL89" s="1">
        <f t="shared" ca="1" si="14"/>
        <v>0</v>
      </c>
      <c r="AM89" s="1">
        <f t="shared" ca="1" si="14"/>
        <v>1</v>
      </c>
      <c r="AN89" s="1">
        <f t="shared" ca="1" si="14"/>
        <v>1</v>
      </c>
      <c r="AO89" s="1">
        <f t="shared" ca="1" si="14"/>
        <v>1</v>
      </c>
      <c r="AP89" s="1">
        <f t="shared" ca="1" si="14"/>
        <v>1</v>
      </c>
      <c r="AQ89" s="1">
        <f t="shared" ca="1" si="14"/>
        <v>1</v>
      </c>
      <c r="AR89" s="1">
        <f t="shared" ca="1" si="14"/>
        <v>1</v>
      </c>
      <c r="AS89" s="1">
        <f t="shared" ca="1" si="14"/>
        <v>2</v>
      </c>
      <c r="AT89" s="1">
        <f t="shared" ca="1" si="14"/>
        <v>4</v>
      </c>
      <c r="AU89" s="1">
        <f t="shared" ca="1" si="14"/>
        <v>5</v>
      </c>
      <c r="AV89" s="1">
        <f t="shared" ca="1" si="14"/>
        <v>5</v>
      </c>
      <c r="AW89" s="1">
        <f t="shared" ca="1" si="14"/>
        <v>5</v>
      </c>
      <c r="AX89" s="1">
        <f t="shared" ca="1" si="14"/>
        <v>5</v>
      </c>
      <c r="AY89" s="1">
        <f t="shared" ca="1" si="14"/>
        <v>5</v>
      </c>
      <c r="AZ89" s="1">
        <f t="shared" ca="1" si="14"/>
        <v>5</v>
      </c>
      <c r="BA89" s="1">
        <f t="shared" ca="1" si="14"/>
        <v>4</v>
      </c>
      <c r="BB89" s="1">
        <f t="shared" ca="1" si="14"/>
        <v>4</v>
      </c>
      <c r="BC89" s="1">
        <f t="shared" ca="1" si="14"/>
        <v>179</v>
      </c>
      <c r="BD89" s="1">
        <f t="shared" ca="1" si="14"/>
        <v>257</v>
      </c>
      <c r="BE89" s="1">
        <f t="shared" ca="1" si="14"/>
        <v>262</v>
      </c>
      <c r="BF89" s="1">
        <f t="shared" ca="1" si="14"/>
        <v>285</v>
      </c>
      <c r="BG89" s="1">
        <f t="shared" ca="1" si="14"/>
        <v>322</v>
      </c>
      <c r="BH89" s="1">
        <f t="shared" ca="1" si="14"/>
        <v>412</v>
      </c>
      <c r="BI89" s="1">
        <f t="shared" ca="1" si="14"/>
        <v>497</v>
      </c>
      <c r="BJ89" s="1">
        <f t="shared" ca="1" si="14"/>
        <v>623</v>
      </c>
      <c r="BK89" s="1">
        <f t="shared" ca="1" si="14"/>
        <v>812</v>
      </c>
      <c r="BL89" s="1">
        <f t="shared" ca="1" si="14"/>
        <v>890</v>
      </c>
      <c r="BM89" s="1">
        <f t="shared" ca="1" si="14"/>
        <v>902</v>
      </c>
      <c r="BN89" s="1">
        <f t="shared" ca="1" si="14"/>
        <v>1117</v>
      </c>
      <c r="BO89" s="1">
        <f t="shared" ca="1" si="14"/>
        <v>1158</v>
      </c>
      <c r="BP89" s="1">
        <f t="shared" ca="1" si="14"/>
        <v>1294</v>
      </c>
      <c r="BQ89" s="1">
        <f t="shared" ref="BQ89:BV89" ca="1" si="15">BQ59-BQ71-BQ83</f>
        <v>0</v>
      </c>
      <c r="BR89" s="1">
        <f t="shared" ca="1" si="15"/>
        <v>0</v>
      </c>
      <c r="BS89" s="1">
        <f t="shared" ca="1" si="15"/>
        <v>0</v>
      </c>
      <c r="BT89" s="1">
        <f t="shared" ca="1" si="15"/>
        <v>0</v>
      </c>
      <c r="BU89" s="1">
        <f t="shared" ca="1" si="15"/>
        <v>0</v>
      </c>
      <c r="BV89" s="1">
        <f t="shared" ca="1" si="15"/>
        <v>0</v>
      </c>
    </row>
    <row r="90" spans="1:74" x14ac:dyDescent="0.25">
      <c r="C90" s="1" t="str">
        <f>C9</f>
        <v>Switzerland Vaud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0</v>
      </c>
      <c r="P90" s="1">
        <f t="shared" ca="1" si="16"/>
        <v>0</v>
      </c>
      <c r="Q90" s="1">
        <f t="shared" ca="1" si="16"/>
        <v>0</v>
      </c>
      <c r="R90" s="1">
        <f t="shared" ca="1" si="16"/>
        <v>0</v>
      </c>
      <c r="S90" s="1">
        <f t="shared" ca="1" si="16"/>
        <v>0</v>
      </c>
      <c r="T90" s="1">
        <f t="shared" ca="1" si="16"/>
        <v>0</v>
      </c>
      <c r="U90" s="1">
        <f t="shared" ca="1" si="16"/>
        <v>0</v>
      </c>
      <c r="V90" s="1">
        <f t="shared" ca="1" si="16"/>
        <v>0</v>
      </c>
      <c r="W90" s="1">
        <f t="shared" ca="1" si="16"/>
        <v>0</v>
      </c>
      <c r="X90" s="1">
        <f t="shared" ca="1" si="16"/>
        <v>0</v>
      </c>
      <c r="Y90" s="1">
        <f t="shared" ca="1" si="16"/>
        <v>0</v>
      </c>
      <c r="Z90" s="1">
        <f t="shared" ca="1" si="16"/>
        <v>0</v>
      </c>
      <c r="AA90" s="1">
        <f t="shared" ca="1" si="16"/>
        <v>0</v>
      </c>
      <c r="AB90" s="1">
        <f t="shared" ca="1" si="16"/>
        <v>0</v>
      </c>
      <c r="AC90" s="1">
        <f t="shared" ca="1" si="16"/>
        <v>0</v>
      </c>
      <c r="AD90" s="1">
        <f t="shared" ca="1" si="16"/>
        <v>0</v>
      </c>
      <c r="AE90" s="1">
        <f t="shared" ca="1" si="16"/>
        <v>0</v>
      </c>
      <c r="AF90" s="1">
        <f t="shared" ca="1" si="16"/>
        <v>0</v>
      </c>
      <c r="AG90" s="1">
        <f t="shared" ca="1" si="16"/>
        <v>0</v>
      </c>
      <c r="AH90" s="1">
        <f t="shared" ca="1" si="16"/>
        <v>0</v>
      </c>
      <c r="AI90" s="1">
        <f t="shared" ca="1" si="16"/>
        <v>0</v>
      </c>
      <c r="AJ90" s="1">
        <f t="shared" ca="1" si="16"/>
        <v>0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0</v>
      </c>
      <c r="AN90" s="1">
        <f t="shared" ca="1" si="17"/>
        <v>0</v>
      </c>
      <c r="AO90" s="1">
        <f t="shared" ca="1" si="17"/>
        <v>0</v>
      </c>
      <c r="AP90" s="1">
        <f t="shared" ca="1" si="17"/>
        <v>0</v>
      </c>
      <c r="AQ90" s="1">
        <f t="shared" ca="1" si="17"/>
        <v>0</v>
      </c>
      <c r="AR90" s="1">
        <f t="shared" ca="1" si="17"/>
        <v>0</v>
      </c>
      <c r="AS90" s="1">
        <f t="shared" ca="1" si="17"/>
        <v>0</v>
      </c>
      <c r="AT90" s="1">
        <f t="shared" ca="1" si="17"/>
        <v>0</v>
      </c>
      <c r="AU90" s="1">
        <f t="shared" ca="1" si="17"/>
        <v>0</v>
      </c>
      <c r="AV90" s="1">
        <f t="shared" ca="1" si="17"/>
        <v>0</v>
      </c>
      <c r="AW90" s="1">
        <f t="shared" ca="1" si="17"/>
        <v>22</v>
      </c>
      <c r="AX90" s="1">
        <f t="shared" ca="1" si="17"/>
        <v>29</v>
      </c>
      <c r="AY90" s="1">
        <f t="shared" ca="1" si="17"/>
        <v>39</v>
      </c>
      <c r="AZ90" s="1">
        <f t="shared" ca="1" si="17"/>
        <v>50</v>
      </c>
      <c r="BA90" s="1">
        <f t="shared" ca="1" si="17"/>
        <v>76</v>
      </c>
      <c r="BB90" s="1">
        <f t="shared" ca="1" si="17"/>
        <v>107</v>
      </c>
      <c r="BC90" s="1">
        <f t="shared" ca="1" si="17"/>
        <v>155</v>
      </c>
      <c r="BD90" s="1">
        <f t="shared" ca="1" si="17"/>
        <v>202</v>
      </c>
      <c r="BE90" s="1">
        <f t="shared" ca="1" si="17"/>
        <v>347</v>
      </c>
      <c r="BF90" s="1">
        <f t="shared" ca="1" si="17"/>
        <v>402</v>
      </c>
      <c r="BG90" s="1">
        <f t="shared" ca="1" si="17"/>
        <v>503</v>
      </c>
      <c r="BH90" s="1">
        <f t="shared" ca="1" si="17"/>
        <v>603</v>
      </c>
      <c r="BI90" s="1">
        <f t="shared" ca="1" si="17"/>
        <v>791</v>
      </c>
      <c r="BJ90" s="1">
        <f t="shared" ca="1" si="17"/>
        <v>1205</v>
      </c>
      <c r="BK90" s="1">
        <f t="shared" ca="1" si="17"/>
        <v>1409</v>
      </c>
      <c r="BL90" s="1">
        <f t="shared" ca="1" si="17"/>
        <v>1646</v>
      </c>
      <c r="BM90" s="1">
        <f t="shared" ca="1" si="17"/>
        <v>1742</v>
      </c>
      <c r="BN90" s="1">
        <f t="shared" ca="1" si="17"/>
        <v>1771</v>
      </c>
      <c r="BO90" s="1">
        <f t="shared" ca="1" si="17"/>
        <v>2085</v>
      </c>
      <c r="BP90" s="1">
        <f t="shared" ca="1" si="17"/>
        <v>2107</v>
      </c>
      <c r="BQ90" s="1">
        <f t="shared" ref="BQ90:BV90" ca="1" si="18">BQ60-BQ72-BQ84</f>
        <v>0</v>
      </c>
      <c r="BR90" s="1">
        <f t="shared" ca="1" si="18"/>
        <v>0</v>
      </c>
      <c r="BS90" s="1">
        <f t="shared" ca="1" si="18"/>
        <v>0</v>
      </c>
      <c r="BT90" s="1">
        <f t="shared" ca="1" si="18"/>
        <v>0</v>
      </c>
      <c r="BU90" s="1">
        <f t="shared" ca="1" si="18"/>
        <v>0</v>
      </c>
      <c r="BV90" s="1">
        <f t="shared" ca="1" si="18"/>
        <v>0</v>
      </c>
    </row>
    <row r="91" spans="1:74" x14ac:dyDescent="0.25">
      <c r="C91" s="1" t="str">
        <f>C10</f>
        <v>Switzerland Zurich</v>
      </c>
      <c r="D91" t="str">
        <f>D90</f>
        <v>Presently ill</v>
      </c>
      <c r="E91" s="1">
        <f t="shared" ref="E91:AJ91" ca="1" si="19">E61-E73-E85</f>
        <v>0</v>
      </c>
      <c r="F91" s="1">
        <f t="shared" ca="1" si="19"/>
        <v>0</v>
      </c>
      <c r="G91" s="1">
        <f t="shared" ca="1" si="19"/>
        <v>0</v>
      </c>
      <c r="H91" s="1">
        <f t="shared" ca="1" si="19"/>
        <v>0</v>
      </c>
      <c r="I91" s="1">
        <f t="shared" ca="1" si="19"/>
        <v>0</v>
      </c>
      <c r="J91" s="1">
        <f t="shared" ca="1" si="19"/>
        <v>0</v>
      </c>
      <c r="K91" s="1">
        <f t="shared" ca="1" si="19"/>
        <v>0</v>
      </c>
      <c r="L91" s="1">
        <f t="shared" ca="1" si="19"/>
        <v>0</v>
      </c>
      <c r="M91" s="1">
        <f t="shared" ca="1" si="19"/>
        <v>0</v>
      </c>
      <c r="N91" s="1">
        <f t="shared" ca="1" si="19"/>
        <v>0</v>
      </c>
      <c r="O91" s="1">
        <f t="shared" ca="1" si="19"/>
        <v>0</v>
      </c>
      <c r="P91" s="1">
        <f t="shared" ca="1" si="19"/>
        <v>0</v>
      </c>
      <c r="Q91" s="1">
        <f t="shared" ca="1" si="19"/>
        <v>0</v>
      </c>
      <c r="R91" s="1">
        <f t="shared" ca="1" si="19"/>
        <v>0</v>
      </c>
      <c r="S91" s="1">
        <f t="shared" ca="1" si="19"/>
        <v>0</v>
      </c>
      <c r="T91" s="1">
        <f t="shared" ca="1" si="19"/>
        <v>0</v>
      </c>
      <c r="U91" s="1">
        <f t="shared" ca="1" si="19"/>
        <v>0</v>
      </c>
      <c r="V91" s="1">
        <f t="shared" ca="1" si="19"/>
        <v>0</v>
      </c>
      <c r="W91" s="1">
        <f t="shared" ca="1" si="19"/>
        <v>0</v>
      </c>
      <c r="X91" s="1">
        <f t="shared" ca="1" si="19"/>
        <v>0</v>
      </c>
      <c r="Y91" s="1">
        <f t="shared" ca="1" si="19"/>
        <v>0</v>
      </c>
      <c r="Z91" s="1">
        <f t="shared" ca="1" si="19"/>
        <v>0</v>
      </c>
      <c r="AA91" s="1">
        <f t="shared" ca="1" si="19"/>
        <v>0</v>
      </c>
      <c r="AB91" s="1">
        <f t="shared" ca="1" si="19"/>
        <v>0</v>
      </c>
      <c r="AC91" s="1">
        <f t="shared" ca="1" si="19"/>
        <v>0</v>
      </c>
      <c r="AD91" s="1">
        <f t="shared" ca="1" si="19"/>
        <v>0</v>
      </c>
      <c r="AE91" s="1">
        <f t="shared" ca="1" si="19"/>
        <v>0</v>
      </c>
      <c r="AF91" s="1">
        <f t="shared" ca="1" si="19"/>
        <v>0</v>
      </c>
      <c r="AG91" s="1">
        <f t="shared" ca="1" si="19"/>
        <v>0</v>
      </c>
      <c r="AH91" s="1">
        <f t="shared" ca="1" si="19"/>
        <v>0</v>
      </c>
      <c r="AI91" s="1">
        <f t="shared" ca="1" si="19"/>
        <v>0</v>
      </c>
      <c r="AJ91" s="1">
        <f t="shared" ca="1" si="19"/>
        <v>0</v>
      </c>
      <c r="AK91" s="1">
        <f t="shared" ref="AK91:BP91" ca="1" si="20">AK61-AK73-AK85</f>
        <v>0</v>
      </c>
      <c r="AL91" s="1">
        <f t="shared" ca="1" si="20"/>
        <v>0</v>
      </c>
      <c r="AM91" s="1">
        <f t="shared" ca="1" si="20"/>
        <v>0</v>
      </c>
      <c r="AN91" s="1">
        <f t="shared" ca="1" si="20"/>
        <v>0</v>
      </c>
      <c r="AO91" s="1">
        <f t="shared" ca="1" si="20"/>
        <v>1</v>
      </c>
      <c r="AP91" s="1">
        <f t="shared" ca="1" si="20"/>
        <v>2</v>
      </c>
      <c r="AQ91" s="1">
        <f t="shared" ca="1" si="20"/>
        <v>2</v>
      </c>
      <c r="AR91" s="1">
        <f t="shared" ca="1" si="20"/>
        <v>2</v>
      </c>
      <c r="AS91" s="1">
        <f t="shared" ca="1" si="20"/>
        <v>2</v>
      </c>
      <c r="AT91" s="1">
        <f t="shared" ca="1" si="20"/>
        <v>9</v>
      </c>
      <c r="AU91" s="1">
        <f t="shared" ca="1" si="20"/>
        <v>9</v>
      </c>
      <c r="AV91" s="1">
        <f t="shared" ca="1" si="20"/>
        <v>19</v>
      </c>
      <c r="AW91" s="1">
        <f t="shared" ca="1" si="20"/>
        <v>26</v>
      </c>
      <c r="AX91" s="1">
        <f t="shared" ca="1" si="20"/>
        <v>30</v>
      </c>
      <c r="AY91" s="1">
        <f t="shared" ca="1" si="20"/>
        <v>37</v>
      </c>
      <c r="AZ91" s="1">
        <f t="shared" ca="1" si="20"/>
        <v>40</v>
      </c>
      <c r="BA91" s="1">
        <f t="shared" ca="1" si="20"/>
        <v>49</v>
      </c>
      <c r="BB91" s="1">
        <f t="shared" ca="1" si="20"/>
        <v>59</v>
      </c>
      <c r="BC91" s="1">
        <f t="shared" ca="1" si="20"/>
        <v>91</v>
      </c>
      <c r="BD91" s="1">
        <f t="shared" ca="1" si="20"/>
        <v>138</v>
      </c>
      <c r="BE91" s="1">
        <f t="shared" ca="1" si="20"/>
        <v>138</v>
      </c>
      <c r="BF91" s="1">
        <f t="shared" ca="1" si="20"/>
        <v>138</v>
      </c>
      <c r="BG91" s="1">
        <f t="shared" ca="1" si="20"/>
        <v>268</v>
      </c>
      <c r="BH91" s="1">
        <f t="shared" ca="1" si="20"/>
        <v>285</v>
      </c>
      <c r="BI91" s="1">
        <f t="shared" ca="1" si="20"/>
        <v>415</v>
      </c>
      <c r="BJ91" s="1">
        <f t="shared" ca="1" si="20"/>
        <v>507</v>
      </c>
      <c r="BK91" s="1">
        <f t="shared" ca="1" si="20"/>
        <v>747</v>
      </c>
      <c r="BL91" s="1">
        <f t="shared" ca="1" si="20"/>
        <v>743</v>
      </c>
      <c r="BM91" s="1">
        <f t="shared" ca="1" si="20"/>
        <v>736</v>
      </c>
      <c r="BN91" s="1">
        <f t="shared" ca="1" si="20"/>
        <v>1028</v>
      </c>
      <c r="BO91" s="1">
        <f t="shared" ca="1" si="20"/>
        <v>1162</v>
      </c>
      <c r="BP91" s="1">
        <f t="shared" ca="1" si="20"/>
        <v>1304</v>
      </c>
      <c r="BQ91" s="1">
        <f t="shared" ref="BQ91:BV91" ca="1" si="21">BQ61-BQ73-BQ85</f>
        <v>0</v>
      </c>
      <c r="BR91" s="1">
        <f t="shared" ca="1" si="21"/>
        <v>0</v>
      </c>
      <c r="BS91" s="1">
        <f t="shared" ca="1" si="21"/>
        <v>0</v>
      </c>
      <c r="BT91" s="1">
        <f t="shared" ca="1" si="21"/>
        <v>0</v>
      </c>
      <c r="BU91" s="1">
        <f t="shared" ca="1" si="21"/>
        <v>0</v>
      </c>
      <c r="BV91" s="1">
        <f t="shared" ca="1" si="21"/>
        <v>0</v>
      </c>
    </row>
    <row r="92" spans="1:74" x14ac:dyDescent="0.25">
      <c r="C92" s="1" t="str">
        <f>C11</f>
        <v>Switzerland Geneva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0</v>
      </c>
      <c r="AN92" s="1">
        <f t="shared" ca="1" si="23"/>
        <v>1</v>
      </c>
      <c r="AO92" s="1">
        <f t="shared" ca="1" si="23"/>
        <v>1</v>
      </c>
      <c r="AP92" s="1">
        <f t="shared" ca="1" si="23"/>
        <v>3</v>
      </c>
      <c r="AQ92" s="1">
        <f t="shared" ca="1" si="23"/>
        <v>5</v>
      </c>
      <c r="AR92" s="1">
        <f t="shared" ca="1" si="23"/>
        <v>7</v>
      </c>
      <c r="AS92" s="1">
        <f t="shared" ca="1" si="23"/>
        <v>7</v>
      </c>
      <c r="AT92" s="1">
        <f t="shared" ca="1" si="23"/>
        <v>9</v>
      </c>
      <c r="AU92" s="1">
        <f t="shared" ca="1" si="23"/>
        <v>9</v>
      </c>
      <c r="AV92" s="1">
        <f t="shared" ca="1" si="23"/>
        <v>13</v>
      </c>
      <c r="AW92" s="1">
        <f t="shared" ca="1" si="23"/>
        <v>17</v>
      </c>
      <c r="AX92" s="1">
        <f t="shared" ca="1" si="23"/>
        <v>26</v>
      </c>
      <c r="AY92" s="1">
        <f t="shared" ca="1" si="23"/>
        <v>35</v>
      </c>
      <c r="AZ92" s="1">
        <f t="shared" ca="1" si="23"/>
        <v>43</v>
      </c>
      <c r="BA92" s="1">
        <f t="shared" ca="1" si="23"/>
        <v>66</v>
      </c>
      <c r="BB92" s="1">
        <f t="shared" ca="1" si="23"/>
        <v>77</v>
      </c>
      <c r="BC92" s="1">
        <f t="shared" ca="1" si="23"/>
        <v>106</v>
      </c>
      <c r="BD92" s="1">
        <f t="shared" ca="1" si="23"/>
        <v>170</v>
      </c>
      <c r="BE92" s="1">
        <f t="shared" ca="1" si="23"/>
        <v>277</v>
      </c>
      <c r="BF92" s="1">
        <f t="shared" ca="1" si="23"/>
        <v>365</v>
      </c>
      <c r="BG92" s="1">
        <f t="shared" ca="1" si="23"/>
        <v>465</v>
      </c>
      <c r="BH92" s="1">
        <f t="shared" ca="1" si="23"/>
        <v>610</v>
      </c>
      <c r="BI92" s="1">
        <f t="shared" ca="1" si="23"/>
        <v>742</v>
      </c>
      <c r="BJ92" s="1">
        <f t="shared" ca="1" si="23"/>
        <v>948</v>
      </c>
      <c r="BK92" s="1">
        <f t="shared" ca="1" si="23"/>
        <v>1119</v>
      </c>
      <c r="BL92" s="1">
        <f t="shared" ca="1" si="23"/>
        <v>1236</v>
      </c>
      <c r="BM92" s="1">
        <f t="shared" ca="1" si="23"/>
        <v>1382</v>
      </c>
      <c r="BN92" s="1">
        <f t="shared" ca="1" si="23"/>
        <v>1465</v>
      </c>
      <c r="BO92" s="1">
        <f t="shared" ca="1" si="23"/>
        <v>1530</v>
      </c>
      <c r="BP92" s="1">
        <f t="shared" ca="1" si="23"/>
        <v>1629</v>
      </c>
      <c r="BQ92" s="1">
        <f t="shared" ref="BQ92:BV92" ca="1" si="24">BQ62-BQ74-BQ86</f>
        <v>0</v>
      </c>
      <c r="BR92" s="1">
        <f t="shared" ca="1" si="24"/>
        <v>0</v>
      </c>
      <c r="BS92" s="1">
        <f t="shared" ca="1" si="24"/>
        <v>0</v>
      </c>
      <c r="BT92" s="1">
        <f t="shared" ca="1" si="24"/>
        <v>0</v>
      </c>
      <c r="BU92" s="1">
        <f t="shared" ca="1" si="24"/>
        <v>0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144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>
        <f t="shared" ref="BQ94:BV94" ca="1" si="27">BQ58</f>
        <v>0</v>
      </c>
      <c r="BR94" s="5">
        <f t="shared" ca="1" si="27"/>
        <v>0</v>
      </c>
      <c r="BS94" s="5">
        <f t="shared" ca="1" si="27"/>
        <v>0</v>
      </c>
      <c r="BT94" s="5">
        <f t="shared" ca="1" si="27"/>
        <v>0</v>
      </c>
      <c r="BU94" s="5">
        <f t="shared" ca="1" si="27"/>
        <v>0</v>
      </c>
      <c r="BV94" s="5">
        <f t="shared" ca="1" si="27"/>
        <v>0</v>
      </c>
    </row>
    <row r="95" spans="1:74" x14ac:dyDescent="0.25">
      <c r="C95" s="1" t="str">
        <f>C8</f>
        <v>Switzerland Ticino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0</v>
      </c>
      <c r="T95" s="1">
        <f t="shared" ca="1" si="28"/>
        <v>0</v>
      </c>
      <c r="U95" s="1">
        <f t="shared" ca="1" si="28"/>
        <v>0</v>
      </c>
      <c r="V95" s="1">
        <f t="shared" ca="1" si="28"/>
        <v>0</v>
      </c>
      <c r="W95" s="1">
        <f t="shared" ca="1" si="28"/>
        <v>0</v>
      </c>
      <c r="X95" s="1">
        <f t="shared" ca="1" si="28"/>
        <v>0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8"/>
        <v>0</v>
      </c>
      <c r="AC95" s="1">
        <f t="shared" ca="1" si="28"/>
        <v>0</v>
      </c>
      <c r="AD95" s="1">
        <f t="shared" ca="1" si="28"/>
        <v>0</v>
      </c>
      <c r="AE95" s="1">
        <f t="shared" ca="1" si="28"/>
        <v>0</v>
      </c>
      <c r="AF95" s="1">
        <f t="shared" ca="1" si="28"/>
        <v>0</v>
      </c>
      <c r="AG95" s="1">
        <f t="shared" ca="1" si="28"/>
        <v>0</v>
      </c>
      <c r="AH95" s="1">
        <f t="shared" ca="1" si="28"/>
        <v>0</v>
      </c>
      <c r="AI95" s="1">
        <f t="shared" ca="1" si="28"/>
        <v>0</v>
      </c>
      <c r="AJ95" s="1">
        <f t="shared" ca="1" si="28"/>
        <v>0</v>
      </c>
      <c r="AK95" s="1">
        <f t="shared" ref="AK95:BP95" ca="1" si="29">AK71-AK65</f>
        <v>0</v>
      </c>
      <c r="AL95" s="1">
        <f t="shared" ca="1" si="29"/>
        <v>0</v>
      </c>
      <c r="AM95" s="1">
        <f t="shared" ca="1" si="29"/>
        <v>0</v>
      </c>
      <c r="AN95" s="1">
        <f t="shared" ca="1" si="29"/>
        <v>0</v>
      </c>
      <c r="AO95" s="1">
        <f t="shared" ca="1" si="29"/>
        <v>0</v>
      </c>
      <c r="AP95" s="1">
        <f t="shared" ca="1" si="29"/>
        <v>0</v>
      </c>
      <c r="AQ95" s="1">
        <f t="shared" ca="1" si="29"/>
        <v>0</v>
      </c>
      <c r="AR95" s="1">
        <f t="shared" ca="1" si="29"/>
        <v>0</v>
      </c>
      <c r="AS95" s="1">
        <f t="shared" ca="1" si="29"/>
        <v>0</v>
      </c>
      <c r="AT95" s="1">
        <f t="shared" ca="1" si="29"/>
        <v>0</v>
      </c>
      <c r="AU95" s="1">
        <f t="shared" ca="1" si="29"/>
        <v>0</v>
      </c>
      <c r="AV95" s="1">
        <f t="shared" ca="1" si="29"/>
        <v>0</v>
      </c>
      <c r="AW95" s="1">
        <f t="shared" ca="1" si="29"/>
        <v>0</v>
      </c>
      <c r="AX95" s="1">
        <f t="shared" ca="1" si="29"/>
        <v>0</v>
      </c>
      <c r="AY95" s="1">
        <f t="shared" ca="1" si="29"/>
        <v>0</v>
      </c>
      <c r="AZ95" s="1">
        <f t="shared" ca="1" si="29"/>
        <v>0</v>
      </c>
      <c r="BA95" s="1">
        <f t="shared" ca="1" si="29"/>
        <v>0</v>
      </c>
      <c r="BB95" s="1">
        <f t="shared" ca="1" si="29"/>
        <v>0</v>
      </c>
      <c r="BC95" s="1">
        <f t="shared" ca="1" si="29"/>
        <v>0</v>
      </c>
      <c r="BD95" s="1">
        <f t="shared" ca="1" si="29"/>
        <v>0</v>
      </c>
      <c r="BE95" s="1">
        <f t="shared" ca="1" si="29"/>
        <v>0</v>
      </c>
      <c r="BF95" s="1">
        <f t="shared" ca="1" si="29"/>
        <v>0</v>
      </c>
      <c r="BG95" s="1">
        <f t="shared" ca="1" si="29"/>
        <v>0</v>
      </c>
      <c r="BH95" s="1">
        <f t="shared" ca="1" si="29"/>
        <v>0</v>
      </c>
      <c r="BI95" s="1">
        <f t="shared" ca="1" si="29"/>
        <v>0</v>
      </c>
      <c r="BJ95" s="1">
        <f t="shared" ca="1" si="29"/>
        <v>0</v>
      </c>
      <c r="BK95" s="1">
        <f t="shared" ca="1" si="29"/>
        <v>0</v>
      </c>
      <c r="BL95" s="1">
        <f t="shared" ca="1" si="29"/>
        <v>0</v>
      </c>
      <c r="BM95" s="1">
        <f t="shared" ca="1" si="29"/>
        <v>0</v>
      </c>
      <c r="BN95" s="1">
        <f t="shared" ca="1" si="29"/>
        <v>0</v>
      </c>
      <c r="BO95" s="1">
        <f t="shared" ca="1" si="29"/>
        <v>0</v>
      </c>
      <c r="BP95" s="1">
        <f t="shared" ca="1" si="29"/>
        <v>0</v>
      </c>
      <c r="BQ95" s="1">
        <f t="shared" ref="BQ95:BV95" ca="1" si="30">BQ71-BQ65</f>
        <v>0</v>
      </c>
      <c r="BR95" s="1">
        <f t="shared" ca="1" si="30"/>
        <v>0</v>
      </c>
      <c r="BS95" s="1">
        <f t="shared" ca="1" si="30"/>
        <v>0</v>
      </c>
      <c r="BT95" s="1">
        <f t="shared" ca="1" si="30"/>
        <v>0</v>
      </c>
      <c r="BU95" s="1">
        <f t="shared" ca="1" si="30"/>
        <v>0</v>
      </c>
      <c r="BV95" s="1">
        <f t="shared" ca="1" si="30"/>
        <v>0</v>
      </c>
    </row>
    <row r="96" spans="1:74" x14ac:dyDescent="0.25">
      <c r="C96" s="1" t="str">
        <f>C9</f>
        <v>Switzerland Vaud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0</v>
      </c>
      <c r="AD96" s="1">
        <f t="shared" ca="1" si="31"/>
        <v>0</v>
      </c>
      <c r="AE96" s="1">
        <f t="shared" ca="1" si="31"/>
        <v>0</v>
      </c>
      <c r="AF96" s="1">
        <f t="shared" ca="1" si="31"/>
        <v>0</v>
      </c>
      <c r="AG96" s="1">
        <f t="shared" ca="1" si="31"/>
        <v>0</v>
      </c>
      <c r="AH96" s="1">
        <f t="shared" ca="1" si="31"/>
        <v>0</v>
      </c>
      <c r="AI96" s="1">
        <f t="shared" ca="1" si="31"/>
        <v>0</v>
      </c>
      <c r="AJ96" s="1">
        <f t="shared" ca="1" si="31"/>
        <v>0</v>
      </c>
      <c r="AK96" s="1">
        <f t="shared" ref="AK96:BP96" ca="1" si="32">AK72-AK66</f>
        <v>0</v>
      </c>
      <c r="AL96" s="1">
        <f t="shared" ca="1" si="32"/>
        <v>0</v>
      </c>
      <c r="AM96" s="1">
        <f t="shared" ca="1" si="32"/>
        <v>0</v>
      </c>
      <c r="AN96" s="1">
        <f t="shared" ca="1" si="32"/>
        <v>0</v>
      </c>
      <c r="AO96" s="1">
        <f t="shared" ca="1" si="32"/>
        <v>0</v>
      </c>
      <c r="AP96" s="1">
        <f t="shared" ca="1" si="32"/>
        <v>0</v>
      </c>
      <c r="AQ96" s="1">
        <f t="shared" ca="1" si="32"/>
        <v>0</v>
      </c>
      <c r="AR96" s="1">
        <f t="shared" ca="1" si="32"/>
        <v>0</v>
      </c>
      <c r="AS96" s="1">
        <f t="shared" ca="1" si="32"/>
        <v>0</v>
      </c>
      <c r="AT96" s="1">
        <f t="shared" ca="1" si="32"/>
        <v>0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0</v>
      </c>
      <c r="BK96" s="1">
        <f t="shared" ca="1" si="32"/>
        <v>11</v>
      </c>
      <c r="BL96" s="1">
        <f t="shared" ca="1" si="32"/>
        <v>15</v>
      </c>
      <c r="BM96" s="1">
        <f t="shared" ca="1" si="32"/>
        <v>24</v>
      </c>
      <c r="BN96" s="1">
        <f t="shared" ca="1" si="32"/>
        <v>34</v>
      </c>
      <c r="BO96" s="1">
        <f t="shared" ca="1" si="32"/>
        <v>56</v>
      </c>
      <c r="BP96" s="1">
        <f t="shared" ca="1" si="32"/>
        <v>87</v>
      </c>
      <c r="BQ96" s="1">
        <f t="shared" ref="BQ96:BV96" ca="1" si="33">BQ72-BQ66</f>
        <v>0</v>
      </c>
      <c r="BR96" s="1">
        <f t="shared" ca="1" si="33"/>
        <v>0</v>
      </c>
      <c r="BS96" s="1">
        <f t="shared" ca="1" si="33"/>
        <v>0</v>
      </c>
      <c r="BT96" s="1">
        <f t="shared" ca="1" si="33"/>
        <v>0</v>
      </c>
      <c r="BU96" s="1">
        <f t="shared" ca="1" si="33"/>
        <v>0</v>
      </c>
      <c r="BV96" s="1">
        <f t="shared" ca="1" si="33"/>
        <v>0</v>
      </c>
    </row>
    <row r="97" spans="1:74" x14ac:dyDescent="0.25">
      <c r="C97" s="1" t="str">
        <f>C10</f>
        <v>Switzerland Zurich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0</v>
      </c>
      <c r="T97" s="1">
        <f t="shared" ca="1" si="34"/>
        <v>0</v>
      </c>
      <c r="U97" s="1">
        <f t="shared" ca="1" si="34"/>
        <v>0</v>
      </c>
      <c r="V97" s="1">
        <f t="shared" ca="1" si="34"/>
        <v>0</v>
      </c>
      <c r="W97" s="1">
        <f t="shared" ca="1" si="34"/>
        <v>0</v>
      </c>
      <c r="X97" s="1">
        <f t="shared" ca="1" si="34"/>
        <v>0</v>
      </c>
      <c r="Y97" s="1">
        <f t="shared" ca="1" si="34"/>
        <v>0</v>
      </c>
      <c r="Z97" s="1">
        <f t="shared" ca="1" si="34"/>
        <v>0</v>
      </c>
      <c r="AA97" s="1">
        <f t="shared" ca="1" si="34"/>
        <v>0</v>
      </c>
      <c r="AB97" s="1">
        <f t="shared" ca="1" si="34"/>
        <v>0</v>
      </c>
      <c r="AC97" s="1">
        <f t="shared" ca="1" si="34"/>
        <v>0</v>
      </c>
      <c r="AD97" s="1">
        <f t="shared" ca="1" si="34"/>
        <v>0</v>
      </c>
      <c r="AE97" s="1">
        <f t="shared" ca="1" si="34"/>
        <v>0</v>
      </c>
      <c r="AF97" s="1">
        <f t="shared" ca="1" si="34"/>
        <v>0</v>
      </c>
      <c r="AG97" s="1">
        <f t="shared" ca="1" si="34"/>
        <v>0</v>
      </c>
      <c r="AH97" s="1">
        <f t="shared" ca="1" si="34"/>
        <v>0</v>
      </c>
      <c r="AI97" s="1">
        <f t="shared" ca="1" si="34"/>
        <v>0</v>
      </c>
      <c r="AJ97" s="1">
        <f t="shared" ca="1" si="34"/>
        <v>0</v>
      </c>
      <c r="AK97" s="1">
        <f t="shared" ref="AK97:BP97" ca="1" si="35">AK73-AK67</f>
        <v>0</v>
      </c>
      <c r="AL97" s="1">
        <f t="shared" ca="1" si="35"/>
        <v>0</v>
      </c>
      <c r="AM97" s="1">
        <f t="shared" ca="1" si="35"/>
        <v>0</v>
      </c>
      <c r="AN97" s="1">
        <f t="shared" ca="1" si="35"/>
        <v>0</v>
      </c>
      <c r="AO97" s="1">
        <f t="shared" ca="1" si="35"/>
        <v>0</v>
      </c>
      <c r="AP97" s="1">
        <f t="shared" ca="1" si="35"/>
        <v>0</v>
      </c>
      <c r="AQ97" s="1">
        <f t="shared" ca="1" si="35"/>
        <v>0</v>
      </c>
      <c r="AR97" s="1">
        <f t="shared" ca="1" si="35"/>
        <v>0</v>
      </c>
      <c r="AS97" s="1">
        <f t="shared" ca="1" si="35"/>
        <v>0</v>
      </c>
      <c r="AT97" s="1">
        <f t="shared" ca="1" si="35"/>
        <v>0</v>
      </c>
      <c r="AU97" s="1">
        <f t="shared" ca="1" si="35"/>
        <v>0</v>
      </c>
      <c r="AV97" s="1">
        <f t="shared" ca="1" si="35"/>
        <v>0</v>
      </c>
      <c r="AW97" s="1">
        <f t="shared" ca="1" si="35"/>
        <v>0</v>
      </c>
      <c r="AX97" s="1">
        <f t="shared" ca="1" si="35"/>
        <v>0</v>
      </c>
      <c r="AY97" s="1">
        <f t="shared" ca="1" si="35"/>
        <v>0</v>
      </c>
      <c r="AZ97" s="1">
        <f t="shared" ca="1" si="35"/>
        <v>0</v>
      </c>
      <c r="BA97" s="1">
        <f t="shared" ca="1" si="35"/>
        <v>0</v>
      </c>
      <c r="BB97" s="1">
        <f t="shared" ca="1" si="35"/>
        <v>0</v>
      </c>
      <c r="BC97" s="1">
        <f t="shared" ca="1" si="35"/>
        <v>1</v>
      </c>
      <c r="BD97" s="1">
        <f t="shared" ca="1" si="35"/>
        <v>2</v>
      </c>
      <c r="BE97" s="1">
        <f t="shared" ca="1" si="35"/>
        <v>2</v>
      </c>
      <c r="BF97" s="1">
        <f t="shared" ca="1" si="35"/>
        <v>2</v>
      </c>
      <c r="BG97" s="1">
        <f t="shared" ca="1" si="35"/>
        <v>1</v>
      </c>
      <c r="BH97" s="1">
        <f t="shared" ca="1" si="35"/>
        <v>8</v>
      </c>
      <c r="BI97" s="1">
        <f t="shared" ca="1" si="35"/>
        <v>8</v>
      </c>
      <c r="BJ97" s="1">
        <f t="shared" ca="1" si="35"/>
        <v>16</v>
      </c>
      <c r="BK97" s="1">
        <f t="shared" ca="1" si="35"/>
        <v>23</v>
      </c>
      <c r="BL97" s="1">
        <f t="shared" ca="1" si="35"/>
        <v>27</v>
      </c>
      <c r="BM97" s="1">
        <f t="shared" ca="1" si="35"/>
        <v>34</v>
      </c>
      <c r="BN97" s="1">
        <f t="shared" ca="1" si="35"/>
        <v>35</v>
      </c>
      <c r="BO97" s="1">
        <f t="shared" ca="1" si="35"/>
        <v>44</v>
      </c>
      <c r="BP97" s="1">
        <f t="shared" ca="1" si="35"/>
        <v>52</v>
      </c>
      <c r="BQ97" s="1">
        <f t="shared" ref="BQ97:BV97" ca="1" si="36">BQ73-BQ67</f>
        <v>0</v>
      </c>
      <c r="BR97" s="1">
        <f t="shared" ca="1" si="36"/>
        <v>0</v>
      </c>
      <c r="BS97" s="1">
        <f t="shared" ca="1" si="36"/>
        <v>0</v>
      </c>
      <c r="BT97" s="1">
        <f t="shared" ca="1" si="36"/>
        <v>0</v>
      </c>
      <c r="BU97" s="1">
        <f t="shared" ca="1" si="36"/>
        <v>0</v>
      </c>
      <c r="BV97" s="1">
        <f t="shared" ca="1" si="36"/>
        <v>0</v>
      </c>
    </row>
    <row r="98" spans="1:74" x14ac:dyDescent="0.25">
      <c r="C98" s="1" t="str">
        <f>C11</f>
        <v>Switzerland Geneva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0</v>
      </c>
      <c r="BD98" s="1">
        <f t="shared" ca="1" si="38"/>
        <v>1</v>
      </c>
      <c r="BE98" s="1">
        <f t="shared" ca="1" si="38"/>
        <v>3</v>
      </c>
      <c r="BF98" s="1">
        <f t="shared" ca="1" si="38"/>
        <v>3</v>
      </c>
      <c r="BG98" s="1">
        <f t="shared" ca="1" si="38"/>
        <v>3</v>
      </c>
      <c r="BH98" s="1">
        <f t="shared" ca="1" si="38"/>
        <v>5</v>
      </c>
      <c r="BI98" s="1">
        <f t="shared" ca="1" si="38"/>
        <v>4</v>
      </c>
      <c r="BJ98" s="1">
        <f t="shared" ca="1" si="38"/>
        <v>8</v>
      </c>
      <c r="BK98" s="1">
        <f t="shared" ca="1" si="38"/>
        <v>9</v>
      </c>
      <c r="BL98" s="1">
        <f t="shared" ca="1" si="38"/>
        <v>16</v>
      </c>
      <c r="BM98" s="1">
        <f t="shared" ca="1" si="38"/>
        <v>26</v>
      </c>
      <c r="BN98" s="1">
        <f t="shared" ca="1" si="38"/>
        <v>35</v>
      </c>
      <c r="BO98" s="1">
        <f t="shared" ca="1" si="38"/>
        <v>56</v>
      </c>
      <c r="BP98" s="1">
        <f t="shared" ca="1" si="38"/>
        <v>64</v>
      </c>
      <c r="BQ98" s="1">
        <f t="shared" ref="BQ98:BV98" ca="1" si="39">BQ74-BQ68</f>
        <v>0</v>
      </c>
      <c r="BR98" s="1">
        <f t="shared" ca="1" si="39"/>
        <v>0</v>
      </c>
      <c r="BS98" s="1">
        <f t="shared" ca="1" si="39"/>
        <v>0</v>
      </c>
      <c r="BT98" s="1">
        <f t="shared" ca="1" si="39"/>
        <v>0</v>
      </c>
      <c r="BU98" s="1">
        <f t="shared" ca="1" si="39"/>
        <v>0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137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Last Trend</v>
      </c>
      <c r="BR100" s="4" cm="1">
        <f t="array" aca="1" ref="BR100" ca="1">INDIRECT(ADDRESS($B100,BR$50+$A100,1,1,"Confirmed Trend"))</f>
        <v>0</v>
      </c>
      <c r="BS100" s="4" cm="1">
        <f t="array" aca="1" ref="BS100" ca="1">INDIRECT(ADDRESS($B100,BS$50+$A100,1,1,"Confirmed Trend"))</f>
        <v>0</v>
      </c>
      <c r="BT100" s="4" cm="1">
        <f t="array" aca="1" ref="BT100" ca="1">INDIRECT(ADDRESS($B100,BT$50+$A100,1,1,"Confirmed Trend"))</f>
        <v>0</v>
      </c>
      <c r="BU100" s="4" cm="1">
        <f t="array" aca="1" ref="BU100" ca="1">INDIRECT(ADDRESS($B100,BU$50+$A100,1,1,"Confirmed Trend"))</f>
        <v>0</v>
      </c>
      <c r="BV100" s="4" cm="1">
        <f t="array" aca="1" ref="BV100" ca="1">INDIRECT(ADDRESS($B100,BV$50+$A100,1,1,"Confirmed Trend"))</f>
        <v>0</v>
      </c>
    </row>
    <row r="101" spans="1:74" x14ac:dyDescent="0.25">
      <c r="A101">
        <v>6</v>
      </c>
      <c r="B101">
        <f ca="1">MATCH($C101,INDIRECT("'"&amp;$C$100&amp;"'!A:A"),0)</f>
        <v>23</v>
      </c>
      <c r="C101" s="1" t="str">
        <f>C8</f>
        <v>Switzerland Ticino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0</v>
      </c>
      <c r="Z101" s="3" cm="1">
        <f t="array" aca="1" ref="Z101" ca="1">INDIRECT(ADDRESS($B101,Z$50+$A101,1,1,$C$100))</f>
        <v>0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</v>
      </c>
      <c r="AJ101" s="3" cm="1">
        <f t="array" aca="1" ref="AJ101" ca="1">INDIRECT(ADDRESS($B101,AJ$50+$A101,1,1,$C$100))</f>
        <v>0</v>
      </c>
      <c r="AK101" s="3" cm="1">
        <f t="array" aca="1" ref="AK101" ca="1">INDIRECT(ADDRESS($B101,AK$50+$A101,1,1,$C$100))</f>
        <v>0</v>
      </c>
      <c r="AL101" s="3" cm="1">
        <f t="array" aca="1" ref="AL101" ca="1">INDIRECT(ADDRESS($B101,AL$50+$A101,1,1,$C$100))</f>
        <v>0</v>
      </c>
      <c r="AM101" s="3" cm="1">
        <f t="array" aca="1" ref="AM101" ca="1">INDIRECT(ADDRESS($B101,AM$50+$A101,1,1,$C$100))</f>
        <v>0</v>
      </c>
      <c r="AN101" s="3" cm="1">
        <f t="array" aca="1" ref="AN101" ca="1">INDIRECT(ADDRESS($B101,AN$50+$A101,1,1,$C$100))</f>
        <v>0</v>
      </c>
      <c r="AO101" s="3" cm="1">
        <f t="array" aca="1" ref="AO101" ca="1">INDIRECT(ADDRESS($B101,AO$50+$A101,1,1,$C$100))</f>
        <v>0</v>
      </c>
      <c r="AP101" s="3" cm="1">
        <f t="array" aca="1" ref="AP101" ca="1">INDIRECT(ADDRESS($B101,AP$50+$A101,1,1,$C$100))</f>
        <v>0</v>
      </c>
      <c r="AQ101" s="3" cm="1">
        <f t="array" aca="1" ref="AQ101" ca="1">INDIRECT(ADDRESS($B101,AQ$50+$A101,1,1,$C$100))</f>
        <v>0</v>
      </c>
      <c r="AR101" s="3" cm="1">
        <f t="array" aca="1" ref="AR101" ca="1">INDIRECT(ADDRESS($B101,AR$50+$A101,1,1,$C$100))</f>
        <v>0</v>
      </c>
      <c r="AS101" s="3" cm="1">
        <f t="array" aca="1" ref="AS101" ca="1">INDIRECT(ADDRESS($B101,AS$50+$A101,1,1,$C$100))</f>
        <v>7.4569931800000003E-2</v>
      </c>
      <c r="AT101" s="3" cm="1">
        <f t="array" aca="1" ref="AT101" ca="1">INDIRECT(ADDRESS($B101,AT$50+$A101,1,1,$C$100))</f>
        <v>0.23593091699999999</v>
      </c>
      <c r="AU101" s="3" cm="1">
        <f t="array" aca="1" ref="AU101" ca="1">INDIRECT(ADDRESS($B101,AU$50+$A101,1,1,$C$100))</f>
        <v>0.38378257519999998</v>
      </c>
      <c r="AV101" s="3" cm="1">
        <f t="array" aca="1" ref="AV101" ca="1">INDIRECT(ADDRESS($B101,AV$50+$A101,1,1,$C$100))</f>
        <v>0.46977784020000002</v>
      </c>
      <c r="AW101" s="3" cm="1">
        <f t="array" aca="1" ref="AW101" ca="1">INDIRECT(ADDRESS($B101,AW$50+$A101,1,1,$C$100))</f>
        <v>0.39157884189999997</v>
      </c>
      <c r="AX101" s="3" cm="1">
        <f t="array" aca="1" ref="AX101" ca="1">INDIRECT(ADDRESS($B101,AX$50+$A101,1,1,$C$100))</f>
        <v>0.209896735</v>
      </c>
      <c r="AY101" s="3" cm="1">
        <f t="array" aca="1" ref="AY101" ca="1">INDIRECT(ADDRESS($B101,AY$50+$A101,1,1,$C$100))</f>
        <v>8.0624086499999997E-2</v>
      </c>
      <c r="AZ101" s="3" cm="1">
        <f t="array" aca="1" ref="AZ101" ca="1">INDIRECT(ADDRESS($B101,AZ$50+$A101,1,1,$C$100))</f>
        <v>1.7397827300000002E-2</v>
      </c>
      <c r="BA101" s="3" cm="1">
        <f t="array" aca="1" ref="BA101" ca="1">INDIRECT(ADDRESS($B101,BA$50+$A101,1,1,$C$100))</f>
        <v>0</v>
      </c>
      <c r="BB101" s="3" cm="1">
        <f t="array" aca="1" ref="BB101" ca="1">INDIRECT(ADDRESS($B101,BB$50+$A101,1,1,$C$100))</f>
        <v>0</v>
      </c>
      <c r="BC101" s="3" cm="1">
        <f t="array" aca="1" ref="BC101" ca="1">INDIRECT(ADDRESS($B101,BC$50+$A101,1,1,$C$100))</f>
        <v>0.8865381215</v>
      </c>
      <c r="BD101" s="3" cm="1">
        <f t="array" aca="1" ref="BD101" ca="1">INDIRECT(ADDRESS($B101,BD$50+$A101,1,1,$C$100))</f>
        <v>1.3311923905</v>
      </c>
      <c r="BE101" s="3" cm="1">
        <f t="array" aca="1" ref="BE101" ca="1">INDIRECT(ADDRESS($B101,BE$50+$A101,1,1,$C$100))</f>
        <v>1.6164715479</v>
      </c>
      <c r="BF101" s="3" cm="1">
        <f t="array" aca="1" ref="BF101" ca="1">INDIRECT(ADDRESS($B101,BF$50+$A101,1,1,$C$100))</f>
        <v>1.7141465052</v>
      </c>
      <c r="BG101" s="3" cm="1">
        <f t="array" aca="1" ref="BG101" ca="1">INDIRECT(ADDRESS($B101,BG$50+$A101,1,1,$C$100))</f>
        <v>0.46950148819999998</v>
      </c>
      <c r="BH101" s="3" cm="1">
        <f t="array" aca="1" ref="BH101" ca="1">INDIRECT(ADDRESS($B101,BH$50+$A101,1,1,$C$100))</f>
        <v>0.2387114316</v>
      </c>
      <c r="BI101" s="3" cm="1">
        <f t="array" aca="1" ref="BI101" ca="1">INDIRECT(ADDRESS($B101,BI$50+$A101,1,1,$C$100))</f>
        <v>0.15774258029999999</v>
      </c>
      <c r="BJ101" s="3" cm="1">
        <f t="array" aca="1" ref="BJ101" ca="1">INDIRECT(ADDRESS($B101,BJ$50+$A101,1,1,$C$100))</f>
        <v>0.1786583712</v>
      </c>
      <c r="BK101" s="3" cm="1">
        <f t="array" aca="1" ref="BK101" ca="1">INDIRECT(ADDRESS($B101,BK$50+$A101,1,1,$C$100))</f>
        <v>0.22312895720000001</v>
      </c>
      <c r="BL101" s="3" cm="1">
        <f t="array" aca="1" ref="BL101" ca="1">INDIRECT(ADDRESS($B101,BL$50+$A101,1,1,$C$100))</f>
        <v>0.23034921959999999</v>
      </c>
      <c r="BM101" s="3" cm="1">
        <f t="array" aca="1" ref="BM101" ca="1">INDIRECT(ADDRESS($B101,BM$50+$A101,1,1,$C$100))</f>
        <v>0.20816871810000001</v>
      </c>
      <c r="BN101" s="3" cm="1">
        <f t="array" aca="1" ref="BN101" ca="1">INDIRECT(ADDRESS($B101,BN$50+$A101,1,1,$C$100))</f>
        <v>0.17768615300000001</v>
      </c>
      <c r="BO101" s="3" cm="1">
        <f t="array" aca="1" ref="BO101" ca="1">INDIRECT(ADDRESS($B101,BO$50+$A101,1,1,$C$100))</f>
        <v>0.13707786299999999</v>
      </c>
      <c r="BP101" s="3" cm="1">
        <f t="array" aca="1" ref="BP101" ca="1">INDIRECT(ADDRESS($B101,BP$50+$A101,1,1,$C$100))</f>
        <v>0.1177063871</v>
      </c>
      <c r="BQ101" s="3" cm="1">
        <f t="array" aca="1" ref="BQ101" ca="1">INDIRECT(ADDRESS($B101,BQ$50+$A101,1,1,$C$100))</f>
        <v>0.11808422790000001</v>
      </c>
      <c r="BR101" s="3" cm="1">
        <f t="array" aca="1" ref="BR101" ca="1">INDIRECT(ADDRESS($B101,BR$50+$A101,1,1,$C$100))</f>
        <v>0</v>
      </c>
      <c r="BS101" s="3" cm="1">
        <f t="array" aca="1" ref="BS101" ca="1">INDIRECT(ADDRESS($B101,BS$50+$A101,1,1,$C$100))</f>
        <v>0</v>
      </c>
      <c r="BT101" s="3" cm="1">
        <f t="array" aca="1" ref="BT101" ca="1">INDIRECT(ADDRESS($B101,BT$50+$A101,1,1,$C$100))</f>
        <v>0</v>
      </c>
      <c r="BU101" s="3" cm="1">
        <f t="array" aca="1" ref="BU101" ca="1">INDIRECT(ADDRESS($B101,BU$50+$A101,1,1,$C$100))</f>
        <v>0</v>
      </c>
      <c r="BV101" s="3" cm="1">
        <f t="array" aca="1" ref="BV101" ca="1">INDIRECT(ADDRESS($B101,BV$50+$A101,1,1,$C$100))</f>
        <v>0</v>
      </c>
    </row>
    <row r="102" spans="1:74" x14ac:dyDescent="0.25">
      <c r="A102">
        <v>6</v>
      </c>
      <c r="B102">
        <f ca="1">MATCH($C102,INDIRECT("'"&amp;$C$100&amp;"'!A:A"),0)</f>
        <v>26</v>
      </c>
      <c r="C102" s="1" t="str">
        <f>C9</f>
        <v>Switzerland Vaud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</v>
      </c>
      <c r="AV102" s="3" cm="1">
        <f t="array" aca="1" ref="AV102" ca="1">INDIRECT(ADDRESS($B102,AV$50+$A102,1,1,$C$100))</f>
        <v>0</v>
      </c>
      <c r="AW102" s="3" cm="1">
        <f t="array" aca="1" ref="AW102" ca="1">INDIRECT(ADDRESS($B102,AW$50+$A102,1,1,$C$100))</f>
        <v>0</v>
      </c>
      <c r="AX102" s="3" cm="1">
        <f t="array" aca="1" ref="AX102" ca="1">INDIRECT(ADDRESS($B102,AX$50+$A102,1,1,$C$100))</f>
        <v>0</v>
      </c>
      <c r="AY102" s="3" cm="1">
        <f t="array" aca="1" ref="AY102" ca="1">INDIRECT(ADDRESS($B102,AY$50+$A102,1,1,$C$100))</f>
        <v>0</v>
      </c>
      <c r="AZ102" s="3" cm="1">
        <f t="array" aca="1" ref="AZ102" ca="1">INDIRECT(ADDRESS($B102,AZ$50+$A102,1,1,$C$100))</f>
        <v>0</v>
      </c>
      <c r="BA102" s="3" cm="1">
        <f t="array" aca="1" ref="BA102" ca="1">INDIRECT(ADDRESS($B102,BA$50+$A102,1,1,$C$100))</f>
        <v>0</v>
      </c>
      <c r="BB102" s="3" cm="1">
        <f t="array" aca="1" ref="BB102" ca="1">INDIRECT(ADDRESS($B102,BB$50+$A102,1,1,$C$100))</f>
        <v>0</v>
      </c>
      <c r="BC102" s="3" cm="1">
        <f t="array" aca="1" ref="BC102" ca="1">INDIRECT(ADDRESS($B102,BC$50+$A102,1,1,$C$100))</f>
        <v>0.38378257519999998</v>
      </c>
      <c r="BD102" s="3" cm="1">
        <f t="array" aca="1" ref="BD102" ca="1">INDIRECT(ADDRESS($B102,BD$50+$A102,1,1,$C$100))</f>
        <v>0.40237809879999997</v>
      </c>
      <c r="BE102" s="3" cm="1">
        <f t="array" aca="1" ref="BE102" ca="1">INDIRECT(ADDRESS($B102,BE$50+$A102,1,1,$C$100))</f>
        <v>0.43379567740000002</v>
      </c>
      <c r="BF102" s="3" cm="1">
        <f t="array" aca="1" ref="BF102" ca="1">INDIRECT(ADDRESS($B102,BF$50+$A102,1,1,$C$100))</f>
        <v>0.42016827750000002</v>
      </c>
      <c r="BG102" s="3" cm="1">
        <f t="array" aca="1" ref="BG102" ca="1">INDIRECT(ADDRESS($B102,BG$50+$A102,1,1,$C$100))</f>
        <v>0.38754850470000002</v>
      </c>
      <c r="BH102" s="3" cm="1">
        <f t="array" aca="1" ref="BH102" ca="1">INDIRECT(ADDRESS($B102,BH$50+$A102,1,1,$C$100))</f>
        <v>0.34289544220000001</v>
      </c>
      <c r="BI102" s="3" cm="1">
        <f t="array" aca="1" ref="BI102" ca="1">INDIRECT(ADDRESS($B102,BI$50+$A102,1,1,$C$100))</f>
        <v>0.28102434949999999</v>
      </c>
      <c r="BJ102" s="3" cm="1">
        <f t="array" aca="1" ref="BJ102" ca="1">INDIRECT(ADDRESS($B102,BJ$50+$A102,1,1,$C$100))</f>
        <v>0.28481804230000002</v>
      </c>
      <c r="BK102" s="3" cm="1">
        <f t="array" aca="1" ref="BK102" ca="1">INDIRECT(ADDRESS($B102,BK$50+$A102,1,1,$C$100))</f>
        <v>0.28440752749999998</v>
      </c>
      <c r="BL102" s="3" cm="1">
        <f t="array" aca="1" ref="BL102" ca="1">INDIRECT(ADDRESS($B102,BL$50+$A102,1,1,$C$100))</f>
        <v>0.29797782699999997</v>
      </c>
      <c r="BM102" s="3" cm="1">
        <f t="array" aca="1" ref="BM102" ca="1">INDIRECT(ADDRESS($B102,BM$50+$A102,1,1,$C$100))</f>
        <v>0.26460601389999999</v>
      </c>
      <c r="BN102" s="3" cm="1">
        <f t="array" aca="1" ref="BN102" ca="1">INDIRECT(ADDRESS($B102,BN$50+$A102,1,1,$C$100))</f>
        <v>0.19192532039999999</v>
      </c>
      <c r="BO102" s="3" cm="1">
        <f t="array" aca="1" ref="BO102" ca="1">INDIRECT(ADDRESS($B102,BO$50+$A102,1,1,$C$100))</f>
        <v>0.1378343719</v>
      </c>
      <c r="BP102" s="3" cm="1">
        <f t="array" aca="1" ref="BP102" ca="1">INDIRECT(ADDRESS($B102,BP$50+$A102,1,1,$C$100))</f>
        <v>9.4484139300000006E-2</v>
      </c>
      <c r="BQ102" s="3" cm="1">
        <f t="array" aca="1" ref="BQ102" ca="1">INDIRECT(ADDRESS($B102,BQ$50+$A102,1,1,$C$100))</f>
        <v>2.4514338600000001E-2</v>
      </c>
      <c r="BR102" s="3" cm="1">
        <f t="array" aca="1" ref="BR102" ca="1">INDIRECT(ADDRESS($B102,BR$50+$A102,1,1,$C$100))</f>
        <v>0</v>
      </c>
      <c r="BS102" s="3" cm="1">
        <f t="array" aca="1" ref="BS102" ca="1">INDIRECT(ADDRESS($B102,BS$50+$A102,1,1,$C$100))</f>
        <v>0</v>
      </c>
      <c r="BT102" s="3" cm="1">
        <f t="array" aca="1" ref="BT102" ca="1">INDIRECT(ADDRESS($B102,BT$50+$A102,1,1,$C$100))</f>
        <v>0</v>
      </c>
      <c r="BU102" s="3" cm="1">
        <f t="array" aca="1" ref="BU102" ca="1">INDIRECT(ADDRESS($B102,BU$50+$A102,1,1,$C$100))</f>
        <v>0</v>
      </c>
      <c r="BV102" s="3" cm="1">
        <f t="array" aca="1" ref="BV102" ca="1">INDIRECT(ADDRESS($B102,BV$50+$A102,1,1,$C$100))</f>
        <v>0</v>
      </c>
    </row>
    <row r="103" spans="1:74" x14ac:dyDescent="0.25">
      <c r="A103">
        <v>6</v>
      </c>
      <c r="B103">
        <f ca="1">MATCH($C103,INDIRECT("'"&amp;$C$100&amp;"'!A:A"),0)</f>
        <v>28</v>
      </c>
      <c r="C103" s="1" t="str">
        <f>C10</f>
        <v>Switzerland Zurich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0</v>
      </c>
      <c r="AT103" s="3" cm="1">
        <f t="array" aca="1" ref="AT103" ca="1">INDIRECT(ADDRESS($B103,AT$50+$A103,1,1,$C$100))</f>
        <v>0</v>
      </c>
      <c r="AU103" s="3" cm="1">
        <f t="array" aca="1" ref="AU103" ca="1">INDIRECT(ADDRESS($B103,AU$50+$A103,1,1,$C$100))</f>
        <v>0.41421356240000001</v>
      </c>
      <c r="AV103" s="3" cm="1">
        <f t="array" aca="1" ref="AV103" ca="1">INDIRECT(ADDRESS($B103,AV$50+$A103,1,1,$C$100))</f>
        <v>0.57584180809999996</v>
      </c>
      <c r="AW103" s="3" cm="1">
        <f t="array" aca="1" ref="AW103" ca="1">INDIRECT(ADDRESS($B103,AW$50+$A103,1,1,$C$100))</f>
        <v>0.73205080759999996</v>
      </c>
      <c r="AX103" s="3" cm="1">
        <f t="array" aca="1" ref="AX103" ca="1">INDIRECT(ADDRESS($B103,AX$50+$A103,1,1,$C$100))</f>
        <v>0.54981363620000001</v>
      </c>
      <c r="AY103" s="3" cm="1">
        <f t="array" aca="1" ref="AY103" ca="1">INDIRECT(ADDRESS($B103,AY$50+$A103,1,1,$C$100))</f>
        <v>0.46846377729999999</v>
      </c>
      <c r="AZ103" s="3" cm="1">
        <f t="array" aca="1" ref="AZ103" ca="1">INDIRECT(ADDRESS($B103,AZ$50+$A103,1,1,$C$100))</f>
        <v>0.30405381320000002</v>
      </c>
      <c r="BA103" s="3" cm="1">
        <f t="array" aca="1" ref="BA103" ca="1">INDIRECT(ADDRESS($B103,BA$50+$A103,1,1,$C$100))</f>
        <v>0.23593091699999999</v>
      </c>
      <c r="BB103" s="3" cm="1">
        <f t="array" aca="1" ref="BB103" ca="1">INDIRECT(ADDRESS($B103,BB$50+$A103,1,1,$C$100))</f>
        <v>0.18522311559999999</v>
      </c>
      <c r="BC103" s="3" cm="1">
        <f t="array" aca="1" ref="BC103" ca="1">INDIRECT(ADDRESS($B103,BC$50+$A103,1,1,$C$100))</f>
        <v>0.2109794177</v>
      </c>
      <c r="BD103" s="3" cm="1">
        <f t="array" aca="1" ref="BD103" ca="1">INDIRECT(ADDRESS($B103,BD$50+$A103,1,1,$C$100))</f>
        <v>0.28418414250000001</v>
      </c>
      <c r="BE103" s="3" cm="1">
        <f t="array" aca="1" ref="BE103" ca="1">INDIRECT(ADDRESS($B103,BE$50+$A103,1,1,$C$100))</f>
        <v>0.3108201196</v>
      </c>
      <c r="BF103" s="3" cm="1">
        <f t="array" aca="1" ref="BF103" ca="1">INDIRECT(ADDRESS($B103,BF$50+$A103,1,1,$C$100))</f>
        <v>0.29791691910000001</v>
      </c>
      <c r="BG103" s="3" cm="1">
        <f t="array" aca="1" ref="BG103" ca="1">INDIRECT(ADDRESS($B103,BG$50+$A103,1,1,$C$100))</f>
        <v>0.28775478850000002</v>
      </c>
      <c r="BH103" s="3" cm="1">
        <f t="array" aca="1" ref="BH103" ca="1">INDIRECT(ADDRESS($B103,BH$50+$A103,1,1,$C$100))</f>
        <v>0.24715352209999999</v>
      </c>
      <c r="BI103" s="3" cm="1">
        <f t="array" aca="1" ref="BI103" ca="1">INDIRECT(ADDRESS($B103,BI$50+$A103,1,1,$C$100))</f>
        <v>0.2765960643</v>
      </c>
      <c r="BJ103" s="3" cm="1">
        <f t="array" aca="1" ref="BJ103" ca="1">INDIRECT(ADDRESS($B103,BJ$50+$A103,1,1,$C$100))</f>
        <v>0.31187595620000003</v>
      </c>
      <c r="BK103" s="3" cm="1">
        <f t="array" aca="1" ref="BK103" ca="1">INDIRECT(ADDRESS($B103,BK$50+$A103,1,1,$C$100))</f>
        <v>0.3303951316</v>
      </c>
      <c r="BL103" s="3" cm="1">
        <f t="array" aca="1" ref="BL103" ca="1">INDIRECT(ADDRESS($B103,BL$50+$A103,1,1,$C$100))</f>
        <v>0.30979784929999998</v>
      </c>
      <c r="BM103" s="3" cm="1">
        <f t="array" aca="1" ref="BM103" ca="1">INDIRECT(ADDRESS($B103,BM$50+$A103,1,1,$C$100))</f>
        <v>0.23775859569999999</v>
      </c>
      <c r="BN103" s="3" cm="1">
        <f t="array" aca="1" ref="BN103" ca="1">INDIRECT(ADDRESS($B103,BN$50+$A103,1,1,$C$100))</f>
        <v>0.2039856223</v>
      </c>
      <c r="BO103" s="3" cm="1">
        <f t="array" aca="1" ref="BO103" ca="1">INDIRECT(ADDRESS($B103,BO$50+$A103,1,1,$C$100))</f>
        <v>0.15365197250000001</v>
      </c>
      <c r="BP103" s="3" cm="1">
        <f t="array" aca="1" ref="BP103" ca="1">INDIRECT(ADDRESS($B103,BP$50+$A103,1,1,$C$100))</f>
        <v>0.15143001850000001</v>
      </c>
      <c r="BQ103" s="3" cm="1">
        <f t="array" aca="1" ref="BQ103" ca="1">INDIRECT(ADDRESS($B103,BQ$50+$A103,1,1,$C$100))</f>
        <v>0.1255161024</v>
      </c>
      <c r="BR103" s="3" cm="1">
        <f t="array" aca="1" ref="BR103" ca="1">INDIRECT(ADDRESS($B103,BR$50+$A103,1,1,$C$100))</f>
        <v>0</v>
      </c>
      <c r="BS103" s="3" cm="1">
        <f t="array" aca="1" ref="BS103" ca="1">INDIRECT(ADDRESS($B103,BS$50+$A103,1,1,$C$100))</f>
        <v>0</v>
      </c>
      <c r="BT103" s="3" cm="1">
        <f t="array" aca="1" ref="BT103" ca="1">INDIRECT(ADDRESS($B103,BT$50+$A103,1,1,$C$100))</f>
        <v>0</v>
      </c>
      <c r="BU103" s="3" cm="1">
        <f t="array" aca="1" ref="BU103" ca="1">INDIRECT(ADDRESS($B103,BU$50+$A103,1,1,$C$100))</f>
        <v>0</v>
      </c>
      <c r="BV103" s="3" cm="1">
        <f t="array" aca="1" ref="BV103" ca="1">INDIRECT(ADDRESS($B103,BV$50+$A103,1,1,$C$100))</f>
        <v>0</v>
      </c>
    </row>
    <row r="104" spans="1:74" x14ac:dyDescent="0.25">
      <c r="A104">
        <v>6</v>
      </c>
      <c r="B104">
        <f ca="1">MATCH($C104,INDIRECT("'"&amp;$C$100&amp;"'!A:A"),0)</f>
        <v>10</v>
      </c>
      <c r="C104" s="1" t="str">
        <f>C11</f>
        <v>Switzerland Geneva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0.46450027620000001</v>
      </c>
      <c r="AU104" s="3" cm="1">
        <f t="array" aca="1" ref="AU104" ca="1">INDIRECT(ADDRESS($B104,AU$50+$A104,1,1,$C$100))</f>
        <v>0.29099444870000002</v>
      </c>
      <c r="AV104" s="3" cm="1">
        <f t="array" aca="1" ref="AV104" ca="1">INDIRECT(ADDRESS($B104,AV$50+$A104,1,1,$C$100))</f>
        <v>0.1989956534</v>
      </c>
      <c r="AW104" s="3" cm="1">
        <f t="array" aca="1" ref="AW104" ca="1">INDIRECT(ADDRESS($B104,AW$50+$A104,1,1,$C$100))</f>
        <v>0.19695480230000001</v>
      </c>
      <c r="AX104" s="3" cm="1">
        <f t="array" aca="1" ref="AX104" ca="1">INDIRECT(ADDRESS($B104,AX$50+$A104,1,1,$C$100))</f>
        <v>0.24915130999999999</v>
      </c>
      <c r="AY104" s="3" cm="1">
        <f t="array" aca="1" ref="AY104" ca="1">INDIRECT(ADDRESS($B104,AY$50+$A104,1,1,$C$100))</f>
        <v>0.32904182529999998</v>
      </c>
      <c r="AZ104" s="3" cm="1">
        <f t="array" aca="1" ref="AZ104" ca="1">INDIRECT(ADDRESS($B104,AZ$50+$A104,1,1,$C$100))</f>
        <v>0.35661589519999998</v>
      </c>
      <c r="BA104" s="3" cm="1">
        <f t="array" aca="1" ref="BA104" ca="1">INDIRECT(ADDRESS($B104,BA$50+$A104,1,1,$C$100))</f>
        <v>0.39335949660000002</v>
      </c>
      <c r="BB104" s="3" cm="1">
        <f t="array" aca="1" ref="BB104" ca="1">INDIRECT(ADDRESS($B104,BB$50+$A104,1,1,$C$100))</f>
        <v>0.35897458580000002</v>
      </c>
      <c r="BC104" s="3" cm="1">
        <f t="array" aca="1" ref="BC104" ca="1">INDIRECT(ADDRESS($B104,BC$50+$A104,1,1,$C$100))</f>
        <v>0.3446566204</v>
      </c>
      <c r="BD104" s="3" cm="1">
        <f t="array" aca="1" ref="BD104" ca="1">INDIRECT(ADDRESS($B104,BD$50+$A104,1,1,$C$100))</f>
        <v>0.36074986660000002</v>
      </c>
      <c r="BE104" s="3" cm="1">
        <f t="array" aca="1" ref="BE104" ca="1">INDIRECT(ADDRESS($B104,BE$50+$A104,1,1,$C$100))</f>
        <v>0.39893573789999998</v>
      </c>
      <c r="BF104" s="3" cm="1">
        <f t="array" aca="1" ref="BF104" ca="1">INDIRECT(ADDRESS($B104,BF$50+$A104,1,1,$C$100))</f>
        <v>0.44250735289999998</v>
      </c>
      <c r="BG104" s="3" cm="1">
        <f t="array" aca="1" ref="BG104" ca="1">INDIRECT(ADDRESS($B104,BG$50+$A104,1,1,$C$100))</f>
        <v>0.44960458009999998</v>
      </c>
      <c r="BH104" s="3" cm="1">
        <f t="array" aca="1" ref="BH104" ca="1">INDIRECT(ADDRESS($B104,BH$50+$A104,1,1,$C$100))</f>
        <v>0.41982708400000002</v>
      </c>
      <c r="BI104" s="3" cm="1">
        <f t="array" aca="1" ref="BI104" ca="1">INDIRECT(ADDRESS($B104,BI$50+$A104,1,1,$C$100))</f>
        <v>0.34491645669999998</v>
      </c>
      <c r="BJ104" s="3" cm="1">
        <f t="array" aca="1" ref="BJ104" ca="1">INDIRECT(ADDRESS($B104,BJ$50+$A104,1,1,$C$100))</f>
        <v>0.29571411850000001</v>
      </c>
      <c r="BK104" s="3" cm="1">
        <f t="array" aca="1" ref="BK104" ca="1">INDIRECT(ADDRESS($B104,BK$50+$A104,1,1,$C$100))</f>
        <v>0.26110253480000001</v>
      </c>
      <c r="BL104" s="3" cm="1">
        <f t="array" aca="1" ref="BL104" ca="1">INDIRECT(ADDRESS($B104,BL$50+$A104,1,1,$C$100))</f>
        <v>0.2309528535</v>
      </c>
      <c r="BM104" s="3" cm="1">
        <f t="array" aca="1" ref="BM104" ca="1">INDIRECT(ADDRESS($B104,BM$50+$A104,1,1,$C$100))</f>
        <v>0.19964080370000001</v>
      </c>
      <c r="BN104" s="3" cm="1">
        <f t="array" aca="1" ref="BN104" ca="1">INDIRECT(ADDRESS($B104,BN$50+$A104,1,1,$C$100))</f>
        <v>0.15775349280000001</v>
      </c>
      <c r="BO104" s="3" cm="1">
        <f t="array" aca="1" ref="BO104" ca="1">INDIRECT(ADDRESS($B104,BO$50+$A104,1,1,$C$100))</f>
        <v>0.1226532884</v>
      </c>
      <c r="BP104" s="3" cm="1">
        <f t="array" aca="1" ref="BP104" ca="1">INDIRECT(ADDRESS($B104,BP$50+$A104,1,1,$C$100))</f>
        <v>9.4199650999999995E-2</v>
      </c>
      <c r="BQ104" s="3" cm="1">
        <f t="array" aca="1" ref="BQ104" ca="1">INDIRECT(ADDRESS($B104,BQ$50+$A104,1,1,$C$100))</f>
        <v>6.8836045100000007E-2</v>
      </c>
      <c r="BR104" s="3" cm="1">
        <f t="array" aca="1" ref="BR104" ca="1">INDIRECT(ADDRESS($B104,BR$50+$A104,1,1,$C$100))</f>
        <v>0</v>
      </c>
      <c r="BS104" s="3" cm="1">
        <f t="array" aca="1" ref="BS104" ca="1">INDIRECT(ADDRESS($B104,BS$50+$A104,1,1,$C$100))</f>
        <v>0</v>
      </c>
      <c r="BT104" s="3" cm="1">
        <f t="array" aca="1" ref="BT104" ca="1">INDIRECT(ADDRESS($B104,BT$50+$A104,1,1,$C$100))</f>
        <v>0</v>
      </c>
      <c r="BU104" s="3" cm="1">
        <f t="array" aca="1" ref="BU104" ca="1">INDIRECT(ADDRESS($B104,BU$50+$A104,1,1,$C$100))</f>
        <v>0</v>
      </c>
      <c r="BV104" s="3" cm="1">
        <f t="array" aca="1" ref="BV104" ca="1">INDIRECT(ADDRESS($B104,BV$50+$A104,1,1,$C$100))</f>
        <v>0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225"/>
  <sheetViews>
    <sheetView topLeftCell="A16" zoomScale="85" zoomScaleNormal="85" workbookViewId="0">
      <selection activeCell="A36" sqref="A36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164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56</v>
      </c>
      <c r="F43" cm="1">
        <f t="array" aca="1" ref="F43" ca="1">IF(INDIRECT(ADDRESS($B43+1,F$38,1,1,"Confirmed Day Zero"))=0,#N/A,INDIRECT(ADDRESS($B43+1,F$38,1,1,"Confirmed Day Zero")))</f>
        <v>90</v>
      </c>
      <c r="G43" cm="1">
        <f t="array" aca="1" ref="G43" ca="1">IF(INDIRECT(ADDRESS($B43+1,G$38,1,1,"Confirmed Day Zero"))=0,#N/A,INDIRECT(ADDRESS($B43+1,G$38,1,1,"Confirmed Day Zero")))</f>
        <v>114</v>
      </c>
      <c r="H43" cm="1">
        <f t="array" aca="1" ref="H43" ca="1">IF(INDIRECT(ADDRESS($B43+1,H$38,1,1,"Confirmed Day Zero"))=0,#N/A,INDIRECT(ADDRESS($B43+1,H$38,1,1,"Confirmed Day Zero")))</f>
        <v>214</v>
      </c>
      <c r="I43" cm="1">
        <f t="array" aca="1" ref="I43" ca="1">IF(INDIRECT(ADDRESS($B43+1,I$38,1,1,"Confirmed Day Zero"))=0,#N/A,INDIRECT(ADDRESS($B43+1,I$38,1,1,"Confirmed Day Zero")))</f>
        <v>268</v>
      </c>
      <c r="J43" cm="1">
        <f t="array" aca="1" ref="J43" ca="1">IF(INDIRECT(ADDRESS($B43+1,J$38,1,1,"Confirmed Day Zero"))=0,#N/A,INDIRECT(ADDRESS($B43+1,J$38,1,1,"Confirmed Day Zero")))</f>
        <v>337</v>
      </c>
      <c r="K43" cm="1">
        <f t="array" aca="1" ref="K43" ca="1">IF(INDIRECT(ADDRESS($B43+1,K$38,1,1,"Confirmed Day Zero"))=0,#N/A,INDIRECT(ADDRESS($B43+1,K$38,1,1,"Confirmed Day Zero")))</f>
        <v>374</v>
      </c>
      <c r="L43" cm="1">
        <f t="array" aca="1" ref="L43" ca="1">IF(INDIRECT(ADDRESS($B43+1,L$38,1,1,"Confirmed Day Zero"))=0,#N/A,INDIRECT(ADDRESS($B43+1,L$38,1,1,"Confirmed Day Zero")))</f>
        <v>491</v>
      </c>
      <c r="M43" cm="1">
        <f t="array" aca="1" ref="M43" ca="1">IF(INDIRECT(ADDRESS($B43+1,M$38,1,1,"Confirmed Day Zero"))=0,#N/A,INDIRECT(ADDRESS($B43+1,M$38,1,1,"Confirmed Day Zero")))</f>
        <v>652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1139</v>
      </c>
      <c r="P43" cm="1">
        <f t="array" aca="1" ref="P43" ca="1">IF(INDIRECT(ADDRESS($B43+1,P$38,1,1,"Confirmed Day Zero"))=0,#N/A,INDIRECT(ADDRESS($B43+1,P$38,1,1,"Confirmed Day Zero")))</f>
        <v>1359</v>
      </c>
      <c r="Q43" cm="1">
        <f t="array" aca="1" ref="Q43" ca="1">IF(INDIRECT(ADDRESS($B43+1,Q$38,1,1,"Confirmed Day Zero"))=0,#N/A,INDIRECT(ADDRESS($B43+1,Q$38,1,1,"Confirmed Day Zero")))</f>
        <v>2200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2700</v>
      </c>
      <c r="T43" cm="1">
        <f t="array" aca="1" ref="T43" ca="1">IF(INDIRECT(ADDRESS($B43+1,T$38,1,1,"Confirmed Day Zero"))=0,#N/A,INDIRECT(ADDRESS($B43+1,T$38,1,1,"Confirmed Day Zero")))</f>
        <v>3028</v>
      </c>
      <c r="U43" cm="1">
        <f t="array" aca="1" ref="U43" ca="1">IF(INDIRECT(ADDRESS($B43+1,U$38,1,1,"Confirmed Day Zero"))=0,#N/A,INDIRECT(ADDRESS($B43+1,U$38,1,1,"Confirmed Day Zero")))</f>
        <v>4075</v>
      </c>
      <c r="V43" cm="1">
        <f t="array" aca="1" ref="V43" ca="1">IF(INDIRECT(ADDRESS($B43+1,V$38,1,1,"Confirmed Day Zero"))=0,#N/A,INDIRECT(ADDRESS($B43+1,V$38,1,1,"Confirmed Day Zero")))</f>
        <v>5294</v>
      </c>
      <c r="W43" cm="1">
        <f t="array" aca="1" ref="W43" ca="1">IF(INDIRECT(ADDRESS($B43+1,W$38,1,1,"Confirmed Day Zero"))=0,#N/A,INDIRECT(ADDRESS($B43+1,W$38,1,1,"Confirmed Day Zero")))</f>
        <v>6575</v>
      </c>
      <c r="X43" cm="1">
        <f t="array" aca="1" ref="X43" ca="1">IF(INDIRECT(ADDRESS($B43+1,X$38,1,1,"Confirmed Day Zero"))=0,#N/A,INDIRECT(ADDRESS($B43+1,X$38,1,1,"Confirmed Day Zero")))</f>
        <v>7474</v>
      </c>
      <c r="Y43" cm="1">
        <f t="array" aca="1" ref="Y43" ca="1">IF(INDIRECT(ADDRESS($B43+1,Y$38,1,1,"Confirmed Day Zero"))=0,#N/A,INDIRECT(ADDRESS($B43+1,Y$38,1,1,"Confirmed Day Zero")))</f>
        <v>8795</v>
      </c>
      <c r="Z43" cm="1">
        <f t="array" aca="1" ref="Z43" ca="1">IF(INDIRECT(ADDRESS($B43+1,Z$38,1,1,"Confirmed Day Zero"))=0,#N/A,INDIRECT(ADDRESS($B43+1,Z$38,1,1,"Confirmed Day Zero")))</f>
        <v>9877</v>
      </c>
      <c r="AA43" cm="1">
        <f t="array" aca="1" ref="AA43" ca="1">IF(INDIRECT(ADDRESS($B43+1,AA$38,1,1,"Confirmed Day Zero"))=0,#N/A,INDIRECT(ADDRESS($B43+1,AA$38,1,1,"Confirmed Day Zero")))</f>
        <v>10897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102" si="8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t="e" cm="1">
        <f t="array" aca="1" ref="E45" ca="1">IF(INDIRECT(ADDRESS($B45+1,E$38,1,1,"Confirmed Day Zero"))=0,#N/A,INDIRECT(ADDRESS($B45+1,E$38,1,1,"Confirmed Day Zero")))</f>
        <v>#N/A</v>
      </c>
      <c r="F45" t="e" cm="1">
        <f t="array" aca="1" ref="F45" ca="1">IF(INDIRECT(ADDRESS($B45+1,F$38,1,1,"Confirmed Day Zero"))=0,#N/A,INDIRECT(ADDRESS($B45+1,F$38,1,1,"Confirmed Day Zero")))</f>
        <v>#N/A</v>
      </c>
      <c r="G45" t="e" cm="1">
        <f t="array" aca="1" ref="G45" ca="1">IF(INDIRECT(ADDRESS($B45+1,G$38,1,1,"Confirmed Day Zero"))=0,#N/A,INDIRECT(ADDRESS($B45+1,G$38,1,1,"Confirmed Day Zero")))</f>
        <v>#N/A</v>
      </c>
      <c r="H45" t="e" cm="1">
        <f t="array" aca="1" ref="H45" ca="1">IF(INDIRECT(ADDRESS($B45+1,H$38,1,1,"Confirmed Day Zero"))=0,#N/A,INDIRECT(ADDRESS($B45+1,H$38,1,1,"Confirmed Day Zero")))</f>
        <v>#N/A</v>
      </c>
      <c r="I45" t="e" cm="1">
        <f t="array" aca="1" ref="I45" ca="1">IF(INDIRECT(ADDRESS($B45+1,I$38,1,1,"Confirmed Day Zero"))=0,#N/A,INDIRECT(ADDRESS($B45+1,I$38,1,1,"Confirmed Day Zero")))</f>
        <v>#N/A</v>
      </c>
      <c r="J45" t="e" cm="1">
        <f t="array" aca="1" ref="J45" ca="1">IF(INDIRECT(ADDRESS($B45+1,J$38,1,1,"Confirmed Day Zero"))=0,#N/A,INDIRECT(ADDRESS($B45+1,J$38,1,1,"Confirmed Day Zero")))</f>
        <v>#N/A</v>
      </c>
      <c r="K45" t="e" cm="1">
        <f t="array" aca="1" ref="K45" ca="1">IF(INDIRECT(ADDRESS($B45+1,K$38,1,1,"Confirmed Day Zero"))=0,#N/A,INDIRECT(ADDRESS($B45+1,K$38,1,1,"Confirmed Day Zero")))</f>
        <v>#N/A</v>
      </c>
      <c r="L45" t="e" cm="1">
        <f t="array" aca="1" ref="L45" ca="1">IF(INDIRECT(ADDRESS($B45+1,L$38,1,1,"Confirmed Day Zero"))=0,#N/A,INDIRECT(ADDRESS($B45+1,L$38,1,1,"Confirmed Day Zero")))</f>
        <v>#N/A</v>
      </c>
      <c r="M45" t="e" cm="1">
        <f t="array" aca="1" ref="M45" ca="1">IF(INDIRECT(ADDRESS($B45+1,M$38,1,1,"Confirmed Day Zero"))=0,#N/A,INDIRECT(ADDRESS($B45+1,M$38,1,1,"Confirmed Day Zero")))</f>
        <v>#N/A</v>
      </c>
      <c r="N45" t="e" cm="1">
        <f t="array" aca="1" ref="N45" ca="1">IF(INDIRECT(ADDRESS($B45+1,N$38,1,1,"Confirmed Day Zero"))=0,#N/A,INDIRECT(ADDRESS($B45+1,N$38,1,1,"Confirmed Day Zero")))</f>
        <v>#N/A</v>
      </c>
      <c r="O45" t="e" cm="1">
        <f t="array" aca="1" ref="O45" ca="1">IF(INDIRECT(ADDRESS($B45+1,O$38,1,1,"Confirmed Day Zero"))=0,#N/A,INDIRECT(ADDRESS($B45+1,O$38,1,1,"Confirmed Day Zero")))</f>
        <v>#N/A</v>
      </c>
      <c r="P45" t="e" cm="1">
        <f t="array" aca="1" ref="P45" ca="1">IF(INDIRECT(ADDRESS($B45+1,P$38,1,1,"Confirmed Day Zero"))=0,#N/A,INDIRECT(ADDRESS($B45+1,P$38,1,1,"Confirmed Day Zero")))</f>
        <v>#N/A</v>
      </c>
      <c r="Q45" t="e" cm="1">
        <f t="array" aca="1" ref="Q45" ca="1">IF(INDIRECT(ADDRESS($B45+1,Q$38,1,1,"Confirmed Day Zero"))=0,#N/A,INDIRECT(ADDRESS($B45+1,Q$38,1,1,"Confirmed Day Zero")))</f>
        <v>#N/A</v>
      </c>
      <c r="R45" t="e" cm="1">
        <f t="array" aca="1" ref="R45" ca="1">IF(INDIRECT(ADDRESS($B45+1,R$38,1,1,"Confirmed Day Zero"))=0,#N/A,INDIRECT(ADDRESS($B45+1,R$38,1,1,"Confirmed Day Zero")))</f>
        <v>#N/A</v>
      </c>
      <c r="S45" t="e" cm="1">
        <f t="array" aca="1" ref="S45" ca="1">IF(INDIRECT(ADDRESS($B45+1,S$38,1,1,"Confirmed Day Zero"))=0,#N/A,INDIRECT(ADDRESS($B45+1,S$38,1,1,"Confirmed Day Zero")))</f>
        <v>#N/A</v>
      </c>
      <c r="T45" t="e" cm="1">
        <f t="array" aca="1" ref="T45" ca="1">IF(INDIRECT(ADDRESS($B45+1,T$38,1,1,"Confirmed Day Zero"))=0,#N/A,INDIRECT(ADDRESS($B45+1,T$38,1,1,"Confirmed Day Zero")))</f>
        <v>#N/A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52</v>
      </c>
      <c r="F46" cm="1">
        <f t="array" aca="1" ref="F46" ca="1">IF(INDIRECT(ADDRESS($B46+1,F$38,1,1,"Confirmed Day Zero"))=0,#N/A,INDIRECT(ADDRESS($B46+1,F$38,1,1,"Confirmed Day Zero")))</f>
        <v>67</v>
      </c>
      <c r="G46" cm="1">
        <f t="array" aca="1" ref="G46" ca="1">IF(INDIRECT(ADDRESS($B46+1,G$38,1,1,"Confirmed Day Zero"))=0,#N/A,INDIRECT(ADDRESS($B46+1,G$38,1,1,"Confirmed Day Zero")))</f>
        <v>101</v>
      </c>
      <c r="H46" cm="1">
        <f t="array" aca="1" ref="H46" ca="1">IF(INDIRECT(ADDRESS($B46+1,H$38,1,1,"Confirmed Day Zero"))=0,#N/A,INDIRECT(ADDRESS($B46+1,H$38,1,1,"Confirmed Day Zero")))</f>
        <v>118</v>
      </c>
      <c r="I46" cm="1">
        <f t="array" aca="1" ref="I46" ca="1">IF(INDIRECT(ADDRESS($B46+1,I$38,1,1,"Confirmed Day Zero"))=0,#N/A,INDIRECT(ADDRESS($B46+1,I$38,1,1,"Confirmed Day Zero")))</f>
        <v>168</v>
      </c>
      <c r="J46" cm="1">
        <f t="array" aca="1" ref="J46" ca="1">IF(INDIRECT(ADDRESS($B46+1,J$38,1,1,"Confirmed Day Zero"))=0,#N/A,INDIRECT(ADDRESS($B46+1,J$38,1,1,"Confirmed Day Zero")))</f>
        <v>168</v>
      </c>
      <c r="K46" cm="1">
        <f t="array" aca="1" ref="K46" ca="1">IF(INDIRECT(ADDRESS($B46+1,K$38,1,1,"Confirmed Day Zero"))=0,#N/A,INDIRECT(ADDRESS($B46+1,K$38,1,1,"Confirmed Day Zero")))</f>
        <v>232</v>
      </c>
      <c r="L46" cm="1">
        <f t="array" aca="1" ref="L46" ca="1">IF(INDIRECT(ADDRESS($B46+1,L$38,1,1,"Confirmed Day Zero"))=0,#N/A,INDIRECT(ADDRESS($B46+1,L$38,1,1,"Confirmed Day Zero")))</f>
        <v>241</v>
      </c>
      <c r="M46" cm="1">
        <f t="array" aca="1" ref="M46" ca="1">IF(INDIRECT(ADDRESS($B46+1,M$38,1,1,"Confirmed Day Zero"))=0,#N/A,INDIRECT(ADDRESS($B46+1,M$38,1,1,"Confirmed Day Zero")))</f>
        <v>266</v>
      </c>
      <c r="N46" cm="1">
        <f t="array" aca="1" ref="N46" ca="1">IF(INDIRECT(ADDRESS($B46+1,N$38,1,1,"Confirmed Day Zero"))=0,#N/A,INDIRECT(ADDRESS($B46+1,N$38,1,1,"Confirmed Day Zero")))</f>
        <v>319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73</v>
      </c>
      <c r="F47" cm="1">
        <f t="array" aca="1" ref="F47" ca="1">IF(INDIRECT(ADDRESS($B47+1,F$38,1,1,"Confirmed Day Zero"))=0,#N/A,INDIRECT(ADDRESS($B47+1,F$38,1,1,"Confirmed Day Zero")))</f>
        <v>92</v>
      </c>
      <c r="G47" cm="1">
        <f t="array" aca="1" ref="G47" ca="1">IF(INDIRECT(ADDRESS($B47+1,G$38,1,1,"Confirmed Day Zero"))=0,#N/A,INDIRECT(ADDRESS($B47+1,G$38,1,1,"Confirmed Day Zero")))</f>
        <v>100</v>
      </c>
      <c r="H47" cm="1">
        <f t="array" aca="1" ref="H47" ca="1">IF(INDIRECT(ADDRESS($B47+1,H$38,1,1,"Confirmed Day Zero"))=0,#N/A,INDIRECT(ADDRESS($B47+1,H$38,1,1,"Confirmed Day Zero")))</f>
        <v>100</v>
      </c>
      <c r="I47" cm="1">
        <f t="array" aca="1" ref="I47" ca="1">IF(INDIRECT(ADDRESS($B47+1,I$38,1,1,"Confirmed Day Zero"))=0,#N/A,INDIRECT(ADDRESS($B47+1,I$38,1,1,"Confirmed Day Zero")))</f>
        <v>144</v>
      </c>
      <c r="J47" cm="1">
        <f t="array" aca="1" ref="J47" ca="1">IF(INDIRECT(ADDRESS($B47+1,J$38,1,1,"Confirmed Day Zero"))=0,#N/A,INDIRECT(ADDRESS($B47+1,J$38,1,1,"Confirmed Day Zero")))</f>
        <v>165</v>
      </c>
      <c r="K47" cm="1">
        <f t="array" aca="1" ref="K47" ca="1">IF(INDIRECT(ADDRESS($B47+1,K$38,1,1,"Confirmed Day Zero"))=0,#N/A,INDIRECT(ADDRESS($B47+1,K$38,1,1,"Confirmed Day Zero")))</f>
        <v>182</v>
      </c>
      <c r="L47" cm="1">
        <f t="array" aca="1" ref="L47" ca="1">IF(INDIRECT(ADDRESS($B47+1,L$38,1,1,"Confirmed Day Zero"))=0,#N/A,INDIRECT(ADDRESS($B47+1,L$38,1,1,"Confirmed Day Zero")))</f>
        <v>222</v>
      </c>
      <c r="M47" cm="1">
        <f t="array" aca="1" ref="M47" ca="1">IF(INDIRECT(ADDRESS($B47+1,M$38,1,1,"Confirmed Day Zero"))=0,#N/A,INDIRECT(ADDRESS($B47+1,M$38,1,1,"Confirmed Day Zero")))</f>
        <v>272</v>
      </c>
      <c r="N47" cm="1">
        <f t="array" aca="1" ref="N47" ca="1">IF(INDIRECT(ADDRESS($B47+1,N$38,1,1,"Confirmed Day Zero"))=0,#N/A,INDIRECT(ADDRESS($B47+1,N$38,1,1,"Confirmed Day Zero")))</f>
        <v>299</v>
      </c>
      <c r="O47" cm="1">
        <f t="array" aca="1" ref="O47" ca="1">IF(INDIRECT(ADDRESS($B47+1,O$38,1,1,"Confirmed Day Zero"))=0,#N/A,INDIRECT(ADDRESS($B47+1,O$38,1,1,"Confirmed Day Zero")))</f>
        <v>358</v>
      </c>
      <c r="P47" cm="1">
        <f t="array" aca="1" ref="P47" ca="1">IF(INDIRECT(ADDRESS($B47+1,P$38,1,1,"Confirmed Day Zero"))=0,#N/A,INDIRECT(ADDRESS($B47+1,P$38,1,1,"Confirmed Day Zero")))</f>
        <v>376</v>
      </c>
      <c r="Q47" cm="1">
        <f t="array" aca="1" ref="Q47" ca="1">IF(INDIRECT(ADDRESS($B47+1,Q$38,1,1,"Confirmed Day Zero"))=0,#N/A,INDIRECT(ADDRESS($B47+1,Q$38,1,1,"Confirmed Day Zero")))</f>
        <v>414</v>
      </c>
      <c r="R47" cm="1">
        <f t="array" aca="1" ref="R47" ca="1">IF(INDIRECT(ADDRESS($B47+1,R$38,1,1,"Confirmed Day Zero"))=0,#N/A,INDIRECT(ADDRESS($B47+1,R$38,1,1,"Confirmed Day Zero")))</f>
        <v>466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54</v>
      </c>
      <c r="F48" cm="1">
        <f t="array" aca="1" ref="F48" ca="1">IF(INDIRECT(ADDRESS($B48+1,F$38,1,1,"Confirmed Day Zero"))=0,#N/A,INDIRECT(ADDRESS($B48+1,F$38,1,1,"Confirmed Day Zero")))</f>
        <v>76</v>
      </c>
      <c r="G48" cm="1">
        <f t="array" aca="1" ref="G48" ca="1">IF(INDIRECT(ADDRESS($B48+1,G$38,1,1,"Confirmed Day Zero"))=0,#N/A,INDIRECT(ADDRESS($B48+1,G$38,1,1,"Confirmed Day Zero")))</f>
        <v>89</v>
      </c>
      <c r="H48" cm="1">
        <f t="array" aca="1" ref="H48" ca="1">IF(INDIRECT(ADDRESS($B48+1,H$38,1,1,"Confirmed Day Zero"))=0,#N/A,INDIRECT(ADDRESS($B48+1,H$38,1,1,"Confirmed Day Zero")))</f>
        <v>116</v>
      </c>
      <c r="I48" cm="1">
        <f t="array" aca="1" ref="I48" ca="1">IF(INDIRECT(ADDRESS($B48+1,I$38,1,1,"Confirmed Day Zero"))=0,#N/A,INDIRECT(ADDRESS($B48+1,I$38,1,1,"Confirmed Day Zero")))</f>
        <v>134</v>
      </c>
      <c r="J48" cm="1">
        <f t="array" aca="1" ref="J48" ca="1">IF(INDIRECT(ADDRESS($B48+1,J$38,1,1,"Confirmed Day Zero"))=0,#N/A,INDIRECT(ADDRESS($B48+1,J$38,1,1,"Confirmed Day Zero")))</f>
        <v>184</v>
      </c>
      <c r="K48" cm="1">
        <f t="array" aca="1" ref="K48" ca="1">IF(INDIRECT(ADDRESS($B48+1,K$38,1,1,"Confirmed Day Zero"))=0,#N/A,INDIRECT(ADDRESS($B48+1,K$38,1,1,"Confirmed Day Zero")))</f>
        <v>282</v>
      </c>
      <c r="L48" cm="1">
        <f t="array" aca="1" ref="L48" ca="1">IF(INDIRECT(ADDRESS($B48+1,L$38,1,1,"Confirmed Day Zero"))=0,#N/A,INDIRECT(ADDRESS($B48+1,L$38,1,1,"Confirmed Day Zero")))</f>
        <v>289</v>
      </c>
      <c r="M48" cm="1">
        <f t="array" aca="1" ref="M48" ca="1">IF(INDIRECT(ADDRESS($B48+1,M$38,1,1,"Confirmed Day Zero"))=0,#N/A,INDIRECT(ADDRESS($B48+1,M$38,1,1,"Confirmed Day Zero")))</f>
        <v>302</v>
      </c>
      <c r="N48" cm="1">
        <f t="array" aca="1" ref="N48" ca="1">IF(INDIRECT(ADDRESS($B48+1,N$38,1,1,"Confirmed Day Zero"))=0,#N/A,INDIRECT(ADDRESS($B48+1,N$38,1,1,"Confirmed Day Zero")))</f>
        <v>306</v>
      </c>
      <c r="O48" cm="1">
        <f t="array" aca="1" ref="O48" ca="1">IF(INDIRECT(ADDRESS($B48+1,O$38,1,1,"Confirmed Day Zero"))=0,#N/A,INDIRECT(ADDRESS($B48+1,O$38,1,1,"Confirmed Day Zero")))</f>
        <v>341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123</v>
      </c>
      <c r="F49" cm="1">
        <f t="array" aca="1" ref="F49" ca="1">IF(INDIRECT(ADDRESS($B49+1,F$38,1,1,"Confirmed Day Zero"))=0,#N/A,INDIRECT(ADDRESS($B49+1,F$38,1,1,"Confirmed Day Zero")))</f>
        <v>123</v>
      </c>
      <c r="G49" cm="1">
        <f t="array" aca="1" ref="G49" ca="1">IF(INDIRECT(ADDRESS($B49+1,G$38,1,1,"Confirmed Day Zero"))=0,#N/A,INDIRECT(ADDRESS($B49+1,G$38,1,1,"Confirmed Day Zero")))</f>
        <v>193</v>
      </c>
      <c r="H49" cm="1">
        <f t="array" aca="1" ref="H49" ca="1">IF(INDIRECT(ADDRESS($B49+1,H$38,1,1,"Confirmed Day Zero"))=0,#N/A,INDIRECT(ADDRESS($B49+1,H$38,1,1,"Confirmed Day Zero")))</f>
        <v>282</v>
      </c>
      <c r="I49" cm="1">
        <f t="array" aca="1" ref="I49" ca="1">IF(INDIRECT(ADDRESS($B49+1,I$38,1,1,"Confirmed Day Zero"))=0,#N/A,INDIRECT(ADDRESS($B49+1,I$38,1,1,"Confirmed Day Zero")))</f>
        <v>377</v>
      </c>
      <c r="J49" cm="1">
        <f t="array" aca="1" ref="J49" ca="1">IF(INDIRECT(ADDRESS($B49+1,J$38,1,1,"Confirmed Day Zero"))=0,#N/A,INDIRECT(ADDRESS($B49+1,J$38,1,1,"Confirmed Day Zero")))</f>
        <v>418</v>
      </c>
      <c r="K49" cm="1">
        <f t="array" aca="1" ref="K49" ca="1">IF(INDIRECT(ADDRESS($B49+1,K$38,1,1,"Confirmed Day Zero"))=0,#N/A,INDIRECT(ADDRESS($B49+1,K$38,1,1,"Confirmed Day Zero")))</f>
        <v>418</v>
      </c>
      <c r="L49" cm="1">
        <f t="array" aca="1" ref="L49" ca="1">IF(INDIRECT(ADDRESS($B49+1,L$38,1,1,"Confirmed Day Zero"))=0,#N/A,INDIRECT(ADDRESS($B49+1,L$38,1,1,"Confirmed Day Zero")))</f>
        <v>470</v>
      </c>
      <c r="M49" cm="1">
        <f t="array" aca="1" ref="M49" ca="1">IF(INDIRECT(ADDRESS($B49+1,M$38,1,1,"Confirmed Day Zero"))=0,#N/A,INDIRECT(ADDRESS($B49+1,M$38,1,1,"Confirmed Day Zero")))</f>
        <v>532</v>
      </c>
      <c r="N49" cm="1">
        <f t="array" aca="1" ref="N49" ca="1">IF(INDIRECT(ADDRESS($B49+1,N$38,1,1,"Confirmed Day Zero"))=0,#N/A,INDIRECT(ADDRESS($B49+1,N$38,1,1,"Confirmed Day Zero")))</f>
        <v>624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59</v>
      </c>
      <c r="F50" cm="1">
        <f t="array" aca="1" ref="F50" ca="1">IF(INDIRECT(ADDRESS($B50+1,F$38,1,1,"Confirmed Day Zero"))=0,#N/A,INDIRECT(ADDRESS($B50+1,F$38,1,1,"Confirmed Day Zero")))</f>
        <v>86</v>
      </c>
      <c r="G50" cm="1">
        <f t="array" aca="1" ref="G50" ca="1">IF(INDIRECT(ADDRESS($B50+1,G$38,1,1,"Confirmed Day Zero"))=0,#N/A,INDIRECT(ADDRESS($B50+1,G$38,1,1,"Confirmed Day Zero")))</f>
        <v>111</v>
      </c>
      <c r="H50" cm="1">
        <f t="array" aca="1" ref="H50" ca="1">IF(INDIRECT(ADDRESS($B50+1,H$38,1,1,"Confirmed Day Zero"))=0,#N/A,INDIRECT(ADDRESS($B50+1,H$38,1,1,"Confirmed Day Zero")))</f>
        <v>145</v>
      </c>
      <c r="I50" cm="1">
        <f t="array" aca="1" ref="I50" ca="1">IF(INDIRECT(ADDRESS($B50+1,I$38,1,1,"Confirmed Day Zero"))=0,#N/A,INDIRECT(ADDRESS($B50+1,I$38,1,1,"Confirmed Day Zero")))</f>
        <v>167</v>
      </c>
      <c r="J50" cm="1">
        <f t="array" aca="1" ref="J50" ca="1">IF(INDIRECT(ADDRESS($B50+1,J$38,1,1,"Confirmed Day Zero"))=0,#N/A,INDIRECT(ADDRESS($B50+1,J$38,1,1,"Confirmed Day Zero")))</f>
        <v>202</v>
      </c>
      <c r="K50" cm="1">
        <f t="array" aca="1" ref="K50" ca="1">IF(INDIRECT(ADDRESS($B50+1,K$38,1,1,"Confirmed Day Zero"))=0,#N/A,INDIRECT(ADDRESS($B50+1,K$38,1,1,"Confirmed Day Zero")))</f>
        <v>226</v>
      </c>
      <c r="L50" cm="1">
        <f t="array" aca="1" ref="L50" ca="1">IF(INDIRECT(ADDRESS($B50+1,L$38,1,1,"Confirmed Day Zero"))=0,#N/A,INDIRECT(ADDRESS($B50+1,L$38,1,1,"Confirmed Day Zero")))</f>
        <v>255</v>
      </c>
      <c r="M50" cm="1">
        <f t="array" aca="1" ref="M50" ca="1">IF(INDIRECT(ADDRESS($B50+1,M$38,1,1,"Confirmed Day Zero"))=0,#N/A,INDIRECT(ADDRESS($B50+1,M$38,1,1,"Confirmed Day Zero")))</f>
        <v>293</v>
      </c>
      <c r="N50" t="e" cm="1">
        <f t="array" aca="1" ref="N50" ca="1">IF(INDIRECT(ADDRESS($B50+1,N$38,1,1,"Confirmed Day Zero"))=0,#N/A,INDIRECT(ADDRESS($B50+1,N$38,1,1,"Confirmed Day Zero")))</f>
        <v>#N/A</v>
      </c>
      <c r="O50" t="e" cm="1">
        <f t="array" aca="1" ref="O50" ca="1">IF(INDIRECT(ADDRESS($B50+1,O$38,1,1,"Confirmed Day Zero"))=0,#N/A,INDIRECT(ADDRESS($B50+1,O$38,1,1,"Confirmed Day Zero")))</f>
        <v>#N/A</v>
      </c>
      <c r="P50" t="e" cm="1">
        <f t="array" aca="1" ref="P50" ca="1">IF(INDIRECT(ADDRESS($B50+1,P$38,1,1,"Confirmed Day Zero"))=0,#N/A,INDIRECT(ADDRESS($B50+1,P$38,1,1,"Confirmed Day Zero")))</f>
        <v>#N/A</v>
      </c>
      <c r="Q50" t="e" cm="1">
        <f t="array" aca="1" ref="Q50" ca="1">IF(INDIRECT(ADDRESS($B50+1,Q$38,1,1,"Confirmed Day Zero"))=0,#N/A,INDIRECT(ADDRESS($B50+1,Q$38,1,1,"Confirmed Day Zero")))</f>
        <v>#N/A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68</v>
      </c>
      <c r="F51" cm="1">
        <f t="array" aca="1" ref="F51" ca="1">IF(INDIRECT(ADDRESS($B51+1,F$38,1,1,"Confirmed Day Zero"))=0,#N/A,INDIRECT(ADDRESS($B51+1,F$38,1,1,"Confirmed Day Zero")))</f>
        <v>79</v>
      </c>
      <c r="G51" cm="1">
        <f t="array" aca="1" ref="G51" ca="1">IF(INDIRECT(ADDRESS($B51+1,G$38,1,1,"Confirmed Day Zero"))=0,#N/A,INDIRECT(ADDRESS($B51+1,G$38,1,1,"Confirmed Day Zero")))</f>
        <v>108</v>
      </c>
      <c r="H51" cm="1">
        <f t="array" aca="1" ref="H51" ca="1">IF(INDIRECT(ADDRESS($B51+1,H$38,1,1,"Confirmed Day Zero"))=0,#N/A,INDIRECT(ADDRESS($B51+1,H$38,1,1,"Confirmed Day Zero")))</f>
        <v>173</v>
      </c>
      <c r="I51" cm="1">
        <f t="array" aca="1" ref="I51" ca="1">IF(INDIRECT(ADDRESS($B51+1,I$38,1,1,"Confirmed Day Zero"))=0,#N/A,INDIRECT(ADDRESS($B51+1,I$38,1,1,"Confirmed Day Zero")))</f>
        <v>282</v>
      </c>
      <c r="J51" cm="1">
        <f t="array" aca="1" ref="J51" ca="1">IF(INDIRECT(ADDRESS($B51+1,J$38,1,1,"Confirmed Day Zero"))=0,#N/A,INDIRECT(ADDRESS($B51+1,J$38,1,1,"Confirmed Day Zero")))</f>
        <v>372</v>
      </c>
      <c r="K51" cm="1">
        <f t="array" aca="1" ref="K51" ca="1">IF(INDIRECT(ADDRESS($B51+1,K$38,1,1,"Confirmed Day Zero"))=0,#N/A,INDIRECT(ADDRESS($B51+1,K$38,1,1,"Confirmed Day Zero")))</f>
        <v>472</v>
      </c>
      <c r="L51" cm="1">
        <f t="array" aca="1" ref="L51" ca="1">IF(INDIRECT(ADDRESS($B51+1,L$38,1,1,"Confirmed Day Zero"))=0,#N/A,INDIRECT(ADDRESS($B51+1,L$38,1,1,"Confirmed Day Zero")))</f>
        <v>619</v>
      </c>
      <c r="M51" cm="1">
        <f t="array" aca="1" ref="M51" ca="1">IF(INDIRECT(ADDRESS($B51+1,M$38,1,1,"Confirmed Day Zero"))=0,#N/A,INDIRECT(ADDRESS($B51+1,M$38,1,1,"Confirmed Day Zero")))</f>
        <v>751</v>
      </c>
      <c r="N51" cm="1">
        <f t="array" aca="1" ref="N51" ca="1">IF(INDIRECT(ADDRESS($B51+1,N$38,1,1,"Confirmed Day Zero"))=0,#N/A,INDIRECT(ADDRESS($B51+1,N$38,1,1,"Confirmed Day Zero")))</f>
        <v>961</v>
      </c>
      <c r="O51" cm="1">
        <f t="array" aca="1" ref="O51" ca="1">IF(INDIRECT(ADDRESS($B51+1,O$38,1,1,"Confirmed Day Zero"))=0,#N/A,INDIRECT(ADDRESS($B51+1,O$38,1,1,"Confirmed Day Zero")))</f>
        <v>1136</v>
      </c>
      <c r="P51" cm="1">
        <f t="array" aca="1" ref="P51" ca="1">IF(INDIRECT(ADDRESS($B51+1,P$38,1,1,"Confirmed Day Zero"))=0,#N/A,INDIRECT(ADDRESS($B51+1,P$38,1,1,"Confirmed Day Zero")))</f>
        <v>1262</v>
      </c>
      <c r="Q51" cm="1">
        <f t="array" aca="1" ref="Q51" ca="1">IF(INDIRECT(ADDRESS($B51+1,Q$38,1,1,"Confirmed Day Zero"))=0,#N/A,INDIRECT(ADDRESS($B51+1,Q$38,1,1,"Confirmed Day Zero")))</f>
        <v>1417</v>
      </c>
      <c r="R51" cm="1">
        <f t="array" aca="1" ref="R51" ca="1">IF(INDIRECT(ADDRESS($B51+1,R$38,1,1,"Confirmed Day Zero"))=0,#N/A,INDIRECT(ADDRESS($B51+1,R$38,1,1,"Confirmed Day Zero")))</f>
        <v>1509</v>
      </c>
      <c r="S51" cm="1">
        <f t="array" aca="1" ref="S51" ca="1">IF(INDIRECT(ADDRESS($B51+1,S$38,1,1,"Confirmed Day Zero"))=0,#N/A,INDIRECT(ADDRESS($B51+1,S$38,1,1,"Confirmed Day Zero")))</f>
        <v>1598</v>
      </c>
      <c r="T51" cm="1">
        <f t="array" aca="1" ref="T51" ca="1">IF(INDIRECT(ADDRESS($B51+1,T$38,1,1,"Confirmed Day Zero"))=0,#N/A,INDIRECT(ADDRESS($B51+1,T$38,1,1,"Confirmed Day Zero")))</f>
        <v>1708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t="e" cm="1">
        <f t="array" aca="1" ref="E52" ca="1">IF(INDIRECT(ADDRESS($B52+1,E$38,1,1,"Confirmed Day Zero"))=0,#N/A,INDIRECT(ADDRESS($B52+1,E$38,1,1,"Confirmed Day Zero")))</f>
        <v>#N/A</v>
      </c>
      <c r="F52" t="e" cm="1">
        <f t="array" aca="1" ref="F52" ca="1">IF(INDIRECT(ADDRESS($B52+1,F$38,1,1,"Confirmed Day Zero"))=0,#N/A,INDIRECT(ADDRESS($B52+1,F$38,1,1,"Confirmed Day Zero")))</f>
        <v>#N/A</v>
      </c>
      <c r="G52" t="e" cm="1">
        <f t="array" aca="1" ref="G52" ca="1">IF(INDIRECT(ADDRESS($B52+1,G$38,1,1,"Confirmed Day Zero"))=0,#N/A,INDIRECT(ADDRESS($B52+1,G$38,1,1,"Confirmed Day Zero")))</f>
        <v>#N/A</v>
      </c>
      <c r="H52" t="e" cm="1">
        <f t="array" aca="1" ref="H52" ca="1">IF(INDIRECT(ADDRESS($B52+1,H$38,1,1,"Confirmed Day Zero"))=0,#N/A,INDIRECT(ADDRESS($B52+1,H$38,1,1,"Confirmed Day Zero")))</f>
        <v>#N/A</v>
      </c>
      <c r="I52" t="e" cm="1">
        <f t="array" aca="1" ref="I52" ca="1">IF(INDIRECT(ADDRESS($B52+1,I$38,1,1,"Confirmed Day Zero"))=0,#N/A,INDIRECT(ADDRESS($B52+1,I$38,1,1,"Confirmed Day Zero")))</f>
        <v>#N/A</v>
      </c>
      <c r="J52" t="e" cm="1">
        <f t="array" aca="1" ref="J52" ca="1">IF(INDIRECT(ADDRESS($B52+1,J$38,1,1,"Confirmed Day Zero"))=0,#N/A,INDIRECT(ADDRESS($B52+1,J$38,1,1,"Confirmed Day Zero")))</f>
        <v>#N/A</v>
      </c>
      <c r="K52" t="e" cm="1">
        <f t="array" aca="1" ref="K52" ca="1">IF(INDIRECT(ADDRESS($B52+1,K$38,1,1,"Confirmed Day Zero"))=0,#N/A,INDIRECT(ADDRESS($B52+1,K$38,1,1,"Confirmed Day Zero")))</f>
        <v>#N/A</v>
      </c>
      <c r="L52" t="e" cm="1">
        <f t="array" aca="1" ref="L52" ca="1">IF(INDIRECT(ADDRESS($B52+1,L$38,1,1,"Confirmed Day Zero"))=0,#N/A,INDIRECT(ADDRESS($B52+1,L$38,1,1,"Confirmed Day Zero")))</f>
        <v>#N/A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266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51</v>
      </c>
      <c r="F54" cm="1">
        <f t="array" aca="1" ref="F54" ca="1">IF(INDIRECT(ADDRESS($B54+1,F$38,1,1,"Confirmed Day Zero"))=0,#N/A,INDIRECT(ADDRESS($B54+1,F$38,1,1,"Confirmed Day Zero")))</f>
        <v>57</v>
      </c>
      <c r="G54" cm="1">
        <f t="array" aca="1" ref="G54" ca="1">IF(INDIRECT(ADDRESS($B54+1,G$38,1,1,"Confirmed Day Zero"))=0,#N/A,INDIRECT(ADDRESS($B54+1,G$38,1,1,"Confirmed Day Zero")))</f>
        <v>66</v>
      </c>
      <c r="H54" cm="1">
        <f t="array" aca="1" ref="H54" ca="1">IF(INDIRECT(ADDRESS($B54+1,H$38,1,1,"Confirmed Day Zero"))=0,#N/A,INDIRECT(ADDRESS($B54+1,H$38,1,1,"Confirmed Day Zero")))</f>
        <v>78</v>
      </c>
      <c r="I54" t="e" cm="1">
        <f t="array" aca="1" ref="I54" ca="1">IF(INDIRECT(ADDRESS($B54+1,I$38,1,1,"Confirmed Day Zero"))=0,#N/A,INDIRECT(ADDRESS($B54+1,I$38,1,1,"Confirmed Day Zero")))</f>
        <v>#N/A</v>
      </c>
      <c r="J54" t="e" cm="1">
        <f t="array" aca="1" ref="J54" ca="1">IF(INDIRECT(ADDRESS($B54+1,J$38,1,1,"Confirmed Day Zero"))=0,#N/A,INDIRECT(ADDRESS($B54+1,J$38,1,1,"Confirmed Day Zero")))</f>
        <v>#N/A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65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t="e" cm="1">
        <f t="array" aca="1" ref="M55" ca="1">IF(INDIRECT(ADDRESS($B55+1,M$38,1,1,"Confirmed Day Zero"))=0,#N/A,INDIRECT(ADDRESS($B55+1,M$38,1,1,"Confirmed Day Zero")))</f>
        <v>#N/A</v>
      </c>
      <c r="N55" t="e" cm="1">
        <f t="array" aca="1" ref="N55" ca="1">IF(INDIRECT(ADDRESS($B55+1,N$38,1,1,"Confirmed Day Zero"))=0,#N/A,INDIRECT(ADDRESS($B55+1,N$38,1,1,"Confirmed Day Zero")))</f>
        <v>#N/A</v>
      </c>
      <c r="O55" t="e" cm="1">
        <f t="array" aca="1" ref="O55" ca="1">IF(INDIRECT(ADDRESS($B55+1,O$38,1,1,"Confirmed Day Zero"))=0,#N/A,INDIRECT(ADDRESS($B55+1,O$38,1,1,"Confirmed Day Zero")))</f>
        <v>#N/A</v>
      </c>
      <c r="P55" t="e" cm="1">
        <f t="array" aca="1" ref="P55" ca="1">IF(INDIRECT(ADDRESS($B55+1,P$38,1,1,"Confirmed Day Zero"))=0,#N/A,INDIRECT(ADDRESS($B55+1,P$38,1,1,"Confirmed Day Zero")))</f>
        <v>#N/A</v>
      </c>
      <c r="Q55" t="e" cm="1">
        <f t="array" aca="1" ref="Q55" ca="1">IF(INDIRECT(ADDRESS($B55+1,Q$38,1,1,"Confirmed Day Zero"))=0,#N/A,INDIRECT(ADDRESS($B55+1,Q$38,1,1,"Confirmed Day Zero")))</f>
        <v>#N/A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159</v>
      </c>
      <c r="F56" cm="1">
        <f t="array" aca="1" ref="F56" ca="1">IF(INDIRECT(ADDRESS($B56+1,F$38,1,1,"Confirmed Day Zero"))=0,#N/A,INDIRECT(ADDRESS($B56+1,F$38,1,1,"Confirmed Day Zero")))</f>
        <v>177</v>
      </c>
      <c r="G56" cm="1">
        <f t="array" aca="1" ref="G56" ca="1">IF(INDIRECT(ADDRESS($B56+1,G$38,1,1,"Confirmed Day Zero"))=0,#N/A,INDIRECT(ADDRESS($B56+1,G$38,1,1,"Confirmed Day Zero")))</f>
        <v>188</v>
      </c>
      <c r="H56" cm="1">
        <f t="array" aca="1" ref="H56" ca="1">IF(INDIRECT(ADDRESS($B56+1,H$38,1,1,"Confirmed Day Zero"))=0,#N/A,INDIRECT(ADDRESS($B56+1,H$38,1,1,"Confirmed Day Zero")))</f>
        <v>204</v>
      </c>
      <c r="I56" cm="1">
        <f t="array" aca="1" ref="I56" ca="1">IF(INDIRECT(ADDRESS($B56+1,I$38,1,1,"Confirmed Day Zero"))=0,#N/A,INDIRECT(ADDRESS($B56+1,I$38,1,1,"Confirmed Day Zero")))</f>
        <v>230</v>
      </c>
      <c r="J56" cm="1">
        <f t="array" aca="1" ref="J56" ca="1">IF(INDIRECT(ADDRESS($B56+1,J$38,1,1,"Confirmed Day Zero"))=0,#N/A,INDIRECT(ADDRESS($B56+1,J$38,1,1,"Confirmed Day Zero")))</f>
        <v>256</v>
      </c>
      <c r="K56" t="e" cm="1">
        <f t="array" aca="1" ref="K56" ca="1">IF(INDIRECT(ADDRESS($B56+1,K$38,1,1,"Confirmed Day Zero"))=0,#N/A,INDIRECT(ADDRESS($B56+1,K$38,1,1,"Confirmed Day Zero")))</f>
        <v>#N/A</v>
      </c>
      <c r="L56" t="e" cm="1">
        <f t="array" aca="1" ref="L56" ca="1">IF(INDIRECT(ADDRESS($B56+1,L$38,1,1,"Confirmed Day Zero"))=0,#N/A,INDIRECT(ADDRESS($B56+1,L$38,1,1,"Confirmed Day Zero")))</f>
        <v>#N/A</v>
      </c>
      <c r="M56" t="e" cm="1">
        <f t="array" aca="1" ref="M56" ca="1">IF(INDIRECT(ADDRESS($B56+1,M$38,1,1,"Confirmed Day Zero"))=0,#N/A,INDIRECT(ADDRESS($B56+1,M$38,1,1,"Confirmed Day Zero")))</f>
        <v>#N/A</v>
      </c>
      <c r="N56" t="e" cm="1">
        <f t="array" aca="1" ref="N56" ca="1">IF(INDIRECT(ADDRESS($B56+1,N$38,1,1,"Confirmed Day Zero"))=0,#N/A,INDIRECT(ADDRESS($B56+1,N$38,1,1,"Confirmed Day Zero")))</f>
        <v>#N/A</v>
      </c>
      <c r="O56" t="e" cm="1">
        <f t="array" aca="1" ref="O56" ca="1">IF(INDIRECT(ADDRESS($B56+1,O$38,1,1,"Confirmed Day Zero"))=0,#N/A,INDIRECT(ADDRESS($B56+1,O$38,1,1,"Confirmed Day Zero")))</f>
        <v>#N/A</v>
      </c>
      <c r="P56" t="e" cm="1">
        <f t="array" aca="1" ref="P56" ca="1">IF(INDIRECT(ADDRESS($B56+1,P$38,1,1,"Confirmed Day Zero"))=0,#N/A,INDIRECT(ADDRESS($B56+1,P$38,1,1,"Confirmed Day Zero")))</f>
        <v>#N/A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99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66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cm="1">
        <f t="array" aca="1" ref="J61" ca="1">IF(INDIRECT(ADDRESS($B61+1,J$38,1,1,"Confirmed Day Zero"))=0,#N/A,INDIRECT(ADDRESS($B61+1,J$38,1,1,"Confirmed Day Zero")))</f>
        <v>129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61</v>
      </c>
      <c r="F62" cm="1">
        <f t="array" aca="1" ref="F62" ca="1">IF(INDIRECT(ADDRESS($B62+1,F$38,1,1,"Confirmed Day Zero"))=0,#N/A,INDIRECT(ADDRESS($B62+1,F$38,1,1,"Confirmed Day Zero")))</f>
        <v>85</v>
      </c>
      <c r="G62" cm="1">
        <f t="array" aca="1" ref="G62" ca="1">IF(INDIRECT(ADDRESS($B62+1,G$38,1,1,"Confirmed Day Zero"))=0,#N/A,INDIRECT(ADDRESS($B62+1,G$38,1,1,"Confirmed Day Zero")))</f>
        <v>98</v>
      </c>
      <c r="H62" cm="1">
        <f t="array" aca="1" ref="H62" ca="1">IF(INDIRECT(ADDRESS($B62+1,H$38,1,1,"Confirmed Day Zero"))=0,#N/A,INDIRECT(ADDRESS($B62+1,H$38,1,1,"Confirmed Day Zero")))</f>
        <v>98</v>
      </c>
      <c r="I62" cm="1">
        <f t="array" aca="1" ref="I62" ca="1">IF(INDIRECT(ADDRESS($B62+1,I$38,1,1,"Confirmed Day Zero"))=0,#N/A,INDIRECT(ADDRESS($B62+1,I$38,1,1,"Confirmed Day Zero")))</f>
        <v>98</v>
      </c>
      <c r="J62" cm="1">
        <f t="array" aca="1" ref="J62" ca="1">IF(INDIRECT(ADDRESS($B62+1,J$38,1,1,"Confirmed Day Zero"))=0,#N/A,INDIRECT(ADDRESS($B62+1,J$38,1,1,"Confirmed Day Zero")))</f>
        <v>228</v>
      </c>
      <c r="K62" cm="1">
        <f t="array" aca="1" ref="K62" ca="1">IF(INDIRECT(ADDRESS($B62+1,K$38,1,1,"Confirmed Day Zero"))=0,#N/A,INDIRECT(ADDRESS($B62+1,K$38,1,1,"Confirmed Day Zero")))</f>
        <v>228</v>
      </c>
      <c r="L62" cm="1">
        <f t="array" aca="1" ref="L62" ca="1">IF(INDIRECT(ADDRESS($B62+1,L$38,1,1,"Confirmed Day Zero"))=0,#N/A,INDIRECT(ADDRESS($B62+1,L$38,1,1,"Confirmed Day Zero")))</f>
        <v>228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56</v>
      </c>
      <c r="F63" cm="1">
        <f t="array" aca="1" ref="F63" ca="1">IF(INDIRECT(ADDRESS($B63+1,F$38,1,1,"Confirmed Day Zero"))=0,#N/A,INDIRECT(ADDRESS($B63+1,F$38,1,1,"Confirmed Day Zero")))</f>
        <v>75</v>
      </c>
      <c r="G63" cm="1">
        <f t="array" aca="1" ref="G63" ca="1">IF(INDIRECT(ADDRESS($B63+1,G$38,1,1,"Confirmed Day Zero"))=0,#N/A,INDIRECT(ADDRESS($B63+1,G$38,1,1,"Confirmed Day Zero")))</f>
        <v>81</v>
      </c>
      <c r="H63" cm="1">
        <f t="array" aca="1" ref="H63" ca="1">IF(INDIRECT(ADDRESS($B63+1,H$38,1,1,"Confirmed Day Zero"))=0,#N/A,INDIRECT(ADDRESS($B63+1,H$38,1,1,"Confirmed Day Zero")))</f>
        <v>87</v>
      </c>
      <c r="I63" cm="1">
        <f t="array" aca="1" ref="I63" ca="1">IF(INDIRECT(ADDRESS($B63+1,I$38,1,1,"Confirmed Day Zero"))=0,#N/A,INDIRECT(ADDRESS($B63+1,I$38,1,1,"Confirmed Day Zero")))</f>
        <v>96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180</v>
      </c>
      <c r="F64" cm="1">
        <f t="array" aca="1" ref="F64" ca="1">IF(INDIRECT(ADDRESS($B64+1,F$38,1,1,"Confirmed Day Zero"))=0,#N/A,INDIRECT(ADDRESS($B64+1,F$38,1,1,"Confirmed Day Zero")))</f>
        <v>258</v>
      </c>
      <c r="G64" cm="1">
        <f t="array" aca="1" ref="G64" ca="1">IF(INDIRECT(ADDRESS($B64+1,G$38,1,1,"Confirmed Day Zero"))=0,#N/A,INDIRECT(ADDRESS($B64+1,G$38,1,1,"Confirmed Day Zero")))</f>
        <v>265</v>
      </c>
      <c r="H64" cm="1">
        <f t="array" aca="1" ref="H64" ca="1">IF(INDIRECT(ADDRESS($B64+1,H$38,1,1,"Confirmed Day Zero"))=0,#N/A,INDIRECT(ADDRESS($B64+1,H$38,1,1,"Confirmed Day Zero")))</f>
        <v>291</v>
      </c>
      <c r="I64" cm="1">
        <f t="array" aca="1" ref="I64" ca="1">IF(INDIRECT(ADDRESS($B64+1,I$38,1,1,"Confirmed Day Zero"))=0,#N/A,INDIRECT(ADDRESS($B64+1,I$38,1,1,"Confirmed Day Zero")))</f>
        <v>330</v>
      </c>
      <c r="J64" cm="1">
        <f t="array" aca="1" ref="J64" ca="1">IF(INDIRECT(ADDRESS($B64+1,J$38,1,1,"Confirmed Day Zero"))=0,#N/A,INDIRECT(ADDRESS($B64+1,J$38,1,1,"Confirmed Day Zero")))</f>
        <v>422</v>
      </c>
      <c r="K64" cm="1">
        <f t="array" aca="1" ref="K64" ca="1">IF(INDIRECT(ADDRESS($B64+1,K$38,1,1,"Confirmed Day Zero"))=0,#N/A,INDIRECT(ADDRESS($B64+1,K$38,1,1,"Confirmed Day Zero")))</f>
        <v>511</v>
      </c>
      <c r="L64" cm="1">
        <f t="array" aca="1" ref="L64" ca="1">IF(INDIRECT(ADDRESS($B64+1,L$38,1,1,"Confirmed Day Zero"))=0,#N/A,INDIRECT(ADDRESS($B64+1,L$38,1,1,"Confirmed Day Zero")))</f>
        <v>638</v>
      </c>
      <c r="M64" cm="1">
        <f t="array" aca="1" ref="M64" ca="1">IF(INDIRECT(ADDRESS($B64+1,M$38,1,1,"Confirmed Day Zero"))=0,#N/A,INDIRECT(ADDRESS($B64+1,M$38,1,1,"Confirmed Day Zero")))</f>
        <v>834</v>
      </c>
      <c r="N64" cm="1">
        <f t="array" aca="1" ref="N64" ca="1">IF(INDIRECT(ADDRESS($B64+1,N$38,1,1,"Confirmed Day Zero"))=0,#N/A,INDIRECT(ADDRESS($B64+1,N$38,1,1,"Confirmed Day Zero")))</f>
        <v>918</v>
      </c>
      <c r="O64" cm="1">
        <f t="array" aca="1" ref="O64" ca="1">IF(INDIRECT(ADDRESS($B64+1,O$38,1,1,"Confirmed Day Zero"))=0,#N/A,INDIRECT(ADDRESS($B64+1,O$38,1,1,"Confirmed Day Zero")))</f>
        <v>939</v>
      </c>
      <c r="P64" cm="1">
        <f t="array" aca="1" ref="P64" ca="1">IF(INDIRECT(ADDRESS($B64+1,P$38,1,1,"Confirmed Day Zero"))=0,#N/A,INDIRECT(ADDRESS($B64+1,P$38,1,1,"Confirmed Day Zero")))</f>
        <v>1165</v>
      </c>
      <c r="Q64" cm="1">
        <f t="array" aca="1" ref="Q64" ca="1">IF(INDIRECT(ADDRESS($B64+1,Q$38,1,1,"Confirmed Day Zero"))=0,#N/A,INDIRECT(ADDRESS($B64+1,Q$38,1,1,"Confirmed Day Zero")))</f>
        <v>1211</v>
      </c>
      <c r="R64" cm="1">
        <f t="array" aca="1" ref="R64" ca="1">IF(INDIRECT(ADDRESS($B64+1,R$38,1,1,"Confirmed Day Zero"))=0,#N/A,INDIRECT(ADDRESS($B64+1,R$38,1,1,"Confirmed Day Zero")))</f>
        <v>1354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53</v>
      </c>
      <c r="F66" cm="1">
        <f t="array" aca="1" ref="F66" ca="1">IF(INDIRECT(ADDRESS($B66+1,F$38,1,1,"Confirmed Day Zero"))=0,#N/A,INDIRECT(ADDRESS($B66+1,F$38,1,1,"Confirmed Day Zero")))</f>
        <v>76</v>
      </c>
      <c r="G66" cm="1">
        <f t="array" aca="1" ref="G66" ca="1">IF(INDIRECT(ADDRESS($B66+1,G$38,1,1,"Confirmed Day Zero"))=0,#N/A,INDIRECT(ADDRESS($B66+1,G$38,1,1,"Confirmed Day Zero")))</f>
        <v>98</v>
      </c>
      <c r="H66" cm="1">
        <f t="array" aca="1" ref="H66" ca="1">IF(INDIRECT(ADDRESS($B66+1,H$38,1,1,"Confirmed Day Zero"))=0,#N/A,INDIRECT(ADDRESS($B66+1,H$38,1,1,"Confirmed Day Zero")))</f>
        <v>116</v>
      </c>
      <c r="I66" cm="1">
        <f t="array" aca="1" ref="I66" ca="1">IF(INDIRECT(ADDRESS($B66+1,I$38,1,1,"Confirmed Day Zero"))=0,#N/A,INDIRECT(ADDRESS($B66+1,I$38,1,1,"Confirmed Day Zero")))</f>
        <v>173</v>
      </c>
      <c r="J66" cm="1">
        <f t="array" aca="1" ref="J66" ca="1">IF(INDIRECT(ADDRESS($B66+1,J$38,1,1,"Confirmed Day Zero"))=0,#N/A,INDIRECT(ADDRESS($B66+1,J$38,1,1,"Confirmed Day Zero")))</f>
        <v>225</v>
      </c>
      <c r="K66" cm="1">
        <f t="array" aca="1" ref="K66" ca="1">IF(INDIRECT(ADDRESS($B66+1,K$38,1,1,"Confirmed Day Zero"))=0,#N/A,INDIRECT(ADDRESS($B66+1,K$38,1,1,"Confirmed Day Zero")))</f>
        <v>311</v>
      </c>
      <c r="L66" cm="1">
        <f t="array" aca="1" ref="L66" ca="1">IF(INDIRECT(ADDRESS($B66+1,L$38,1,1,"Confirmed Day Zero"))=0,#N/A,INDIRECT(ADDRESS($B66+1,L$38,1,1,"Confirmed Day Zero")))</f>
        <v>346</v>
      </c>
      <c r="M66" cm="1">
        <f t="array" aca="1" ref="M66" ca="1">IF(INDIRECT(ADDRESS($B66+1,M$38,1,1,"Confirmed Day Zero"))=0,#N/A,INDIRECT(ADDRESS($B66+1,M$38,1,1,"Confirmed Day Zero")))</f>
        <v>433</v>
      </c>
      <c r="N66" cm="1">
        <f t="array" aca="1" ref="N66" ca="1">IF(INDIRECT(ADDRESS($B66+1,N$38,1,1,"Confirmed Day Zero"))=0,#N/A,INDIRECT(ADDRESS($B66+1,N$38,1,1,"Confirmed Day Zero")))</f>
        <v>490</v>
      </c>
      <c r="O66" cm="1">
        <f t="array" aca="1" ref="O66" ca="1">IF(INDIRECT(ADDRESS($B66+1,O$38,1,1,"Confirmed Day Zero"))=0,#N/A,INDIRECT(ADDRESS($B66+1,O$38,1,1,"Confirmed Day Zero")))</f>
        <v>527</v>
      </c>
      <c r="P66" cm="1">
        <f t="array" aca="1" ref="P66" ca="1">IF(INDIRECT(ADDRESS($B66+1,P$38,1,1,"Confirmed Day Zero"))=0,#N/A,INDIRECT(ADDRESS($B66+1,P$38,1,1,"Confirmed Day Zero")))</f>
        <v>606</v>
      </c>
      <c r="Q66" cm="1">
        <f t="array" aca="1" ref="Q66" ca="1">IF(INDIRECT(ADDRESS($B66+1,Q$38,1,1,"Confirmed Day Zero"))=0,#N/A,INDIRECT(ADDRESS($B66+1,Q$38,1,1,"Confirmed Day Zero")))</f>
        <v>651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51</v>
      </c>
      <c r="F67" cm="1">
        <f t="array" aca="1" ref="F67" ca="1">IF(INDIRECT(ADDRESS($B67+1,F$38,1,1,"Confirmed Day Zero"))=0,#N/A,INDIRECT(ADDRESS($B67+1,F$38,1,1,"Confirmed Day Zero")))</f>
        <v>77</v>
      </c>
      <c r="G67" cm="1">
        <f t="array" aca="1" ref="G67" ca="1">IF(INDIRECT(ADDRESS($B67+1,G$38,1,1,"Confirmed Day Zero"))=0,#N/A,INDIRECT(ADDRESS($B67+1,G$38,1,1,"Confirmed Day Zero")))</f>
        <v>108</v>
      </c>
      <c r="H67" cm="1">
        <f t="array" aca="1" ref="H67" ca="1">IF(INDIRECT(ADDRESS($B67+1,H$38,1,1,"Confirmed Day Zero"))=0,#N/A,INDIRECT(ADDRESS($B67+1,H$38,1,1,"Confirmed Day Zero")))</f>
        <v>156</v>
      </c>
      <c r="I67" cm="1">
        <f t="array" aca="1" ref="I67" ca="1">IF(INDIRECT(ADDRESS($B67+1,I$38,1,1,"Confirmed Day Zero"))=0,#N/A,INDIRECT(ADDRESS($B67+1,I$38,1,1,"Confirmed Day Zero")))</f>
        <v>204</v>
      </c>
      <c r="J67" cm="1">
        <f t="array" aca="1" ref="J67" ca="1">IF(INDIRECT(ADDRESS($B67+1,J$38,1,1,"Confirmed Day Zero"))=0,#N/A,INDIRECT(ADDRESS($B67+1,J$38,1,1,"Confirmed Day Zero")))</f>
        <v>350</v>
      </c>
      <c r="K67" cm="1">
        <f t="array" aca="1" ref="K67" ca="1">IF(INDIRECT(ADDRESS($B67+1,K$38,1,1,"Confirmed Day Zero"))=0,#N/A,INDIRECT(ADDRESS($B67+1,K$38,1,1,"Confirmed Day Zero")))</f>
        <v>406</v>
      </c>
      <c r="L67" cm="1">
        <f t="array" aca="1" ref="L67" ca="1">IF(INDIRECT(ADDRESS($B67+1,L$38,1,1,"Confirmed Day Zero"))=0,#N/A,INDIRECT(ADDRESS($B67+1,L$38,1,1,"Confirmed Day Zero")))</f>
        <v>508</v>
      </c>
      <c r="M67" cm="1">
        <f t="array" aca="1" ref="M67" ca="1">IF(INDIRECT(ADDRESS($B67+1,M$38,1,1,"Confirmed Day Zero"))=0,#N/A,INDIRECT(ADDRESS($B67+1,M$38,1,1,"Confirmed Day Zero")))</f>
        <v>608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1212</v>
      </c>
      <c r="P67" cm="1">
        <f t="array" aca="1" ref="P67" ca="1">IF(INDIRECT(ADDRESS($B67+1,P$38,1,1,"Confirmed Day Zero"))=0,#N/A,INDIRECT(ADDRESS($B67+1,P$38,1,1,"Confirmed Day Zero")))</f>
        <v>1432</v>
      </c>
      <c r="Q67" cm="1">
        <f t="array" aca="1" ref="Q67" ca="1">IF(INDIRECT(ADDRESS($B67+1,Q$38,1,1,"Confirmed Day Zero"))=0,#N/A,INDIRECT(ADDRESS($B67+1,Q$38,1,1,"Confirmed Day Zero")))</f>
        <v>1676</v>
      </c>
      <c r="R67" cm="1">
        <f t="array" aca="1" ref="R67" ca="1">IF(INDIRECT(ADDRESS($B67+1,R$38,1,1,"Confirmed Day Zero"))=0,#N/A,INDIRECT(ADDRESS($B67+1,R$38,1,1,"Confirmed Day Zero")))</f>
        <v>1782</v>
      </c>
      <c r="S67" cm="1">
        <f t="array" aca="1" ref="S67" ca="1">IF(INDIRECT(ADDRESS($B67+1,S$38,1,1,"Confirmed Day Zero"))=0,#N/A,INDIRECT(ADDRESS($B67+1,S$38,1,1,"Confirmed Day Zero")))</f>
        <v>1822</v>
      </c>
      <c r="T67" cm="1">
        <f t="array" aca="1" ref="T67" ca="1">IF(INDIRECT(ADDRESS($B67+1,T$38,1,1,"Confirmed Day Zero"))=0,#N/A,INDIRECT(ADDRESS($B67+1,T$38,1,1,"Confirmed Day Zero")))</f>
        <v>2162</v>
      </c>
      <c r="U67" cm="1">
        <f t="array" aca="1" ref="U67" ca="1">IF(INDIRECT(ADDRESS($B67+1,U$38,1,1,"Confirmed Day Zero"))=0,#N/A,INDIRECT(ADDRESS($B67+1,U$38,1,1,"Confirmed Day Zero")))</f>
        <v>2215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62</v>
      </c>
      <c r="F68" cm="1">
        <f t="array" aca="1" ref="F68" ca="1">IF(INDIRECT(ADDRESS($B68+1,F$38,1,1,"Confirmed Day Zero"))=0,#N/A,INDIRECT(ADDRESS($B68+1,F$38,1,1,"Confirmed Day Zero")))</f>
        <v>72</v>
      </c>
      <c r="G68" cm="1">
        <f t="array" aca="1" ref="G68" ca="1">IF(INDIRECT(ADDRESS($B68+1,G$38,1,1,"Confirmed Day Zero"))=0,#N/A,INDIRECT(ADDRESS($B68+1,G$38,1,1,"Confirmed Day Zero")))</f>
        <v>80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59</v>
      </c>
      <c r="F69" cm="1">
        <f t="array" aca="1" ref="F69" ca="1">IF(INDIRECT(ADDRESS($B69+1,F$38,1,1,"Confirmed Day Zero"))=0,#N/A,INDIRECT(ADDRESS($B69+1,F$38,1,1,"Confirmed Day Zero")))</f>
        <v>92</v>
      </c>
      <c r="G69" cm="1">
        <f t="array" aca="1" ref="G69" ca="1">IF(INDIRECT(ADDRESS($B69+1,G$38,1,1,"Confirmed Day Zero"))=0,#N/A,INDIRECT(ADDRESS($B69+1,G$38,1,1,"Confirmed Day Zero")))</f>
        <v>140</v>
      </c>
      <c r="H69" cm="1">
        <f t="array" aca="1" ref="H69" ca="1">IF(INDIRECT(ADDRESS($B69+1,H$38,1,1,"Confirmed Day Zero"))=0,#N/A,INDIRECT(ADDRESS($B69+1,H$38,1,1,"Confirmed Day Zero")))</f>
        <v>140</v>
      </c>
      <c r="I69" cm="1">
        <f t="array" aca="1" ref="I69" ca="1">IF(INDIRECT(ADDRESS($B69+1,I$38,1,1,"Confirmed Day Zero"))=0,#N/A,INDIRECT(ADDRESS($B69+1,I$38,1,1,"Confirmed Day Zero")))</f>
        <v>140</v>
      </c>
      <c r="J69" cm="1">
        <f t="array" aca="1" ref="J69" ca="1">IF(INDIRECT(ADDRESS($B69+1,J$38,1,1,"Confirmed Day Zero"))=0,#N/A,INDIRECT(ADDRESS($B69+1,J$38,1,1,"Confirmed Day Zero")))</f>
        <v>270</v>
      </c>
      <c r="K69" cm="1">
        <f t="array" aca="1" ref="K69" ca="1">IF(INDIRECT(ADDRESS($B69+1,K$38,1,1,"Confirmed Day Zero"))=0,#N/A,INDIRECT(ADDRESS($B69+1,K$38,1,1,"Confirmed Day Zero")))</f>
        <v>294</v>
      </c>
      <c r="L69" cm="1">
        <f t="array" aca="1" ref="L69" ca="1">IF(INDIRECT(ADDRESS($B69+1,L$38,1,1,"Confirmed Day Zero"))=0,#N/A,INDIRECT(ADDRESS($B69+1,L$38,1,1,"Confirmed Day Zero")))</f>
        <v>424</v>
      </c>
      <c r="M69" cm="1">
        <f t="array" aca="1" ref="M69" ca="1">IF(INDIRECT(ADDRESS($B69+1,M$38,1,1,"Confirmed Day Zero"))=0,#N/A,INDIRECT(ADDRESS($B69+1,M$38,1,1,"Confirmed Day Zero")))</f>
        <v>526</v>
      </c>
      <c r="N69" cm="1">
        <f t="array" aca="1" ref="N69" ca="1">IF(INDIRECT(ADDRESS($B69+1,N$38,1,1,"Confirmed Day Zero"))=0,#N/A,INDIRECT(ADDRESS($B69+1,N$38,1,1,"Confirmed Day Zero")))</f>
        <v>773</v>
      </c>
      <c r="O69" cm="1">
        <f t="array" aca="1" ref="O69" ca="1">IF(INDIRECT(ADDRESS($B69+1,O$38,1,1,"Confirmed Day Zero"))=0,#N/A,INDIRECT(ADDRESS($B69+1,O$38,1,1,"Confirmed Day Zero")))</f>
        <v>773</v>
      </c>
      <c r="P69" cm="1">
        <f t="array" aca="1" ref="P69" ca="1">IF(INDIRECT(ADDRESS($B69+1,P$38,1,1,"Confirmed Day Zero"))=0,#N/A,INDIRECT(ADDRESS($B69+1,P$38,1,1,"Confirmed Day Zero")))</f>
        <v>773</v>
      </c>
      <c r="Q69" cm="1">
        <f t="array" aca="1" ref="Q69" ca="1">IF(INDIRECT(ADDRESS($B69+1,Q$38,1,1,"Confirmed Day Zero"))=0,#N/A,INDIRECT(ADDRESS($B69+1,Q$38,1,1,"Confirmed Day Zero")))</f>
        <v>1068</v>
      </c>
      <c r="R69" cm="1">
        <f t="array" aca="1" ref="R69" ca="1">IF(INDIRECT(ADDRESS($B69+1,R$38,1,1,"Confirmed Day Zero"))=0,#N/A,INDIRECT(ADDRESS($B69+1,R$38,1,1,"Confirmed Day Zero")))</f>
        <v>1211</v>
      </c>
      <c r="S69" cm="1">
        <f t="array" aca="1" ref="S69" ca="1">IF(INDIRECT(ADDRESS($B69+1,S$38,1,1,"Confirmed Day Zero"))=0,#N/A,INDIRECT(ADDRESS($B69+1,S$38,1,1,"Confirmed Day Zero")))</f>
        <v>1363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0" spans="2:74" x14ac:dyDescent="0.25">
      <c r="B100" s="16">
        <f t="shared" si="8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</row>
    <row r="101" spans="2:74" x14ac:dyDescent="0.25">
      <c r="B101" s="16">
        <f t="shared" si="8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</row>
    <row r="102" spans="2:74" x14ac:dyDescent="0.25">
      <c r="B102" s="16">
        <f t="shared" si="8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</row>
    <row r="105" spans="2:74" x14ac:dyDescent="0.25">
      <c r="C105" s="1" t="str">
        <f>C39</f>
        <v>Confirmed Day Zero</v>
      </c>
      <c r="D105" s="1" t="str">
        <f t="shared" ref="D105:BO105" ca="1" si="9">D39</f>
        <v>Population</v>
      </c>
      <c r="E105" s="1" t="str">
        <f t="shared" ca="1" si="9"/>
        <v>Day 1</v>
      </c>
      <c r="F105" s="1" t="str">
        <f t="shared" ca="1" si="9"/>
        <v>Day 2</v>
      </c>
      <c r="G105" s="1" t="str">
        <f t="shared" ca="1" si="9"/>
        <v>Day 3</v>
      </c>
      <c r="H105" s="1" t="str">
        <f t="shared" ca="1" si="9"/>
        <v>Day 4</v>
      </c>
      <c r="I105" s="1" t="str">
        <f t="shared" ca="1" si="9"/>
        <v>Day 5</v>
      </c>
      <c r="J105" s="1" t="str">
        <f t="shared" ca="1" si="9"/>
        <v>Day 6</v>
      </c>
      <c r="K105" s="1" t="str">
        <f t="shared" ca="1" si="9"/>
        <v>Day 7</v>
      </c>
      <c r="L105" s="1" t="str">
        <f t="shared" ca="1" si="9"/>
        <v>Day 8</v>
      </c>
      <c r="M105" s="1" t="str">
        <f t="shared" ca="1" si="9"/>
        <v>Day 9</v>
      </c>
      <c r="N105" s="1" t="str">
        <f t="shared" ca="1" si="9"/>
        <v>Day 10</v>
      </c>
      <c r="O105" s="1" t="str">
        <f t="shared" ca="1" si="9"/>
        <v>Day 11</v>
      </c>
      <c r="P105" s="1" t="str">
        <f t="shared" ca="1" si="9"/>
        <v>Day 12</v>
      </c>
      <c r="Q105" s="1" t="str">
        <f t="shared" ca="1" si="9"/>
        <v>Day 13</v>
      </c>
      <c r="R105" s="1" t="str">
        <f t="shared" ca="1" si="9"/>
        <v>Day 14</v>
      </c>
      <c r="S105" s="1" t="str">
        <f t="shared" ca="1" si="9"/>
        <v>Day 15</v>
      </c>
      <c r="T105" s="1" t="str">
        <f t="shared" ca="1" si="9"/>
        <v>Day 16</v>
      </c>
      <c r="U105" s="1" t="str">
        <f t="shared" ca="1" si="9"/>
        <v>Day 17</v>
      </c>
      <c r="V105" s="1" t="str">
        <f t="shared" ca="1" si="9"/>
        <v>Day 18</v>
      </c>
      <c r="W105" s="1" t="str">
        <f t="shared" ca="1" si="9"/>
        <v>Day 19</v>
      </c>
      <c r="X105" s="1" t="str">
        <f t="shared" ca="1" si="9"/>
        <v>Day 20</v>
      </c>
      <c r="Y105" s="1" t="str">
        <f t="shared" ca="1" si="9"/>
        <v>Day 21</v>
      </c>
      <c r="Z105" s="1" t="str">
        <f t="shared" ca="1" si="9"/>
        <v>Day 22</v>
      </c>
      <c r="AA105" s="1" t="str">
        <f t="shared" ca="1" si="9"/>
        <v>Day 23</v>
      </c>
      <c r="AB105" s="1" t="str">
        <f t="shared" ca="1" si="9"/>
        <v>Day 24</v>
      </c>
      <c r="AC105" s="1" t="str">
        <f t="shared" ca="1" si="9"/>
        <v>Day 25</v>
      </c>
      <c r="AD105" s="1" t="str">
        <f t="shared" ca="1" si="9"/>
        <v>Day 26</v>
      </c>
      <c r="AE105" s="1" t="str">
        <f t="shared" ca="1" si="9"/>
        <v>Day 27</v>
      </c>
      <c r="AF105" s="1" t="str">
        <f t="shared" ca="1" si="9"/>
        <v>Day 28</v>
      </c>
      <c r="AG105" s="1" t="str">
        <f t="shared" ca="1" si="9"/>
        <v>Day 29</v>
      </c>
      <c r="AH105" s="1" t="str">
        <f t="shared" ca="1" si="9"/>
        <v>Day 30</v>
      </c>
      <c r="AI105" s="1" t="str">
        <f t="shared" ca="1" si="9"/>
        <v>Day 31</v>
      </c>
      <c r="AJ105" s="1" t="str">
        <f t="shared" ca="1" si="9"/>
        <v>Day 32</v>
      </c>
      <c r="AK105" s="1" t="str">
        <f t="shared" ca="1" si="9"/>
        <v>Day 33</v>
      </c>
      <c r="AL105" s="1" t="str">
        <f t="shared" ca="1" si="9"/>
        <v>Day 34</v>
      </c>
      <c r="AM105" s="1" t="str">
        <f t="shared" ca="1" si="9"/>
        <v>Day 35</v>
      </c>
      <c r="AN105" s="1" t="str">
        <f t="shared" ca="1" si="9"/>
        <v>Day 36</v>
      </c>
      <c r="AO105" s="1" t="str">
        <f t="shared" ca="1" si="9"/>
        <v>Day 37</v>
      </c>
      <c r="AP105" s="1" t="str">
        <f t="shared" ca="1" si="9"/>
        <v>Day 38</v>
      </c>
      <c r="AQ105" s="1" t="str">
        <f t="shared" ca="1" si="9"/>
        <v>Day 39</v>
      </c>
      <c r="AR105" s="1" t="str">
        <f t="shared" ca="1" si="9"/>
        <v>Day 40</v>
      </c>
      <c r="AS105" s="1" t="str">
        <f t="shared" ca="1" si="9"/>
        <v>Day 41</v>
      </c>
      <c r="AT105" s="1" t="str">
        <f t="shared" ca="1" si="9"/>
        <v>Day 42</v>
      </c>
      <c r="AU105" s="1" t="str">
        <f t="shared" ca="1" si="9"/>
        <v>Day 43</v>
      </c>
      <c r="AV105" s="1" t="str">
        <f t="shared" ca="1" si="9"/>
        <v>Day 44</v>
      </c>
      <c r="AW105" s="1" t="str">
        <f t="shared" ca="1" si="9"/>
        <v>Day 45</v>
      </c>
      <c r="AX105" s="1" t="str">
        <f t="shared" ca="1" si="9"/>
        <v>Day 46</v>
      </c>
      <c r="AY105" s="1" t="str">
        <f t="shared" ca="1" si="9"/>
        <v>Day 47</v>
      </c>
      <c r="AZ105" s="1" t="str">
        <f t="shared" ca="1" si="9"/>
        <v>Day 48</v>
      </c>
      <c r="BA105" s="1" t="str">
        <f t="shared" ca="1" si="9"/>
        <v>Day 49</v>
      </c>
      <c r="BB105" s="1" t="str">
        <f t="shared" ca="1" si="9"/>
        <v>Day 50</v>
      </c>
      <c r="BC105" s="1" t="str">
        <f t="shared" ca="1" si="9"/>
        <v>Day 51</v>
      </c>
      <c r="BD105" s="1" t="str">
        <f t="shared" ca="1" si="9"/>
        <v>Day 52</v>
      </c>
      <c r="BE105" s="1" t="str">
        <f t="shared" ca="1" si="9"/>
        <v>Day 53</v>
      </c>
      <c r="BF105" s="1" t="str">
        <f t="shared" ca="1" si="9"/>
        <v>Day 54</v>
      </c>
      <c r="BG105" s="1" t="str">
        <f t="shared" ca="1" si="9"/>
        <v>Day 55</v>
      </c>
      <c r="BH105" s="1" t="str">
        <f t="shared" ca="1" si="9"/>
        <v>Day 56</v>
      </c>
      <c r="BI105" s="1" t="str">
        <f t="shared" ca="1" si="9"/>
        <v>Day 57</v>
      </c>
      <c r="BJ105" s="1" t="str">
        <f t="shared" ca="1" si="9"/>
        <v>Day 58</v>
      </c>
      <c r="BK105" s="1" t="str">
        <f t="shared" ca="1" si="9"/>
        <v>Day 59</v>
      </c>
      <c r="BL105" s="1" t="str">
        <f t="shared" ca="1" si="9"/>
        <v>Day 60</v>
      </c>
      <c r="BM105" s="1" t="str">
        <f t="shared" ca="1" si="9"/>
        <v>Day 61</v>
      </c>
      <c r="BN105" s="1" t="str">
        <f t="shared" ca="1" si="9"/>
        <v>Day 62</v>
      </c>
      <c r="BO105" s="1" t="str">
        <f t="shared" ca="1" si="9"/>
        <v>Day 63</v>
      </c>
      <c r="BP105" s="1" t="str">
        <f t="shared" ref="BP105:BV105" ca="1" si="10">BP39</f>
        <v>Day 64</v>
      </c>
      <c r="BQ105" s="1">
        <f t="shared" ca="1" si="10"/>
        <v>0</v>
      </c>
      <c r="BR105" s="1">
        <f t="shared" ca="1" si="10"/>
        <v>0</v>
      </c>
      <c r="BS105" s="1">
        <f t="shared" ca="1" si="10"/>
        <v>0</v>
      </c>
      <c r="BT105" s="1">
        <f t="shared" ca="1" si="10"/>
        <v>0</v>
      </c>
      <c r="BU105" s="1">
        <f t="shared" ca="1" si="10"/>
        <v>0</v>
      </c>
      <c r="BV105" s="1">
        <f t="shared" ca="1" si="10"/>
        <v>0</v>
      </c>
    </row>
    <row r="106" spans="2:74" x14ac:dyDescent="0.25">
      <c r="B106">
        <f t="shared" ref="B106:D125" si="11">B43</f>
        <v>1</v>
      </c>
      <c r="C106" t="str">
        <f t="shared" ca="1" si="11"/>
        <v>Switzerland</v>
      </c>
      <c r="D106" s="1">
        <f t="shared" ca="1" si="11"/>
        <v>8654622</v>
      </c>
      <c r="E106" s="17">
        <f ca="1">E43/$D106*100000</f>
        <v>0.64705310064379473</v>
      </c>
      <c r="F106" s="17">
        <f t="shared" ref="F106:BQ106" ca="1" si="12">F43/$D106*100000</f>
        <v>1.0399067688918131</v>
      </c>
      <c r="G106" s="17">
        <f t="shared" ca="1" si="12"/>
        <v>1.3172152405962965</v>
      </c>
      <c r="H106" s="17">
        <f t="shared" ca="1" si="12"/>
        <v>2.4726672060316441</v>
      </c>
      <c r="I106" s="17">
        <f t="shared" ca="1" si="12"/>
        <v>3.0966112673667321</v>
      </c>
      <c r="J106" s="17">
        <f t="shared" ca="1" si="12"/>
        <v>3.8938731235171216</v>
      </c>
      <c r="K106" s="17">
        <f t="shared" ca="1" si="12"/>
        <v>4.3213903507282003</v>
      </c>
      <c r="L106" s="17">
        <f t="shared" ca="1" si="12"/>
        <v>5.6732691502875578</v>
      </c>
      <c r="M106" s="17">
        <f t="shared" ca="1" si="12"/>
        <v>7.5335468146384681</v>
      </c>
      <c r="N106" s="17">
        <f t="shared" ca="1" si="12"/>
        <v>7.5335468146384681</v>
      </c>
      <c r="O106" s="17">
        <f t="shared" ca="1" si="12"/>
        <v>13.16059788630861</v>
      </c>
      <c r="P106" s="17">
        <f t="shared" ca="1" si="12"/>
        <v>15.702592210266376</v>
      </c>
      <c r="Q106" s="17">
        <f t="shared" ca="1" si="12"/>
        <v>25.419943239577652</v>
      </c>
      <c r="R106" s="17">
        <f t="shared" ca="1" si="12"/>
        <v>25.419943239577652</v>
      </c>
      <c r="S106" s="17">
        <f t="shared" ca="1" si="12"/>
        <v>31.19720306675439</v>
      </c>
      <c r="T106" s="17">
        <f t="shared" ca="1" si="12"/>
        <v>34.987085513382333</v>
      </c>
      <c r="U106" s="17">
        <f t="shared" ca="1" si="12"/>
        <v>47.084667591490422</v>
      </c>
      <c r="V106" s="17">
        <f t="shared" ca="1" si="12"/>
        <v>61.169627050147312</v>
      </c>
      <c r="W106" s="17">
        <f t="shared" ca="1" si="12"/>
        <v>75.970966727374119</v>
      </c>
      <c r="X106" s="17">
        <f t="shared" ca="1" si="12"/>
        <v>86.358479896637888</v>
      </c>
      <c r="Y106" s="17">
        <f t="shared" ca="1" si="12"/>
        <v>101.62200036003884</v>
      </c>
      <c r="Z106" s="17">
        <f t="shared" ca="1" si="12"/>
        <v>114.12399062604929</v>
      </c>
      <c r="AA106" s="17">
        <f t="shared" ca="1" si="12"/>
        <v>125.90960067348983</v>
      </c>
      <c r="AB106" s="17" t="e">
        <f t="shared" ca="1" si="12"/>
        <v>#N/A</v>
      </c>
      <c r="AC106" s="17" t="e">
        <f t="shared" ca="1" si="12"/>
        <v>#N/A</v>
      </c>
      <c r="AD106" s="17" t="e">
        <f t="shared" ca="1" si="12"/>
        <v>#N/A</v>
      </c>
      <c r="AE106" s="17" t="e">
        <f t="shared" ca="1" si="12"/>
        <v>#N/A</v>
      </c>
      <c r="AF106" s="17" t="e">
        <f t="shared" ca="1" si="12"/>
        <v>#N/A</v>
      </c>
      <c r="AG106" s="17" t="e">
        <f t="shared" ca="1" si="12"/>
        <v>#N/A</v>
      </c>
      <c r="AH106" s="17" t="e">
        <f t="shared" ca="1" si="12"/>
        <v>#N/A</v>
      </c>
      <c r="AI106" s="17" t="e">
        <f t="shared" ca="1" si="12"/>
        <v>#N/A</v>
      </c>
      <c r="AJ106" s="17" t="e">
        <f t="shared" ca="1" si="12"/>
        <v>#N/A</v>
      </c>
      <c r="AK106" s="17" t="e">
        <f t="shared" ca="1" si="12"/>
        <v>#N/A</v>
      </c>
      <c r="AL106" s="17" t="e">
        <f t="shared" ca="1" si="12"/>
        <v>#N/A</v>
      </c>
      <c r="AM106" s="17" t="e">
        <f t="shared" ca="1" si="12"/>
        <v>#N/A</v>
      </c>
      <c r="AN106" s="17" t="e">
        <f t="shared" ca="1" si="12"/>
        <v>#N/A</v>
      </c>
      <c r="AO106" s="17" t="e">
        <f t="shared" ca="1" si="12"/>
        <v>#N/A</v>
      </c>
      <c r="AP106" s="17" t="e">
        <f t="shared" ca="1" si="12"/>
        <v>#N/A</v>
      </c>
      <c r="AQ106" s="17" t="e">
        <f t="shared" ca="1" si="12"/>
        <v>#N/A</v>
      </c>
      <c r="AR106" s="17" t="e">
        <f t="shared" ca="1" si="12"/>
        <v>#N/A</v>
      </c>
      <c r="AS106" s="17" t="e">
        <f t="shared" ca="1" si="12"/>
        <v>#N/A</v>
      </c>
      <c r="AT106" s="17" t="e">
        <f t="shared" ca="1" si="12"/>
        <v>#N/A</v>
      </c>
      <c r="AU106" s="17" t="e">
        <f t="shared" ca="1" si="12"/>
        <v>#N/A</v>
      </c>
      <c r="AV106" s="17" t="e">
        <f t="shared" ca="1" si="12"/>
        <v>#N/A</v>
      </c>
      <c r="AW106" s="17" t="e">
        <f t="shared" ca="1" si="12"/>
        <v>#N/A</v>
      </c>
      <c r="AX106" s="17" t="e">
        <f t="shared" ca="1" si="12"/>
        <v>#N/A</v>
      </c>
      <c r="AY106" s="17" t="e">
        <f t="shared" ca="1" si="12"/>
        <v>#N/A</v>
      </c>
      <c r="AZ106" s="17" t="e">
        <f t="shared" ca="1" si="12"/>
        <v>#N/A</v>
      </c>
      <c r="BA106" s="17" t="e">
        <f t="shared" ca="1" si="12"/>
        <v>#N/A</v>
      </c>
      <c r="BB106" s="17" t="e">
        <f t="shared" ca="1" si="12"/>
        <v>#N/A</v>
      </c>
      <c r="BC106" s="17" t="e">
        <f t="shared" ca="1" si="12"/>
        <v>#N/A</v>
      </c>
      <c r="BD106" s="17" t="e">
        <f t="shared" ca="1" si="12"/>
        <v>#N/A</v>
      </c>
      <c r="BE106" s="17" t="e">
        <f t="shared" ca="1" si="12"/>
        <v>#N/A</v>
      </c>
      <c r="BF106" s="17" t="e">
        <f t="shared" ca="1" si="12"/>
        <v>#N/A</v>
      </c>
      <c r="BG106" s="17" t="e">
        <f t="shared" ca="1" si="12"/>
        <v>#N/A</v>
      </c>
      <c r="BH106" s="17" t="e">
        <f t="shared" ca="1" si="12"/>
        <v>#N/A</v>
      </c>
      <c r="BI106" s="17" t="e">
        <f t="shared" ca="1" si="12"/>
        <v>#N/A</v>
      </c>
      <c r="BJ106" s="17" t="e">
        <f t="shared" ca="1" si="12"/>
        <v>#N/A</v>
      </c>
      <c r="BK106" s="17" t="e">
        <f t="shared" ca="1" si="12"/>
        <v>#N/A</v>
      </c>
      <c r="BL106" s="17" t="e">
        <f t="shared" ca="1" si="12"/>
        <v>#N/A</v>
      </c>
      <c r="BM106" s="17" t="e">
        <f t="shared" ca="1" si="12"/>
        <v>#N/A</v>
      </c>
      <c r="BN106" s="17" t="e">
        <f t="shared" ca="1" si="12"/>
        <v>#N/A</v>
      </c>
      <c r="BO106" s="17" t="e">
        <f t="shared" ca="1" si="12"/>
        <v>#N/A</v>
      </c>
      <c r="BP106" s="17" t="e">
        <f t="shared" ca="1" si="12"/>
        <v>#N/A</v>
      </c>
      <c r="BQ106" s="17" t="e">
        <f t="shared" ca="1" si="12"/>
        <v>#N/A</v>
      </c>
      <c r="BR106" s="17" t="e">
        <f t="shared" ref="BR106:BV106" ca="1" si="13">BR43/$D106*100000</f>
        <v>#N/A</v>
      </c>
      <c r="BS106" s="17" t="e">
        <f t="shared" ca="1" si="13"/>
        <v>#N/A</v>
      </c>
      <c r="BT106" s="17" t="e">
        <f t="shared" ca="1" si="13"/>
        <v>#N/A</v>
      </c>
      <c r="BU106" s="17" t="e">
        <f t="shared" ca="1" si="13"/>
        <v>#N/A</v>
      </c>
      <c r="BV106" s="17" t="e">
        <f t="shared" ca="1" si="13"/>
        <v>#N/A</v>
      </c>
    </row>
    <row r="107" spans="2:74" x14ac:dyDescent="0.25">
      <c r="B107">
        <f t="shared" si="11"/>
        <v>2</v>
      </c>
      <c r="C107" t="str">
        <f t="shared" ca="1" si="11"/>
        <v>Switzerland Appenzell Inner Rhodes</v>
      </c>
      <c r="D107" s="1">
        <f t="shared" ca="1" si="11"/>
        <v>16145</v>
      </c>
      <c r="E107" s="17" t="e">
        <f t="shared" ref="E107:BP107" ca="1" si="14">E44/$D107*100000</f>
        <v>#N/A</v>
      </c>
      <c r="F107" s="17" t="e">
        <f t="shared" ca="1" si="14"/>
        <v>#N/A</v>
      </c>
      <c r="G107" s="17" t="e">
        <f t="shared" ca="1" si="14"/>
        <v>#N/A</v>
      </c>
      <c r="H107" s="17" t="e">
        <f t="shared" ca="1" si="14"/>
        <v>#N/A</v>
      </c>
      <c r="I107" s="17" t="e">
        <f t="shared" ca="1" si="14"/>
        <v>#N/A</v>
      </c>
      <c r="J107" s="17" t="e">
        <f t="shared" ca="1" si="14"/>
        <v>#N/A</v>
      </c>
      <c r="K107" s="17" t="e">
        <f t="shared" ca="1" si="14"/>
        <v>#N/A</v>
      </c>
      <c r="L107" s="17" t="e">
        <f t="shared" ca="1" si="14"/>
        <v>#N/A</v>
      </c>
      <c r="M107" s="17" t="e">
        <f t="shared" ca="1" si="14"/>
        <v>#N/A</v>
      </c>
      <c r="N107" s="17" t="e">
        <f t="shared" ca="1" si="14"/>
        <v>#N/A</v>
      </c>
      <c r="O107" s="17" t="e">
        <f t="shared" ca="1" si="14"/>
        <v>#N/A</v>
      </c>
      <c r="P107" s="17" t="e">
        <f t="shared" ca="1" si="14"/>
        <v>#N/A</v>
      </c>
      <c r="Q107" s="17" t="e">
        <f t="shared" ca="1" si="14"/>
        <v>#N/A</v>
      </c>
      <c r="R107" s="17" t="e">
        <f t="shared" ca="1" si="14"/>
        <v>#N/A</v>
      </c>
      <c r="S107" s="17" t="e">
        <f t="shared" ca="1" si="14"/>
        <v>#N/A</v>
      </c>
      <c r="T107" s="17" t="e">
        <f t="shared" ca="1" si="14"/>
        <v>#N/A</v>
      </c>
      <c r="U107" s="17" t="e">
        <f t="shared" ca="1" si="14"/>
        <v>#N/A</v>
      </c>
      <c r="V107" s="17" t="e">
        <f t="shared" ca="1" si="14"/>
        <v>#N/A</v>
      </c>
      <c r="W107" s="17" t="e">
        <f t="shared" ca="1" si="14"/>
        <v>#N/A</v>
      </c>
      <c r="X107" s="17" t="e">
        <f t="shared" ca="1" si="14"/>
        <v>#N/A</v>
      </c>
      <c r="Y107" s="17" t="e">
        <f t="shared" ca="1" si="14"/>
        <v>#N/A</v>
      </c>
      <c r="Z107" s="17" t="e">
        <f t="shared" ca="1" si="14"/>
        <v>#N/A</v>
      </c>
      <c r="AA107" s="17" t="e">
        <f t="shared" ca="1" si="14"/>
        <v>#N/A</v>
      </c>
      <c r="AB107" s="17" t="e">
        <f t="shared" ca="1" si="14"/>
        <v>#N/A</v>
      </c>
      <c r="AC107" s="17" t="e">
        <f t="shared" ca="1" si="14"/>
        <v>#N/A</v>
      </c>
      <c r="AD107" s="17" t="e">
        <f t="shared" ca="1" si="14"/>
        <v>#N/A</v>
      </c>
      <c r="AE107" s="17" t="e">
        <f t="shared" ca="1" si="14"/>
        <v>#N/A</v>
      </c>
      <c r="AF107" s="17" t="e">
        <f t="shared" ca="1" si="14"/>
        <v>#N/A</v>
      </c>
      <c r="AG107" s="17" t="e">
        <f t="shared" ca="1" si="14"/>
        <v>#N/A</v>
      </c>
      <c r="AH107" s="17" t="e">
        <f t="shared" ca="1" si="14"/>
        <v>#N/A</v>
      </c>
      <c r="AI107" s="17" t="e">
        <f t="shared" ca="1" si="14"/>
        <v>#N/A</v>
      </c>
      <c r="AJ107" s="17" t="e">
        <f t="shared" ca="1" si="14"/>
        <v>#N/A</v>
      </c>
      <c r="AK107" s="17" t="e">
        <f t="shared" ca="1" si="14"/>
        <v>#N/A</v>
      </c>
      <c r="AL107" s="17" t="e">
        <f t="shared" ca="1" si="14"/>
        <v>#N/A</v>
      </c>
      <c r="AM107" s="17" t="e">
        <f t="shared" ca="1" si="14"/>
        <v>#N/A</v>
      </c>
      <c r="AN107" s="17" t="e">
        <f t="shared" ca="1" si="14"/>
        <v>#N/A</v>
      </c>
      <c r="AO107" s="17" t="e">
        <f t="shared" ca="1" si="14"/>
        <v>#N/A</v>
      </c>
      <c r="AP107" s="17" t="e">
        <f t="shared" ca="1" si="14"/>
        <v>#N/A</v>
      </c>
      <c r="AQ107" s="17" t="e">
        <f t="shared" ca="1" si="14"/>
        <v>#N/A</v>
      </c>
      <c r="AR107" s="17" t="e">
        <f t="shared" ca="1" si="14"/>
        <v>#N/A</v>
      </c>
      <c r="AS107" s="17" t="e">
        <f t="shared" ca="1" si="14"/>
        <v>#N/A</v>
      </c>
      <c r="AT107" s="17" t="e">
        <f t="shared" ca="1" si="14"/>
        <v>#N/A</v>
      </c>
      <c r="AU107" s="17" t="e">
        <f t="shared" ca="1" si="14"/>
        <v>#N/A</v>
      </c>
      <c r="AV107" s="17" t="e">
        <f t="shared" ca="1" si="14"/>
        <v>#N/A</v>
      </c>
      <c r="AW107" s="17" t="e">
        <f t="shared" ca="1" si="14"/>
        <v>#N/A</v>
      </c>
      <c r="AX107" s="17" t="e">
        <f t="shared" ca="1" si="14"/>
        <v>#N/A</v>
      </c>
      <c r="AY107" s="17" t="e">
        <f t="shared" ca="1" si="14"/>
        <v>#N/A</v>
      </c>
      <c r="AZ107" s="17" t="e">
        <f t="shared" ca="1" si="14"/>
        <v>#N/A</v>
      </c>
      <c r="BA107" s="17" t="e">
        <f t="shared" ca="1" si="14"/>
        <v>#N/A</v>
      </c>
      <c r="BB107" s="17" t="e">
        <f t="shared" ca="1" si="14"/>
        <v>#N/A</v>
      </c>
      <c r="BC107" s="17" t="e">
        <f t="shared" ca="1" si="14"/>
        <v>#N/A</v>
      </c>
      <c r="BD107" s="17" t="e">
        <f t="shared" ca="1" si="14"/>
        <v>#N/A</v>
      </c>
      <c r="BE107" s="17" t="e">
        <f t="shared" ca="1" si="14"/>
        <v>#N/A</v>
      </c>
      <c r="BF107" s="17" t="e">
        <f t="shared" ca="1" si="14"/>
        <v>#N/A</v>
      </c>
      <c r="BG107" s="17" t="e">
        <f t="shared" ca="1" si="14"/>
        <v>#N/A</v>
      </c>
      <c r="BH107" s="17" t="e">
        <f t="shared" ca="1" si="14"/>
        <v>#N/A</v>
      </c>
      <c r="BI107" s="17" t="e">
        <f t="shared" ca="1" si="14"/>
        <v>#N/A</v>
      </c>
      <c r="BJ107" s="17" t="e">
        <f t="shared" ca="1" si="14"/>
        <v>#N/A</v>
      </c>
      <c r="BK107" s="17" t="e">
        <f t="shared" ca="1" si="14"/>
        <v>#N/A</v>
      </c>
      <c r="BL107" s="17" t="e">
        <f t="shared" ca="1" si="14"/>
        <v>#N/A</v>
      </c>
      <c r="BM107" s="17" t="e">
        <f t="shared" ca="1" si="14"/>
        <v>#N/A</v>
      </c>
      <c r="BN107" s="17" t="e">
        <f t="shared" ca="1" si="14"/>
        <v>#N/A</v>
      </c>
      <c r="BO107" s="17" t="e">
        <f t="shared" ca="1" si="14"/>
        <v>#N/A</v>
      </c>
      <c r="BP107" s="17" t="e">
        <f t="shared" ca="1" si="14"/>
        <v>#N/A</v>
      </c>
      <c r="BQ107" s="17" t="e">
        <f t="shared" ref="BQ107:BV107" ca="1" si="15">BQ44/$D107*100000</f>
        <v>#N/A</v>
      </c>
      <c r="BR107" s="17" t="e">
        <f t="shared" ca="1" si="15"/>
        <v>#N/A</v>
      </c>
      <c r="BS107" s="17" t="e">
        <f t="shared" ca="1" si="15"/>
        <v>#N/A</v>
      </c>
      <c r="BT107" s="17" t="e">
        <f t="shared" ca="1" si="15"/>
        <v>#N/A</v>
      </c>
      <c r="BU107" s="17" t="e">
        <f t="shared" ca="1" si="15"/>
        <v>#N/A</v>
      </c>
      <c r="BV107" s="17" t="e">
        <f t="shared" ca="1" si="15"/>
        <v>#N/A</v>
      </c>
    </row>
    <row r="108" spans="2:74" x14ac:dyDescent="0.25">
      <c r="B108">
        <f t="shared" si="11"/>
        <v>3</v>
      </c>
      <c r="C108" t="str">
        <f t="shared" ca="1" si="11"/>
        <v>Switzerland Appenzell Outer Rhodes</v>
      </c>
      <c r="D108" s="1">
        <f t="shared" ca="1" si="11"/>
        <v>55234</v>
      </c>
      <c r="E108" s="17" t="e">
        <f t="shared" ref="E108:BP108" ca="1" si="16">E45/$D108*100000</f>
        <v>#N/A</v>
      </c>
      <c r="F108" s="17" t="e">
        <f t="shared" ca="1" si="16"/>
        <v>#N/A</v>
      </c>
      <c r="G108" s="17" t="e">
        <f t="shared" ca="1" si="16"/>
        <v>#N/A</v>
      </c>
      <c r="H108" s="17" t="e">
        <f t="shared" ca="1" si="16"/>
        <v>#N/A</v>
      </c>
      <c r="I108" s="17" t="e">
        <f t="shared" ca="1" si="16"/>
        <v>#N/A</v>
      </c>
      <c r="J108" s="17" t="e">
        <f t="shared" ca="1" si="16"/>
        <v>#N/A</v>
      </c>
      <c r="K108" s="17" t="e">
        <f t="shared" ca="1" si="16"/>
        <v>#N/A</v>
      </c>
      <c r="L108" s="17" t="e">
        <f t="shared" ca="1" si="16"/>
        <v>#N/A</v>
      </c>
      <c r="M108" s="17" t="e">
        <f t="shared" ca="1" si="16"/>
        <v>#N/A</v>
      </c>
      <c r="N108" s="17" t="e">
        <f t="shared" ca="1" si="16"/>
        <v>#N/A</v>
      </c>
      <c r="O108" s="17" t="e">
        <f t="shared" ca="1" si="16"/>
        <v>#N/A</v>
      </c>
      <c r="P108" s="17" t="e">
        <f t="shared" ca="1" si="16"/>
        <v>#N/A</v>
      </c>
      <c r="Q108" s="17" t="e">
        <f t="shared" ca="1" si="16"/>
        <v>#N/A</v>
      </c>
      <c r="R108" s="17" t="e">
        <f t="shared" ca="1" si="16"/>
        <v>#N/A</v>
      </c>
      <c r="S108" s="17" t="e">
        <f t="shared" ca="1" si="16"/>
        <v>#N/A</v>
      </c>
      <c r="T108" s="17" t="e">
        <f t="shared" ca="1" si="16"/>
        <v>#N/A</v>
      </c>
      <c r="U108" s="17" t="e">
        <f t="shared" ca="1" si="16"/>
        <v>#N/A</v>
      </c>
      <c r="V108" s="17" t="e">
        <f t="shared" ca="1" si="16"/>
        <v>#N/A</v>
      </c>
      <c r="W108" s="17" t="e">
        <f t="shared" ca="1" si="16"/>
        <v>#N/A</v>
      </c>
      <c r="X108" s="17" t="e">
        <f t="shared" ca="1" si="16"/>
        <v>#N/A</v>
      </c>
      <c r="Y108" s="17" t="e">
        <f t="shared" ca="1" si="16"/>
        <v>#N/A</v>
      </c>
      <c r="Z108" s="17" t="e">
        <f t="shared" ca="1" si="16"/>
        <v>#N/A</v>
      </c>
      <c r="AA108" s="17" t="e">
        <f t="shared" ca="1" si="16"/>
        <v>#N/A</v>
      </c>
      <c r="AB108" s="17" t="e">
        <f t="shared" ca="1" si="16"/>
        <v>#N/A</v>
      </c>
      <c r="AC108" s="17" t="e">
        <f t="shared" ca="1" si="16"/>
        <v>#N/A</v>
      </c>
      <c r="AD108" s="17" t="e">
        <f t="shared" ca="1" si="16"/>
        <v>#N/A</v>
      </c>
      <c r="AE108" s="17" t="e">
        <f t="shared" ca="1" si="16"/>
        <v>#N/A</v>
      </c>
      <c r="AF108" s="17" t="e">
        <f t="shared" ca="1" si="16"/>
        <v>#N/A</v>
      </c>
      <c r="AG108" s="17" t="e">
        <f t="shared" ca="1" si="16"/>
        <v>#N/A</v>
      </c>
      <c r="AH108" s="17" t="e">
        <f t="shared" ca="1" si="16"/>
        <v>#N/A</v>
      </c>
      <c r="AI108" s="17" t="e">
        <f t="shared" ca="1" si="16"/>
        <v>#N/A</v>
      </c>
      <c r="AJ108" s="17" t="e">
        <f t="shared" ca="1" si="16"/>
        <v>#N/A</v>
      </c>
      <c r="AK108" s="17" t="e">
        <f t="shared" ca="1" si="16"/>
        <v>#N/A</v>
      </c>
      <c r="AL108" s="17" t="e">
        <f t="shared" ca="1" si="16"/>
        <v>#N/A</v>
      </c>
      <c r="AM108" s="17" t="e">
        <f t="shared" ca="1" si="16"/>
        <v>#N/A</v>
      </c>
      <c r="AN108" s="17" t="e">
        <f t="shared" ca="1" si="16"/>
        <v>#N/A</v>
      </c>
      <c r="AO108" s="17" t="e">
        <f t="shared" ca="1" si="16"/>
        <v>#N/A</v>
      </c>
      <c r="AP108" s="17" t="e">
        <f t="shared" ca="1" si="16"/>
        <v>#N/A</v>
      </c>
      <c r="AQ108" s="17" t="e">
        <f t="shared" ca="1" si="16"/>
        <v>#N/A</v>
      </c>
      <c r="AR108" s="17" t="e">
        <f t="shared" ca="1" si="16"/>
        <v>#N/A</v>
      </c>
      <c r="AS108" s="17" t="e">
        <f t="shared" ca="1" si="16"/>
        <v>#N/A</v>
      </c>
      <c r="AT108" s="17" t="e">
        <f t="shared" ca="1" si="16"/>
        <v>#N/A</v>
      </c>
      <c r="AU108" s="17" t="e">
        <f t="shared" ca="1" si="16"/>
        <v>#N/A</v>
      </c>
      <c r="AV108" s="17" t="e">
        <f t="shared" ca="1" si="16"/>
        <v>#N/A</v>
      </c>
      <c r="AW108" s="17" t="e">
        <f t="shared" ca="1" si="16"/>
        <v>#N/A</v>
      </c>
      <c r="AX108" s="17" t="e">
        <f t="shared" ca="1" si="16"/>
        <v>#N/A</v>
      </c>
      <c r="AY108" s="17" t="e">
        <f t="shared" ca="1" si="16"/>
        <v>#N/A</v>
      </c>
      <c r="AZ108" s="17" t="e">
        <f t="shared" ca="1" si="16"/>
        <v>#N/A</v>
      </c>
      <c r="BA108" s="17" t="e">
        <f t="shared" ca="1" si="16"/>
        <v>#N/A</v>
      </c>
      <c r="BB108" s="17" t="e">
        <f t="shared" ca="1" si="16"/>
        <v>#N/A</v>
      </c>
      <c r="BC108" s="17" t="e">
        <f t="shared" ca="1" si="16"/>
        <v>#N/A</v>
      </c>
      <c r="BD108" s="17" t="e">
        <f t="shared" ca="1" si="16"/>
        <v>#N/A</v>
      </c>
      <c r="BE108" s="17" t="e">
        <f t="shared" ca="1" si="16"/>
        <v>#N/A</v>
      </c>
      <c r="BF108" s="17" t="e">
        <f t="shared" ca="1" si="16"/>
        <v>#N/A</v>
      </c>
      <c r="BG108" s="17" t="e">
        <f t="shared" ca="1" si="16"/>
        <v>#N/A</v>
      </c>
      <c r="BH108" s="17" t="e">
        <f t="shared" ca="1" si="16"/>
        <v>#N/A</v>
      </c>
      <c r="BI108" s="17" t="e">
        <f t="shared" ca="1" si="16"/>
        <v>#N/A</v>
      </c>
      <c r="BJ108" s="17" t="e">
        <f t="shared" ca="1" si="16"/>
        <v>#N/A</v>
      </c>
      <c r="BK108" s="17" t="e">
        <f t="shared" ca="1" si="16"/>
        <v>#N/A</v>
      </c>
      <c r="BL108" s="17" t="e">
        <f t="shared" ca="1" si="16"/>
        <v>#N/A</v>
      </c>
      <c r="BM108" s="17" t="e">
        <f t="shared" ca="1" si="16"/>
        <v>#N/A</v>
      </c>
      <c r="BN108" s="17" t="e">
        <f t="shared" ca="1" si="16"/>
        <v>#N/A</v>
      </c>
      <c r="BO108" s="17" t="e">
        <f t="shared" ca="1" si="16"/>
        <v>#N/A</v>
      </c>
      <c r="BP108" s="17" t="e">
        <f t="shared" ca="1" si="16"/>
        <v>#N/A</v>
      </c>
      <c r="BQ108" s="17" t="e">
        <f t="shared" ref="BQ108:BV108" ca="1" si="17">BQ45/$D108*100000</f>
        <v>#N/A</v>
      </c>
      <c r="BR108" s="17" t="e">
        <f t="shared" ca="1" si="17"/>
        <v>#N/A</v>
      </c>
      <c r="BS108" s="17" t="e">
        <f t="shared" ca="1" si="17"/>
        <v>#N/A</v>
      </c>
      <c r="BT108" s="17" t="e">
        <f t="shared" ca="1" si="17"/>
        <v>#N/A</v>
      </c>
      <c r="BU108" s="17" t="e">
        <f t="shared" ca="1" si="17"/>
        <v>#N/A</v>
      </c>
      <c r="BV108" s="17" t="e">
        <f t="shared" ca="1" si="17"/>
        <v>#N/A</v>
      </c>
    </row>
    <row r="109" spans="2:74" x14ac:dyDescent="0.25">
      <c r="B109">
        <f t="shared" si="11"/>
        <v>4</v>
      </c>
      <c r="C109" t="str">
        <f t="shared" ca="1" si="11"/>
        <v>Switzerland Argovia</v>
      </c>
      <c r="D109" s="1">
        <f t="shared" ca="1" si="11"/>
        <v>677387</v>
      </c>
      <c r="E109" s="17">
        <f t="shared" ref="E109:BP109" ca="1" si="18">E46/$D109*100000</f>
        <v>7.6765571231806931</v>
      </c>
      <c r="F109" s="17">
        <f t="shared" ca="1" si="18"/>
        <v>9.890948601021277</v>
      </c>
      <c r="G109" s="17">
        <f t="shared" ca="1" si="18"/>
        <v>14.91023595079327</v>
      </c>
      <c r="H109" s="17">
        <f t="shared" ca="1" si="18"/>
        <v>17.419879625679265</v>
      </c>
      <c r="I109" s="17">
        <f t="shared" ca="1" si="18"/>
        <v>24.801184551814547</v>
      </c>
      <c r="J109" s="17">
        <f t="shared" ca="1" si="18"/>
        <v>24.801184551814547</v>
      </c>
      <c r="K109" s="17">
        <f t="shared" ca="1" si="18"/>
        <v>34.249254857267701</v>
      </c>
      <c r="L109" s="17">
        <f t="shared" ca="1" si="18"/>
        <v>35.577889743972058</v>
      </c>
      <c r="M109" s="17">
        <f t="shared" ca="1" si="18"/>
        <v>39.268542207039694</v>
      </c>
      <c r="N109" s="17">
        <f t="shared" ca="1" si="18"/>
        <v>47.092725428743094</v>
      </c>
      <c r="O109" s="17" t="e">
        <f t="shared" ca="1" si="18"/>
        <v>#N/A</v>
      </c>
      <c r="P109" s="17" t="e">
        <f t="shared" ca="1" si="18"/>
        <v>#N/A</v>
      </c>
      <c r="Q109" s="17" t="e">
        <f t="shared" ca="1" si="18"/>
        <v>#N/A</v>
      </c>
      <c r="R109" s="17" t="e">
        <f t="shared" ca="1" si="18"/>
        <v>#N/A</v>
      </c>
      <c r="S109" s="17" t="e">
        <f t="shared" ca="1" si="18"/>
        <v>#N/A</v>
      </c>
      <c r="T109" s="17" t="e">
        <f t="shared" ca="1" si="18"/>
        <v>#N/A</v>
      </c>
      <c r="U109" s="17" t="e">
        <f t="shared" ca="1" si="18"/>
        <v>#N/A</v>
      </c>
      <c r="V109" s="17" t="e">
        <f t="shared" ca="1" si="18"/>
        <v>#N/A</v>
      </c>
      <c r="W109" s="17" t="e">
        <f t="shared" ca="1" si="18"/>
        <v>#N/A</v>
      </c>
      <c r="X109" s="17" t="e">
        <f t="shared" ca="1" si="18"/>
        <v>#N/A</v>
      </c>
      <c r="Y109" s="17" t="e">
        <f t="shared" ca="1" si="18"/>
        <v>#N/A</v>
      </c>
      <c r="Z109" s="17" t="e">
        <f t="shared" ca="1" si="18"/>
        <v>#N/A</v>
      </c>
      <c r="AA109" s="17" t="e">
        <f t="shared" ca="1" si="18"/>
        <v>#N/A</v>
      </c>
      <c r="AB109" s="17" t="e">
        <f t="shared" ca="1" si="18"/>
        <v>#N/A</v>
      </c>
      <c r="AC109" s="17" t="e">
        <f t="shared" ca="1" si="18"/>
        <v>#N/A</v>
      </c>
      <c r="AD109" s="17" t="e">
        <f t="shared" ca="1" si="18"/>
        <v>#N/A</v>
      </c>
      <c r="AE109" s="17" t="e">
        <f t="shared" ca="1" si="18"/>
        <v>#N/A</v>
      </c>
      <c r="AF109" s="17" t="e">
        <f t="shared" ca="1" si="18"/>
        <v>#N/A</v>
      </c>
      <c r="AG109" s="17" t="e">
        <f t="shared" ca="1" si="18"/>
        <v>#N/A</v>
      </c>
      <c r="AH109" s="17" t="e">
        <f t="shared" ca="1" si="18"/>
        <v>#N/A</v>
      </c>
      <c r="AI109" s="17" t="e">
        <f t="shared" ca="1" si="18"/>
        <v>#N/A</v>
      </c>
      <c r="AJ109" s="17" t="e">
        <f t="shared" ca="1" si="18"/>
        <v>#N/A</v>
      </c>
      <c r="AK109" s="17" t="e">
        <f t="shared" ca="1" si="18"/>
        <v>#N/A</v>
      </c>
      <c r="AL109" s="17" t="e">
        <f t="shared" ca="1" si="18"/>
        <v>#N/A</v>
      </c>
      <c r="AM109" s="17" t="e">
        <f t="shared" ca="1" si="18"/>
        <v>#N/A</v>
      </c>
      <c r="AN109" s="17" t="e">
        <f t="shared" ca="1" si="18"/>
        <v>#N/A</v>
      </c>
      <c r="AO109" s="17" t="e">
        <f t="shared" ca="1" si="18"/>
        <v>#N/A</v>
      </c>
      <c r="AP109" s="17" t="e">
        <f t="shared" ca="1" si="18"/>
        <v>#N/A</v>
      </c>
      <c r="AQ109" s="17" t="e">
        <f t="shared" ca="1" si="18"/>
        <v>#N/A</v>
      </c>
      <c r="AR109" s="17" t="e">
        <f t="shared" ca="1" si="18"/>
        <v>#N/A</v>
      </c>
      <c r="AS109" s="17" t="e">
        <f t="shared" ca="1" si="18"/>
        <v>#N/A</v>
      </c>
      <c r="AT109" s="17" t="e">
        <f t="shared" ca="1" si="18"/>
        <v>#N/A</v>
      </c>
      <c r="AU109" s="17" t="e">
        <f t="shared" ca="1" si="18"/>
        <v>#N/A</v>
      </c>
      <c r="AV109" s="17" t="e">
        <f t="shared" ca="1" si="18"/>
        <v>#N/A</v>
      </c>
      <c r="AW109" s="17" t="e">
        <f t="shared" ca="1" si="18"/>
        <v>#N/A</v>
      </c>
      <c r="AX109" s="17" t="e">
        <f t="shared" ca="1" si="18"/>
        <v>#N/A</v>
      </c>
      <c r="AY109" s="17" t="e">
        <f t="shared" ca="1" si="18"/>
        <v>#N/A</v>
      </c>
      <c r="AZ109" s="17" t="e">
        <f t="shared" ca="1" si="18"/>
        <v>#N/A</v>
      </c>
      <c r="BA109" s="17" t="e">
        <f t="shared" ca="1" si="18"/>
        <v>#N/A</v>
      </c>
      <c r="BB109" s="17" t="e">
        <f t="shared" ca="1" si="18"/>
        <v>#N/A</v>
      </c>
      <c r="BC109" s="17" t="e">
        <f t="shared" ca="1" si="18"/>
        <v>#N/A</v>
      </c>
      <c r="BD109" s="17" t="e">
        <f t="shared" ca="1" si="18"/>
        <v>#N/A</v>
      </c>
      <c r="BE109" s="17" t="e">
        <f t="shared" ca="1" si="18"/>
        <v>#N/A</v>
      </c>
      <c r="BF109" s="17" t="e">
        <f t="shared" ca="1" si="18"/>
        <v>#N/A</v>
      </c>
      <c r="BG109" s="17" t="e">
        <f t="shared" ca="1" si="18"/>
        <v>#N/A</v>
      </c>
      <c r="BH109" s="17" t="e">
        <f t="shared" ca="1" si="18"/>
        <v>#N/A</v>
      </c>
      <c r="BI109" s="17" t="e">
        <f t="shared" ca="1" si="18"/>
        <v>#N/A</v>
      </c>
      <c r="BJ109" s="17" t="e">
        <f t="shared" ca="1" si="18"/>
        <v>#N/A</v>
      </c>
      <c r="BK109" s="17" t="e">
        <f t="shared" ca="1" si="18"/>
        <v>#N/A</v>
      </c>
      <c r="BL109" s="17" t="e">
        <f t="shared" ca="1" si="18"/>
        <v>#N/A</v>
      </c>
      <c r="BM109" s="17" t="e">
        <f t="shared" ca="1" si="18"/>
        <v>#N/A</v>
      </c>
      <c r="BN109" s="17" t="e">
        <f t="shared" ca="1" si="18"/>
        <v>#N/A</v>
      </c>
      <c r="BO109" s="17" t="e">
        <f t="shared" ca="1" si="18"/>
        <v>#N/A</v>
      </c>
      <c r="BP109" s="17" t="e">
        <f t="shared" ca="1" si="18"/>
        <v>#N/A</v>
      </c>
      <c r="BQ109" s="17" t="e">
        <f t="shared" ref="BQ109:BV109" ca="1" si="19">BQ46/$D109*100000</f>
        <v>#N/A</v>
      </c>
      <c r="BR109" s="17" t="e">
        <f t="shared" ca="1" si="19"/>
        <v>#N/A</v>
      </c>
      <c r="BS109" s="17" t="e">
        <f t="shared" ca="1" si="19"/>
        <v>#N/A</v>
      </c>
      <c r="BT109" s="17" t="e">
        <f t="shared" ca="1" si="19"/>
        <v>#N/A</v>
      </c>
      <c r="BU109" s="17" t="e">
        <f t="shared" ca="1" si="19"/>
        <v>#N/A</v>
      </c>
      <c r="BV109" s="17" t="e">
        <f t="shared" ca="1" si="19"/>
        <v>#N/A</v>
      </c>
    </row>
    <row r="110" spans="2:74" x14ac:dyDescent="0.25">
      <c r="B110">
        <f t="shared" si="11"/>
        <v>5</v>
      </c>
      <c r="C110" t="str">
        <f t="shared" ca="1" si="11"/>
        <v>Switzerland Basel City</v>
      </c>
      <c r="D110" s="1">
        <f t="shared" ca="1" si="11"/>
        <v>194766</v>
      </c>
      <c r="E110" s="17">
        <f t="shared" ref="E110:BP110" ca="1" si="20">E47/$D110*100000</f>
        <v>37.48087448527977</v>
      </c>
      <c r="F110" s="17">
        <f t="shared" ca="1" si="20"/>
        <v>47.236170584188201</v>
      </c>
      <c r="G110" s="17">
        <f t="shared" ca="1" si="20"/>
        <v>51.343663678465447</v>
      </c>
      <c r="H110" s="17">
        <f t="shared" ca="1" si="20"/>
        <v>51.343663678465447</v>
      </c>
      <c r="I110" s="17">
        <f t="shared" ca="1" si="20"/>
        <v>73.934875696990233</v>
      </c>
      <c r="J110" s="17">
        <f t="shared" ca="1" si="20"/>
        <v>84.717045069467972</v>
      </c>
      <c r="K110" s="17">
        <f t="shared" ca="1" si="20"/>
        <v>93.445467894807095</v>
      </c>
      <c r="L110" s="17">
        <f t="shared" ca="1" si="20"/>
        <v>113.98293336619327</v>
      </c>
      <c r="M110" s="17">
        <f t="shared" ca="1" si="20"/>
        <v>139.654765205426</v>
      </c>
      <c r="N110" s="17">
        <f t="shared" ca="1" si="20"/>
        <v>153.51755439861168</v>
      </c>
      <c r="O110" s="17">
        <f t="shared" ca="1" si="20"/>
        <v>183.81031596890628</v>
      </c>
      <c r="P110" s="17">
        <f t="shared" ca="1" si="20"/>
        <v>193.05217543103007</v>
      </c>
      <c r="Q110" s="17">
        <f t="shared" ca="1" si="20"/>
        <v>212.56276762884693</v>
      </c>
      <c r="R110" s="17">
        <f t="shared" ca="1" si="20"/>
        <v>239.26147274164893</v>
      </c>
      <c r="S110" s="17" t="e">
        <f t="shared" ca="1" si="20"/>
        <v>#N/A</v>
      </c>
      <c r="T110" s="17" t="e">
        <f t="shared" ca="1" si="20"/>
        <v>#N/A</v>
      </c>
      <c r="U110" s="17" t="e">
        <f t="shared" ca="1" si="20"/>
        <v>#N/A</v>
      </c>
      <c r="V110" s="17" t="e">
        <f t="shared" ca="1" si="20"/>
        <v>#N/A</v>
      </c>
      <c r="W110" s="17" t="e">
        <f t="shared" ca="1" si="20"/>
        <v>#N/A</v>
      </c>
      <c r="X110" s="17" t="e">
        <f t="shared" ca="1" si="20"/>
        <v>#N/A</v>
      </c>
      <c r="Y110" s="17" t="e">
        <f t="shared" ca="1" si="20"/>
        <v>#N/A</v>
      </c>
      <c r="Z110" s="17" t="e">
        <f t="shared" ca="1" si="20"/>
        <v>#N/A</v>
      </c>
      <c r="AA110" s="17" t="e">
        <f t="shared" ca="1" si="20"/>
        <v>#N/A</v>
      </c>
      <c r="AB110" s="17" t="e">
        <f t="shared" ca="1" si="20"/>
        <v>#N/A</v>
      </c>
      <c r="AC110" s="17" t="e">
        <f t="shared" ca="1" si="20"/>
        <v>#N/A</v>
      </c>
      <c r="AD110" s="17" t="e">
        <f t="shared" ca="1" si="20"/>
        <v>#N/A</v>
      </c>
      <c r="AE110" s="17" t="e">
        <f t="shared" ca="1" si="20"/>
        <v>#N/A</v>
      </c>
      <c r="AF110" s="17" t="e">
        <f t="shared" ca="1" si="20"/>
        <v>#N/A</v>
      </c>
      <c r="AG110" s="17" t="e">
        <f t="shared" ca="1" si="20"/>
        <v>#N/A</v>
      </c>
      <c r="AH110" s="17" t="e">
        <f t="shared" ca="1" si="20"/>
        <v>#N/A</v>
      </c>
      <c r="AI110" s="17" t="e">
        <f t="shared" ca="1" si="20"/>
        <v>#N/A</v>
      </c>
      <c r="AJ110" s="17" t="e">
        <f t="shared" ca="1" si="20"/>
        <v>#N/A</v>
      </c>
      <c r="AK110" s="17" t="e">
        <f t="shared" ca="1" si="20"/>
        <v>#N/A</v>
      </c>
      <c r="AL110" s="17" t="e">
        <f t="shared" ca="1" si="20"/>
        <v>#N/A</v>
      </c>
      <c r="AM110" s="17" t="e">
        <f t="shared" ca="1" si="20"/>
        <v>#N/A</v>
      </c>
      <c r="AN110" s="17" t="e">
        <f t="shared" ca="1" si="20"/>
        <v>#N/A</v>
      </c>
      <c r="AO110" s="17" t="e">
        <f t="shared" ca="1" si="20"/>
        <v>#N/A</v>
      </c>
      <c r="AP110" s="17" t="e">
        <f t="shared" ca="1" si="20"/>
        <v>#N/A</v>
      </c>
      <c r="AQ110" s="17" t="e">
        <f t="shared" ca="1" si="20"/>
        <v>#N/A</v>
      </c>
      <c r="AR110" s="17" t="e">
        <f t="shared" ca="1" si="20"/>
        <v>#N/A</v>
      </c>
      <c r="AS110" s="17" t="e">
        <f t="shared" ca="1" si="20"/>
        <v>#N/A</v>
      </c>
      <c r="AT110" s="17" t="e">
        <f t="shared" ca="1" si="20"/>
        <v>#N/A</v>
      </c>
      <c r="AU110" s="17" t="e">
        <f t="shared" ca="1" si="20"/>
        <v>#N/A</v>
      </c>
      <c r="AV110" s="17" t="e">
        <f t="shared" ca="1" si="20"/>
        <v>#N/A</v>
      </c>
      <c r="AW110" s="17" t="e">
        <f t="shared" ca="1" si="20"/>
        <v>#N/A</v>
      </c>
      <c r="AX110" s="17" t="e">
        <f t="shared" ca="1" si="20"/>
        <v>#N/A</v>
      </c>
      <c r="AY110" s="17" t="e">
        <f t="shared" ca="1" si="20"/>
        <v>#N/A</v>
      </c>
      <c r="AZ110" s="17" t="e">
        <f t="shared" ca="1" si="20"/>
        <v>#N/A</v>
      </c>
      <c r="BA110" s="17" t="e">
        <f t="shared" ca="1" si="20"/>
        <v>#N/A</v>
      </c>
      <c r="BB110" s="17" t="e">
        <f t="shared" ca="1" si="20"/>
        <v>#N/A</v>
      </c>
      <c r="BC110" s="17" t="e">
        <f t="shared" ca="1" si="20"/>
        <v>#N/A</v>
      </c>
      <c r="BD110" s="17" t="e">
        <f t="shared" ca="1" si="20"/>
        <v>#N/A</v>
      </c>
      <c r="BE110" s="17" t="e">
        <f t="shared" ca="1" si="20"/>
        <v>#N/A</v>
      </c>
      <c r="BF110" s="17" t="e">
        <f t="shared" ca="1" si="20"/>
        <v>#N/A</v>
      </c>
      <c r="BG110" s="17" t="e">
        <f t="shared" ca="1" si="20"/>
        <v>#N/A</v>
      </c>
      <c r="BH110" s="17" t="e">
        <f t="shared" ca="1" si="20"/>
        <v>#N/A</v>
      </c>
      <c r="BI110" s="17" t="e">
        <f t="shared" ca="1" si="20"/>
        <v>#N/A</v>
      </c>
      <c r="BJ110" s="17" t="e">
        <f t="shared" ca="1" si="20"/>
        <v>#N/A</v>
      </c>
      <c r="BK110" s="17" t="e">
        <f t="shared" ca="1" si="20"/>
        <v>#N/A</v>
      </c>
      <c r="BL110" s="17" t="e">
        <f t="shared" ca="1" si="20"/>
        <v>#N/A</v>
      </c>
      <c r="BM110" s="17" t="e">
        <f t="shared" ca="1" si="20"/>
        <v>#N/A</v>
      </c>
      <c r="BN110" s="17" t="e">
        <f t="shared" ca="1" si="20"/>
        <v>#N/A</v>
      </c>
      <c r="BO110" s="17" t="e">
        <f t="shared" ca="1" si="20"/>
        <v>#N/A</v>
      </c>
      <c r="BP110" s="17" t="e">
        <f t="shared" ca="1" si="20"/>
        <v>#N/A</v>
      </c>
      <c r="BQ110" s="17" t="e">
        <f t="shared" ref="BQ110:BV110" ca="1" si="21">BQ47/$D110*100000</f>
        <v>#N/A</v>
      </c>
      <c r="BR110" s="17" t="e">
        <f t="shared" ca="1" si="21"/>
        <v>#N/A</v>
      </c>
      <c r="BS110" s="17" t="e">
        <f t="shared" ca="1" si="21"/>
        <v>#N/A</v>
      </c>
      <c r="BT110" s="17" t="e">
        <f t="shared" ca="1" si="21"/>
        <v>#N/A</v>
      </c>
      <c r="BU110" s="17" t="e">
        <f t="shared" ca="1" si="21"/>
        <v>#N/A</v>
      </c>
      <c r="BV110" s="17" t="e">
        <f t="shared" ca="1" si="21"/>
        <v>#N/A</v>
      </c>
    </row>
    <row r="111" spans="2:74" x14ac:dyDescent="0.25">
      <c r="B111">
        <f t="shared" si="11"/>
        <v>6</v>
      </c>
      <c r="C111" t="str">
        <f t="shared" ca="1" si="11"/>
        <v>Switzerland Basel Country</v>
      </c>
      <c r="D111" s="1">
        <f t="shared" ca="1" si="11"/>
        <v>288132</v>
      </c>
      <c r="E111" s="17">
        <f t="shared" ref="E111:BP111" ca="1" si="22">E48/$D111*100000</f>
        <v>18.741410186997626</v>
      </c>
      <c r="F111" s="17">
        <f t="shared" ca="1" si="22"/>
        <v>26.376799522441107</v>
      </c>
      <c r="G111" s="17">
        <f t="shared" ca="1" si="22"/>
        <v>30.888620493384977</v>
      </c>
      <c r="H111" s="17">
        <f t="shared" ca="1" si="22"/>
        <v>40.25932558688379</v>
      </c>
      <c r="I111" s="17">
        <f t="shared" ca="1" si="22"/>
        <v>46.506462315882999</v>
      </c>
      <c r="J111" s="17">
        <f t="shared" ca="1" si="22"/>
        <v>63.859619896436364</v>
      </c>
      <c r="K111" s="17">
        <f t="shared" ca="1" si="22"/>
        <v>97.871808754320938</v>
      </c>
      <c r="L111" s="17">
        <f t="shared" ca="1" si="22"/>
        <v>100.30125081559841</v>
      </c>
      <c r="M111" s="17">
        <f t="shared" ca="1" si="22"/>
        <v>104.81307178654227</v>
      </c>
      <c r="N111" s="17">
        <f t="shared" ca="1" si="22"/>
        <v>106.20132439298655</v>
      </c>
      <c r="O111" s="17">
        <f t="shared" ca="1" si="22"/>
        <v>118.3485346993739</v>
      </c>
      <c r="P111" s="17" t="e">
        <f t="shared" ca="1" si="22"/>
        <v>#N/A</v>
      </c>
      <c r="Q111" s="17" t="e">
        <f t="shared" ca="1" si="22"/>
        <v>#N/A</v>
      </c>
      <c r="R111" s="17" t="e">
        <f t="shared" ca="1" si="22"/>
        <v>#N/A</v>
      </c>
      <c r="S111" s="17" t="e">
        <f t="shared" ca="1" si="22"/>
        <v>#N/A</v>
      </c>
      <c r="T111" s="17" t="e">
        <f t="shared" ca="1" si="22"/>
        <v>#N/A</v>
      </c>
      <c r="U111" s="17" t="e">
        <f t="shared" ca="1" si="22"/>
        <v>#N/A</v>
      </c>
      <c r="V111" s="17" t="e">
        <f t="shared" ca="1" si="22"/>
        <v>#N/A</v>
      </c>
      <c r="W111" s="17" t="e">
        <f t="shared" ca="1" si="22"/>
        <v>#N/A</v>
      </c>
      <c r="X111" s="17" t="e">
        <f t="shared" ca="1" si="22"/>
        <v>#N/A</v>
      </c>
      <c r="Y111" s="17" t="e">
        <f t="shared" ca="1" si="22"/>
        <v>#N/A</v>
      </c>
      <c r="Z111" s="17" t="e">
        <f t="shared" ca="1" si="22"/>
        <v>#N/A</v>
      </c>
      <c r="AA111" s="17" t="e">
        <f t="shared" ca="1" si="22"/>
        <v>#N/A</v>
      </c>
      <c r="AB111" s="17" t="e">
        <f t="shared" ca="1" si="22"/>
        <v>#N/A</v>
      </c>
      <c r="AC111" s="17" t="e">
        <f t="shared" ca="1" si="22"/>
        <v>#N/A</v>
      </c>
      <c r="AD111" s="17" t="e">
        <f t="shared" ca="1" si="22"/>
        <v>#N/A</v>
      </c>
      <c r="AE111" s="17" t="e">
        <f t="shared" ca="1" si="22"/>
        <v>#N/A</v>
      </c>
      <c r="AF111" s="17" t="e">
        <f t="shared" ca="1" si="22"/>
        <v>#N/A</v>
      </c>
      <c r="AG111" s="17" t="e">
        <f t="shared" ca="1" si="22"/>
        <v>#N/A</v>
      </c>
      <c r="AH111" s="17" t="e">
        <f t="shared" ca="1" si="22"/>
        <v>#N/A</v>
      </c>
      <c r="AI111" s="17" t="e">
        <f t="shared" ca="1" si="22"/>
        <v>#N/A</v>
      </c>
      <c r="AJ111" s="17" t="e">
        <f t="shared" ca="1" si="22"/>
        <v>#N/A</v>
      </c>
      <c r="AK111" s="17" t="e">
        <f t="shared" ca="1" si="22"/>
        <v>#N/A</v>
      </c>
      <c r="AL111" s="17" t="e">
        <f t="shared" ca="1" si="22"/>
        <v>#N/A</v>
      </c>
      <c r="AM111" s="17" t="e">
        <f t="shared" ca="1" si="22"/>
        <v>#N/A</v>
      </c>
      <c r="AN111" s="17" t="e">
        <f t="shared" ca="1" si="22"/>
        <v>#N/A</v>
      </c>
      <c r="AO111" s="17" t="e">
        <f t="shared" ca="1" si="22"/>
        <v>#N/A</v>
      </c>
      <c r="AP111" s="17" t="e">
        <f t="shared" ca="1" si="22"/>
        <v>#N/A</v>
      </c>
      <c r="AQ111" s="17" t="e">
        <f t="shared" ca="1" si="22"/>
        <v>#N/A</v>
      </c>
      <c r="AR111" s="17" t="e">
        <f t="shared" ca="1" si="22"/>
        <v>#N/A</v>
      </c>
      <c r="AS111" s="17" t="e">
        <f t="shared" ca="1" si="22"/>
        <v>#N/A</v>
      </c>
      <c r="AT111" s="17" t="e">
        <f t="shared" ca="1" si="22"/>
        <v>#N/A</v>
      </c>
      <c r="AU111" s="17" t="e">
        <f t="shared" ca="1" si="22"/>
        <v>#N/A</v>
      </c>
      <c r="AV111" s="17" t="e">
        <f t="shared" ca="1" si="22"/>
        <v>#N/A</v>
      </c>
      <c r="AW111" s="17" t="e">
        <f t="shared" ca="1" si="22"/>
        <v>#N/A</v>
      </c>
      <c r="AX111" s="17" t="e">
        <f t="shared" ca="1" si="22"/>
        <v>#N/A</v>
      </c>
      <c r="AY111" s="17" t="e">
        <f t="shared" ca="1" si="22"/>
        <v>#N/A</v>
      </c>
      <c r="AZ111" s="17" t="e">
        <f t="shared" ca="1" si="22"/>
        <v>#N/A</v>
      </c>
      <c r="BA111" s="17" t="e">
        <f t="shared" ca="1" si="22"/>
        <v>#N/A</v>
      </c>
      <c r="BB111" s="17" t="e">
        <f t="shared" ca="1" si="22"/>
        <v>#N/A</v>
      </c>
      <c r="BC111" s="17" t="e">
        <f t="shared" ca="1" si="22"/>
        <v>#N/A</v>
      </c>
      <c r="BD111" s="17" t="e">
        <f t="shared" ca="1" si="22"/>
        <v>#N/A</v>
      </c>
      <c r="BE111" s="17" t="e">
        <f t="shared" ca="1" si="22"/>
        <v>#N/A</v>
      </c>
      <c r="BF111" s="17" t="e">
        <f t="shared" ca="1" si="22"/>
        <v>#N/A</v>
      </c>
      <c r="BG111" s="17" t="e">
        <f t="shared" ca="1" si="22"/>
        <v>#N/A</v>
      </c>
      <c r="BH111" s="17" t="e">
        <f t="shared" ca="1" si="22"/>
        <v>#N/A</v>
      </c>
      <c r="BI111" s="17" t="e">
        <f t="shared" ca="1" si="22"/>
        <v>#N/A</v>
      </c>
      <c r="BJ111" s="17" t="e">
        <f t="shared" ca="1" si="22"/>
        <v>#N/A</v>
      </c>
      <c r="BK111" s="17" t="e">
        <f t="shared" ca="1" si="22"/>
        <v>#N/A</v>
      </c>
      <c r="BL111" s="17" t="e">
        <f t="shared" ca="1" si="22"/>
        <v>#N/A</v>
      </c>
      <c r="BM111" s="17" t="e">
        <f t="shared" ca="1" si="22"/>
        <v>#N/A</v>
      </c>
      <c r="BN111" s="17" t="e">
        <f t="shared" ca="1" si="22"/>
        <v>#N/A</v>
      </c>
      <c r="BO111" s="17" t="e">
        <f t="shared" ca="1" si="22"/>
        <v>#N/A</v>
      </c>
      <c r="BP111" s="17" t="e">
        <f t="shared" ca="1" si="22"/>
        <v>#N/A</v>
      </c>
      <c r="BQ111" s="17" t="e">
        <f t="shared" ref="BQ111:BV111" ca="1" si="23">BQ48/$D111*100000</f>
        <v>#N/A</v>
      </c>
      <c r="BR111" s="17" t="e">
        <f t="shared" ca="1" si="23"/>
        <v>#N/A</v>
      </c>
      <c r="BS111" s="17" t="e">
        <f t="shared" ca="1" si="23"/>
        <v>#N/A</v>
      </c>
      <c r="BT111" s="17" t="e">
        <f t="shared" ca="1" si="23"/>
        <v>#N/A</v>
      </c>
      <c r="BU111" s="17" t="e">
        <f t="shared" ca="1" si="23"/>
        <v>#N/A</v>
      </c>
      <c r="BV111" s="17" t="e">
        <f t="shared" ca="1" si="23"/>
        <v>#N/A</v>
      </c>
    </row>
    <row r="112" spans="2:74" x14ac:dyDescent="0.25">
      <c r="B112">
        <f t="shared" si="11"/>
        <v>7</v>
      </c>
      <c r="C112" t="str">
        <f t="shared" ca="1" si="11"/>
        <v>Switzerland Berne</v>
      </c>
      <c r="D112" s="1">
        <f t="shared" ca="1" si="11"/>
        <v>1034977</v>
      </c>
      <c r="E112" s="17">
        <f t="shared" ref="E112:BP112" ca="1" si="24">E49/$D112*100000</f>
        <v>11.884322067060427</v>
      </c>
      <c r="F112" s="17">
        <f t="shared" ca="1" si="24"/>
        <v>11.884322067060427</v>
      </c>
      <c r="G112" s="17">
        <f t="shared" ca="1" si="24"/>
        <v>18.647757389777745</v>
      </c>
      <c r="H112" s="17">
        <f t="shared" ca="1" si="24"/>
        <v>27.246982300089758</v>
      </c>
      <c r="I112" s="17">
        <f t="shared" ca="1" si="24"/>
        <v>36.425930238063259</v>
      </c>
      <c r="J112" s="17">
        <f t="shared" ca="1" si="24"/>
        <v>40.387370927083403</v>
      </c>
      <c r="K112" s="17">
        <f t="shared" ca="1" si="24"/>
        <v>40.387370927083403</v>
      </c>
      <c r="L112" s="17">
        <f t="shared" ca="1" si="24"/>
        <v>45.41163716681627</v>
      </c>
      <c r="M112" s="17">
        <f t="shared" ca="1" si="24"/>
        <v>51.402108452651603</v>
      </c>
      <c r="N112" s="17">
        <f t="shared" ca="1" si="24"/>
        <v>60.291194876794371</v>
      </c>
      <c r="O112" s="17" t="e">
        <f t="shared" ca="1" si="24"/>
        <v>#N/A</v>
      </c>
      <c r="P112" s="17" t="e">
        <f t="shared" ca="1" si="24"/>
        <v>#N/A</v>
      </c>
      <c r="Q112" s="17" t="e">
        <f t="shared" ca="1" si="24"/>
        <v>#N/A</v>
      </c>
      <c r="R112" s="17" t="e">
        <f t="shared" ca="1" si="24"/>
        <v>#N/A</v>
      </c>
      <c r="S112" s="17" t="e">
        <f t="shared" ca="1" si="24"/>
        <v>#N/A</v>
      </c>
      <c r="T112" s="17" t="e">
        <f t="shared" ca="1" si="24"/>
        <v>#N/A</v>
      </c>
      <c r="U112" s="17" t="e">
        <f t="shared" ca="1" si="24"/>
        <v>#N/A</v>
      </c>
      <c r="V112" s="17" t="e">
        <f t="shared" ca="1" si="24"/>
        <v>#N/A</v>
      </c>
      <c r="W112" s="17" t="e">
        <f t="shared" ca="1" si="24"/>
        <v>#N/A</v>
      </c>
      <c r="X112" s="17" t="e">
        <f t="shared" ca="1" si="24"/>
        <v>#N/A</v>
      </c>
      <c r="Y112" s="17" t="e">
        <f t="shared" ca="1" si="24"/>
        <v>#N/A</v>
      </c>
      <c r="Z112" s="17" t="e">
        <f t="shared" ca="1" si="24"/>
        <v>#N/A</v>
      </c>
      <c r="AA112" s="17" t="e">
        <f t="shared" ca="1" si="24"/>
        <v>#N/A</v>
      </c>
      <c r="AB112" s="17" t="e">
        <f t="shared" ca="1" si="24"/>
        <v>#N/A</v>
      </c>
      <c r="AC112" s="17" t="e">
        <f t="shared" ca="1" si="24"/>
        <v>#N/A</v>
      </c>
      <c r="AD112" s="17" t="e">
        <f t="shared" ca="1" si="24"/>
        <v>#N/A</v>
      </c>
      <c r="AE112" s="17" t="e">
        <f t="shared" ca="1" si="24"/>
        <v>#N/A</v>
      </c>
      <c r="AF112" s="17" t="e">
        <f t="shared" ca="1" si="24"/>
        <v>#N/A</v>
      </c>
      <c r="AG112" s="17" t="e">
        <f t="shared" ca="1" si="24"/>
        <v>#N/A</v>
      </c>
      <c r="AH112" s="17" t="e">
        <f t="shared" ca="1" si="24"/>
        <v>#N/A</v>
      </c>
      <c r="AI112" s="17" t="e">
        <f t="shared" ca="1" si="24"/>
        <v>#N/A</v>
      </c>
      <c r="AJ112" s="17" t="e">
        <f t="shared" ca="1" si="24"/>
        <v>#N/A</v>
      </c>
      <c r="AK112" s="17" t="e">
        <f t="shared" ca="1" si="24"/>
        <v>#N/A</v>
      </c>
      <c r="AL112" s="17" t="e">
        <f t="shared" ca="1" si="24"/>
        <v>#N/A</v>
      </c>
      <c r="AM112" s="17" t="e">
        <f t="shared" ca="1" si="24"/>
        <v>#N/A</v>
      </c>
      <c r="AN112" s="17" t="e">
        <f t="shared" ca="1" si="24"/>
        <v>#N/A</v>
      </c>
      <c r="AO112" s="17" t="e">
        <f t="shared" ca="1" si="24"/>
        <v>#N/A</v>
      </c>
      <c r="AP112" s="17" t="e">
        <f t="shared" ca="1" si="24"/>
        <v>#N/A</v>
      </c>
      <c r="AQ112" s="17" t="e">
        <f t="shared" ca="1" si="24"/>
        <v>#N/A</v>
      </c>
      <c r="AR112" s="17" t="e">
        <f t="shared" ca="1" si="24"/>
        <v>#N/A</v>
      </c>
      <c r="AS112" s="17" t="e">
        <f t="shared" ca="1" si="24"/>
        <v>#N/A</v>
      </c>
      <c r="AT112" s="17" t="e">
        <f t="shared" ca="1" si="24"/>
        <v>#N/A</v>
      </c>
      <c r="AU112" s="17" t="e">
        <f t="shared" ca="1" si="24"/>
        <v>#N/A</v>
      </c>
      <c r="AV112" s="17" t="e">
        <f t="shared" ca="1" si="24"/>
        <v>#N/A</v>
      </c>
      <c r="AW112" s="17" t="e">
        <f t="shared" ca="1" si="24"/>
        <v>#N/A</v>
      </c>
      <c r="AX112" s="17" t="e">
        <f t="shared" ca="1" si="24"/>
        <v>#N/A</v>
      </c>
      <c r="AY112" s="17" t="e">
        <f t="shared" ca="1" si="24"/>
        <v>#N/A</v>
      </c>
      <c r="AZ112" s="17" t="e">
        <f t="shared" ca="1" si="24"/>
        <v>#N/A</v>
      </c>
      <c r="BA112" s="17" t="e">
        <f t="shared" ca="1" si="24"/>
        <v>#N/A</v>
      </c>
      <c r="BB112" s="17" t="e">
        <f t="shared" ca="1" si="24"/>
        <v>#N/A</v>
      </c>
      <c r="BC112" s="17" t="e">
        <f t="shared" ca="1" si="24"/>
        <v>#N/A</v>
      </c>
      <c r="BD112" s="17" t="e">
        <f t="shared" ca="1" si="24"/>
        <v>#N/A</v>
      </c>
      <c r="BE112" s="17" t="e">
        <f t="shared" ca="1" si="24"/>
        <v>#N/A</v>
      </c>
      <c r="BF112" s="17" t="e">
        <f t="shared" ca="1" si="24"/>
        <v>#N/A</v>
      </c>
      <c r="BG112" s="17" t="e">
        <f t="shared" ca="1" si="24"/>
        <v>#N/A</v>
      </c>
      <c r="BH112" s="17" t="e">
        <f t="shared" ca="1" si="24"/>
        <v>#N/A</v>
      </c>
      <c r="BI112" s="17" t="e">
        <f t="shared" ca="1" si="24"/>
        <v>#N/A</v>
      </c>
      <c r="BJ112" s="17" t="e">
        <f t="shared" ca="1" si="24"/>
        <v>#N/A</v>
      </c>
      <c r="BK112" s="17" t="e">
        <f t="shared" ca="1" si="24"/>
        <v>#N/A</v>
      </c>
      <c r="BL112" s="17" t="e">
        <f t="shared" ca="1" si="24"/>
        <v>#N/A</v>
      </c>
      <c r="BM112" s="17" t="e">
        <f t="shared" ca="1" si="24"/>
        <v>#N/A</v>
      </c>
      <c r="BN112" s="17" t="e">
        <f t="shared" ca="1" si="24"/>
        <v>#N/A</v>
      </c>
      <c r="BO112" s="17" t="e">
        <f t="shared" ca="1" si="24"/>
        <v>#N/A</v>
      </c>
      <c r="BP112" s="17" t="e">
        <f t="shared" ca="1" si="24"/>
        <v>#N/A</v>
      </c>
      <c r="BQ112" s="17" t="e">
        <f t="shared" ref="BQ112:BV112" ca="1" si="25">BQ49/$D112*100000</f>
        <v>#N/A</v>
      </c>
      <c r="BR112" s="17" t="e">
        <f t="shared" ca="1" si="25"/>
        <v>#N/A</v>
      </c>
      <c r="BS112" s="17" t="e">
        <f t="shared" ca="1" si="25"/>
        <v>#N/A</v>
      </c>
      <c r="BT112" s="17" t="e">
        <f t="shared" ca="1" si="25"/>
        <v>#N/A</v>
      </c>
      <c r="BU112" s="17" t="e">
        <f t="shared" ca="1" si="25"/>
        <v>#N/A</v>
      </c>
      <c r="BV112" s="17" t="e">
        <f t="shared" ca="1" si="25"/>
        <v>#N/A</v>
      </c>
    </row>
    <row r="113" spans="2:74" x14ac:dyDescent="0.25">
      <c r="B113">
        <f t="shared" si="11"/>
        <v>8</v>
      </c>
      <c r="C113" t="str">
        <f t="shared" ca="1" si="11"/>
        <v>Switzerland Friborg</v>
      </c>
      <c r="D113" s="1">
        <f t="shared" ca="1" si="11"/>
        <v>318714</v>
      </c>
      <c r="E113" s="17">
        <f t="shared" ref="E113:BP113" ca="1" si="26">E50/$D113*100000</f>
        <v>18.511894676732119</v>
      </c>
      <c r="F113" s="17">
        <f t="shared" ca="1" si="26"/>
        <v>26.983439698287494</v>
      </c>
      <c r="G113" s="17">
        <f t="shared" ca="1" si="26"/>
        <v>34.82746286639432</v>
      </c>
      <c r="H113" s="17">
        <f t="shared" ca="1" si="26"/>
        <v>45.49533437501961</v>
      </c>
      <c r="I113" s="17">
        <f t="shared" ca="1" si="26"/>
        <v>52.398074762953627</v>
      </c>
      <c r="J113" s="17">
        <f t="shared" ca="1" si="26"/>
        <v>63.37970719830318</v>
      </c>
      <c r="K113" s="17">
        <f t="shared" ca="1" si="26"/>
        <v>70.909969439685739</v>
      </c>
      <c r="L113" s="17">
        <f t="shared" ca="1" si="26"/>
        <v>80.009036314689666</v>
      </c>
      <c r="M113" s="17">
        <f t="shared" ca="1" si="26"/>
        <v>91.931951530212032</v>
      </c>
      <c r="N113" s="17" t="e">
        <f t="shared" ca="1" si="26"/>
        <v>#N/A</v>
      </c>
      <c r="O113" s="17" t="e">
        <f t="shared" ca="1" si="26"/>
        <v>#N/A</v>
      </c>
      <c r="P113" s="17" t="e">
        <f t="shared" ca="1" si="26"/>
        <v>#N/A</v>
      </c>
      <c r="Q113" s="17" t="e">
        <f t="shared" ca="1" si="26"/>
        <v>#N/A</v>
      </c>
      <c r="R113" s="17" t="e">
        <f t="shared" ca="1" si="26"/>
        <v>#N/A</v>
      </c>
      <c r="S113" s="17" t="e">
        <f t="shared" ca="1" si="26"/>
        <v>#N/A</v>
      </c>
      <c r="T113" s="17" t="e">
        <f t="shared" ca="1" si="26"/>
        <v>#N/A</v>
      </c>
      <c r="U113" s="17" t="e">
        <f t="shared" ca="1" si="26"/>
        <v>#N/A</v>
      </c>
      <c r="V113" s="17" t="e">
        <f t="shared" ca="1" si="26"/>
        <v>#N/A</v>
      </c>
      <c r="W113" s="17" t="e">
        <f t="shared" ca="1" si="26"/>
        <v>#N/A</v>
      </c>
      <c r="X113" s="17" t="e">
        <f t="shared" ca="1" si="26"/>
        <v>#N/A</v>
      </c>
      <c r="Y113" s="17" t="e">
        <f t="shared" ca="1" si="26"/>
        <v>#N/A</v>
      </c>
      <c r="Z113" s="17" t="e">
        <f t="shared" ca="1" si="26"/>
        <v>#N/A</v>
      </c>
      <c r="AA113" s="17" t="e">
        <f t="shared" ca="1" si="26"/>
        <v>#N/A</v>
      </c>
      <c r="AB113" s="17" t="e">
        <f t="shared" ca="1" si="26"/>
        <v>#N/A</v>
      </c>
      <c r="AC113" s="17" t="e">
        <f t="shared" ca="1" si="26"/>
        <v>#N/A</v>
      </c>
      <c r="AD113" s="17" t="e">
        <f t="shared" ca="1" si="26"/>
        <v>#N/A</v>
      </c>
      <c r="AE113" s="17" t="e">
        <f t="shared" ca="1" si="26"/>
        <v>#N/A</v>
      </c>
      <c r="AF113" s="17" t="e">
        <f t="shared" ca="1" si="26"/>
        <v>#N/A</v>
      </c>
      <c r="AG113" s="17" t="e">
        <f t="shared" ca="1" si="26"/>
        <v>#N/A</v>
      </c>
      <c r="AH113" s="17" t="e">
        <f t="shared" ca="1" si="26"/>
        <v>#N/A</v>
      </c>
      <c r="AI113" s="17" t="e">
        <f t="shared" ca="1" si="26"/>
        <v>#N/A</v>
      </c>
      <c r="AJ113" s="17" t="e">
        <f t="shared" ca="1" si="26"/>
        <v>#N/A</v>
      </c>
      <c r="AK113" s="17" t="e">
        <f t="shared" ca="1" si="26"/>
        <v>#N/A</v>
      </c>
      <c r="AL113" s="17" t="e">
        <f t="shared" ca="1" si="26"/>
        <v>#N/A</v>
      </c>
      <c r="AM113" s="17" t="e">
        <f t="shared" ca="1" si="26"/>
        <v>#N/A</v>
      </c>
      <c r="AN113" s="17" t="e">
        <f t="shared" ca="1" si="26"/>
        <v>#N/A</v>
      </c>
      <c r="AO113" s="17" t="e">
        <f t="shared" ca="1" si="26"/>
        <v>#N/A</v>
      </c>
      <c r="AP113" s="17" t="e">
        <f t="shared" ca="1" si="26"/>
        <v>#N/A</v>
      </c>
      <c r="AQ113" s="17" t="e">
        <f t="shared" ca="1" si="26"/>
        <v>#N/A</v>
      </c>
      <c r="AR113" s="17" t="e">
        <f t="shared" ca="1" si="26"/>
        <v>#N/A</v>
      </c>
      <c r="AS113" s="17" t="e">
        <f t="shared" ca="1" si="26"/>
        <v>#N/A</v>
      </c>
      <c r="AT113" s="17" t="e">
        <f t="shared" ca="1" si="26"/>
        <v>#N/A</v>
      </c>
      <c r="AU113" s="17" t="e">
        <f t="shared" ca="1" si="26"/>
        <v>#N/A</v>
      </c>
      <c r="AV113" s="17" t="e">
        <f t="shared" ca="1" si="26"/>
        <v>#N/A</v>
      </c>
      <c r="AW113" s="17" t="e">
        <f t="shared" ca="1" si="26"/>
        <v>#N/A</v>
      </c>
      <c r="AX113" s="17" t="e">
        <f t="shared" ca="1" si="26"/>
        <v>#N/A</v>
      </c>
      <c r="AY113" s="17" t="e">
        <f t="shared" ca="1" si="26"/>
        <v>#N/A</v>
      </c>
      <c r="AZ113" s="17" t="e">
        <f t="shared" ca="1" si="26"/>
        <v>#N/A</v>
      </c>
      <c r="BA113" s="17" t="e">
        <f t="shared" ca="1" si="26"/>
        <v>#N/A</v>
      </c>
      <c r="BB113" s="17" t="e">
        <f t="shared" ca="1" si="26"/>
        <v>#N/A</v>
      </c>
      <c r="BC113" s="17" t="e">
        <f t="shared" ca="1" si="26"/>
        <v>#N/A</v>
      </c>
      <c r="BD113" s="17" t="e">
        <f t="shared" ca="1" si="26"/>
        <v>#N/A</v>
      </c>
      <c r="BE113" s="17" t="e">
        <f t="shared" ca="1" si="26"/>
        <v>#N/A</v>
      </c>
      <c r="BF113" s="17" t="e">
        <f t="shared" ca="1" si="26"/>
        <v>#N/A</v>
      </c>
      <c r="BG113" s="17" t="e">
        <f t="shared" ca="1" si="26"/>
        <v>#N/A</v>
      </c>
      <c r="BH113" s="17" t="e">
        <f t="shared" ca="1" si="26"/>
        <v>#N/A</v>
      </c>
      <c r="BI113" s="17" t="e">
        <f t="shared" ca="1" si="26"/>
        <v>#N/A</v>
      </c>
      <c r="BJ113" s="17" t="e">
        <f t="shared" ca="1" si="26"/>
        <v>#N/A</v>
      </c>
      <c r="BK113" s="17" t="e">
        <f t="shared" ca="1" si="26"/>
        <v>#N/A</v>
      </c>
      <c r="BL113" s="17" t="e">
        <f t="shared" ca="1" si="26"/>
        <v>#N/A</v>
      </c>
      <c r="BM113" s="17" t="e">
        <f t="shared" ca="1" si="26"/>
        <v>#N/A</v>
      </c>
      <c r="BN113" s="17" t="e">
        <f t="shared" ca="1" si="26"/>
        <v>#N/A</v>
      </c>
      <c r="BO113" s="17" t="e">
        <f t="shared" ca="1" si="26"/>
        <v>#N/A</v>
      </c>
      <c r="BP113" s="17" t="e">
        <f t="shared" ca="1" si="26"/>
        <v>#N/A</v>
      </c>
      <c r="BQ113" s="17" t="e">
        <f t="shared" ref="BQ113:BV113" ca="1" si="27">BQ50/$D113*100000</f>
        <v>#N/A</v>
      </c>
      <c r="BR113" s="17" t="e">
        <f t="shared" ca="1" si="27"/>
        <v>#N/A</v>
      </c>
      <c r="BS113" s="17" t="e">
        <f t="shared" ca="1" si="27"/>
        <v>#N/A</v>
      </c>
      <c r="BT113" s="17" t="e">
        <f t="shared" ca="1" si="27"/>
        <v>#N/A</v>
      </c>
      <c r="BU113" s="17" t="e">
        <f t="shared" ca="1" si="27"/>
        <v>#N/A</v>
      </c>
      <c r="BV113" s="17" t="e">
        <f t="shared" ca="1" si="27"/>
        <v>#N/A</v>
      </c>
    </row>
    <row r="114" spans="2:74" x14ac:dyDescent="0.25">
      <c r="B114">
        <f t="shared" si="11"/>
        <v>9</v>
      </c>
      <c r="C114" t="str">
        <f t="shared" ca="1" si="11"/>
        <v>Switzerland Geneva</v>
      </c>
      <c r="D114" s="1">
        <f t="shared" ca="1" si="11"/>
        <v>499480</v>
      </c>
      <c r="E114" s="17">
        <f t="shared" ref="E114:BP114" ca="1" si="28">E51/$D114*100000</f>
        <v>13.614158725074077</v>
      </c>
      <c r="F114" s="17">
        <f t="shared" ca="1" si="28"/>
        <v>15.816449107071355</v>
      </c>
      <c r="G114" s="17">
        <f t="shared" ca="1" si="28"/>
        <v>21.622487386882359</v>
      </c>
      <c r="H114" s="17">
        <f t="shared" ca="1" si="28"/>
        <v>34.636021462320812</v>
      </c>
      <c r="I114" s="17">
        <f t="shared" ca="1" si="28"/>
        <v>56.458717065748374</v>
      </c>
      <c r="J114" s="17">
        <f t="shared" ca="1" si="28"/>
        <v>74.47745655481701</v>
      </c>
      <c r="K114" s="17">
        <f t="shared" ca="1" si="28"/>
        <v>94.498278209337712</v>
      </c>
      <c r="L114" s="17">
        <f t="shared" ca="1" si="28"/>
        <v>123.92888604148315</v>
      </c>
      <c r="M114" s="17">
        <f t="shared" ca="1" si="28"/>
        <v>150.35637062545047</v>
      </c>
      <c r="N114" s="17">
        <f t="shared" ca="1" si="28"/>
        <v>192.40009609994394</v>
      </c>
      <c r="O114" s="17">
        <f t="shared" ca="1" si="28"/>
        <v>227.43653399535518</v>
      </c>
      <c r="P114" s="17">
        <f t="shared" ca="1" si="28"/>
        <v>252.66276928005126</v>
      </c>
      <c r="Q114" s="17">
        <f t="shared" ca="1" si="28"/>
        <v>283.69504284455832</v>
      </c>
      <c r="R114" s="17">
        <f t="shared" ca="1" si="28"/>
        <v>302.11419876671738</v>
      </c>
      <c r="S114" s="17">
        <f t="shared" ca="1" si="28"/>
        <v>319.93273003924082</v>
      </c>
      <c r="T114" s="17">
        <f t="shared" ca="1" si="28"/>
        <v>341.95563385921361</v>
      </c>
      <c r="U114" s="17" t="e">
        <f t="shared" ca="1" si="28"/>
        <v>#N/A</v>
      </c>
      <c r="V114" s="17" t="e">
        <f t="shared" ca="1" si="28"/>
        <v>#N/A</v>
      </c>
      <c r="W114" s="17" t="e">
        <f t="shared" ca="1" si="28"/>
        <v>#N/A</v>
      </c>
      <c r="X114" s="17" t="e">
        <f t="shared" ca="1" si="28"/>
        <v>#N/A</v>
      </c>
      <c r="Y114" s="17" t="e">
        <f t="shared" ca="1" si="28"/>
        <v>#N/A</v>
      </c>
      <c r="Z114" s="17" t="e">
        <f t="shared" ca="1" si="28"/>
        <v>#N/A</v>
      </c>
      <c r="AA114" s="17" t="e">
        <f t="shared" ca="1" si="28"/>
        <v>#N/A</v>
      </c>
      <c r="AB114" s="17" t="e">
        <f t="shared" ca="1" si="28"/>
        <v>#N/A</v>
      </c>
      <c r="AC114" s="17" t="e">
        <f t="shared" ca="1" si="28"/>
        <v>#N/A</v>
      </c>
      <c r="AD114" s="17" t="e">
        <f t="shared" ca="1" si="28"/>
        <v>#N/A</v>
      </c>
      <c r="AE114" s="17" t="e">
        <f t="shared" ca="1" si="28"/>
        <v>#N/A</v>
      </c>
      <c r="AF114" s="17" t="e">
        <f t="shared" ca="1" si="28"/>
        <v>#N/A</v>
      </c>
      <c r="AG114" s="17" t="e">
        <f t="shared" ca="1" si="28"/>
        <v>#N/A</v>
      </c>
      <c r="AH114" s="17" t="e">
        <f t="shared" ca="1" si="28"/>
        <v>#N/A</v>
      </c>
      <c r="AI114" s="17" t="e">
        <f t="shared" ca="1" si="28"/>
        <v>#N/A</v>
      </c>
      <c r="AJ114" s="17" t="e">
        <f t="shared" ca="1" si="28"/>
        <v>#N/A</v>
      </c>
      <c r="AK114" s="17" t="e">
        <f t="shared" ca="1" si="28"/>
        <v>#N/A</v>
      </c>
      <c r="AL114" s="17" t="e">
        <f t="shared" ca="1" si="28"/>
        <v>#N/A</v>
      </c>
      <c r="AM114" s="17" t="e">
        <f t="shared" ca="1" si="28"/>
        <v>#N/A</v>
      </c>
      <c r="AN114" s="17" t="e">
        <f t="shared" ca="1" si="28"/>
        <v>#N/A</v>
      </c>
      <c r="AO114" s="17" t="e">
        <f t="shared" ca="1" si="28"/>
        <v>#N/A</v>
      </c>
      <c r="AP114" s="17" t="e">
        <f t="shared" ca="1" si="28"/>
        <v>#N/A</v>
      </c>
      <c r="AQ114" s="17" t="e">
        <f t="shared" ca="1" si="28"/>
        <v>#N/A</v>
      </c>
      <c r="AR114" s="17" t="e">
        <f t="shared" ca="1" si="28"/>
        <v>#N/A</v>
      </c>
      <c r="AS114" s="17" t="e">
        <f t="shared" ca="1" si="28"/>
        <v>#N/A</v>
      </c>
      <c r="AT114" s="17" t="e">
        <f t="shared" ca="1" si="28"/>
        <v>#N/A</v>
      </c>
      <c r="AU114" s="17" t="e">
        <f t="shared" ca="1" si="28"/>
        <v>#N/A</v>
      </c>
      <c r="AV114" s="17" t="e">
        <f t="shared" ca="1" si="28"/>
        <v>#N/A</v>
      </c>
      <c r="AW114" s="17" t="e">
        <f t="shared" ca="1" si="28"/>
        <v>#N/A</v>
      </c>
      <c r="AX114" s="17" t="e">
        <f t="shared" ca="1" si="28"/>
        <v>#N/A</v>
      </c>
      <c r="AY114" s="17" t="e">
        <f t="shared" ca="1" si="28"/>
        <v>#N/A</v>
      </c>
      <c r="AZ114" s="17" t="e">
        <f t="shared" ca="1" si="28"/>
        <v>#N/A</v>
      </c>
      <c r="BA114" s="17" t="e">
        <f t="shared" ca="1" si="28"/>
        <v>#N/A</v>
      </c>
      <c r="BB114" s="17" t="e">
        <f t="shared" ca="1" si="28"/>
        <v>#N/A</v>
      </c>
      <c r="BC114" s="17" t="e">
        <f t="shared" ca="1" si="28"/>
        <v>#N/A</v>
      </c>
      <c r="BD114" s="17" t="e">
        <f t="shared" ca="1" si="28"/>
        <v>#N/A</v>
      </c>
      <c r="BE114" s="17" t="e">
        <f t="shared" ca="1" si="28"/>
        <v>#N/A</v>
      </c>
      <c r="BF114" s="17" t="e">
        <f t="shared" ca="1" si="28"/>
        <v>#N/A</v>
      </c>
      <c r="BG114" s="17" t="e">
        <f t="shared" ca="1" si="28"/>
        <v>#N/A</v>
      </c>
      <c r="BH114" s="17" t="e">
        <f t="shared" ca="1" si="28"/>
        <v>#N/A</v>
      </c>
      <c r="BI114" s="17" t="e">
        <f t="shared" ca="1" si="28"/>
        <v>#N/A</v>
      </c>
      <c r="BJ114" s="17" t="e">
        <f t="shared" ca="1" si="28"/>
        <v>#N/A</v>
      </c>
      <c r="BK114" s="17" t="e">
        <f t="shared" ca="1" si="28"/>
        <v>#N/A</v>
      </c>
      <c r="BL114" s="17" t="e">
        <f t="shared" ca="1" si="28"/>
        <v>#N/A</v>
      </c>
      <c r="BM114" s="17" t="e">
        <f t="shared" ca="1" si="28"/>
        <v>#N/A</v>
      </c>
      <c r="BN114" s="17" t="e">
        <f t="shared" ca="1" si="28"/>
        <v>#N/A</v>
      </c>
      <c r="BO114" s="17" t="e">
        <f t="shared" ca="1" si="28"/>
        <v>#N/A</v>
      </c>
      <c r="BP114" s="17" t="e">
        <f t="shared" ca="1" si="28"/>
        <v>#N/A</v>
      </c>
      <c r="BQ114" s="17" t="e">
        <f t="shared" ref="BQ114:BV114" ca="1" si="29">BQ51/$D114*100000</f>
        <v>#N/A</v>
      </c>
      <c r="BR114" s="17" t="e">
        <f t="shared" ca="1" si="29"/>
        <v>#N/A</v>
      </c>
      <c r="BS114" s="17" t="e">
        <f t="shared" ca="1" si="29"/>
        <v>#N/A</v>
      </c>
      <c r="BT114" s="17" t="e">
        <f t="shared" ca="1" si="29"/>
        <v>#N/A</v>
      </c>
      <c r="BU114" s="17" t="e">
        <f t="shared" ca="1" si="29"/>
        <v>#N/A</v>
      </c>
      <c r="BV114" s="17" t="e">
        <f t="shared" ca="1" si="29"/>
        <v>#N/A</v>
      </c>
    </row>
    <row r="115" spans="2:74" x14ac:dyDescent="0.25">
      <c r="B115">
        <f t="shared" si="11"/>
        <v>10</v>
      </c>
      <c r="C115" t="str">
        <f t="shared" ca="1" si="11"/>
        <v>Switzerland Glarus</v>
      </c>
      <c r="D115" s="1">
        <f t="shared" ca="1" si="11"/>
        <v>40403</v>
      </c>
      <c r="E115" s="17" t="e">
        <f t="shared" ref="E115:BP115" ca="1" si="30">E52/$D115*100000</f>
        <v>#N/A</v>
      </c>
      <c r="F115" s="17" t="e">
        <f t="shared" ca="1" si="30"/>
        <v>#N/A</v>
      </c>
      <c r="G115" s="17" t="e">
        <f t="shared" ca="1" si="30"/>
        <v>#N/A</v>
      </c>
      <c r="H115" s="17" t="e">
        <f t="shared" ca="1" si="30"/>
        <v>#N/A</v>
      </c>
      <c r="I115" s="17" t="e">
        <f t="shared" ca="1" si="30"/>
        <v>#N/A</v>
      </c>
      <c r="J115" s="17" t="e">
        <f t="shared" ca="1" si="30"/>
        <v>#N/A</v>
      </c>
      <c r="K115" s="17" t="e">
        <f t="shared" ca="1" si="30"/>
        <v>#N/A</v>
      </c>
      <c r="L115" s="17" t="e">
        <f t="shared" ca="1" si="30"/>
        <v>#N/A</v>
      </c>
      <c r="M115" s="17" t="e">
        <f t="shared" ca="1" si="30"/>
        <v>#N/A</v>
      </c>
      <c r="N115" s="17" t="e">
        <f t="shared" ca="1" si="30"/>
        <v>#N/A</v>
      </c>
      <c r="O115" s="17" t="e">
        <f t="shared" ca="1" si="30"/>
        <v>#N/A</v>
      </c>
      <c r="P115" s="17" t="e">
        <f t="shared" ca="1" si="30"/>
        <v>#N/A</v>
      </c>
      <c r="Q115" s="17" t="e">
        <f t="shared" ca="1" si="30"/>
        <v>#N/A</v>
      </c>
      <c r="R115" s="17" t="e">
        <f t="shared" ca="1" si="30"/>
        <v>#N/A</v>
      </c>
      <c r="S115" s="17" t="e">
        <f t="shared" ca="1" si="30"/>
        <v>#N/A</v>
      </c>
      <c r="T115" s="17" t="e">
        <f t="shared" ca="1" si="30"/>
        <v>#N/A</v>
      </c>
      <c r="U115" s="17" t="e">
        <f t="shared" ca="1" si="30"/>
        <v>#N/A</v>
      </c>
      <c r="V115" s="17" t="e">
        <f t="shared" ca="1" si="30"/>
        <v>#N/A</v>
      </c>
      <c r="W115" s="17" t="e">
        <f t="shared" ca="1" si="30"/>
        <v>#N/A</v>
      </c>
      <c r="X115" s="17" t="e">
        <f t="shared" ca="1" si="30"/>
        <v>#N/A</v>
      </c>
      <c r="Y115" s="17" t="e">
        <f t="shared" ca="1" si="30"/>
        <v>#N/A</v>
      </c>
      <c r="Z115" s="17" t="e">
        <f t="shared" ca="1" si="30"/>
        <v>#N/A</v>
      </c>
      <c r="AA115" s="17" t="e">
        <f t="shared" ca="1" si="30"/>
        <v>#N/A</v>
      </c>
      <c r="AB115" s="17" t="e">
        <f t="shared" ca="1" si="30"/>
        <v>#N/A</v>
      </c>
      <c r="AC115" s="17" t="e">
        <f t="shared" ca="1" si="30"/>
        <v>#N/A</v>
      </c>
      <c r="AD115" s="17" t="e">
        <f t="shared" ca="1" si="30"/>
        <v>#N/A</v>
      </c>
      <c r="AE115" s="17" t="e">
        <f t="shared" ca="1" si="30"/>
        <v>#N/A</v>
      </c>
      <c r="AF115" s="17" t="e">
        <f t="shared" ca="1" si="30"/>
        <v>#N/A</v>
      </c>
      <c r="AG115" s="17" t="e">
        <f t="shared" ca="1" si="30"/>
        <v>#N/A</v>
      </c>
      <c r="AH115" s="17" t="e">
        <f t="shared" ca="1" si="30"/>
        <v>#N/A</v>
      </c>
      <c r="AI115" s="17" t="e">
        <f t="shared" ca="1" si="30"/>
        <v>#N/A</v>
      </c>
      <c r="AJ115" s="17" t="e">
        <f t="shared" ca="1" si="30"/>
        <v>#N/A</v>
      </c>
      <c r="AK115" s="17" t="e">
        <f t="shared" ca="1" si="30"/>
        <v>#N/A</v>
      </c>
      <c r="AL115" s="17" t="e">
        <f t="shared" ca="1" si="30"/>
        <v>#N/A</v>
      </c>
      <c r="AM115" s="17" t="e">
        <f t="shared" ca="1" si="30"/>
        <v>#N/A</v>
      </c>
      <c r="AN115" s="17" t="e">
        <f t="shared" ca="1" si="30"/>
        <v>#N/A</v>
      </c>
      <c r="AO115" s="17" t="e">
        <f t="shared" ca="1" si="30"/>
        <v>#N/A</v>
      </c>
      <c r="AP115" s="17" t="e">
        <f t="shared" ca="1" si="30"/>
        <v>#N/A</v>
      </c>
      <c r="AQ115" s="17" t="e">
        <f t="shared" ca="1" si="30"/>
        <v>#N/A</v>
      </c>
      <c r="AR115" s="17" t="e">
        <f t="shared" ca="1" si="30"/>
        <v>#N/A</v>
      </c>
      <c r="AS115" s="17" t="e">
        <f t="shared" ca="1" si="30"/>
        <v>#N/A</v>
      </c>
      <c r="AT115" s="17" t="e">
        <f t="shared" ca="1" si="30"/>
        <v>#N/A</v>
      </c>
      <c r="AU115" s="17" t="e">
        <f t="shared" ca="1" si="30"/>
        <v>#N/A</v>
      </c>
      <c r="AV115" s="17" t="e">
        <f t="shared" ca="1" si="30"/>
        <v>#N/A</v>
      </c>
      <c r="AW115" s="17" t="e">
        <f t="shared" ca="1" si="30"/>
        <v>#N/A</v>
      </c>
      <c r="AX115" s="17" t="e">
        <f t="shared" ca="1" si="30"/>
        <v>#N/A</v>
      </c>
      <c r="AY115" s="17" t="e">
        <f t="shared" ca="1" si="30"/>
        <v>#N/A</v>
      </c>
      <c r="AZ115" s="17" t="e">
        <f t="shared" ca="1" si="30"/>
        <v>#N/A</v>
      </c>
      <c r="BA115" s="17" t="e">
        <f t="shared" ca="1" si="30"/>
        <v>#N/A</v>
      </c>
      <c r="BB115" s="17" t="e">
        <f t="shared" ca="1" si="30"/>
        <v>#N/A</v>
      </c>
      <c r="BC115" s="17" t="e">
        <f t="shared" ca="1" si="30"/>
        <v>#N/A</v>
      </c>
      <c r="BD115" s="17" t="e">
        <f t="shared" ca="1" si="30"/>
        <v>#N/A</v>
      </c>
      <c r="BE115" s="17" t="e">
        <f t="shared" ca="1" si="30"/>
        <v>#N/A</v>
      </c>
      <c r="BF115" s="17" t="e">
        <f t="shared" ca="1" si="30"/>
        <v>#N/A</v>
      </c>
      <c r="BG115" s="17" t="e">
        <f t="shared" ca="1" si="30"/>
        <v>#N/A</v>
      </c>
      <c r="BH115" s="17" t="e">
        <f t="shared" ca="1" si="30"/>
        <v>#N/A</v>
      </c>
      <c r="BI115" s="17" t="e">
        <f t="shared" ca="1" si="30"/>
        <v>#N/A</v>
      </c>
      <c r="BJ115" s="17" t="e">
        <f t="shared" ca="1" si="30"/>
        <v>#N/A</v>
      </c>
      <c r="BK115" s="17" t="e">
        <f t="shared" ca="1" si="30"/>
        <v>#N/A</v>
      </c>
      <c r="BL115" s="17" t="e">
        <f t="shared" ca="1" si="30"/>
        <v>#N/A</v>
      </c>
      <c r="BM115" s="17" t="e">
        <f t="shared" ca="1" si="30"/>
        <v>#N/A</v>
      </c>
      <c r="BN115" s="17" t="e">
        <f t="shared" ca="1" si="30"/>
        <v>#N/A</v>
      </c>
      <c r="BO115" s="17" t="e">
        <f t="shared" ca="1" si="30"/>
        <v>#N/A</v>
      </c>
      <c r="BP115" s="17" t="e">
        <f t="shared" ca="1" si="30"/>
        <v>#N/A</v>
      </c>
      <c r="BQ115" s="17" t="e">
        <f t="shared" ref="BQ115:BV115" ca="1" si="31">BQ52/$D115*100000</f>
        <v>#N/A</v>
      </c>
      <c r="BR115" s="17" t="e">
        <f t="shared" ca="1" si="31"/>
        <v>#N/A</v>
      </c>
      <c r="BS115" s="17" t="e">
        <f t="shared" ca="1" si="31"/>
        <v>#N/A</v>
      </c>
      <c r="BT115" s="17" t="e">
        <f t="shared" ca="1" si="31"/>
        <v>#N/A</v>
      </c>
      <c r="BU115" s="17" t="e">
        <f t="shared" ca="1" si="31"/>
        <v>#N/A</v>
      </c>
      <c r="BV115" s="17" t="e">
        <f t="shared" ca="1" si="31"/>
        <v>#N/A</v>
      </c>
    </row>
    <row r="116" spans="2:74" x14ac:dyDescent="0.25">
      <c r="B116">
        <f t="shared" si="11"/>
        <v>11</v>
      </c>
      <c r="C116" t="str">
        <f t="shared" ca="1" si="11"/>
        <v>Switzerland Grisons</v>
      </c>
      <c r="D116" s="1">
        <f t="shared" ca="1" si="11"/>
        <v>198379</v>
      </c>
      <c r="E116" s="17">
        <f t="shared" ref="E116:BP116" ca="1" si="32">E53/$D116*100000</f>
        <v>58.473931212477126</v>
      </c>
      <c r="F116" s="17">
        <f t="shared" ca="1" si="32"/>
        <v>73.092414015596404</v>
      </c>
      <c r="G116" s="17">
        <f t="shared" ca="1" si="32"/>
        <v>107.37023576084161</v>
      </c>
      <c r="H116" s="17">
        <f t="shared" ca="1" si="32"/>
        <v>120.4764617222589</v>
      </c>
      <c r="I116" s="17">
        <f t="shared" ca="1" si="32"/>
        <v>134.08677329757685</v>
      </c>
      <c r="J116" s="17">
        <f t="shared" ca="1" si="32"/>
        <v>134.08677329757685</v>
      </c>
      <c r="K116" s="17">
        <f t="shared" ca="1" si="32"/>
        <v>139.12762943658353</v>
      </c>
      <c r="L116" s="17">
        <f t="shared" ca="1" si="32"/>
        <v>162.3155676760141</v>
      </c>
      <c r="M116" s="17" t="e">
        <f t="shared" ca="1" si="32"/>
        <v>#N/A</v>
      </c>
      <c r="N116" s="17" t="e">
        <f t="shared" ca="1" si="32"/>
        <v>#N/A</v>
      </c>
      <c r="O116" s="17" t="e">
        <f t="shared" ca="1" si="32"/>
        <v>#N/A</v>
      </c>
      <c r="P116" s="17" t="e">
        <f t="shared" ca="1" si="32"/>
        <v>#N/A</v>
      </c>
      <c r="Q116" s="17" t="e">
        <f t="shared" ca="1" si="32"/>
        <v>#N/A</v>
      </c>
      <c r="R116" s="17" t="e">
        <f t="shared" ca="1" si="32"/>
        <v>#N/A</v>
      </c>
      <c r="S116" s="17" t="e">
        <f t="shared" ca="1" si="32"/>
        <v>#N/A</v>
      </c>
      <c r="T116" s="17" t="e">
        <f t="shared" ca="1" si="32"/>
        <v>#N/A</v>
      </c>
      <c r="U116" s="17" t="e">
        <f t="shared" ca="1" si="32"/>
        <v>#N/A</v>
      </c>
      <c r="V116" s="17" t="e">
        <f t="shared" ca="1" si="32"/>
        <v>#N/A</v>
      </c>
      <c r="W116" s="17" t="e">
        <f t="shared" ca="1" si="32"/>
        <v>#N/A</v>
      </c>
      <c r="X116" s="17" t="e">
        <f t="shared" ca="1" si="32"/>
        <v>#N/A</v>
      </c>
      <c r="Y116" s="17" t="e">
        <f t="shared" ca="1" si="32"/>
        <v>#N/A</v>
      </c>
      <c r="Z116" s="17" t="e">
        <f t="shared" ca="1" si="32"/>
        <v>#N/A</v>
      </c>
      <c r="AA116" s="17" t="e">
        <f t="shared" ca="1" si="32"/>
        <v>#N/A</v>
      </c>
      <c r="AB116" s="17" t="e">
        <f t="shared" ca="1" si="32"/>
        <v>#N/A</v>
      </c>
      <c r="AC116" s="17" t="e">
        <f t="shared" ca="1" si="32"/>
        <v>#N/A</v>
      </c>
      <c r="AD116" s="17" t="e">
        <f t="shared" ca="1" si="32"/>
        <v>#N/A</v>
      </c>
      <c r="AE116" s="17" t="e">
        <f t="shared" ca="1" si="32"/>
        <v>#N/A</v>
      </c>
      <c r="AF116" s="17" t="e">
        <f t="shared" ca="1" si="32"/>
        <v>#N/A</v>
      </c>
      <c r="AG116" s="17" t="e">
        <f t="shared" ca="1" si="32"/>
        <v>#N/A</v>
      </c>
      <c r="AH116" s="17" t="e">
        <f t="shared" ca="1" si="32"/>
        <v>#N/A</v>
      </c>
      <c r="AI116" s="17" t="e">
        <f t="shared" ca="1" si="32"/>
        <v>#N/A</v>
      </c>
      <c r="AJ116" s="17" t="e">
        <f t="shared" ca="1" si="32"/>
        <v>#N/A</v>
      </c>
      <c r="AK116" s="17" t="e">
        <f t="shared" ca="1" si="32"/>
        <v>#N/A</v>
      </c>
      <c r="AL116" s="17" t="e">
        <f t="shared" ca="1" si="32"/>
        <v>#N/A</v>
      </c>
      <c r="AM116" s="17" t="e">
        <f t="shared" ca="1" si="32"/>
        <v>#N/A</v>
      </c>
      <c r="AN116" s="17" t="e">
        <f t="shared" ca="1" si="32"/>
        <v>#N/A</v>
      </c>
      <c r="AO116" s="17" t="e">
        <f t="shared" ca="1" si="32"/>
        <v>#N/A</v>
      </c>
      <c r="AP116" s="17" t="e">
        <f t="shared" ca="1" si="32"/>
        <v>#N/A</v>
      </c>
      <c r="AQ116" s="17" t="e">
        <f t="shared" ca="1" si="32"/>
        <v>#N/A</v>
      </c>
      <c r="AR116" s="17" t="e">
        <f t="shared" ca="1" si="32"/>
        <v>#N/A</v>
      </c>
      <c r="AS116" s="17" t="e">
        <f t="shared" ca="1" si="32"/>
        <v>#N/A</v>
      </c>
      <c r="AT116" s="17" t="e">
        <f t="shared" ca="1" si="32"/>
        <v>#N/A</v>
      </c>
      <c r="AU116" s="17" t="e">
        <f t="shared" ca="1" si="32"/>
        <v>#N/A</v>
      </c>
      <c r="AV116" s="17" t="e">
        <f t="shared" ca="1" si="32"/>
        <v>#N/A</v>
      </c>
      <c r="AW116" s="17" t="e">
        <f t="shared" ca="1" si="32"/>
        <v>#N/A</v>
      </c>
      <c r="AX116" s="17" t="e">
        <f t="shared" ca="1" si="32"/>
        <v>#N/A</v>
      </c>
      <c r="AY116" s="17" t="e">
        <f t="shared" ca="1" si="32"/>
        <v>#N/A</v>
      </c>
      <c r="AZ116" s="17" t="e">
        <f t="shared" ca="1" si="32"/>
        <v>#N/A</v>
      </c>
      <c r="BA116" s="17" t="e">
        <f t="shared" ca="1" si="32"/>
        <v>#N/A</v>
      </c>
      <c r="BB116" s="17" t="e">
        <f t="shared" ca="1" si="32"/>
        <v>#N/A</v>
      </c>
      <c r="BC116" s="17" t="e">
        <f t="shared" ca="1" si="32"/>
        <v>#N/A</v>
      </c>
      <c r="BD116" s="17" t="e">
        <f t="shared" ca="1" si="32"/>
        <v>#N/A</v>
      </c>
      <c r="BE116" s="17" t="e">
        <f t="shared" ca="1" si="32"/>
        <v>#N/A</v>
      </c>
      <c r="BF116" s="17" t="e">
        <f t="shared" ca="1" si="32"/>
        <v>#N/A</v>
      </c>
      <c r="BG116" s="17" t="e">
        <f t="shared" ca="1" si="32"/>
        <v>#N/A</v>
      </c>
      <c r="BH116" s="17" t="e">
        <f t="shared" ca="1" si="32"/>
        <v>#N/A</v>
      </c>
      <c r="BI116" s="17" t="e">
        <f t="shared" ca="1" si="32"/>
        <v>#N/A</v>
      </c>
      <c r="BJ116" s="17" t="e">
        <f t="shared" ca="1" si="32"/>
        <v>#N/A</v>
      </c>
      <c r="BK116" s="17" t="e">
        <f t="shared" ca="1" si="32"/>
        <v>#N/A</v>
      </c>
      <c r="BL116" s="17" t="e">
        <f t="shared" ca="1" si="32"/>
        <v>#N/A</v>
      </c>
      <c r="BM116" s="17" t="e">
        <f t="shared" ca="1" si="32"/>
        <v>#N/A</v>
      </c>
      <c r="BN116" s="17" t="e">
        <f t="shared" ca="1" si="32"/>
        <v>#N/A</v>
      </c>
      <c r="BO116" s="17" t="e">
        <f t="shared" ca="1" si="32"/>
        <v>#N/A</v>
      </c>
      <c r="BP116" s="17" t="e">
        <f t="shared" ca="1" si="32"/>
        <v>#N/A</v>
      </c>
      <c r="BQ116" s="17" t="e">
        <f t="shared" ref="BQ116:BV116" ca="1" si="33">BQ53/$D116*100000</f>
        <v>#N/A</v>
      </c>
      <c r="BR116" s="17" t="e">
        <f t="shared" ca="1" si="33"/>
        <v>#N/A</v>
      </c>
      <c r="BS116" s="17" t="e">
        <f t="shared" ca="1" si="33"/>
        <v>#N/A</v>
      </c>
      <c r="BT116" s="17" t="e">
        <f t="shared" ca="1" si="33"/>
        <v>#N/A</v>
      </c>
      <c r="BU116" s="17" t="e">
        <f t="shared" ca="1" si="33"/>
        <v>#N/A</v>
      </c>
      <c r="BV116" s="17" t="e">
        <f t="shared" ca="1" si="33"/>
        <v>#N/A</v>
      </c>
    </row>
    <row r="117" spans="2:74" x14ac:dyDescent="0.25">
      <c r="B117">
        <f t="shared" si="11"/>
        <v>12</v>
      </c>
      <c r="C117" t="str">
        <f t="shared" ca="1" si="11"/>
        <v>Switzerland Jura</v>
      </c>
      <c r="D117" s="1">
        <f t="shared" ca="1" si="11"/>
        <v>73419</v>
      </c>
      <c r="E117" s="17">
        <f t="shared" ref="E117:BP117" ca="1" si="34">E54/$D117*100000</f>
        <v>69.464307604298611</v>
      </c>
      <c r="F117" s="17">
        <f t="shared" ca="1" si="34"/>
        <v>77.636579087157273</v>
      </c>
      <c r="G117" s="17">
        <f t="shared" ca="1" si="34"/>
        <v>89.894986311445265</v>
      </c>
      <c r="H117" s="17">
        <f t="shared" ca="1" si="34"/>
        <v>106.23952927716257</v>
      </c>
      <c r="I117" s="17" t="e">
        <f t="shared" ca="1" si="34"/>
        <v>#N/A</v>
      </c>
      <c r="J117" s="17" t="e">
        <f t="shared" ca="1" si="34"/>
        <v>#N/A</v>
      </c>
      <c r="K117" s="17" t="e">
        <f t="shared" ca="1" si="34"/>
        <v>#N/A</v>
      </c>
      <c r="L117" s="17" t="e">
        <f t="shared" ca="1" si="34"/>
        <v>#N/A</v>
      </c>
      <c r="M117" s="17" t="e">
        <f t="shared" ca="1" si="34"/>
        <v>#N/A</v>
      </c>
      <c r="N117" s="17" t="e">
        <f t="shared" ca="1" si="34"/>
        <v>#N/A</v>
      </c>
      <c r="O117" s="17" t="e">
        <f t="shared" ca="1" si="34"/>
        <v>#N/A</v>
      </c>
      <c r="P117" s="17" t="e">
        <f t="shared" ca="1" si="34"/>
        <v>#N/A</v>
      </c>
      <c r="Q117" s="17" t="e">
        <f t="shared" ca="1" si="34"/>
        <v>#N/A</v>
      </c>
      <c r="R117" s="17" t="e">
        <f t="shared" ca="1" si="34"/>
        <v>#N/A</v>
      </c>
      <c r="S117" s="17" t="e">
        <f t="shared" ca="1" si="34"/>
        <v>#N/A</v>
      </c>
      <c r="T117" s="17" t="e">
        <f t="shared" ca="1" si="34"/>
        <v>#N/A</v>
      </c>
      <c r="U117" s="17" t="e">
        <f t="shared" ca="1" si="34"/>
        <v>#N/A</v>
      </c>
      <c r="V117" s="17" t="e">
        <f t="shared" ca="1" si="34"/>
        <v>#N/A</v>
      </c>
      <c r="W117" s="17" t="e">
        <f t="shared" ca="1" si="34"/>
        <v>#N/A</v>
      </c>
      <c r="X117" s="17" t="e">
        <f t="shared" ca="1" si="34"/>
        <v>#N/A</v>
      </c>
      <c r="Y117" s="17" t="e">
        <f t="shared" ca="1" si="34"/>
        <v>#N/A</v>
      </c>
      <c r="Z117" s="17" t="e">
        <f t="shared" ca="1" si="34"/>
        <v>#N/A</v>
      </c>
      <c r="AA117" s="17" t="e">
        <f t="shared" ca="1" si="34"/>
        <v>#N/A</v>
      </c>
      <c r="AB117" s="17" t="e">
        <f t="shared" ca="1" si="34"/>
        <v>#N/A</v>
      </c>
      <c r="AC117" s="17" t="e">
        <f t="shared" ca="1" si="34"/>
        <v>#N/A</v>
      </c>
      <c r="AD117" s="17" t="e">
        <f t="shared" ca="1" si="34"/>
        <v>#N/A</v>
      </c>
      <c r="AE117" s="17" t="e">
        <f t="shared" ca="1" si="34"/>
        <v>#N/A</v>
      </c>
      <c r="AF117" s="17" t="e">
        <f t="shared" ca="1" si="34"/>
        <v>#N/A</v>
      </c>
      <c r="AG117" s="17" t="e">
        <f t="shared" ca="1" si="34"/>
        <v>#N/A</v>
      </c>
      <c r="AH117" s="17" t="e">
        <f t="shared" ca="1" si="34"/>
        <v>#N/A</v>
      </c>
      <c r="AI117" s="17" t="e">
        <f t="shared" ca="1" si="34"/>
        <v>#N/A</v>
      </c>
      <c r="AJ117" s="17" t="e">
        <f t="shared" ca="1" si="34"/>
        <v>#N/A</v>
      </c>
      <c r="AK117" s="17" t="e">
        <f t="shared" ca="1" si="34"/>
        <v>#N/A</v>
      </c>
      <c r="AL117" s="17" t="e">
        <f t="shared" ca="1" si="34"/>
        <v>#N/A</v>
      </c>
      <c r="AM117" s="17" t="e">
        <f t="shared" ca="1" si="34"/>
        <v>#N/A</v>
      </c>
      <c r="AN117" s="17" t="e">
        <f t="shared" ca="1" si="34"/>
        <v>#N/A</v>
      </c>
      <c r="AO117" s="17" t="e">
        <f t="shared" ca="1" si="34"/>
        <v>#N/A</v>
      </c>
      <c r="AP117" s="17" t="e">
        <f t="shared" ca="1" si="34"/>
        <v>#N/A</v>
      </c>
      <c r="AQ117" s="17" t="e">
        <f t="shared" ca="1" si="34"/>
        <v>#N/A</v>
      </c>
      <c r="AR117" s="17" t="e">
        <f t="shared" ca="1" si="34"/>
        <v>#N/A</v>
      </c>
      <c r="AS117" s="17" t="e">
        <f t="shared" ca="1" si="34"/>
        <v>#N/A</v>
      </c>
      <c r="AT117" s="17" t="e">
        <f t="shared" ca="1" si="34"/>
        <v>#N/A</v>
      </c>
      <c r="AU117" s="17" t="e">
        <f t="shared" ca="1" si="34"/>
        <v>#N/A</v>
      </c>
      <c r="AV117" s="17" t="e">
        <f t="shared" ca="1" si="34"/>
        <v>#N/A</v>
      </c>
      <c r="AW117" s="17" t="e">
        <f t="shared" ca="1" si="34"/>
        <v>#N/A</v>
      </c>
      <c r="AX117" s="17" t="e">
        <f t="shared" ca="1" si="34"/>
        <v>#N/A</v>
      </c>
      <c r="AY117" s="17" t="e">
        <f t="shared" ca="1" si="34"/>
        <v>#N/A</v>
      </c>
      <c r="AZ117" s="17" t="e">
        <f t="shared" ca="1" si="34"/>
        <v>#N/A</v>
      </c>
      <c r="BA117" s="17" t="e">
        <f t="shared" ca="1" si="34"/>
        <v>#N/A</v>
      </c>
      <c r="BB117" s="17" t="e">
        <f t="shared" ca="1" si="34"/>
        <v>#N/A</v>
      </c>
      <c r="BC117" s="17" t="e">
        <f t="shared" ca="1" si="34"/>
        <v>#N/A</v>
      </c>
      <c r="BD117" s="17" t="e">
        <f t="shared" ca="1" si="34"/>
        <v>#N/A</v>
      </c>
      <c r="BE117" s="17" t="e">
        <f t="shared" ca="1" si="34"/>
        <v>#N/A</v>
      </c>
      <c r="BF117" s="17" t="e">
        <f t="shared" ca="1" si="34"/>
        <v>#N/A</v>
      </c>
      <c r="BG117" s="17" t="e">
        <f t="shared" ca="1" si="34"/>
        <v>#N/A</v>
      </c>
      <c r="BH117" s="17" t="e">
        <f t="shared" ca="1" si="34"/>
        <v>#N/A</v>
      </c>
      <c r="BI117" s="17" t="e">
        <f t="shared" ca="1" si="34"/>
        <v>#N/A</v>
      </c>
      <c r="BJ117" s="17" t="e">
        <f t="shared" ca="1" si="34"/>
        <v>#N/A</v>
      </c>
      <c r="BK117" s="17" t="e">
        <f t="shared" ca="1" si="34"/>
        <v>#N/A</v>
      </c>
      <c r="BL117" s="17" t="e">
        <f t="shared" ca="1" si="34"/>
        <v>#N/A</v>
      </c>
      <c r="BM117" s="17" t="e">
        <f t="shared" ca="1" si="34"/>
        <v>#N/A</v>
      </c>
      <c r="BN117" s="17" t="e">
        <f t="shared" ca="1" si="34"/>
        <v>#N/A</v>
      </c>
      <c r="BO117" s="17" t="e">
        <f t="shared" ca="1" si="34"/>
        <v>#N/A</v>
      </c>
      <c r="BP117" s="17" t="e">
        <f t="shared" ca="1" si="34"/>
        <v>#N/A</v>
      </c>
      <c r="BQ117" s="17" t="e">
        <f t="shared" ref="BQ117:BV117" ca="1" si="35">BQ54/$D117*100000</f>
        <v>#N/A</v>
      </c>
      <c r="BR117" s="17" t="e">
        <f t="shared" ca="1" si="35"/>
        <v>#N/A</v>
      </c>
      <c r="BS117" s="17" t="e">
        <f t="shared" ca="1" si="35"/>
        <v>#N/A</v>
      </c>
      <c r="BT117" s="17" t="e">
        <f t="shared" ca="1" si="35"/>
        <v>#N/A</v>
      </c>
      <c r="BU117" s="17" t="e">
        <f t="shared" ca="1" si="35"/>
        <v>#N/A</v>
      </c>
      <c r="BV117" s="17" t="e">
        <f t="shared" ca="1" si="35"/>
        <v>#N/A</v>
      </c>
    </row>
    <row r="118" spans="2:74" x14ac:dyDescent="0.25">
      <c r="B118">
        <f t="shared" si="11"/>
        <v>13</v>
      </c>
      <c r="C118" t="str">
        <f t="shared" ca="1" si="11"/>
        <v>Switzerland Lucerne</v>
      </c>
      <c r="D118" s="1">
        <f t="shared" ca="1" si="11"/>
        <v>409557</v>
      </c>
      <c r="E118" s="17">
        <f t="shared" ref="E118:BP118" ca="1" si="36">E55/$D118*100000</f>
        <v>15.870806749732029</v>
      </c>
      <c r="F118" s="17">
        <f t="shared" ca="1" si="36"/>
        <v>15.870806749732029</v>
      </c>
      <c r="G118" s="17">
        <f t="shared" ca="1" si="36"/>
        <v>22.463295707313026</v>
      </c>
      <c r="H118" s="17">
        <f t="shared" ca="1" si="36"/>
        <v>26.61412208801217</v>
      </c>
      <c r="I118" s="17">
        <f t="shared" ca="1" si="36"/>
        <v>31.98577975715224</v>
      </c>
      <c r="J118" s="17">
        <f t="shared" ca="1" si="36"/>
        <v>38.089936199356863</v>
      </c>
      <c r="K118" s="17">
        <f t="shared" ca="1" si="36"/>
        <v>50.054082826077938</v>
      </c>
      <c r="L118" s="17">
        <f t="shared" ca="1" si="36"/>
        <v>55.669906752906186</v>
      </c>
      <c r="M118" s="17" t="e">
        <f t="shared" ca="1" si="36"/>
        <v>#N/A</v>
      </c>
      <c r="N118" s="17" t="e">
        <f t="shared" ca="1" si="36"/>
        <v>#N/A</v>
      </c>
      <c r="O118" s="17" t="e">
        <f t="shared" ca="1" si="36"/>
        <v>#N/A</v>
      </c>
      <c r="P118" s="17" t="e">
        <f t="shared" ca="1" si="36"/>
        <v>#N/A</v>
      </c>
      <c r="Q118" s="17" t="e">
        <f t="shared" ca="1" si="36"/>
        <v>#N/A</v>
      </c>
      <c r="R118" s="17" t="e">
        <f t="shared" ca="1" si="36"/>
        <v>#N/A</v>
      </c>
      <c r="S118" s="17" t="e">
        <f t="shared" ca="1" si="36"/>
        <v>#N/A</v>
      </c>
      <c r="T118" s="17" t="e">
        <f t="shared" ca="1" si="36"/>
        <v>#N/A</v>
      </c>
      <c r="U118" s="17" t="e">
        <f t="shared" ca="1" si="36"/>
        <v>#N/A</v>
      </c>
      <c r="V118" s="17" t="e">
        <f t="shared" ca="1" si="36"/>
        <v>#N/A</v>
      </c>
      <c r="W118" s="17" t="e">
        <f t="shared" ca="1" si="36"/>
        <v>#N/A</v>
      </c>
      <c r="X118" s="17" t="e">
        <f t="shared" ca="1" si="36"/>
        <v>#N/A</v>
      </c>
      <c r="Y118" s="17" t="e">
        <f t="shared" ca="1" si="36"/>
        <v>#N/A</v>
      </c>
      <c r="Z118" s="17" t="e">
        <f t="shared" ca="1" si="36"/>
        <v>#N/A</v>
      </c>
      <c r="AA118" s="17" t="e">
        <f t="shared" ca="1" si="36"/>
        <v>#N/A</v>
      </c>
      <c r="AB118" s="17" t="e">
        <f t="shared" ca="1" si="36"/>
        <v>#N/A</v>
      </c>
      <c r="AC118" s="17" t="e">
        <f t="shared" ca="1" si="36"/>
        <v>#N/A</v>
      </c>
      <c r="AD118" s="17" t="e">
        <f t="shared" ca="1" si="36"/>
        <v>#N/A</v>
      </c>
      <c r="AE118" s="17" t="e">
        <f t="shared" ca="1" si="36"/>
        <v>#N/A</v>
      </c>
      <c r="AF118" s="17" t="e">
        <f t="shared" ca="1" si="36"/>
        <v>#N/A</v>
      </c>
      <c r="AG118" s="17" t="e">
        <f t="shared" ca="1" si="36"/>
        <v>#N/A</v>
      </c>
      <c r="AH118" s="17" t="e">
        <f t="shared" ca="1" si="36"/>
        <v>#N/A</v>
      </c>
      <c r="AI118" s="17" t="e">
        <f t="shared" ca="1" si="36"/>
        <v>#N/A</v>
      </c>
      <c r="AJ118" s="17" t="e">
        <f t="shared" ca="1" si="36"/>
        <v>#N/A</v>
      </c>
      <c r="AK118" s="17" t="e">
        <f t="shared" ca="1" si="36"/>
        <v>#N/A</v>
      </c>
      <c r="AL118" s="17" t="e">
        <f t="shared" ca="1" si="36"/>
        <v>#N/A</v>
      </c>
      <c r="AM118" s="17" t="e">
        <f t="shared" ca="1" si="36"/>
        <v>#N/A</v>
      </c>
      <c r="AN118" s="17" t="e">
        <f t="shared" ca="1" si="36"/>
        <v>#N/A</v>
      </c>
      <c r="AO118" s="17" t="e">
        <f t="shared" ca="1" si="36"/>
        <v>#N/A</v>
      </c>
      <c r="AP118" s="17" t="e">
        <f t="shared" ca="1" si="36"/>
        <v>#N/A</v>
      </c>
      <c r="AQ118" s="17" t="e">
        <f t="shared" ca="1" si="36"/>
        <v>#N/A</v>
      </c>
      <c r="AR118" s="17" t="e">
        <f t="shared" ca="1" si="36"/>
        <v>#N/A</v>
      </c>
      <c r="AS118" s="17" t="e">
        <f t="shared" ca="1" si="36"/>
        <v>#N/A</v>
      </c>
      <c r="AT118" s="17" t="e">
        <f t="shared" ca="1" si="36"/>
        <v>#N/A</v>
      </c>
      <c r="AU118" s="17" t="e">
        <f t="shared" ca="1" si="36"/>
        <v>#N/A</v>
      </c>
      <c r="AV118" s="17" t="e">
        <f t="shared" ca="1" si="36"/>
        <v>#N/A</v>
      </c>
      <c r="AW118" s="17" t="e">
        <f t="shared" ca="1" si="36"/>
        <v>#N/A</v>
      </c>
      <c r="AX118" s="17" t="e">
        <f t="shared" ca="1" si="36"/>
        <v>#N/A</v>
      </c>
      <c r="AY118" s="17" t="e">
        <f t="shared" ca="1" si="36"/>
        <v>#N/A</v>
      </c>
      <c r="AZ118" s="17" t="e">
        <f t="shared" ca="1" si="36"/>
        <v>#N/A</v>
      </c>
      <c r="BA118" s="17" t="e">
        <f t="shared" ca="1" si="36"/>
        <v>#N/A</v>
      </c>
      <c r="BB118" s="17" t="e">
        <f t="shared" ca="1" si="36"/>
        <v>#N/A</v>
      </c>
      <c r="BC118" s="17" t="e">
        <f t="shared" ca="1" si="36"/>
        <v>#N/A</v>
      </c>
      <c r="BD118" s="17" t="e">
        <f t="shared" ca="1" si="36"/>
        <v>#N/A</v>
      </c>
      <c r="BE118" s="17" t="e">
        <f t="shared" ca="1" si="36"/>
        <v>#N/A</v>
      </c>
      <c r="BF118" s="17" t="e">
        <f t="shared" ca="1" si="36"/>
        <v>#N/A</v>
      </c>
      <c r="BG118" s="17" t="e">
        <f t="shared" ca="1" si="36"/>
        <v>#N/A</v>
      </c>
      <c r="BH118" s="17" t="e">
        <f t="shared" ca="1" si="36"/>
        <v>#N/A</v>
      </c>
      <c r="BI118" s="17" t="e">
        <f t="shared" ca="1" si="36"/>
        <v>#N/A</v>
      </c>
      <c r="BJ118" s="17" t="e">
        <f t="shared" ca="1" si="36"/>
        <v>#N/A</v>
      </c>
      <c r="BK118" s="17" t="e">
        <f t="shared" ca="1" si="36"/>
        <v>#N/A</v>
      </c>
      <c r="BL118" s="17" t="e">
        <f t="shared" ca="1" si="36"/>
        <v>#N/A</v>
      </c>
      <c r="BM118" s="17" t="e">
        <f t="shared" ca="1" si="36"/>
        <v>#N/A</v>
      </c>
      <c r="BN118" s="17" t="e">
        <f t="shared" ca="1" si="36"/>
        <v>#N/A</v>
      </c>
      <c r="BO118" s="17" t="e">
        <f t="shared" ca="1" si="36"/>
        <v>#N/A</v>
      </c>
      <c r="BP118" s="17" t="e">
        <f t="shared" ca="1" si="36"/>
        <v>#N/A</v>
      </c>
      <c r="BQ118" s="17" t="e">
        <f t="shared" ref="BQ118:BV118" ca="1" si="37">BQ55/$D118*100000</f>
        <v>#N/A</v>
      </c>
      <c r="BR118" s="17" t="e">
        <f t="shared" ca="1" si="37"/>
        <v>#N/A</v>
      </c>
      <c r="BS118" s="17" t="e">
        <f t="shared" ca="1" si="37"/>
        <v>#N/A</v>
      </c>
      <c r="BT118" s="17" t="e">
        <f t="shared" ca="1" si="37"/>
        <v>#N/A</v>
      </c>
      <c r="BU118" s="17" t="e">
        <f t="shared" ca="1" si="37"/>
        <v>#N/A</v>
      </c>
      <c r="BV118" s="17" t="e">
        <f t="shared" ca="1" si="37"/>
        <v>#N/A</v>
      </c>
    </row>
    <row r="119" spans="2:74" x14ac:dyDescent="0.25">
      <c r="B119">
        <f t="shared" si="11"/>
        <v>14</v>
      </c>
      <c r="C119" t="str">
        <f t="shared" ca="1" si="11"/>
        <v>Switzerland Neuchâtel</v>
      </c>
      <c r="D119" s="1">
        <f t="shared" ca="1" si="11"/>
        <v>176850</v>
      </c>
      <c r="E119" s="17">
        <f t="shared" ref="E119:BP119" ca="1" si="38">E56/$D119*100000</f>
        <v>89.906700593723485</v>
      </c>
      <c r="F119" s="17">
        <f t="shared" ca="1" si="38"/>
        <v>100.08481764206955</v>
      </c>
      <c r="G119" s="17">
        <f t="shared" ca="1" si="38"/>
        <v>106.30477806050325</v>
      </c>
      <c r="H119" s="17">
        <f t="shared" ca="1" si="38"/>
        <v>115.35199321458863</v>
      </c>
      <c r="I119" s="17">
        <f t="shared" ca="1" si="38"/>
        <v>130.05371783997737</v>
      </c>
      <c r="J119" s="17">
        <f t="shared" ca="1" si="38"/>
        <v>144.75544246536614</v>
      </c>
      <c r="K119" s="17" t="e">
        <f t="shared" ca="1" si="38"/>
        <v>#N/A</v>
      </c>
      <c r="L119" s="17" t="e">
        <f t="shared" ca="1" si="38"/>
        <v>#N/A</v>
      </c>
      <c r="M119" s="17" t="e">
        <f t="shared" ca="1" si="38"/>
        <v>#N/A</v>
      </c>
      <c r="N119" s="17" t="e">
        <f t="shared" ca="1" si="38"/>
        <v>#N/A</v>
      </c>
      <c r="O119" s="17" t="e">
        <f t="shared" ca="1" si="38"/>
        <v>#N/A</v>
      </c>
      <c r="P119" s="17" t="e">
        <f t="shared" ca="1" si="38"/>
        <v>#N/A</v>
      </c>
      <c r="Q119" s="17" t="e">
        <f t="shared" ca="1" si="38"/>
        <v>#N/A</v>
      </c>
      <c r="R119" s="17" t="e">
        <f t="shared" ca="1" si="38"/>
        <v>#N/A</v>
      </c>
      <c r="S119" s="17" t="e">
        <f t="shared" ca="1" si="38"/>
        <v>#N/A</v>
      </c>
      <c r="T119" s="17" t="e">
        <f t="shared" ca="1" si="38"/>
        <v>#N/A</v>
      </c>
      <c r="U119" s="17" t="e">
        <f t="shared" ca="1" si="38"/>
        <v>#N/A</v>
      </c>
      <c r="V119" s="17" t="e">
        <f t="shared" ca="1" si="38"/>
        <v>#N/A</v>
      </c>
      <c r="W119" s="17" t="e">
        <f t="shared" ca="1" si="38"/>
        <v>#N/A</v>
      </c>
      <c r="X119" s="17" t="e">
        <f t="shared" ca="1" si="38"/>
        <v>#N/A</v>
      </c>
      <c r="Y119" s="17" t="e">
        <f t="shared" ca="1" si="38"/>
        <v>#N/A</v>
      </c>
      <c r="Z119" s="17" t="e">
        <f t="shared" ca="1" si="38"/>
        <v>#N/A</v>
      </c>
      <c r="AA119" s="17" t="e">
        <f t="shared" ca="1" si="38"/>
        <v>#N/A</v>
      </c>
      <c r="AB119" s="17" t="e">
        <f t="shared" ca="1" si="38"/>
        <v>#N/A</v>
      </c>
      <c r="AC119" s="17" t="e">
        <f t="shared" ca="1" si="38"/>
        <v>#N/A</v>
      </c>
      <c r="AD119" s="17" t="e">
        <f t="shared" ca="1" si="38"/>
        <v>#N/A</v>
      </c>
      <c r="AE119" s="17" t="e">
        <f t="shared" ca="1" si="38"/>
        <v>#N/A</v>
      </c>
      <c r="AF119" s="17" t="e">
        <f t="shared" ca="1" si="38"/>
        <v>#N/A</v>
      </c>
      <c r="AG119" s="17" t="e">
        <f t="shared" ca="1" si="38"/>
        <v>#N/A</v>
      </c>
      <c r="AH119" s="17" t="e">
        <f t="shared" ca="1" si="38"/>
        <v>#N/A</v>
      </c>
      <c r="AI119" s="17" t="e">
        <f t="shared" ca="1" si="38"/>
        <v>#N/A</v>
      </c>
      <c r="AJ119" s="17" t="e">
        <f t="shared" ca="1" si="38"/>
        <v>#N/A</v>
      </c>
      <c r="AK119" s="17" t="e">
        <f t="shared" ca="1" si="38"/>
        <v>#N/A</v>
      </c>
      <c r="AL119" s="17" t="e">
        <f t="shared" ca="1" si="38"/>
        <v>#N/A</v>
      </c>
      <c r="AM119" s="17" t="e">
        <f t="shared" ca="1" si="38"/>
        <v>#N/A</v>
      </c>
      <c r="AN119" s="17" t="e">
        <f t="shared" ca="1" si="38"/>
        <v>#N/A</v>
      </c>
      <c r="AO119" s="17" t="e">
        <f t="shared" ca="1" si="38"/>
        <v>#N/A</v>
      </c>
      <c r="AP119" s="17" t="e">
        <f t="shared" ca="1" si="38"/>
        <v>#N/A</v>
      </c>
      <c r="AQ119" s="17" t="e">
        <f t="shared" ca="1" si="38"/>
        <v>#N/A</v>
      </c>
      <c r="AR119" s="17" t="e">
        <f t="shared" ca="1" si="38"/>
        <v>#N/A</v>
      </c>
      <c r="AS119" s="17" t="e">
        <f t="shared" ca="1" si="38"/>
        <v>#N/A</v>
      </c>
      <c r="AT119" s="17" t="e">
        <f t="shared" ca="1" si="38"/>
        <v>#N/A</v>
      </c>
      <c r="AU119" s="17" t="e">
        <f t="shared" ca="1" si="38"/>
        <v>#N/A</v>
      </c>
      <c r="AV119" s="17" t="e">
        <f t="shared" ca="1" si="38"/>
        <v>#N/A</v>
      </c>
      <c r="AW119" s="17" t="e">
        <f t="shared" ca="1" si="38"/>
        <v>#N/A</v>
      </c>
      <c r="AX119" s="17" t="e">
        <f t="shared" ca="1" si="38"/>
        <v>#N/A</v>
      </c>
      <c r="AY119" s="17" t="e">
        <f t="shared" ca="1" si="38"/>
        <v>#N/A</v>
      </c>
      <c r="AZ119" s="17" t="e">
        <f t="shared" ca="1" si="38"/>
        <v>#N/A</v>
      </c>
      <c r="BA119" s="17" t="e">
        <f t="shared" ca="1" si="38"/>
        <v>#N/A</v>
      </c>
      <c r="BB119" s="17" t="e">
        <f t="shared" ca="1" si="38"/>
        <v>#N/A</v>
      </c>
      <c r="BC119" s="17" t="e">
        <f t="shared" ca="1" si="38"/>
        <v>#N/A</v>
      </c>
      <c r="BD119" s="17" t="e">
        <f t="shared" ca="1" si="38"/>
        <v>#N/A</v>
      </c>
      <c r="BE119" s="17" t="e">
        <f t="shared" ca="1" si="38"/>
        <v>#N/A</v>
      </c>
      <c r="BF119" s="17" t="e">
        <f t="shared" ca="1" si="38"/>
        <v>#N/A</v>
      </c>
      <c r="BG119" s="17" t="e">
        <f t="shared" ca="1" si="38"/>
        <v>#N/A</v>
      </c>
      <c r="BH119" s="17" t="e">
        <f t="shared" ca="1" si="38"/>
        <v>#N/A</v>
      </c>
      <c r="BI119" s="17" t="e">
        <f t="shared" ca="1" si="38"/>
        <v>#N/A</v>
      </c>
      <c r="BJ119" s="17" t="e">
        <f t="shared" ca="1" si="38"/>
        <v>#N/A</v>
      </c>
      <c r="BK119" s="17" t="e">
        <f t="shared" ca="1" si="38"/>
        <v>#N/A</v>
      </c>
      <c r="BL119" s="17" t="e">
        <f t="shared" ca="1" si="38"/>
        <v>#N/A</v>
      </c>
      <c r="BM119" s="17" t="e">
        <f t="shared" ca="1" si="38"/>
        <v>#N/A</v>
      </c>
      <c r="BN119" s="17" t="e">
        <f t="shared" ca="1" si="38"/>
        <v>#N/A</v>
      </c>
      <c r="BO119" s="17" t="e">
        <f t="shared" ca="1" si="38"/>
        <v>#N/A</v>
      </c>
      <c r="BP119" s="17" t="e">
        <f t="shared" ca="1" si="38"/>
        <v>#N/A</v>
      </c>
      <c r="BQ119" s="17" t="e">
        <f t="shared" ref="BQ119:BV119" ca="1" si="39">BQ56/$D119*100000</f>
        <v>#N/A</v>
      </c>
      <c r="BR119" s="17" t="e">
        <f t="shared" ca="1" si="39"/>
        <v>#N/A</v>
      </c>
      <c r="BS119" s="17" t="e">
        <f t="shared" ca="1" si="39"/>
        <v>#N/A</v>
      </c>
      <c r="BT119" s="17" t="e">
        <f t="shared" ca="1" si="39"/>
        <v>#N/A</v>
      </c>
      <c r="BU119" s="17" t="e">
        <f t="shared" ca="1" si="39"/>
        <v>#N/A</v>
      </c>
      <c r="BV119" s="17" t="e">
        <f t="shared" ca="1" si="39"/>
        <v>#N/A</v>
      </c>
    </row>
    <row r="120" spans="2:74" x14ac:dyDescent="0.25">
      <c r="B120">
        <f t="shared" si="11"/>
        <v>15</v>
      </c>
      <c r="C120" t="str">
        <f t="shared" ca="1" si="11"/>
        <v>Switzerland Nidwalden</v>
      </c>
      <c r="D120" s="1">
        <f t="shared" ca="1" si="11"/>
        <v>43223</v>
      </c>
      <c r="E120" s="17" t="e">
        <f t="shared" ref="E120:BP120" ca="1" si="40">E57/$D120*100000</f>
        <v>#N/A</v>
      </c>
      <c r="F120" s="17" t="e">
        <f t="shared" ca="1" si="40"/>
        <v>#N/A</v>
      </c>
      <c r="G120" s="17" t="e">
        <f t="shared" ca="1" si="40"/>
        <v>#N/A</v>
      </c>
      <c r="H120" s="17" t="e">
        <f t="shared" ca="1" si="40"/>
        <v>#N/A</v>
      </c>
      <c r="I120" s="17" t="e">
        <f t="shared" ca="1" si="40"/>
        <v>#N/A</v>
      </c>
      <c r="J120" s="17" t="e">
        <f t="shared" ca="1" si="40"/>
        <v>#N/A</v>
      </c>
      <c r="K120" s="17" t="e">
        <f t="shared" ca="1" si="40"/>
        <v>#N/A</v>
      </c>
      <c r="L120" s="17" t="e">
        <f t="shared" ca="1" si="40"/>
        <v>#N/A</v>
      </c>
      <c r="M120" s="17" t="e">
        <f t="shared" ca="1" si="40"/>
        <v>#N/A</v>
      </c>
      <c r="N120" s="17" t="e">
        <f t="shared" ca="1" si="40"/>
        <v>#N/A</v>
      </c>
      <c r="O120" s="17" t="e">
        <f t="shared" ca="1" si="40"/>
        <v>#N/A</v>
      </c>
      <c r="P120" s="17" t="e">
        <f t="shared" ca="1" si="40"/>
        <v>#N/A</v>
      </c>
      <c r="Q120" s="17" t="e">
        <f t="shared" ca="1" si="40"/>
        <v>#N/A</v>
      </c>
      <c r="R120" s="17" t="e">
        <f t="shared" ca="1" si="40"/>
        <v>#N/A</v>
      </c>
      <c r="S120" s="17" t="e">
        <f t="shared" ca="1" si="40"/>
        <v>#N/A</v>
      </c>
      <c r="T120" s="17" t="e">
        <f t="shared" ca="1" si="40"/>
        <v>#N/A</v>
      </c>
      <c r="U120" s="17" t="e">
        <f t="shared" ca="1" si="40"/>
        <v>#N/A</v>
      </c>
      <c r="V120" s="17" t="e">
        <f t="shared" ca="1" si="40"/>
        <v>#N/A</v>
      </c>
      <c r="W120" s="17" t="e">
        <f t="shared" ca="1" si="40"/>
        <v>#N/A</v>
      </c>
      <c r="X120" s="17" t="e">
        <f t="shared" ca="1" si="40"/>
        <v>#N/A</v>
      </c>
      <c r="Y120" s="17" t="e">
        <f t="shared" ca="1" si="40"/>
        <v>#N/A</v>
      </c>
      <c r="Z120" s="17" t="e">
        <f t="shared" ca="1" si="40"/>
        <v>#N/A</v>
      </c>
      <c r="AA120" s="17" t="e">
        <f t="shared" ca="1" si="40"/>
        <v>#N/A</v>
      </c>
      <c r="AB120" s="17" t="e">
        <f t="shared" ca="1" si="40"/>
        <v>#N/A</v>
      </c>
      <c r="AC120" s="17" t="e">
        <f t="shared" ca="1" si="40"/>
        <v>#N/A</v>
      </c>
      <c r="AD120" s="17" t="e">
        <f t="shared" ca="1" si="40"/>
        <v>#N/A</v>
      </c>
      <c r="AE120" s="17" t="e">
        <f t="shared" ca="1" si="40"/>
        <v>#N/A</v>
      </c>
      <c r="AF120" s="17" t="e">
        <f t="shared" ca="1" si="40"/>
        <v>#N/A</v>
      </c>
      <c r="AG120" s="17" t="e">
        <f t="shared" ca="1" si="40"/>
        <v>#N/A</v>
      </c>
      <c r="AH120" s="17" t="e">
        <f t="shared" ca="1" si="40"/>
        <v>#N/A</v>
      </c>
      <c r="AI120" s="17" t="e">
        <f t="shared" ca="1" si="40"/>
        <v>#N/A</v>
      </c>
      <c r="AJ120" s="17" t="e">
        <f t="shared" ca="1" si="40"/>
        <v>#N/A</v>
      </c>
      <c r="AK120" s="17" t="e">
        <f t="shared" ca="1" si="40"/>
        <v>#N/A</v>
      </c>
      <c r="AL120" s="17" t="e">
        <f t="shared" ca="1" si="40"/>
        <v>#N/A</v>
      </c>
      <c r="AM120" s="17" t="e">
        <f t="shared" ca="1" si="40"/>
        <v>#N/A</v>
      </c>
      <c r="AN120" s="17" t="e">
        <f t="shared" ca="1" si="40"/>
        <v>#N/A</v>
      </c>
      <c r="AO120" s="17" t="e">
        <f t="shared" ca="1" si="40"/>
        <v>#N/A</v>
      </c>
      <c r="AP120" s="17" t="e">
        <f t="shared" ca="1" si="40"/>
        <v>#N/A</v>
      </c>
      <c r="AQ120" s="17" t="e">
        <f t="shared" ca="1" si="40"/>
        <v>#N/A</v>
      </c>
      <c r="AR120" s="17" t="e">
        <f t="shared" ca="1" si="40"/>
        <v>#N/A</v>
      </c>
      <c r="AS120" s="17" t="e">
        <f t="shared" ca="1" si="40"/>
        <v>#N/A</v>
      </c>
      <c r="AT120" s="17" t="e">
        <f t="shared" ca="1" si="40"/>
        <v>#N/A</v>
      </c>
      <c r="AU120" s="17" t="e">
        <f t="shared" ca="1" si="40"/>
        <v>#N/A</v>
      </c>
      <c r="AV120" s="17" t="e">
        <f t="shared" ca="1" si="40"/>
        <v>#N/A</v>
      </c>
      <c r="AW120" s="17" t="e">
        <f t="shared" ca="1" si="40"/>
        <v>#N/A</v>
      </c>
      <c r="AX120" s="17" t="e">
        <f t="shared" ca="1" si="40"/>
        <v>#N/A</v>
      </c>
      <c r="AY120" s="17" t="e">
        <f t="shared" ca="1" si="40"/>
        <v>#N/A</v>
      </c>
      <c r="AZ120" s="17" t="e">
        <f t="shared" ca="1" si="40"/>
        <v>#N/A</v>
      </c>
      <c r="BA120" s="17" t="e">
        <f t="shared" ca="1" si="40"/>
        <v>#N/A</v>
      </c>
      <c r="BB120" s="17" t="e">
        <f t="shared" ca="1" si="40"/>
        <v>#N/A</v>
      </c>
      <c r="BC120" s="17" t="e">
        <f t="shared" ca="1" si="40"/>
        <v>#N/A</v>
      </c>
      <c r="BD120" s="17" t="e">
        <f t="shared" ca="1" si="40"/>
        <v>#N/A</v>
      </c>
      <c r="BE120" s="17" t="e">
        <f t="shared" ca="1" si="40"/>
        <v>#N/A</v>
      </c>
      <c r="BF120" s="17" t="e">
        <f t="shared" ca="1" si="40"/>
        <v>#N/A</v>
      </c>
      <c r="BG120" s="17" t="e">
        <f t="shared" ca="1" si="40"/>
        <v>#N/A</v>
      </c>
      <c r="BH120" s="17" t="e">
        <f t="shared" ca="1" si="40"/>
        <v>#N/A</v>
      </c>
      <c r="BI120" s="17" t="e">
        <f t="shared" ca="1" si="40"/>
        <v>#N/A</v>
      </c>
      <c r="BJ120" s="17" t="e">
        <f t="shared" ca="1" si="40"/>
        <v>#N/A</v>
      </c>
      <c r="BK120" s="17" t="e">
        <f t="shared" ca="1" si="40"/>
        <v>#N/A</v>
      </c>
      <c r="BL120" s="17" t="e">
        <f t="shared" ca="1" si="40"/>
        <v>#N/A</v>
      </c>
      <c r="BM120" s="17" t="e">
        <f t="shared" ca="1" si="40"/>
        <v>#N/A</v>
      </c>
      <c r="BN120" s="17" t="e">
        <f t="shared" ca="1" si="40"/>
        <v>#N/A</v>
      </c>
      <c r="BO120" s="17" t="e">
        <f t="shared" ca="1" si="40"/>
        <v>#N/A</v>
      </c>
      <c r="BP120" s="17" t="e">
        <f t="shared" ca="1" si="40"/>
        <v>#N/A</v>
      </c>
      <c r="BQ120" s="17" t="e">
        <f t="shared" ref="BQ120:BV120" ca="1" si="41">BQ57/$D120*100000</f>
        <v>#N/A</v>
      </c>
      <c r="BR120" s="17" t="e">
        <f t="shared" ca="1" si="41"/>
        <v>#N/A</v>
      </c>
      <c r="BS120" s="17" t="e">
        <f t="shared" ca="1" si="41"/>
        <v>#N/A</v>
      </c>
      <c r="BT120" s="17" t="e">
        <f t="shared" ca="1" si="41"/>
        <v>#N/A</v>
      </c>
      <c r="BU120" s="17" t="e">
        <f t="shared" ca="1" si="41"/>
        <v>#N/A</v>
      </c>
      <c r="BV120" s="17" t="e">
        <f t="shared" ca="1" si="41"/>
        <v>#N/A</v>
      </c>
    </row>
    <row r="121" spans="2:74" x14ac:dyDescent="0.25">
      <c r="B121">
        <f t="shared" si="11"/>
        <v>16</v>
      </c>
      <c r="C121" t="str">
        <f t="shared" ca="1" si="11"/>
        <v>Switzerland Obwalden</v>
      </c>
      <c r="D121" s="1">
        <f t="shared" ca="1" si="11"/>
        <v>37841</v>
      </c>
      <c r="E121" s="17" t="e">
        <f t="shared" ref="E121:BP121" ca="1" si="42">E58/$D121*100000</f>
        <v>#N/A</v>
      </c>
      <c r="F121" s="17" t="e">
        <f t="shared" ca="1" si="42"/>
        <v>#N/A</v>
      </c>
      <c r="G121" s="17" t="e">
        <f t="shared" ca="1" si="42"/>
        <v>#N/A</v>
      </c>
      <c r="H121" s="17" t="e">
        <f t="shared" ca="1" si="42"/>
        <v>#N/A</v>
      </c>
      <c r="I121" s="17" t="e">
        <f t="shared" ca="1" si="42"/>
        <v>#N/A</v>
      </c>
      <c r="J121" s="17" t="e">
        <f t="shared" ca="1" si="42"/>
        <v>#N/A</v>
      </c>
      <c r="K121" s="17" t="e">
        <f t="shared" ca="1" si="42"/>
        <v>#N/A</v>
      </c>
      <c r="L121" s="17" t="e">
        <f t="shared" ca="1" si="42"/>
        <v>#N/A</v>
      </c>
      <c r="M121" s="17" t="e">
        <f t="shared" ca="1" si="42"/>
        <v>#N/A</v>
      </c>
      <c r="N121" s="17" t="e">
        <f t="shared" ca="1" si="42"/>
        <v>#N/A</v>
      </c>
      <c r="O121" s="17" t="e">
        <f t="shared" ca="1" si="42"/>
        <v>#N/A</v>
      </c>
      <c r="P121" s="17" t="e">
        <f t="shared" ca="1" si="42"/>
        <v>#N/A</v>
      </c>
      <c r="Q121" s="17" t="e">
        <f t="shared" ca="1" si="42"/>
        <v>#N/A</v>
      </c>
      <c r="R121" s="17" t="e">
        <f t="shared" ca="1" si="42"/>
        <v>#N/A</v>
      </c>
      <c r="S121" s="17" t="e">
        <f t="shared" ca="1" si="42"/>
        <v>#N/A</v>
      </c>
      <c r="T121" s="17" t="e">
        <f t="shared" ca="1" si="42"/>
        <v>#N/A</v>
      </c>
      <c r="U121" s="17" t="e">
        <f t="shared" ca="1" si="42"/>
        <v>#N/A</v>
      </c>
      <c r="V121" s="17" t="e">
        <f t="shared" ca="1" si="42"/>
        <v>#N/A</v>
      </c>
      <c r="W121" s="17" t="e">
        <f t="shared" ca="1" si="42"/>
        <v>#N/A</v>
      </c>
      <c r="X121" s="17" t="e">
        <f t="shared" ca="1" si="42"/>
        <v>#N/A</v>
      </c>
      <c r="Y121" s="17" t="e">
        <f t="shared" ca="1" si="42"/>
        <v>#N/A</v>
      </c>
      <c r="Z121" s="17" t="e">
        <f t="shared" ca="1" si="42"/>
        <v>#N/A</v>
      </c>
      <c r="AA121" s="17" t="e">
        <f t="shared" ca="1" si="42"/>
        <v>#N/A</v>
      </c>
      <c r="AB121" s="17" t="e">
        <f t="shared" ca="1" si="42"/>
        <v>#N/A</v>
      </c>
      <c r="AC121" s="17" t="e">
        <f t="shared" ca="1" si="42"/>
        <v>#N/A</v>
      </c>
      <c r="AD121" s="17" t="e">
        <f t="shared" ca="1" si="42"/>
        <v>#N/A</v>
      </c>
      <c r="AE121" s="17" t="e">
        <f t="shared" ca="1" si="42"/>
        <v>#N/A</v>
      </c>
      <c r="AF121" s="17" t="e">
        <f t="shared" ca="1" si="42"/>
        <v>#N/A</v>
      </c>
      <c r="AG121" s="17" t="e">
        <f t="shared" ca="1" si="42"/>
        <v>#N/A</v>
      </c>
      <c r="AH121" s="17" t="e">
        <f t="shared" ca="1" si="42"/>
        <v>#N/A</v>
      </c>
      <c r="AI121" s="17" t="e">
        <f t="shared" ca="1" si="42"/>
        <v>#N/A</v>
      </c>
      <c r="AJ121" s="17" t="e">
        <f t="shared" ca="1" si="42"/>
        <v>#N/A</v>
      </c>
      <c r="AK121" s="17" t="e">
        <f t="shared" ca="1" si="42"/>
        <v>#N/A</v>
      </c>
      <c r="AL121" s="17" t="e">
        <f t="shared" ca="1" si="42"/>
        <v>#N/A</v>
      </c>
      <c r="AM121" s="17" t="e">
        <f t="shared" ca="1" si="42"/>
        <v>#N/A</v>
      </c>
      <c r="AN121" s="17" t="e">
        <f t="shared" ca="1" si="42"/>
        <v>#N/A</v>
      </c>
      <c r="AO121" s="17" t="e">
        <f t="shared" ca="1" si="42"/>
        <v>#N/A</v>
      </c>
      <c r="AP121" s="17" t="e">
        <f t="shared" ca="1" si="42"/>
        <v>#N/A</v>
      </c>
      <c r="AQ121" s="17" t="e">
        <f t="shared" ca="1" si="42"/>
        <v>#N/A</v>
      </c>
      <c r="AR121" s="17" t="e">
        <f t="shared" ca="1" si="42"/>
        <v>#N/A</v>
      </c>
      <c r="AS121" s="17" t="e">
        <f t="shared" ca="1" si="42"/>
        <v>#N/A</v>
      </c>
      <c r="AT121" s="17" t="e">
        <f t="shared" ca="1" si="42"/>
        <v>#N/A</v>
      </c>
      <c r="AU121" s="17" t="e">
        <f t="shared" ca="1" si="42"/>
        <v>#N/A</v>
      </c>
      <c r="AV121" s="17" t="e">
        <f t="shared" ca="1" si="42"/>
        <v>#N/A</v>
      </c>
      <c r="AW121" s="17" t="e">
        <f t="shared" ca="1" si="42"/>
        <v>#N/A</v>
      </c>
      <c r="AX121" s="17" t="e">
        <f t="shared" ca="1" si="42"/>
        <v>#N/A</v>
      </c>
      <c r="AY121" s="17" t="e">
        <f t="shared" ca="1" si="42"/>
        <v>#N/A</v>
      </c>
      <c r="AZ121" s="17" t="e">
        <f t="shared" ca="1" si="42"/>
        <v>#N/A</v>
      </c>
      <c r="BA121" s="17" t="e">
        <f t="shared" ca="1" si="42"/>
        <v>#N/A</v>
      </c>
      <c r="BB121" s="17" t="e">
        <f t="shared" ca="1" si="42"/>
        <v>#N/A</v>
      </c>
      <c r="BC121" s="17" t="e">
        <f t="shared" ca="1" si="42"/>
        <v>#N/A</v>
      </c>
      <c r="BD121" s="17" t="e">
        <f t="shared" ca="1" si="42"/>
        <v>#N/A</v>
      </c>
      <c r="BE121" s="17" t="e">
        <f t="shared" ca="1" si="42"/>
        <v>#N/A</v>
      </c>
      <c r="BF121" s="17" t="e">
        <f t="shared" ca="1" si="42"/>
        <v>#N/A</v>
      </c>
      <c r="BG121" s="17" t="e">
        <f t="shared" ca="1" si="42"/>
        <v>#N/A</v>
      </c>
      <c r="BH121" s="17" t="e">
        <f t="shared" ca="1" si="42"/>
        <v>#N/A</v>
      </c>
      <c r="BI121" s="17" t="e">
        <f t="shared" ca="1" si="42"/>
        <v>#N/A</v>
      </c>
      <c r="BJ121" s="17" t="e">
        <f t="shared" ca="1" si="42"/>
        <v>#N/A</v>
      </c>
      <c r="BK121" s="17" t="e">
        <f t="shared" ca="1" si="42"/>
        <v>#N/A</v>
      </c>
      <c r="BL121" s="17" t="e">
        <f t="shared" ca="1" si="42"/>
        <v>#N/A</v>
      </c>
      <c r="BM121" s="17" t="e">
        <f t="shared" ca="1" si="42"/>
        <v>#N/A</v>
      </c>
      <c r="BN121" s="17" t="e">
        <f t="shared" ca="1" si="42"/>
        <v>#N/A</v>
      </c>
      <c r="BO121" s="17" t="e">
        <f t="shared" ca="1" si="42"/>
        <v>#N/A</v>
      </c>
      <c r="BP121" s="17" t="e">
        <f t="shared" ca="1" si="42"/>
        <v>#N/A</v>
      </c>
      <c r="BQ121" s="17" t="e">
        <f t="shared" ref="BQ121:BV121" ca="1" si="43">BQ58/$D121*100000</f>
        <v>#N/A</v>
      </c>
      <c r="BR121" s="17" t="e">
        <f t="shared" ca="1" si="43"/>
        <v>#N/A</v>
      </c>
      <c r="BS121" s="17" t="e">
        <f t="shared" ca="1" si="43"/>
        <v>#N/A</v>
      </c>
      <c r="BT121" s="17" t="e">
        <f t="shared" ca="1" si="43"/>
        <v>#N/A</v>
      </c>
      <c r="BU121" s="17" t="e">
        <f t="shared" ca="1" si="43"/>
        <v>#N/A</v>
      </c>
      <c r="BV121" s="17" t="e">
        <f t="shared" ca="1" si="43"/>
        <v>#N/A</v>
      </c>
    </row>
    <row r="122" spans="2:74" x14ac:dyDescent="0.25">
      <c r="B122">
        <f t="shared" si="11"/>
        <v>17</v>
      </c>
      <c r="C122" t="str">
        <f t="shared" ca="1" si="11"/>
        <v>Switzerland Schaffhausen</v>
      </c>
      <c r="D122" s="1">
        <f t="shared" ca="1" si="11"/>
        <v>81991</v>
      </c>
      <c r="E122" s="17" t="e">
        <f t="shared" ref="E122:BP122" ca="1" si="44">E59/$D122*100000</f>
        <v>#N/A</v>
      </c>
      <c r="F122" s="17" t="e">
        <f t="shared" ca="1" si="44"/>
        <v>#N/A</v>
      </c>
      <c r="G122" s="17" t="e">
        <f t="shared" ca="1" si="44"/>
        <v>#N/A</v>
      </c>
      <c r="H122" s="17" t="e">
        <f t="shared" ca="1" si="44"/>
        <v>#N/A</v>
      </c>
      <c r="I122" s="17" t="e">
        <f t="shared" ca="1" si="44"/>
        <v>#N/A</v>
      </c>
      <c r="J122" s="17" t="e">
        <f t="shared" ca="1" si="44"/>
        <v>#N/A</v>
      </c>
      <c r="K122" s="17" t="e">
        <f t="shared" ca="1" si="44"/>
        <v>#N/A</v>
      </c>
      <c r="L122" s="17" t="e">
        <f t="shared" ca="1" si="44"/>
        <v>#N/A</v>
      </c>
      <c r="M122" s="17" t="e">
        <f t="shared" ca="1" si="44"/>
        <v>#N/A</v>
      </c>
      <c r="N122" s="17" t="e">
        <f t="shared" ca="1" si="44"/>
        <v>#N/A</v>
      </c>
      <c r="O122" s="17" t="e">
        <f t="shared" ca="1" si="44"/>
        <v>#N/A</v>
      </c>
      <c r="P122" s="17" t="e">
        <f t="shared" ca="1" si="44"/>
        <v>#N/A</v>
      </c>
      <c r="Q122" s="17" t="e">
        <f t="shared" ca="1" si="44"/>
        <v>#N/A</v>
      </c>
      <c r="R122" s="17" t="e">
        <f t="shared" ca="1" si="44"/>
        <v>#N/A</v>
      </c>
      <c r="S122" s="17" t="e">
        <f t="shared" ca="1" si="44"/>
        <v>#N/A</v>
      </c>
      <c r="T122" s="17" t="e">
        <f t="shared" ca="1" si="44"/>
        <v>#N/A</v>
      </c>
      <c r="U122" s="17" t="e">
        <f t="shared" ca="1" si="44"/>
        <v>#N/A</v>
      </c>
      <c r="V122" s="17" t="e">
        <f t="shared" ca="1" si="44"/>
        <v>#N/A</v>
      </c>
      <c r="W122" s="17" t="e">
        <f t="shared" ca="1" si="44"/>
        <v>#N/A</v>
      </c>
      <c r="X122" s="17" t="e">
        <f t="shared" ca="1" si="44"/>
        <v>#N/A</v>
      </c>
      <c r="Y122" s="17" t="e">
        <f t="shared" ca="1" si="44"/>
        <v>#N/A</v>
      </c>
      <c r="Z122" s="17" t="e">
        <f t="shared" ca="1" si="44"/>
        <v>#N/A</v>
      </c>
      <c r="AA122" s="17" t="e">
        <f t="shared" ca="1" si="44"/>
        <v>#N/A</v>
      </c>
      <c r="AB122" s="17" t="e">
        <f t="shared" ca="1" si="44"/>
        <v>#N/A</v>
      </c>
      <c r="AC122" s="17" t="e">
        <f t="shared" ca="1" si="44"/>
        <v>#N/A</v>
      </c>
      <c r="AD122" s="17" t="e">
        <f t="shared" ca="1" si="44"/>
        <v>#N/A</v>
      </c>
      <c r="AE122" s="17" t="e">
        <f t="shared" ca="1" si="44"/>
        <v>#N/A</v>
      </c>
      <c r="AF122" s="17" t="e">
        <f t="shared" ca="1" si="44"/>
        <v>#N/A</v>
      </c>
      <c r="AG122" s="17" t="e">
        <f t="shared" ca="1" si="44"/>
        <v>#N/A</v>
      </c>
      <c r="AH122" s="17" t="e">
        <f t="shared" ca="1" si="44"/>
        <v>#N/A</v>
      </c>
      <c r="AI122" s="17" t="e">
        <f t="shared" ca="1" si="44"/>
        <v>#N/A</v>
      </c>
      <c r="AJ122" s="17" t="e">
        <f t="shared" ca="1" si="44"/>
        <v>#N/A</v>
      </c>
      <c r="AK122" s="17" t="e">
        <f t="shared" ca="1" si="44"/>
        <v>#N/A</v>
      </c>
      <c r="AL122" s="17" t="e">
        <f t="shared" ca="1" si="44"/>
        <v>#N/A</v>
      </c>
      <c r="AM122" s="17" t="e">
        <f t="shared" ca="1" si="44"/>
        <v>#N/A</v>
      </c>
      <c r="AN122" s="17" t="e">
        <f t="shared" ca="1" si="44"/>
        <v>#N/A</v>
      </c>
      <c r="AO122" s="17" t="e">
        <f t="shared" ca="1" si="44"/>
        <v>#N/A</v>
      </c>
      <c r="AP122" s="17" t="e">
        <f t="shared" ca="1" si="44"/>
        <v>#N/A</v>
      </c>
      <c r="AQ122" s="17" t="e">
        <f t="shared" ca="1" si="44"/>
        <v>#N/A</v>
      </c>
      <c r="AR122" s="17" t="e">
        <f t="shared" ca="1" si="44"/>
        <v>#N/A</v>
      </c>
      <c r="AS122" s="17" t="e">
        <f t="shared" ca="1" si="44"/>
        <v>#N/A</v>
      </c>
      <c r="AT122" s="17" t="e">
        <f t="shared" ca="1" si="44"/>
        <v>#N/A</v>
      </c>
      <c r="AU122" s="17" t="e">
        <f t="shared" ca="1" si="44"/>
        <v>#N/A</v>
      </c>
      <c r="AV122" s="17" t="e">
        <f t="shared" ca="1" si="44"/>
        <v>#N/A</v>
      </c>
      <c r="AW122" s="17" t="e">
        <f t="shared" ca="1" si="44"/>
        <v>#N/A</v>
      </c>
      <c r="AX122" s="17" t="e">
        <f t="shared" ca="1" si="44"/>
        <v>#N/A</v>
      </c>
      <c r="AY122" s="17" t="e">
        <f t="shared" ca="1" si="44"/>
        <v>#N/A</v>
      </c>
      <c r="AZ122" s="17" t="e">
        <f t="shared" ca="1" si="44"/>
        <v>#N/A</v>
      </c>
      <c r="BA122" s="17" t="e">
        <f t="shared" ca="1" si="44"/>
        <v>#N/A</v>
      </c>
      <c r="BB122" s="17" t="e">
        <f t="shared" ca="1" si="44"/>
        <v>#N/A</v>
      </c>
      <c r="BC122" s="17" t="e">
        <f t="shared" ca="1" si="44"/>
        <v>#N/A</v>
      </c>
      <c r="BD122" s="17" t="e">
        <f t="shared" ca="1" si="44"/>
        <v>#N/A</v>
      </c>
      <c r="BE122" s="17" t="e">
        <f t="shared" ca="1" si="44"/>
        <v>#N/A</v>
      </c>
      <c r="BF122" s="17" t="e">
        <f t="shared" ca="1" si="44"/>
        <v>#N/A</v>
      </c>
      <c r="BG122" s="17" t="e">
        <f t="shared" ca="1" si="44"/>
        <v>#N/A</v>
      </c>
      <c r="BH122" s="17" t="e">
        <f t="shared" ca="1" si="44"/>
        <v>#N/A</v>
      </c>
      <c r="BI122" s="17" t="e">
        <f t="shared" ca="1" si="44"/>
        <v>#N/A</v>
      </c>
      <c r="BJ122" s="17" t="e">
        <f t="shared" ca="1" si="44"/>
        <v>#N/A</v>
      </c>
      <c r="BK122" s="17" t="e">
        <f t="shared" ca="1" si="44"/>
        <v>#N/A</v>
      </c>
      <c r="BL122" s="17" t="e">
        <f t="shared" ca="1" si="44"/>
        <v>#N/A</v>
      </c>
      <c r="BM122" s="17" t="e">
        <f t="shared" ca="1" si="44"/>
        <v>#N/A</v>
      </c>
      <c r="BN122" s="17" t="e">
        <f t="shared" ca="1" si="44"/>
        <v>#N/A</v>
      </c>
      <c r="BO122" s="17" t="e">
        <f t="shared" ca="1" si="44"/>
        <v>#N/A</v>
      </c>
      <c r="BP122" s="17" t="e">
        <f t="shared" ca="1" si="44"/>
        <v>#N/A</v>
      </c>
      <c r="BQ122" s="17" t="e">
        <f t="shared" ref="BQ122:BV122" ca="1" si="45">BQ59/$D122*100000</f>
        <v>#N/A</v>
      </c>
      <c r="BR122" s="17" t="e">
        <f t="shared" ca="1" si="45"/>
        <v>#N/A</v>
      </c>
      <c r="BS122" s="17" t="e">
        <f t="shared" ca="1" si="45"/>
        <v>#N/A</v>
      </c>
      <c r="BT122" s="17" t="e">
        <f t="shared" ca="1" si="45"/>
        <v>#N/A</v>
      </c>
      <c r="BU122" s="17" t="e">
        <f t="shared" ca="1" si="45"/>
        <v>#N/A</v>
      </c>
      <c r="BV122" s="17" t="e">
        <f t="shared" ca="1" si="45"/>
        <v>#N/A</v>
      </c>
    </row>
    <row r="123" spans="2:74" x14ac:dyDescent="0.25">
      <c r="B123">
        <f t="shared" si="11"/>
        <v>18</v>
      </c>
      <c r="C123" t="str">
        <f t="shared" ca="1" si="11"/>
        <v>Switzerland Schwyz</v>
      </c>
      <c r="D123" s="1">
        <f t="shared" ca="1" si="11"/>
        <v>159165</v>
      </c>
      <c r="E123" s="17">
        <f t="shared" ref="E123:BP123" ca="1" si="46">E60/$D123*100000</f>
        <v>62.199604184337012</v>
      </c>
      <c r="F123" s="17" t="e">
        <f t="shared" ca="1" si="46"/>
        <v>#N/A</v>
      </c>
      <c r="G123" s="17" t="e">
        <f t="shared" ca="1" si="46"/>
        <v>#N/A</v>
      </c>
      <c r="H123" s="17" t="e">
        <f t="shared" ca="1" si="46"/>
        <v>#N/A</v>
      </c>
      <c r="I123" s="17" t="e">
        <f t="shared" ca="1" si="46"/>
        <v>#N/A</v>
      </c>
      <c r="J123" s="17" t="e">
        <f t="shared" ca="1" si="46"/>
        <v>#N/A</v>
      </c>
      <c r="K123" s="17" t="e">
        <f t="shared" ca="1" si="46"/>
        <v>#N/A</v>
      </c>
      <c r="L123" s="17" t="e">
        <f t="shared" ca="1" si="46"/>
        <v>#N/A</v>
      </c>
      <c r="M123" s="17" t="e">
        <f t="shared" ca="1" si="46"/>
        <v>#N/A</v>
      </c>
      <c r="N123" s="17" t="e">
        <f t="shared" ca="1" si="46"/>
        <v>#N/A</v>
      </c>
      <c r="O123" s="17" t="e">
        <f t="shared" ca="1" si="46"/>
        <v>#N/A</v>
      </c>
      <c r="P123" s="17" t="e">
        <f t="shared" ca="1" si="46"/>
        <v>#N/A</v>
      </c>
      <c r="Q123" s="17" t="e">
        <f t="shared" ca="1" si="46"/>
        <v>#N/A</v>
      </c>
      <c r="R123" s="17" t="e">
        <f t="shared" ca="1" si="46"/>
        <v>#N/A</v>
      </c>
      <c r="S123" s="17" t="e">
        <f t="shared" ca="1" si="46"/>
        <v>#N/A</v>
      </c>
      <c r="T123" s="17" t="e">
        <f t="shared" ca="1" si="46"/>
        <v>#N/A</v>
      </c>
      <c r="U123" s="17" t="e">
        <f t="shared" ca="1" si="46"/>
        <v>#N/A</v>
      </c>
      <c r="V123" s="17" t="e">
        <f t="shared" ca="1" si="46"/>
        <v>#N/A</v>
      </c>
      <c r="W123" s="17" t="e">
        <f t="shared" ca="1" si="46"/>
        <v>#N/A</v>
      </c>
      <c r="X123" s="17" t="e">
        <f t="shared" ca="1" si="46"/>
        <v>#N/A</v>
      </c>
      <c r="Y123" s="17" t="e">
        <f t="shared" ca="1" si="46"/>
        <v>#N/A</v>
      </c>
      <c r="Z123" s="17" t="e">
        <f t="shared" ca="1" si="46"/>
        <v>#N/A</v>
      </c>
      <c r="AA123" s="17" t="e">
        <f t="shared" ca="1" si="46"/>
        <v>#N/A</v>
      </c>
      <c r="AB123" s="17" t="e">
        <f t="shared" ca="1" si="46"/>
        <v>#N/A</v>
      </c>
      <c r="AC123" s="17" t="e">
        <f t="shared" ca="1" si="46"/>
        <v>#N/A</v>
      </c>
      <c r="AD123" s="17" t="e">
        <f t="shared" ca="1" si="46"/>
        <v>#N/A</v>
      </c>
      <c r="AE123" s="17" t="e">
        <f t="shared" ca="1" si="46"/>
        <v>#N/A</v>
      </c>
      <c r="AF123" s="17" t="e">
        <f t="shared" ca="1" si="46"/>
        <v>#N/A</v>
      </c>
      <c r="AG123" s="17" t="e">
        <f t="shared" ca="1" si="46"/>
        <v>#N/A</v>
      </c>
      <c r="AH123" s="17" t="e">
        <f t="shared" ca="1" si="46"/>
        <v>#N/A</v>
      </c>
      <c r="AI123" s="17" t="e">
        <f t="shared" ca="1" si="46"/>
        <v>#N/A</v>
      </c>
      <c r="AJ123" s="17" t="e">
        <f t="shared" ca="1" si="46"/>
        <v>#N/A</v>
      </c>
      <c r="AK123" s="17" t="e">
        <f t="shared" ca="1" si="46"/>
        <v>#N/A</v>
      </c>
      <c r="AL123" s="17" t="e">
        <f t="shared" ca="1" si="46"/>
        <v>#N/A</v>
      </c>
      <c r="AM123" s="17" t="e">
        <f t="shared" ca="1" si="46"/>
        <v>#N/A</v>
      </c>
      <c r="AN123" s="17" t="e">
        <f t="shared" ca="1" si="46"/>
        <v>#N/A</v>
      </c>
      <c r="AO123" s="17" t="e">
        <f t="shared" ca="1" si="46"/>
        <v>#N/A</v>
      </c>
      <c r="AP123" s="17" t="e">
        <f t="shared" ca="1" si="46"/>
        <v>#N/A</v>
      </c>
      <c r="AQ123" s="17" t="e">
        <f t="shared" ca="1" si="46"/>
        <v>#N/A</v>
      </c>
      <c r="AR123" s="17" t="e">
        <f t="shared" ca="1" si="46"/>
        <v>#N/A</v>
      </c>
      <c r="AS123" s="17" t="e">
        <f t="shared" ca="1" si="46"/>
        <v>#N/A</v>
      </c>
      <c r="AT123" s="17" t="e">
        <f t="shared" ca="1" si="46"/>
        <v>#N/A</v>
      </c>
      <c r="AU123" s="17" t="e">
        <f t="shared" ca="1" si="46"/>
        <v>#N/A</v>
      </c>
      <c r="AV123" s="17" t="e">
        <f t="shared" ca="1" si="46"/>
        <v>#N/A</v>
      </c>
      <c r="AW123" s="17" t="e">
        <f t="shared" ca="1" si="46"/>
        <v>#N/A</v>
      </c>
      <c r="AX123" s="17" t="e">
        <f t="shared" ca="1" si="46"/>
        <v>#N/A</v>
      </c>
      <c r="AY123" s="17" t="e">
        <f t="shared" ca="1" si="46"/>
        <v>#N/A</v>
      </c>
      <c r="AZ123" s="17" t="e">
        <f t="shared" ca="1" si="46"/>
        <v>#N/A</v>
      </c>
      <c r="BA123" s="17" t="e">
        <f t="shared" ca="1" si="46"/>
        <v>#N/A</v>
      </c>
      <c r="BB123" s="17" t="e">
        <f t="shared" ca="1" si="46"/>
        <v>#N/A</v>
      </c>
      <c r="BC123" s="17" t="e">
        <f t="shared" ca="1" si="46"/>
        <v>#N/A</v>
      </c>
      <c r="BD123" s="17" t="e">
        <f t="shared" ca="1" si="46"/>
        <v>#N/A</v>
      </c>
      <c r="BE123" s="17" t="e">
        <f t="shared" ca="1" si="46"/>
        <v>#N/A</v>
      </c>
      <c r="BF123" s="17" t="e">
        <f t="shared" ca="1" si="46"/>
        <v>#N/A</v>
      </c>
      <c r="BG123" s="17" t="e">
        <f t="shared" ca="1" si="46"/>
        <v>#N/A</v>
      </c>
      <c r="BH123" s="17" t="e">
        <f t="shared" ca="1" si="46"/>
        <v>#N/A</v>
      </c>
      <c r="BI123" s="17" t="e">
        <f t="shared" ca="1" si="46"/>
        <v>#N/A</v>
      </c>
      <c r="BJ123" s="17" t="e">
        <f t="shared" ca="1" si="46"/>
        <v>#N/A</v>
      </c>
      <c r="BK123" s="17" t="e">
        <f t="shared" ca="1" si="46"/>
        <v>#N/A</v>
      </c>
      <c r="BL123" s="17" t="e">
        <f t="shared" ca="1" si="46"/>
        <v>#N/A</v>
      </c>
      <c r="BM123" s="17" t="e">
        <f t="shared" ca="1" si="46"/>
        <v>#N/A</v>
      </c>
      <c r="BN123" s="17" t="e">
        <f t="shared" ca="1" si="46"/>
        <v>#N/A</v>
      </c>
      <c r="BO123" s="17" t="e">
        <f t="shared" ca="1" si="46"/>
        <v>#N/A</v>
      </c>
      <c r="BP123" s="17" t="e">
        <f t="shared" ca="1" si="46"/>
        <v>#N/A</v>
      </c>
      <c r="BQ123" s="17" t="e">
        <f t="shared" ref="BQ123:BV123" ca="1" si="47">BQ60/$D123*100000</f>
        <v>#N/A</v>
      </c>
      <c r="BR123" s="17" t="e">
        <f t="shared" ca="1" si="47"/>
        <v>#N/A</v>
      </c>
      <c r="BS123" s="17" t="e">
        <f t="shared" ca="1" si="47"/>
        <v>#N/A</v>
      </c>
      <c r="BT123" s="17" t="e">
        <f t="shared" ca="1" si="47"/>
        <v>#N/A</v>
      </c>
      <c r="BU123" s="17" t="e">
        <f t="shared" ca="1" si="47"/>
        <v>#N/A</v>
      </c>
      <c r="BV123" s="17" t="e">
        <f t="shared" ca="1" si="47"/>
        <v>#N/A</v>
      </c>
    </row>
    <row r="124" spans="2:74" x14ac:dyDescent="0.25">
      <c r="B124">
        <f t="shared" si="11"/>
        <v>19</v>
      </c>
      <c r="C124" t="str">
        <f t="shared" ca="1" si="11"/>
        <v>Switzerland Solothurn</v>
      </c>
      <c r="D124" s="1">
        <f t="shared" ca="1" si="11"/>
        <v>273194</v>
      </c>
      <c r="E124" s="17">
        <f t="shared" ref="E124:BP124" ca="1" si="48">E61/$D124*100000</f>
        <v>24.158656485867187</v>
      </c>
      <c r="F124" s="17">
        <f t="shared" ca="1" si="48"/>
        <v>24.158656485867187</v>
      </c>
      <c r="G124" s="17">
        <f t="shared" ca="1" si="48"/>
        <v>24.158656485867187</v>
      </c>
      <c r="H124" s="17">
        <f t="shared" ca="1" si="48"/>
        <v>34.773823729657309</v>
      </c>
      <c r="I124" s="17">
        <f t="shared" ca="1" si="48"/>
        <v>38.06818597773011</v>
      </c>
      <c r="J124" s="17">
        <f t="shared" ca="1" si="48"/>
        <v>47.219192222376776</v>
      </c>
      <c r="K124" s="17" t="e">
        <f t="shared" ca="1" si="48"/>
        <v>#N/A</v>
      </c>
      <c r="L124" s="17" t="e">
        <f t="shared" ca="1" si="48"/>
        <v>#N/A</v>
      </c>
      <c r="M124" s="17" t="e">
        <f t="shared" ca="1" si="48"/>
        <v>#N/A</v>
      </c>
      <c r="N124" s="17" t="e">
        <f t="shared" ca="1" si="48"/>
        <v>#N/A</v>
      </c>
      <c r="O124" s="17" t="e">
        <f t="shared" ca="1" si="48"/>
        <v>#N/A</v>
      </c>
      <c r="P124" s="17" t="e">
        <f t="shared" ca="1" si="48"/>
        <v>#N/A</v>
      </c>
      <c r="Q124" s="17" t="e">
        <f t="shared" ca="1" si="48"/>
        <v>#N/A</v>
      </c>
      <c r="R124" s="17" t="e">
        <f t="shared" ca="1" si="48"/>
        <v>#N/A</v>
      </c>
      <c r="S124" s="17" t="e">
        <f t="shared" ca="1" si="48"/>
        <v>#N/A</v>
      </c>
      <c r="T124" s="17" t="e">
        <f t="shared" ca="1" si="48"/>
        <v>#N/A</v>
      </c>
      <c r="U124" s="17" t="e">
        <f t="shared" ca="1" si="48"/>
        <v>#N/A</v>
      </c>
      <c r="V124" s="17" t="e">
        <f t="shared" ca="1" si="48"/>
        <v>#N/A</v>
      </c>
      <c r="W124" s="17" t="e">
        <f t="shared" ca="1" si="48"/>
        <v>#N/A</v>
      </c>
      <c r="X124" s="17" t="e">
        <f t="shared" ca="1" si="48"/>
        <v>#N/A</v>
      </c>
      <c r="Y124" s="17" t="e">
        <f t="shared" ca="1" si="48"/>
        <v>#N/A</v>
      </c>
      <c r="Z124" s="17" t="e">
        <f t="shared" ca="1" si="48"/>
        <v>#N/A</v>
      </c>
      <c r="AA124" s="17" t="e">
        <f t="shared" ca="1" si="48"/>
        <v>#N/A</v>
      </c>
      <c r="AB124" s="17" t="e">
        <f t="shared" ca="1" si="48"/>
        <v>#N/A</v>
      </c>
      <c r="AC124" s="17" t="e">
        <f t="shared" ca="1" si="48"/>
        <v>#N/A</v>
      </c>
      <c r="AD124" s="17" t="e">
        <f t="shared" ca="1" si="48"/>
        <v>#N/A</v>
      </c>
      <c r="AE124" s="17" t="e">
        <f t="shared" ca="1" si="48"/>
        <v>#N/A</v>
      </c>
      <c r="AF124" s="17" t="e">
        <f t="shared" ca="1" si="48"/>
        <v>#N/A</v>
      </c>
      <c r="AG124" s="17" t="e">
        <f t="shared" ca="1" si="48"/>
        <v>#N/A</v>
      </c>
      <c r="AH124" s="17" t="e">
        <f t="shared" ca="1" si="48"/>
        <v>#N/A</v>
      </c>
      <c r="AI124" s="17" t="e">
        <f t="shared" ca="1" si="48"/>
        <v>#N/A</v>
      </c>
      <c r="AJ124" s="17" t="e">
        <f t="shared" ca="1" si="48"/>
        <v>#N/A</v>
      </c>
      <c r="AK124" s="17" t="e">
        <f t="shared" ca="1" si="48"/>
        <v>#N/A</v>
      </c>
      <c r="AL124" s="17" t="e">
        <f t="shared" ca="1" si="48"/>
        <v>#N/A</v>
      </c>
      <c r="AM124" s="17" t="e">
        <f t="shared" ca="1" si="48"/>
        <v>#N/A</v>
      </c>
      <c r="AN124" s="17" t="e">
        <f t="shared" ca="1" si="48"/>
        <v>#N/A</v>
      </c>
      <c r="AO124" s="17" t="e">
        <f t="shared" ca="1" si="48"/>
        <v>#N/A</v>
      </c>
      <c r="AP124" s="17" t="e">
        <f t="shared" ca="1" si="48"/>
        <v>#N/A</v>
      </c>
      <c r="AQ124" s="17" t="e">
        <f t="shared" ca="1" si="48"/>
        <v>#N/A</v>
      </c>
      <c r="AR124" s="17" t="e">
        <f t="shared" ca="1" si="48"/>
        <v>#N/A</v>
      </c>
      <c r="AS124" s="17" t="e">
        <f t="shared" ca="1" si="48"/>
        <v>#N/A</v>
      </c>
      <c r="AT124" s="17" t="e">
        <f t="shared" ca="1" si="48"/>
        <v>#N/A</v>
      </c>
      <c r="AU124" s="17" t="e">
        <f t="shared" ca="1" si="48"/>
        <v>#N/A</v>
      </c>
      <c r="AV124" s="17" t="e">
        <f t="shared" ca="1" si="48"/>
        <v>#N/A</v>
      </c>
      <c r="AW124" s="17" t="e">
        <f t="shared" ca="1" si="48"/>
        <v>#N/A</v>
      </c>
      <c r="AX124" s="17" t="e">
        <f t="shared" ca="1" si="48"/>
        <v>#N/A</v>
      </c>
      <c r="AY124" s="17" t="e">
        <f t="shared" ca="1" si="48"/>
        <v>#N/A</v>
      </c>
      <c r="AZ124" s="17" t="e">
        <f t="shared" ca="1" si="48"/>
        <v>#N/A</v>
      </c>
      <c r="BA124" s="17" t="e">
        <f t="shared" ca="1" si="48"/>
        <v>#N/A</v>
      </c>
      <c r="BB124" s="17" t="e">
        <f t="shared" ca="1" si="48"/>
        <v>#N/A</v>
      </c>
      <c r="BC124" s="17" t="e">
        <f t="shared" ca="1" si="48"/>
        <v>#N/A</v>
      </c>
      <c r="BD124" s="17" t="e">
        <f t="shared" ca="1" si="48"/>
        <v>#N/A</v>
      </c>
      <c r="BE124" s="17" t="e">
        <f t="shared" ca="1" si="48"/>
        <v>#N/A</v>
      </c>
      <c r="BF124" s="17" t="e">
        <f t="shared" ca="1" si="48"/>
        <v>#N/A</v>
      </c>
      <c r="BG124" s="17" t="e">
        <f t="shared" ca="1" si="48"/>
        <v>#N/A</v>
      </c>
      <c r="BH124" s="17" t="e">
        <f t="shared" ca="1" si="48"/>
        <v>#N/A</v>
      </c>
      <c r="BI124" s="17" t="e">
        <f t="shared" ca="1" si="48"/>
        <v>#N/A</v>
      </c>
      <c r="BJ124" s="17" t="e">
        <f t="shared" ca="1" si="48"/>
        <v>#N/A</v>
      </c>
      <c r="BK124" s="17" t="e">
        <f t="shared" ca="1" si="48"/>
        <v>#N/A</v>
      </c>
      <c r="BL124" s="17" t="e">
        <f t="shared" ca="1" si="48"/>
        <v>#N/A</v>
      </c>
      <c r="BM124" s="17" t="e">
        <f t="shared" ca="1" si="48"/>
        <v>#N/A</v>
      </c>
      <c r="BN124" s="17" t="e">
        <f t="shared" ca="1" si="48"/>
        <v>#N/A</v>
      </c>
      <c r="BO124" s="17" t="e">
        <f t="shared" ca="1" si="48"/>
        <v>#N/A</v>
      </c>
      <c r="BP124" s="17" t="e">
        <f t="shared" ca="1" si="48"/>
        <v>#N/A</v>
      </c>
      <c r="BQ124" s="17" t="e">
        <f t="shared" ref="BQ124:BV124" ca="1" si="49">BQ61/$D124*100000</f>
        <v>#N/A</v>
      </c>
      <c r="BR124" s="17" t="e">
        <f t="shared" ca="1" si="49"/>
        <v>#N/A</v>
      </c>
      <c r="BS124" s="17" t="e">
        <f t="shared" ca="1" si="49"/>
        <v>#N/A</v>
      </c>
      <c r="BT124" s="17" t="e">
        <f t="shared" ca="1" si="49"/>
        <v>#N/A</v>
      </c>
      <c r="BU124" s="17" t="e">
        <f t="shared" ca="1" si="49"/>
        <v>#N/A</v>
      </c>
      <c r="BV124" s="17" t="e">
        <f t="shared" ca="1" si="49"/>
        <v>#N/A</v>
      </c>
    </row>
    <row r="125" spans="2:74" x14ac:dyDescent="0.25">
      <c r="B125">
        <f t="shared" si="11"/>
        <v>20</v>
      </c>
      <c r="C125" t="str">
        <f t="shared" ca="1" si="11"/>
        <v>Switzerland St. Gallen</v>
      </c>
      <c r="D125" s="1">
        <f t="shared" ca="1" si="11"/>
        <v>507697</v>
      </c>
      <c r="E125" s="17">
        <f t="shared" ref="E125:BP125" ca="1" si="50">E62/$D125*100000</f>
        <v>12.015040467050229</v>
      </c>
      <c r="F125" s="17">
        <f t="shared" ca="1" si="50"/>
        <v>16.742269503266712</v>
      </c>
      <c r="G125" s="17">
        <f t="shared" ca="1" si="50"/>
        <v>19.302851897883972</v>
      </c>
      <c r="H125" s="17">
        <f t="shared" ca="1" si="50"/>
        <v>19.302851897883972</v>
      </c>
      <c r="I125" s="17">
        <f t="shared" ca="1" si="50"/>
        <v>19.302851897883972</v>
      </c>
      <c r="J125" s="17">
        <f t="shared" ca="1" si="50"/>
        <v>44.908675844056589</v>
      </c>
      <c r="K125" s="17">
        <f t="shared" ca="1" si="50"/>
        <v>44.908675844056589</v>
      </c>
      <c r="L125" s="17">
        <f t="shared" ca="1" si="50"/>
        <v>44.908675844056589</v>
      </c>
      <c r="M125" s="17" t="e">
        <f t="shared" ca="1" si="50"/>
        <v>#N/A</v>
      </c>
      <c r="N125" s="17" t="e">
        <f t="shared" ca="1" si="50"/>
        <v>#N/A</v>
      </c>
      <c r="O125" s="17" t="e">
        <f t="shared" ca="1" si="50"/>
        <v>#N/A</v>
      </c>
      <c r="P125" s="17" t="e">
        <f t="shared" ca="1" si="50"/>
        <v>#N/A</v>
      </c>
      <c r="Q125" s="17" t="e">
        <f t="shared" ca="1" si="50"/>
        <v>#N/A</v>
      </c>
      <c r="R125" s="17" t="e">
        <f t="shared" ca="1" si="50"/>
        <v>#N/A</v>
      </c>
      <c r="S125" s="17" t="e">
        <f t="shared" ca="1" si="50"/>
        <v>#N/A</v>
      </c>
      <c r="T125" s="17" t="e">
        <f t="shared" ca="1" si="50"/>
        <v>#N/A</v>
      </c>
      <c r="U125" s="17" t="e">
        <f t="shared" ca="1" si="50"/>
        <v>#N/A</v>
      </c>
      <c r="V125" s="17" t="e">
        <f t="shared" ca="1" si="50"/>
        <v>#N/A</v>
      </c>
      <c r="W125" s="17" t="e">
        <f t="shared" ca="1" si="50"/>
        <v>#N/A</v>
      </c>
      <c r="X125" s="17" t="e">
        <f t="shared" ca="1" si="50"/>
        <v>#N/A</v>
      </c>
      <c r="Y125" s="17" t="e">
        <f t="shared" ca="1" si="50"/>
        <v>#N/A</v>
      </c>
      <c r="Z125" s="17" t="e">
        <f t="shared" ca="1" si="50"/>
        <v>#N/A</v>
      </c>
      <c r="AA125" s="17" t="e">
        <f t="shared" ca="1" si="50"/>
        <v>#N/A</v>
      </c>
      <c r="AB125" s="17" t="e">
        <f t="shared" ca="1" si="50"/>
        <v>#N/A</v>
      </c>
      <c r="AC125" s="17" t="e">
        <f t="shared" ca="1" si="50"/>
        <v>#N/A</v>
      </c>
      <c r="AD125" s="17" t="e">
        <f t="shared" ca="1" si="50"/>
        <v>#N/A</v>
      </c>
      <c r="AE125" s="17" t="e">
        <f t="shared" ca="1" si="50"/>
        <v>#N/A</v>
      </c>
      <c r="AF125" s="17" t="e">
        <f t="shared" ca="1" si="50"/>
        <v>#N/A</v>
      </c>
      <c r="AG125" s="17" t="e">
        <f t="shared" ca="1" si="50"/>
        <v>#N/A</v>
      </c>
      <c r="AH125" s="17" t="e">
        <f t="shared" ca="1" si="50"/>
        <v>#N/A</v>
      </c>
      <c r="AI125" s="17" t="e">
        <f t="shared" ca="1" si="50"/>
        <v>#N/A</v>
      </c>
      <c r="AJ125" s="17" t="e">
        <f t="shared" ca="1" si="50"/>
        <v>#N/A</v>
      </c>
      <c r="AK125" s="17" t="e">
        <f t="shared" ca="1" si="50"/>
        <v>#N/A</v>
      </c>
      <c r="AL125" s="17" t="e">
        <f t="shared" ca="1" si="50"/>
        <v>#N/A</v>
      </c>
      <c r="AM125" s="17" t="e">
        <f t="shared" ca="1" si="50"/>
        <v>#N/A</v>
      </c>
      <c r="AN125" s="17" t="e">
        <f t="shared" ca="1" si="50"/>
        <v>#N/A</v>
      </c>
      <c r="AO125" s="17" t="e">
        <f t="shared" ca="1" si="50"/>
        <v>#N/A</v>
      </c>
      <c r="AP125" s="17" t="e">
        <f t="shared" ca="1" si="50"/>
        <v>#N/A</v>
      </c>
      <c r="AQ125" s="17" t="e">
        <f t="shared" ca="1" si="50"/>
        <v>#N/A</v>
      </c>
      <c r="AR125" s="17" t="e">
        <f t="shared" ca="1" si="50"/>
        <v>#N/A</v>
      </c>
      <c r="AS125" s="17" t="e">
        <f t="shared" ca="1" si="50"/>
        <v>#N/A</v>
      </c>
      <c r="AT125" s="17" t="e">
        <f t="shared" ca="1" si="50"/>
        <v>#N/A</v>
      </c>
      <c r="AU125" s="17" t="e">
        <f t="shared" ca="1" si="50"/>
        <v>#N/A</v>
      </c>
      <c r="AV125" s="17" t="e">
        <f t="shared" ca="1" si="50"/>
        <v>#N/A</v>
      </c>
      <c r="AW125" s="17" t="e">
        <f t="shared" ca="1" si="50"/>
        <v>#N/A</v>
      </c>
      <c r="AX125" s="17" t="e">
        <f t="shared" ca="1" si="50"/>
        <v>#N/A</v>
      </c>
      <c r="AY125" s="17" t="e">
        <f t="shared" ca="1" si="50"/>
        <v>#N/A</v>
      </c>
      <c r="AZ125" s="17" t="e">
        <f t="shared" ca="1" si="50"/>
        <v>#N/A</v>
      </c>
      <c r="BA125" s="17" t="e">
        <f t="shared" ca="1" si="50"/>
        <v>#N/A</v>
      </c>
      <c r="BB125" s="17" t="e">
        <f t="shared" ca="1" si="50"/>
        <v>#N/A</v>
      </c>
      <c r="BC125" s="17" t="e">
        <f t="shared" ca="1" si="50"/>
        <v>#N/A</v>
      </c>
      <c r="BD125" s="17" t="e">
        <f t="shared" ca="1" si="50"/>
        <v>#N/A</v>
      </c>
      <c r="BE125" s="17" t="e">
        <f t="shared" ca="1" si="50"/>
        <v>#N/A</v>
      </c>
      <c r="BF125" s="17" t="e">
        <f t="shared" ca="1" si="50"/>
        <v>#N/A</v>
      </c>
      <c r="BG125" s="17" t="e">
        <f t="shared" ca="1" si="50"/>
        <v>#N/A</v>
      </c>
      <c r="BH125" s="17" t="e">
        <f t="shared" ca="1" si="50"/>
        <v>#N/A</v>
      </c>
      <c r="BI125" s="17" t="e">
        <f t="shared" ca="1" si="50"/>
        <v>#N/A</v>
      </c>
      <c r="BJ125" s="17" t="e">
        <f t="shared" ca="1" si="50"/>
        <v>#N/A</v>
      </c>
      <c r="BK125" s="17" t="e">
        <f t="shared" ca="1" si="50"/>
        <v>#N/A</v>
      </c>
      <c r="BL125" s="17" t="e">
        <f t="shared" ca="1" si="50"/>
        <v>#N/A</v>
      </c>
      <c r="BM125" s="17" t="e">
        <f t="shared" ca="1" si="50"/>
        <v>#N/A</v>
      </c>
      <c r="BN125" s="17" t="e">
        <f t="shared" ca="1" si="50"/>
        <v>#N/A</v>
      </c>
      <c r="BO125" s="17" t="e">
        <f t="shared" ca="1" si="50"/>
        <v>#N/A</v>
      </c>
      <c r="BP125" s="17" t="e">
        <f t="shared" ca="1" si="50"/>
        <v>#N/A</v>
      </c>
      <c r="BQ125" s="17" t="e">
        <f t="shared" ref="BQ125:BV125" ca="1" si="51">BQ62/$D125*100000</f>
        <v>#N/A</v>
      </c>
      <c r="BR125" s="17" t="e">
        <f t="shared" ca="1" si="51"/>
        <v>#N/A</v>
      </c>
      <c r="BS125" s="17" t="e">
        <f t="shared" ca="1" si="51"/>
        <v>#N/A</v>
      </c>
      <c r="BT125" s="17" t="e">
        <f t="shared" ca="1" si="51"/>
        <v>#N/A</v>
      </c>
      <c r="BU125" s="17" t="e">
        <f t="shared" ca="1" si="51"/>
        <v>#N/A</v>
      </c>
      <c r="BV125" s="17" t="e">
        <f t="shared" ca="1" si="51"/>
        <v>#N/A</v>
      </c>
    </row>
    <row r="126" spans="2:74" x14ac:dyDescent="0.25">
      <c r="B126">
        <f t="shared" ref="B126:D145" si="52">B63</f>
        <v>21</v>
      </c>
      <c r="C126" t="str">
        <f t="shared" ca="1" si="52"/>
        <v>Switzerland Thurgovia</v>
      </c>
      <c r="D126" s="1">
        <f t="shared" ca="1" si="52"/>
        <v>276472</v>
      </c>
      <c r="E126" s="17">
        <f t="shared" ref="E126:BP126" ca="1" si="53">E63/$D126*100000</f>
        <v>20.255215718047399</v>
      </c>
      <c r="F126" s="17">
        <f t="shared" ca="1" si="53"/>
        <v>27.127521050956336</v>
      </c>
      <c r="G126" s="17">
        <f t="shared" ca="1" si="53"/>
        <v>29.297722735032842</v>
      </c>
      <c r="H126" s="17">
        <f t="shared" ca="1" si="53"/>
        <v>31.467924419109352</v>
      </c>
      <c r="I126" s="17">
        <f t="shared" ca="1" si="53"/>
        <v>34.723226945224113</v>
      </c>
      <c r="J126" s="17" t="e">
        <f t="shared" ca="1" si="53"/>
        <v>#N/A</v>
      </c>
      <c r="K126" s="17" t="e">
        <f t="shared" ca="1" si="53"/>
        <v>#N/A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BQ63/$D126*100000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52"/>
        <v>22</v>
      </c>
      <c r="C127" t="str">
        <f t="shared" ca="1" si="52"/>
        <v>Switzerland Ticino</v>
      </c>
      <c r="D127" s="1">
        <f t="shared" ca="1" si="52"/>
        <v>353343</v>
      </c>
      <c r="E127" s="17">
        <f t="shared" ref="E127:BP127" ca="1" si="55">E64/$D127*100000</f>
        <v>50.942002530119467</v>
      </c>
      <c r="F127" s="17">
        <f t="shared" ca="1" si="55"/>
        <v>73.016870293171223</v>
      </c>
      <c r="G127" s="17">
        <f t="shared" ca="1" si="55"/>
        <v>74.997948169342536</v>
      </c>
      <c r="H127" s="17">
        <f t="shared" ca="1" si="55"/>
        <v>82.35623742369313</v>
      </c>
      <c r="I127" s="17">
        <f t="shared" ca="1" si="55"/>
        <v>93.393671305219016</v>
      </c>
      <c r="J127" s="17">
        <f t="shared" ca="1" si="55"/>
        <v>119.43069482061341</v>
      </c>
      <c r="K127" s="17">
        <f t="shared" ca="1" si="55"/>
        <v>144.61868496050579</v>
      </c>
      <c r="L127" s="17">
        <f t="shared" ca="1" si="55"/>
        <v>180.56109785675676</v>
      </c>
      <c r="M127" s="17">
        <f t="shared" ca="1" si="55"/>
        <v>236.03127838955351</v>
      </c>
      <c r="N127" s="17">
        <f t="shared" ca="1" si="55"/>
        <v>259.8042129036092</v>
      </c>
      <c r="O127" s="17">
        <f t="shared" ca="1" si="55"/>
        <v>265.74744653212315</v>
      </c>
      <c r="P127" s="17">
        <f t="shared" ca="1" si="55"/>
        <v>329.70796081993984</v>
      </c>
      <c r="Q127" s="17">
        <f t="shared" ca="1" si="55"/>
        <v>342.72647257763703</v>
      </c>
      <c r="R127" s="17">
        <f t="shared" ca="1" si="55"/>
        <v>383.19706347656523</v>
      </c>
      <c r="S127" s="17" t="e">
        <f t="shared" ca="1" si="55"/>
        <v>#N/A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BQ64/$D127*100000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52"/>
        <v>23</v>
      </c>
      <c r="C128" t="str">
        <f t="shared" ca="1" si="52"/>
        <v>Switzerland Uri</v>
      </c>
      <c r="D128" s="1">
        <f t="shared" ca="1" si="52"/>
        <v>36433</v>
      </c>
      <c r="E128" s="17" t="e">
        <f t="shared" ref="E128:BP128" ca="1" si="57">E65/$D128*100000</f>
        <v>#N/A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BQ65/$D128*100000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52"/>
        <v>24</v>
      </c>
      <c r="C129" t="str">
        <f t="shared" ca="1" si="52"/>
        <v>Switzerland Valais</v>
      </c>
      <c r="D129" s="1">
        <f t="shared" ca="1" si="52"/>
        <v>343955</v>
      </c>
      <c r="E129" s="17">
        <f t="shared" ref="E129:BP129" ca="1" si="59">E66/$D129*100000</f>
        <v>15.408992455408411</v>
      </c>
      <c r="F129" s="17">
        <f t="shared" ca="1" si="59"/>
        <v>22.09591370964225</v>
      </c>
      <c r="G129" s="17">
        <f t="shared" ca="1" si="59"/>
        <v>28.49209925717027</v>
      </c>
      <c r="H129" s="17">
        <f t="shared" ca="1" si="59"/>
        <v>33.725341977875011</v>
      </c>
      <c r="I129" s="17">
        <f t="shared" ca="1" si="59"/>
        <v>50.297277260106696</v>
      </c>
      <c r="J129" s="17">
        <f t="shared" ca="1" si="59"/>
        <v>65.415534008809288</v>
      </c>
      <c r="K129" s="17">
        <f t="shared" ca="1" si="59"/>
        <v>90.418804785509735</v>
      </c>
      <c r="L129" s="17">
        <f t="shared" ca="1" si="59"/>
        <v>100.59455452021339</v>
      </c>
      <c r="M129" s="17">
        <f t="shared" ca="1" si="59"/>
        <v>125.88856100361967</v>
      </c>
      <c r="N129" s="17">
        <f t="shared" ca="1" si="59"/>
        <v>142.46049628585135</v>
      </c>
      <c r="O129" s="17">
        <f t="shared" ca="1" si="59"/>
        <v>153.21771743396664</v>
      </c>
      <c r="P129" s="17">
        <f t="shared" ca="1" si="59"/>
        <v>176.18583826372634</v>
      </c>
      <c r="Q129" s="17">
        <f t="shared" ca="1" si="59"/>
        <v>189.26894506548823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BQ66/$D129*100000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52"/>
        <v>25</v>
      </c>
      <c r="C130" t="str">
        <f t="shared" ca="1" si="52"/>
        <v>Switzerland Vaud</v>
      </c>
      <c r="D130" s="1">
        <f t="shared" ca="1" si="52"/>
        <v>799145</v>
      </c>
      <c r="E130" s="17">
        <f t="shared" ref="E130:BP130" ca="1" si="61">E67/$D130*100000</f>
        <v>6.3818205707349733</v>
      </c>
      <c r="F130" s="17">
        <f t="shared" ca="1" si="61"/>
        <v>9.6352977244429976</v>
      </c>
      <c r="G130" s="17">
        <f t="shared" ca="1" si="61"/>
        <v>13.514443561556416</v>
      </c>
      <c r="H130" s="17">
        <f t="shared" ca="1" si="61"/>
        <v>19.520862922248153</v>
      </c>
      <c r="I130" s="17">
        <f t="shared" ca="1" si="61"/>
        <v>25.527282282939893</v>
      </c>
      <c r="J130" s="17">
        <f t="shared" ca="1" si="61"/>
        <v>43.796807838377269</v>
      </c>
      <c r="K130" s="17">
        <f t="shared" ca="1" si="61"/>
        <v>50.804297092517629</v>
      </c>
      <c r="L130" s="17">
        <f t="shared" ca="1" si="61"/>
        <v>63.567938233987576</v>
      </c>
      <c r="M130" s="17">
        <f t="shared" ca="1" si="61"/>
        <v>76.081311902095365</v>
      </c>
      <c r="N130" s="17">
        <f t="shared" ca="1" si="61"/>
        <v>99.606454398138013</v>
      </c>
      <c r="O130" s="17">
        <f t="shared" ca="1" si="61"/>
        <v>151.66208885746641</v>
      </c>
      <c r="P130" s="17">
        <f t="shared" ca="1" si="61"/>
        <v>179.19151092730357</v>
      </c>
      <c r="Q130" s="17">
        <f t="shared" ca="1" si="61"/>
        <v>209.72414267748655</v>
      </c>
      <c r="R130" s="17">
        <f t="shared" ca="1" si="61"/>
        <v>222.98831876568082</v>
      </c>
      <c r="S130" s="17">
        <f t="shared" ca="1" si="61"/>
        <v>227.99366823292394</v>
      </c>
      <c r="T130" s="17">
        <f t="shared" ca="1" si="61"/>
        <v>270.53913870449043</v>
      </c>
      <c r="U130" s="17">
        <f t="shared" ca="1" si="61"/>
        <v>277.17122674858751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BQ67/$D130*100000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52"/>
        <v>26</v>
      </c>
      <c r="C131" t="str">
        <f t="shared" ca="1" si="52"/>
        <v>Switzerland Zug</v>
      </c>
      <c r="D131" s="1">
        <f t="shared" ca="1" si="52"/>
        <v>126837</v>
      </c>
      <c r="E131" s="17">
        <f t="shared" ref="E131:BP131" ca="1" si="63">E68/$D131*100000</f>
        <v>48.881635484913701</v>
      </c>
      <c r="F131" s="17">
        <f t="shared" ca="1" si="63"/>
        <v>56.765770240544953</v>
      </c>
      <c r="G131" s="17">
        <f t="shared" ca="1" si="63"/>
        <v>63.073078045049947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BQ68/$D131*100000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52"/>
        <v>27</v>
      </c>
      <c r="C132" t="str">
        <f t="shared" ca="1" si="52"/>
        <v>Switzerland Zurich</v>
      </c>
      <c r="D132" s="1">
        <f t="shared" ca="1" si="52"/>
        <v>1520968</v>
      </c>
      <c r="E132" s="17">
        <f t="shared" ref="E132:BP132" ca="1" si="65">E69/$D132*100000</f>
        <v>3.8791085677016217</v>
      </c>
      <c r="F132" s="17">
        <f t="shared" ca="1" si="65"/>
        <v>6.0487794615008337</v>
      </c>
      <c r="G132" s="17">
        <f t="shared" ca="1" si="65"/>
        <v>9.2046643979360514</v>
      </c>
      <c r="H132" s="17">
        <f t="shared" ca="1" si="65"/>
        <v>9.2046643979360514</v>
      </c>
      <c r="I132" s="17">
        <f t="shared" ca="1" si="65"/>
        <v>9.2046643979360514</v>
      </c>
      <c r="J132" s="17">
        <f t="shared" ca="1" si="65"/>
        <v>17.751852767448099</v>
      </c>
      <c r="K132" s="17">
        <f t="shared" ca="1" si="65"/>
        <v>19.329795235665706</v>
      </c>
      <c r="L132" s="17">
        <f t="shared" ca="1" si="65"/>
        <v>27.876983605177756</v>
      </c>
      <c r="M132" s="17">
        <f t="shared" ca="1" si="65"/>
        <v>34.583239095102591</v>
      </c>
      <c r="N132" s="17">
        <f t="shared" ca="1" si="65"/>
        <v>50.822896997175484</v>
      </c>
      <c r="O132" s="17">
        <f t="shared" ca="1" si="65"/>
        <v>50.822896997175484</v>
      </c>
      <c r="P132" s="17">
        <f t="shared" ca="1" si="65"/>
        <v>50.822896997175484</v>
      </c>
      <c r="Q132" s="17">
        <f t="shared" ca="1" si="65"/>
        <v>70.218439835683597</v>
      </c>
      <c r="R132" s="17">
        <f t="shared" ca="1" si="65"/>
        <v>79.620347042146847</v>
      </c>
      <c r="S132" s="17">
        <f t="shared" ca="1" si="65"/>
        <v>89.613982674191703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BQ69/$D132*100000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52"/>
        <v>28</v>
      </c>
      <c r="C133">
        <f t="shared" ca="1" si="52"/>
        <v>0</v>
      </c>
      <c r="D133" s="1" t="e">
        <f t="shared" ca="1" si="52"/>
        <v>#N/A</v>
      </c>
      <c r="E133" s="17" t="e">
        <f t="shared" ref="E133:BP133" ca="1" si="67">E70/$D133*100000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BQ70/$D133*100000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52"/>
        <v>29</v>
      </c>
      <c r="C134">
        <f t="shared" ca="1" si="52"/>
        <v>0</v>
      </c>
      <c r="D134" s="1" t="e">
        <f t="shared" ca="1" si="52"/>
        <v>#N/A</v>
      </c>
      <c r="E134" s="17" t="e">
        <f t="shared" ref="E134:BP134" ca="1" si="69">E71/$D134*100000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BQ71/$D134*100000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52"/>
        <v>30</v>
      </c>
      <c r="C135">
        <f t="shared" ca="1" si="52"/>
        <v>0</v>
      </c>
      <c r="D135" s="1" t="e">
        <f t="shared" ca="1" si="52"/>
        <v>#N/A</v>
      </c>
      <c r="E135" s="17" t="e">
        <f t="shared" ref="E135:BP135" ca="1" si="71">E72/$D135*100000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BQ72/$D135*100000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52"/>
        <v>31</v>
      </c>
      <c r="C136">
        <f t="shared" ca="1" si="52"/>
        <v>0</v>
      </c>
      <c r="D136" s="1" t="e">
        <f t="shared" ca="1" si="52"/>
        <v>#N/A</v>
      </c>
      <c r="E136" s="17" t="e">
        <f t="shared" ref="E136:BP136" ca="1" si="73">E73/$D136*100000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BQ73/$D136*100000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52"/>
        <v>32</v>
      </c>
      <c r="C137">
        <f t="shared" ca="1" si="52"/>
        <v>0</v>
      </c>
      <c r="D137" s="1" t="e">
        <f t="shared" ca="1" si="52"/>
        <v>#N/A</v>
      </c>
      <c r="E137" s="17" t="e">
        <f t="shared" ref="E137:BP137" ca="1" si="75">E74/$D137*100000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BQ74/$D137*100000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52"/>
        <v>33</v>
      </c>
      <c r="C138">
        <f t="shared" ca="1" si="52"/>
        <v>0</v>
      </c>
      <c r="D138" s="1" t="e">
        <f t="shared" ca="1" si="52"/>
        <v>#N/A</v>
      </c>
      <c r="E138" s="17" t="e">
        <f t="shared" ref="E138:BP138" ca="1" si="77">E75/$D138*100000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BQ75/$D138*100000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52"/>
        <v>34</v>
      </c>
      <c r="C139">
        <f t="shared" ca="1" si="52"/>
        <v>0</v>
      </c>
      <c r="D139" s="1" t="e">
        <f t="shared" ca="1" si="52"/>
        <v>#N/A</v>
      </c>
      <c r="E139" s="17" t="e">
        <f t="shared" ref="E139:BP139" ca="1" si="79">E76/$D139*100000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BQ76/$D139*100000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52"/>
        <v>35</v>
      </c>
      <c r="C140">
        <f t="shared" ca="1" si="52"/>
        <v>0</v>
      </c>
      <c r="D140" s="1" t="e">
        <f t="shared" ca="1" si="52"/>
        <v>#N/A</v>
      </c>
      <c r="E140" s="17" t="e">
        <f t="shared" ref="E140:BP140" ca="1" si="81">E77/$D140*100000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BQ77/$D140*100000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52"/>
        <v>36</v>
      </c>
      <c r="C141">
        <f t="shared" ca="1" si="52"/>
        <v>0</v>
      </c>
      <c r="D141" s="1" t="e">
        <f t="shared" ca="1" si="52"/>
        <v>#N/A</v>
      </c>
      <c r="E141" s="17" t="e">
        <f t="shared" ref="E141:BP141" ca="1" si="83">E78/$D141*100000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BQ78/$D141*100000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52"/>
        <v>37</v>
      </c>
      <c r="C142">
        <f t="shared" ca="1" si="52"/>
        <v>0</v>
      </c>
      <c r="D142" s="1" t="e">
        <f t="shared" ca="1" si="52"/>
        <v>#N/A</v>
      </c>
      <c r="E142" s="17" t="e">
        <f t="shared" ref="E142:BP142" ca="1" si="85">E79/$D142*100000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BQ79/$D142*100000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52"/>
        <v>38</v>
      </c>
      <c r="C143">
        <f t="shared" ca="1" si="52"/>
        <v>0</v>
      </c>
      <c r="D143" s="1" t="e">
        <f t="shared" ca="1" si="52"/>
        <v>#N/A</v>
      </c>
      <c r="E143" s="17" t="e">
        <f t="shared" ref="E143:BP143" ca="1" si="87">E80/$D143*100000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BQ80/$D143*100000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52"/>
        <v>39</v>
      </c>
      <c r="C144">
        <f t="shared" ca="1" si="52"/>
        <v>0</v>
      </c>
      <c r="D144" s="1" t="e">
        <f t="shared" ca="1" si="52"/>
        <v>#N/A</v>
      </c>
      <c r="E144" s="17" t="e">
        <f t="shared" ref="E144:BP144" ca="1" si="89">E81/$D144*100000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BQ81/$D144*100000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52"/>
        <v>40</v>
      </c>
      <c r="C145">
        <f t="shared" ca="1" si="52"/>
        <v>0</v>
      </c>
      <c r="D145" s="1" t="e">
        <f t="shared" ca="1" si="52"/>
        <v>#N/A</v>
      </c>
      <c r="E145" s="17" t="e">
        <f t="shared" ref="E145:BP145" ca="1" si="91">E82/$D145*100000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BQ82/$D145*100000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ref="B146:D165" si="93">B83</f>
        <v>41</v>
      </c>
      <c r="C146">
        <f t="shared" ca="1" si="93"/>
        <v>0</v>
      </c>
      <c r="D146" s="1" t="e">
        <f t="shared" ca="1" si="93"/>
        <v>#N/A</v>
      </c>
      <c r="E146" s="17" t="e">
        <f t="shared" ref="E146:BP146" ca="1" si="94">E83/$D146*100000</f>
        <v>#N/A</v>
      </c>
      <c r="F146" s="17" t="e">
        <f t="shared" ca="1" si="94"/>
        <v>#N/A</v>
      </c>
      <c r="G146" s="17" t="e">
        <f t="shared" ca="1" si="94"/>
        <v>#N/A</v>
      </c>
      <c r="H146" s="17" t="e">
        <f t="shared" ca="1" si="94"/>
        <v>#N/A</v>
      </c>
      <c r="I146" s="17" t="e">
        <f t="shared" ca="1" si="94"/>
        <v>#N/A</v>
      </c>
      <c r="J146" s="17" t="e">
        <f t="shared" ca="1" si="94"/>
        <v>#N/A</v>
      </c>
      <c r="K146" s="17" t="e">
        <f t="shared" ca="1" si="94"/>
        <v>#N/A</v>
      </c>
      <c r="L146" s="17" t="e">
        <f t="shared" ca="1" si="94"/>
        <v>#N/A</v>
      </c>
      <c r="M146" s="17" t="e">
        <f t="shared" ca="1" si="94"/>
        <v>#N/A</v>
      </c>
      <c r="N146" s="17" t="e">
        <f t="shared" ca="1" si="94"/>
        <v>#N/A</v>
      </c>
      <c r="O146" s="17" t="e">
        <f t="shared" ca="1" si="94"/>
        <v>#N/A</v>
      </c>
      <c r="P146" s="17" t="e">
        <f t="shared" ca="1" si="94"/>
        <v>#N/A</v>
      </c>
      <c r="Q146" s="17" t="e">
        <f t="shared" ca="1" si="94"/>
        <v>#N/A</v>
      </c>
      <c r="R146" s="17" t="e">
        <f t="shared" ca="1" si="94"/>
        <v>#N/A</v>
      </c>
      <c r="S146" s="17" t="e">
        <f t="shared" ca="1" si="94"/>
        <v>#N/A</v>
      </c>
      <c r="T146" s="17" t="e">
        <f t="shared" ca="1" si="94"/>
        <v>#N/A</v>
      </c>
      <c r="U146" s="17" t="e">
        <f t="shared" ca="1" si="94"/>
        <v>#N/A</v>
      </c>
      <c r="V146" s="17" t="e">
        <f t="shared" ca="1" si="94"/>
        <v>#N/A</v>
      </c>
      <c r="W146" s="17" t="e">
        <f t="shared" ca="1" si="94"/>
        <v>#N/A</v>
      </c>
      <c r="X146" s="17" t="e">
        <f t="shared" ca="1" si="94"/>
        <v>#N/A</v>
      </c>
      <c r="Y146" s="17" t="e">
        <f t="shared" ca="1" si="94"/>
        <v>#N/A</v>
      </c>
      <c r="Z146" s="17" t="e">
        <f t="shared" ca="1" si="94"/>
        <v>#N/A</v>
      </c>
      <c r="AA146" s="17" t="e">
        <f t="shared" ca="1" si="94"/>
        <v>#N/A</v>
      </c>
      <c r="AB146" s="17" t="e">
        <f t="shared" ca="1" si="94"/>
        <v>#N/A</v>
      </c>
      <c r="AC146" s="17" t="e">
        <f t="shared" ca="1" si="94"/>
        <v>#N/A</v>
      </c>
      <c r="AD146" s="17" t="e">
        <f t="shared" ca="1" si="94"/>
        <v>#N/A</v>
      </c>
      <c r="AE146" s="17" t="e">
        <f t="shared" ca="1" si="94"/>
        <v>#N/A</v>
      </c>
      <c r="AF146" s="17" t="e">
        <f t="shared" ca="1" si="94"/>
        <v>#N/A</v>
      </c>
      <c r="AG146" s="17" t="e">
        <f t="shared" ca="1" si="94"/>
        <v>#N/A</v>
      </c>
      <c r="AH146" s="17" t="e">
        <f t="shared" ca="1" si="94"/>
        <v>#N/A</v>
      </c>
      <c r="AI146" s="17" t="e">
        <f t="shared" ca="1" si="94"/>
        <v>#N/A</v>
      </c>
      <c r="AJ146" s="17" t="e">
        <f t="shared" ca="1" si="94"/>
        <v>#N/A</v>
      </c>
      <c r="AK146" s="17" t="e">
        <f t="shared" ca="1" si="94"/>
        <v>#N/A</v>
      </c>
      <c r="AL146" s="17" t="e">
        <f t="shared" ca="1" si="94"/>
        <v>#N/A</v>
      </c>
      <c r="AM146" s="17" t="e">
        <f t="shared" ca="1" si="94"/>
        <v>#N/A</v>
      </c>
      <c r="AN146" s="17" t="e">
        <f t="shared" ca="1" si="94"/>
        <v>#N/A</v>
      </c>
      <c r="AO146" s="17" t="e">
        <f t="shared" ca="1" si="94"/>
        <v>#N/A</v>
      </c>
      <c r="AP146" s="17" t="e">
        <f t="shared" ca="1" si="94"/>
        <v>#N/A</v>
      </c>
      <c r="AQ146" s="17" t="e">
        <f t="shared" ca="1" si="94"/>
        <v>#N/A</v>
      </c>
      <c r="AR146" s="17" t="e">
        <f t="shared" ca="1" si="94"/>
        <v>#N/A</v>
      </c>
      <c r="AS146" s="17" t="e">
        <f t="shared" ca="1" si="94"/>
        <v>#N/A</v>
      </c>
      <c r="AT146" s="17" t="e">
        <f t="shared" ca="1" si="94"/>
        <v>#N/A</v>
      </c>
      <c r="AU146" s="17" t="e">
        <f t="shared" ca="1" si="94"/>
        <v>#N/A</v>
      </c>
      <c r="AV146" s="17" t="e">
        <f t="shared" ca="1" si="94"/>
        <v>#N/A</v>
      </c>
      <c r="AW146" s="17" t="e">
        <f t="shared" ca="1" si="94"/>
        <v>#N/A</v>
      </c>
      <c r="AX146" s="17" t="e">
        <f t="shared" ca="1" si="94"/>
        <v>#N/A</v>
      </c>
      <c r="AY146" s="17" t="e">
        <f t="shared" ca="1" si="94"/>
        <v>#N/A</v>
      </c>
      <c r="AZ146" s="17" t="e">
        <f t="shared" ca="1" si="94"/>
        <v>#N/A</v>
      </c>
      <c r="BA146" s="17" t="e">
        <f t="shared" ca="1" si="94"/>
        <v>#N/A</v>
      </c>
      <c r="BB146" s="17" t="e">
        <f t="shared" ca="1" si="94"/>
        <v>#N/A</v>
      </c>
      <c r="BC146" s="17" t="e">
        <f t="shared" ca="1" si="94"/>
        <v>#N/A</v>
      </c>
      <c r="BD146" s="17" t="e">
        <f t="shared" ca="1" si="94"/>
        <v>#N/A</v>
      </c>
      <c r="BE146" s="17" t="e">
        <f t="shared" ca="1" si="94"/>
        <v>#N/A</v>
      </c>
      <c r="BF146" s="17" t="e">
        <f t="shared" ca="1" si="94"/>
        <v>#N/A</v>
      </c>
      <c r="BG146" s="17" t="e">
        <f t="shared" ca="1" si="94"/>
        <v>#N/A</v>
      </c>
      <c r="BH146" s="17" t="e">
        <f t="shared" ca="1" si="94"/>
        <v>#N/A</v>
      </c>
      <c r="BI146" s="17" t="e">
        <f t="shared" ca="1" si="94"/>
        <v>#N/A</v>
      </c>
      <c r="BJ146" s="17" t="e">
        <f t="shared" ca="1" si="94"/>
        <v>#N/A</v>
      </c>
      <c r="BK146" s="17" t="e">
        <f t="shared" ca="1" si="94"/>
        <v>#N/A</v>
      </c>
      <c r="BL146" s="17" t="e">
        <f t="shared" ca="1" si="94"/>
        <v>#N/A</v>
      </c>
      <c r="BM146" s="17" t="e">
        <f t="shared" ca="1" si="94"/>
        <v>#N/A</v>
      </c>
      <c r="BN146" s="17" t="e">
        <f t="shared" ca="1" si="94"/>
        <v>#N/A</v>
      </c>
      <c r="BO146" s="17" t="e">
        <f t="shared" ca="1" si="94"/>
        <v>#N/A</v>
      </c>
      <c r="BP146" s="17" t="e">
        <f t="shared" ca="1" si="94"/>
        <v>#N/A</v>
      </c>
      <c r="BQ146" s="17" t="e">
        <f t="shared" ref="BQ146:BV146" ca="1" si="95">BQ83/$D146*100000</f>
        <v>#N/A</v>
      </c>
      <c r="BR146" s="17" t="e">
        <f t="shared" ca="1" si="95"/>
        <v>#N/A</v>
      </c>
      <c r="BS146" s="17" t="e">
        <f t="shared" ca="1" si="95"/>
        <v>#N/A</v>
      </c>
      <c r="BT146" s="17" t="e">
        <f t="shared" ca="1" si="95"/>
        <v>#N/A</v>
      </c>
      <c r="BU146" s="17" t="e">
        <f t="shared" ca="1" si="95"/>
        <v>#N/A</v>
      </c>
      <c r="BV146" s="17" t="e">
        <f t="shared" ca="1" si="95"/>
        <v>#N/A</v>
      </c>
    </row>
    <row r="147" spans="2:74" x14ac:dyDescent="0.25">
      <c r="B147">
        <f t="shared" si="93"/>
        <v>42</v>
      </c>
      <c r="C147">
        <f t="shared" ca="1" si="93"/>
        <v>0</v>
      </c>
      <c r="D147" s="1" t="e">
        <f t="shared" ca="1" si="93"/>
        <v>#N/A</v>
      </c>
      <c r="E147" s="17" t="e">
        <f t="shared" ref="E147:BP147" ca="1" si="96">E84/$D147*100000</f>
        <v>#N/A</v>
      </c>
      <c r="F147" s="17" t="e">
        <f t="shared" ca="1" si="96"/>
        <v>#N/A</v>
      </c>
      <c r="G147" s="17" t="e">
        <f t="shared" ca="1" si="96"/>
        <v>#N/A</v>
      </c>
      <c r="H147" s="17" t="e">
        <f t="shared" ca="1" si="96"/>
        <v>#N/A</v>
      </c>
      <c r="I147" s="17" t="e">
        <f t="shared" ca="1" si="96"/>
        <v>#N/A</v>
      </c>
      <c r="J147" s="17" t="e">
        <f t="shared" ca="1" si="96"/>
        <v>#N/A</v>
      </c>
      <c r="K147" s="17" t="e">
        <f t="shared" ca="1" si="96"/>
        <v>#N/A</v>
      </c>
      <c r="L147" s="17" t="e">
        <f t="shared" ca="1" si="96"/>
        <v>#N/A</v>
      </c>
      <c r="M147" s="17" t="e">
        <f t="shared" ca="1" si="96"/>
        <v>#N/A</v>
      </c>
      <c r="N147" s="17" t="e">
        <f t="shared" ca="1" si="96"/>
        <v>#N/A</v>
      </c>
      <c r="O147" s="17" t="e">
        <f t="shared" ca="1" si="96"/>
        <v>#N/A</v>
      </c>
      <c r="P147" s="17" t="e">
        <f t="shared" ca="1" si="96"/>
        <v>#N/A</v>
      </c>
      <c r="Q147" s="17" t="e">
        <f t="shared" ca="1" si="96"/>
        <v>#N/A</v>
      </c>
      <c r="R147" s="17" t="e">
        <f t="shared" ca="1" si="96"/>
        <v>#N/A</v>
      </c>
      <c r="S147" s="17" t="e">
        <f t="shared" ca="1" si="96"/>
        <v>#N/A</v>
      </c>
      <c r="T147" s="17" t="e">
        <f t="shared" ca="1" si="96"/>
        <v>#N/A</v>
      </c>
      <c r="U147" s="17" t="e">
        <f t="shared" ca="1" si="96"/>
        <v>#N/A</v>
      </c>
      <c r="V147" s="17" t="e">
        <f t="shared" ca="1" si="96"/>
        <v>#N/A</v>
      </c>
      <c r="W147" s="17" t="e">
        <f t="shared" ca="1" si="96"/>
        <v>#N/A</v>
      </c>
      <c r="X147" s="17" t="e">
        <f t="shared" ca="1" si="96"/>
        <v>#N/A</v>
      </c>
      <c r="Y147" s="17" t="e">
        <f t="shared" ca="1" si="96"/>
        <v>#N/A</v>
      </c>
      <c r="Z147" s="17" t="e">
        <f t="shared" ca="1" si="96"/>
        <v>#N/A</v>
      </c>
      <c r="AA147" s="17" t="e">
        <f t="shared" ca="1" si="96"/>
        <v>#N/A</v>
      </c>
      <c r="AB147" s="17" t="e">
        <f t="shared" ca="1" si="96"/>
        <v>#N/A</v>
      </c>
      <c r="AC147" s="17" t="e">
        <f t="shared" ca="1" si="96"/>
        <v>#N/A</v>
      </c>
      <c r="AD147" s="17" t="e">
        <f t="shared" ca="1" si="96"/>
        <v>#N/A</v>
      </c>
      <c r="AE147" s="17" t="e">
        <f t="shared" ca="1" si="96"/>
        <v>#N/A</v>
      </c>
      <c r="AF147" s="17" t="e">
        <f t="shared" ca="1" si="96"/>
        <v>#N/A</v>
      </c>
      <c r="AG147" s="17" t="e">
        <f t="shared" ca="1" si="96"/>
        <v>#N/A</v>
      </c>
      <c r="AH147" s="17" t="e">
        <f t="shared" ca="1" si="96"/>
        <v>#N/A</v>
      </c>
      <c r="AI147" s="17" t="e">
        <f t="shared" ca="1" si="96"/>
        <v>#N/A</v>
      </c>
      <c r="AJ147" s="17" t="e">
        <f t="shared" ca="1" si="96"/>
        <v>#N/A</v>
      </c>
      <c r="AK147" s="17" t="e">
        <f t="shared" ca="1" si="96"/>
        <v>#N/A</v>
      </c>
      <c r="AL147" s="17" t="e">
        <f t="shared" ca="1" si="96"/>
        <v>#N/A</v>
      </c>
      <c r="AM147" s="17" t="e">
        <f t="shared" ca="1" si="96"/>
        <v>#N/A</v>
      </c>
      <c r="AN147" s="17" t="e">
        <f t="shared" ca="1" si="96"/>
        <v>#N/A</v>
      </c>
      <c r="AO147" s="17" t="e">
        <f t="shared" ca="1" si="96"/>
        <v>#N/A</v>
      </c>
      <c r="AP147" s="17" t="e">
        <f t="shared" ca="1" si="96"/>
        <v>#N/A</v>
      </c>
      <c r="AQ147" s="17" t="e">
        <f t="shared" ca="1" si="96"/>
        <v>#N/A</v>
      </c>
      <c r="AR147" s="17" t="e">
        <f t="shared" ca="1" si="96"/>
        <v>#N/A</v>
      </c>
      <c r="AS147" s="17" t="e">
        <f t="shared" ca="1" si="96"/>
        <v>#N/A</v>
      </c>
      <c r="AT147" s="17" t="e">
        <f t="shared" ca="1" si="96"/>
        <v>#N/A</v>
      </c>
      <c r="AU147" s="17" t="e">
        <f t="shared" ca="1" si="96"/>
        <v>#N/A</v>
      </c>
      <c r="AV147" s="17" t="e">
        <f t="shared" ca="1" si="96"/>
        <v>#N/A</v>
      </c>
      <c r="AW147" s="17" t="e">
        <f t="shared" ca="1" si="96"/>
        <v>#N/A</v>
      </c>
      <c r="AX147" s="17" t="e">
        <f t="shared" ca="1" si="96"/>
        <v>#N/A</v>
      </c>
      <c r="AY147" s="17" t="e">
        <f t="shared" ca="1" si="96"/>
        <v>#N/A</v>
      </c>
      <c r="AZ147" s="17" t="e">
        <f t="shared" ca="1" si="96"/>
        <v>#N/A</v>
      </c>
      <c r="BA147" s="17" t="e">
        <f t="shared" ca="1" si="96"/>
        <v>#N/A</v>
      </c>
      <c r="BB147" s="17" t="e">
        <f t="shared" ca="1" si="96"/>
        <v>#N/A</v>
      </c>
      <c r="BC147" s="17" t="e">
        <f t="shared" ca="1" si="96"/>
        <v>#N/A</v>
      </c>
      <c r="BD147" s="17" t="e">
        <f t="shared" ca="1" si="96"/>
        <v>#N/A</v>
      </c>
      <c r="BE147" s="17" t="e">
        <f t="shared" ca="1" si="96"/>
        <v>#N/A</v>
      </c>
      <c r="BF147" s="17" t="e">
        <f t="shared" ca="1" si="96"/>
        <v>#N/A</v>
      </c>
      <c r="BG147" s="17" t="e">
        <f t="shared" ca="1" si="96"/>
        <v>#N/A</v>
      </c>
      <c r="BH147" s="17" t="e">
        <f t="shared" ca="1" si="96"/>
        <v>#N/A</v>
      </c>
      <c r="BI147" s="17" t="e">
        <f t="shared" ca="1" si="96"/>
        <v>#N/A</v>
      </c>
      <c r="BJ147" s="17" t="e">
        <f t="shared" ca="1" si="96"/>
        <v>#N/A</v>
      </c>
      <c r="BK147" s="17" t="e">
        <f t="shared" ca="1" si="96"/>
        <v>#N/A</v>
      </c>
      <c r="BL147" s="17" t="e">
        <f t="shared" ca="1" si="96"/>
        <v>#N/A</v>
      </c>
      <c r="BM147" s="17" t="e">
        <f t="shared" ca="1" si="96"/>
        <v>#N/A</v>
      </c>
      <c r="BN147" s="17" t="e">
        <f t="shared" ca="1" si="96"/>
        <v>#N/A</v>
      </c>
      <c r="BO147" s="17" t="e">
        <f t="shared" ca="1" si="96"/>
        <v>#N/A</v>
      </c>
      <c r="BP147" s="17" t="e">
        <f t="shared" ca="1" si="96"/>
        <v>#N/A</v>
      </c>
      <c r="BQ147" s="17" t="e">
        <f t="shared" ref="BQ147:BV147" ca="1" si="97">BQ84/$D147*100000</f>
        <v>#N/A</v>
      </c>
      <c r="BR147" s="17" t="e">
        <f t="shared" ca="1" si="97"/>
        <v>#N/A</v>
      </c>
      <c r="BS147" s="17" t="e">
        <f t="shared" ca="1" si="97"/>
        <v>#N/A</v>
      </c>
      <c r="BT147" s="17" t="e">
        <f t="shared" ca="1" si="97"/>
        <v>#N/A</v>
      </c>
      <c r="BU147" s="17" t="e">
        <f t="shared" ca="1" si="97"/>
        <v>#N/A</v>
      </c>
      <c r="BV147" s="17" t="e">
        <f t="shared" ca="1" si="97"/>
        <v>#N/A</v>
      </c>
    </row>
    <row r="148" spans="2:74" x14ac:dyDescent="0.25">
      <c r="B148">
        <f t="shared" si="93"/>
        <v>43</v>
      </c>
      <c r="C148">
        <f t="shared" ca="1" si="93"/>
        <v>0</v>
      </c>
      <c r="D148" s="1" t="e">
        <f t="shared" ca="1" si="93"/>
        <v>#N/A</v>
      </c>
      <c r="E148" s="17" t="e">
        <f t="shared" ref="E148:BP148" ca="1" si="98">E85/$D148*100000</f>
        <v>#N/A</v>
      </c>
      <c r="F148" s="17" t="e">
        <f t="shared" ca="1" si="98"/>
        <v>#N/A</v>
      </c>
      <c r="G148" s="17" t="e">
        <f t="shared" ca="1" si="98"/>
        <v>#N/A</v>
      </c>
      <c r="H148" s="17" t="e">
        <f t="shared" ca="1" si="98"/>
        <v>#N/A</v>
      </c>
      <c r="I148" s="17" t="e">
        <f t="shared" ca="1" si="98"/>
        <v>#N/A</v>
      </c>
      <c r="J148" s="17" t="e">
        <f t="shared" ca="1" si="98"/>
        <v>#N/A</v>
      </c>
      <c r="K148" s="17" t="e">
        <f t="shared" ca="1" si="98"/>
        <v>#N/A</v>
      </c>
      <c r="L148" s="17" t="e">
        <f t="shared" ca="1" si="98"/>
        <v>#N/A</v>
      </c>
      <c r="M148" s="17" t="e">
        <f t="shared" ca="1" si="98"/>
        <v>#N/A</v>
      </c>
      <c r="N148" s="17" t="e">
        <f t="shared" ca="1" si="98"/>
        <v>#N/A</v>
      </c>
      <c r="O148" s="17" t="e">
        <f t="shared" ca="1" si="98"/>
        <v>#N/A</v>
      </c>
      <c r="P148" s="17" t="e">
        <f t="shared" ca="1" si="98"/>
        <v>#N/A</v>
      </c>
      <c r="Q148" s="17" t="e">
        <f t="shared" ca="1" si="98"/>
        <v>#N/A</v>
      </c>
      <c r="R148" s="17" t="e">
        <f t="shared" ca="1" si="98"/>
        <v>#N/A</v>
      </c>
      <c r="S148" s="17" t="e">
        <f t="shared" ca="1" si="98"/>
        <v>#N/A</v>
      </c>
      <c r="T148" s="17" t="e">
        <f t="shared" ca="1" si="98"/>
        <v>#N/A</v>
      </c>
      <c r="U148" s="17" t="e">
        <f t="shared" ca="1" si="98"/>
        <v>#N/A</v>
      </c>
      <c r="V148" s="17" t="e">
        <f t="shared" ca="1" si="98"/>
        <v>#N/A</v>
      </c>
      <c r="W148" s="17" t="e">
        <f t="shared" ca="1" si="98"/>
        <v>#N/A</v>
      </c>
      <c r="X148" s="17" t="e">
        <f t="shared" ca="1" si="98"/>
        <v>#N/A</v>
      </c>
      <c r="Y148" s="17" t="e">
        <f t="shared" ca="1" si="98"/>
        <v>#N/A</v>
      </c>
      <c r="Z148" s="17" t="e">
        <f t="shared" ca="1" si="98"/>
        <v>#N/A</v>
      </c>
      <c r="AA148" s="17" t="e">
        <f t="shared" ca="1" si="98"/>
        <v>#N/A</v>
      </c>
      <c r="AB148" s="17" t="e">
        <f t="shared" ca="1" si="98"/>
        <v>#N/A</v>
      </c>
      <c r="AC148" s="17" t="e">
        <f t="shared" ca="1" si="98"/>
        <v>#N/A</v>
      </c>
      <c r="AD148" s="17" t="e">
        <f t="shared" ca="1" si="98"/>
        <v>#N/A</v>
      </c>
      <c r="AE148" s="17" t="e">
        <f t="shared" ca="1" si="98"/>
        <v>#N/A</v>
      </c>
      <c r="AF148" s="17" t="e">
        <f t="shared" ca="1" si="98"/>
        <v>#N/A</v>
      </c>
      <c r="AG148" s="17" t="e">
        <f t="shared" ca="1" si="98"/>
        <v>#N/A</v>
      </c>
      <c r="AH148" s="17" t="e">
        <f t="shared" ca="1" si="98"/>
        <v>#N/A</v>
      </c>
      <c r="AI148" s="17" t="e">
        <f t="shared" ca="1" si="98"/>
        <v>#N/A</v>
      </c>
      <c r="AJ148" s="17" t="e">
        <f t="shared" ca="1" si="98"/>
        <v>#N/A</v>
      </c>
      <c r="AK148" s="17" t="e">
        <f t="shared" ca="1" si="98"/>
        <v>#N/A</v>
      </c>
      <c r="AL148" s="17" t="e">
        <f t="shared" ca="1" si="98"/>
        <v>#N/A</v>
      </c>
      <c r="AM148" s="17" t="e">
        <f t="shared" ca="1" si="98"/>
        <v>#N/A</v>
      </c>
      <c r="AN148" s="17" t="e">
        <f t="shared" ca="1" si="98"/>
        <v>#N/A</v>
      </c>
      <c r="AO148" s="17" t="e">
        <f t="shared" ca="1" si="98"/>
        <v>#N/A</v>
      </c>
      <c r="AP148" s="17" t="e">
        <f t="shared" ca="1" si="98"/>
        <v>#N/A</v>
      </c>
      <c r="AQ148" s="17" t="e">
        <f t="shared" ca="1" si="98"/>
        <v>#N/A</v>
      </c>
      <c r="AR148" s="17" t="e">
        <f t="shared" ca="1" si="98"/>
        <v>#N/A</v>
      </c>
      <c r="AS148" s="17" t="e">
        <f t="shared" ca="1" si="98"/>
        <v>#N/A</v>
      </c>
      <c r="AT148" s="17" t="e">
        <f t="shared" ca="1" si="98"/>
        <v>#N/A</v>
      </c>
      <c r="AU148" s="17" t="e">
        <f t="shared" ca="1" si="98"/>
        <v>#N/A</v>
      </c>
      <c r="AV148" s="17" t="e">
        <f t="shared" ca="1" si="98"/>
        <v>#N/A</v>
      </c>
      <c r="AW148" s="17" t="e">
        <f t="shared" ca="1" si="98"/>
        <v>#N/A</v>
      </c>
      <c r="AX148" s="17" t="e">
        <f t="shared" ca="1" si="98"/>
        <v>#N/A</v>
      </c>
      <c r="AY148" s="17" t="e">
        <f t="shared" ca="1" si="98"/>
        <v>#N/A</v>
      </c>
      <c r="AZ148" s="17" t="e">
        <f t="shared" ca="1" si="98"/>
        <v>#N/A</v>
      </c>
      <c r="BA148" s="17" t="e">
        <f t="shared" ca="1" si="98"/>
        <v>#N/A</v>
      </c>
      <c r="BB148" s="17" t="e">
        <f t="shared" ca="1" si="98"/>
        <v>#N/A</v>
      </c>
      <c r="BC148" s="17" t="e">
        <f t="shared" ca="1" si="98"/>
        <v>#N/A</v>
      </c>
      <c r="BD148" s="17" t="e">
        <f t="shared" ca="1" si="98"/>
        <v>#N/A</v>
      </c>
      <c r="BE148" s="17" t="e">
        <f t="shared" ca="1" si="98"/>
        <v>#N/A</v>
      </c>
      <c r="BF148" s="17" t="e">
        <f t="shared" ca="1" si="98"/>
        <v>#N/A</v>
      </c>
      <c r="BG148" s="17" t="e">
        <f t="shared" ca="1" si="98"/>
        <v>#N/A</v>
      </c>
      <c r="BH148" s="17" t="e">
        <f t="shared" ca="1" si="98"/>
        <v>#N/A</v>
      </c>
      <c r="BI148" s="17" t="e">
        <f t="shared" ca="1" si="98"/>
        <v>#N/A</v>
      </c>
      <c r="BJ148" s="17" t="e">
        <f t="shared" ca="1" si="98"/>
        <v>#N/A</v>
      </c>
      <c r="BK148" s="17" t="e">
        <f t="shared" ca="1" si="98"/>
        <v>#N/A</v>
      </c>
      <c r="BL148" s="17" t="e">
        <f t="shared" ca="1" si="98"/>
        <v>#N/A</v>
      </c>
      <c r="BM148" s="17" t="e">
        <f t="shared" ca="1" si="98"/>
        <v>#N/A</v>
      </c>
      <c r="BN148" s="17" t="e">
        <f t="shared" ca="1" si="98"/>
        <v>#N/A</v>
      </c>
      <c r="BO148" s="17" t="e">
        <f t="shared" ca="1" si="98"/>
        <v>#N/A</v>
      </c>
      <c r="BP148" s="17" t="e">
        <f t="shared" ca="1" si="98"/>
        <v>#N/A</v>
      </c>
      <c r="BQ148" s="17" t="e">
        <f t="shared" ref="BQ148:BV148" ca="1" si="99">BQ85/$D148*100000</f>
        <v>#N/A</v>
      </c>
      <c r="BR148" s="17" t="e">
        <f t="shared" ca="1" si="99"/>
        <v>#N/A</v>
      </c>
      <c r="BS148" s="17" t="e">
        <f t="shared" ca="1" si="99"/>
        <v>#N/A</v>
      </c>
      <c r="BT148" s="17" t="e">
        <f t="shared" ca="1" si="99"/>
        <v>#N/A</v>
      </c>
      <c r="BU148" s="17" t="e">
        <f t="shared" ca="1" si="99"/>
        <v>#N/A</v>
      </c>
      <c r="BV148" s="17" t="e">
        <f t="shared" ca="1" si="99"/>
        <v>#N/A</v>
      </c>
    </row>
    <row r="149" spans="2:74" x14ac:dyDescent="0.25">
      <c r="B149">
        <f t="shared" si="93"/>
        <v>44</v>
      </c>
      <c r="C149">
        <f t="shared" ca="1" si="93"/>
        <v>0</v>
      </c>
      <c r="D149" s="1" t="e">
        <f t="shared" ca="1" si="93"/>
        <v>#N/A</v>
      </c>
      <c r="E149" s="17" t="e">
        <f t="shared" ref="E149:BP149" ca="1" si="100">E86/$D149*100000</f>
        <v>#N/A</v>
      </c>
      <c r="F149" s="17" t="e">
        <f t="shared" ca="1" si="100"/>
        <v>#N/A</v>
      </c>
      <c r="G149" s="17" t="e">
        <f t="shared" ca="1" si="100"/>
        <v>#N/A</v>
      </c>
      <c r="H149" s="17" t="e">
        <f t="shared" ca="1" si="100"/>
        <v>#N/A</v>
      </c>
      <c r="I149" s="17" t="e">
        <f t="shared" ca="1" si="100"/>
        <v>#N/A</v>
      </c>
      <c r="J149" s="17" t="e">
        <f t="shared" ca="1" si="100"/>
        <v>#N/A</v>
      </c>
      <c r="K149" s="17" t="e">
        <f t="shared" ca="1" si="100"/>
        <v>#N/A</v>
      </c>
      <c r="L149" s="17" t="e">
        <f t="shared" ca="1" si="100"/>
        <v>#N/A</v>
      </c>
      <c r="M149" s="17" t="e">
        <f t="shared" ca="1" si="100"/>
        <v>#N/A</v>
      </c>
      <c r="N149" s="17" t="e">
        <f t="shared" ca="1" si="100"/>
        <v>#N/A</v>
      </c>
      <c r="O149" s="17" t="e">
        <f t="shared" ca="1" si="100"/>
        <v>#N/A</v>
      </c>
      <c r="P149" s="17" t="e">
        <f t="shared" ca="1" si="100"/>
        <v>#N/A</v>
      </c>
      <c r="Q149" s="17" t="e">
        <f t="shared" ca="1" si="100"/>
        <v>#N/A</v>
      </c>
      <c r="R149" s="17" t="e">
        <f t="shared" ca="1" si="100"/>
        <v>#N/A</v>
      </c>
      <c r="S149" s="17" t="e">
        <f t="shared" ca="1" si="100"/>
        <v>#N/A</v>
      </c>
      <c r="T149" s="17" t="e">
        <f t="shared" ca="1" si="100"/>
        <v>#N/A</v>
      </c>
      <c r="U149" s="17" t="e">
        <f t="shared" ca="1" si="100"/>
        <v>#N/A</v>
      </c>
      <c r="V149" s="17" t="e">
        <f t="shared" ca="1" si="100"/>
        <v>#N/A</v>
      </c>
      <c r="W149" s="17" t="e">
        <f t="shared" ca="1" si="100"/>
        <v>#N/A</v>
      </c>
      <c r="X149" s="17" t="e">
        <f t="shared" ca="1" si="100"/>
        <v>#N/A</v>
      </c>
      <c r="Y149" s="17" t="e">
        <f t="shared" ca="1" si="100"/>
        <v>#N/A</v>
      </c>
      <c r="Z149" s="17" t="e">
        <f t="shared" ca="1" si="100"/>
        <v>#N/A</v>
      </c>
      <c r="AA149" s="17" t="e">
        <f t="shared" ca="1" si="100"/>
        <v>#N/A</v>
      </c>
      <c r="AB149" s="17" t="e">
        <f t="shared" ca="1" si="100"/>
        <v>#N/A</v>
      </c>
      <c r="AC149" s="17" t="e">
        <f t="shared" ca="1" si="100"/>
        <v>#N/A</v>
      </c>
      <c r="AD149" s="17" t="e">
        <f t="shared" ca="1" si="100"/>
        <v>#N/A</v>
      </c>
      <c r="AE149" s="17" t="e">
        <f t="shared" ca="1" si="100"/>
        <v>#N/A</v>
      </c>
      <c r="AF149" s="17" t="e">
        <f t="shared" ca="1" si="100"/>
        <v>#N/A</v>
      </c>
      <c r="AG149" s="17" t="e">
        <f t="shared" ca="1" si="100"/>
        <v>#N/A</v>
      </c>
      <c r="AH149" s="17" t="e">
        <f t="shared" ca="1" si="100"/>
        <v>#N/A</v>
      </c>
      <c r="AI149" s="17" t="e">
        <f t="shared" ca="1" si="100"/>
        <v>#N/A</v>
      </c>
      <c r="AJ149" s="17" t="e">
        <f t="shared" ca="1" si="100"/>
        <v>#N/A</v>
      </c>
      <c r="AK149" s="17" t="e">
        <f t="shared" ca="1" si="100"/>
        <v>#N/A</v>
      </c>
      <c r="AL149" s="17" t="e">
        <f t="shared" ca="1" si="100"/>
        <v>#N/A</v>
      </c>
      <c r="AM149" s="17" t="e">
        <f t="shared" ca="1" si="100"/>
        <v>#N/A</v>
      </c>
      <c r="AN149" s="17" t="e">
        <f t="shared" ca="1" si="100"/>
        <v>#N/A</v>
      </c>
      <c r="AO149" s="17" t="e">
        <f t="shared" ca="1" si="100"/>
        <v>#N/A</v>
      </c>
      <c r="AP149" s="17" t="e">
        <f t="shared" ca="1" si="100"/>
        <v>#N/A</v>
      </c>
      <c r="AQ149" s="17" t="e">
        <f t="shared" ca="1" si="100"/>
        <v>#N/A</v>
      </c>
      <c r="AR149" s="17" t="e">
        <f t="shared" ca="1" si="100"/>
        <v>#N/A</v>
      </c>
      <c r="AS149" s="17" t="e">
        <f t="shared" ca="1" si="100"/>
        <v>#N/A</v>
      </c>
      <c r="AT149" s="17" t="e">
        <f t="shared" ca="1" si="100"/>
        <v>#N/A</v>
      </c>
      <c r="AU149" s="17" t="e">
        <f t="shared" ca="1" si="100"/>
        <v>#N/A</v>
      </c>
      <c r="AV149" s="17" t="e">
        <f t="shared" ca="1" si="100"/>
        <v>#N/A</v>
      </c>
      <c r="AW149" s="17" t="e">
        <f t="shared" ca="1" si="100"/>
        <v>#N/A</v>
      </c>
      <c r="AX149" s="17" t="e">
        <f t="shared" ca="1" si="100"/>
        <v>#N/A</v>
      </c>
      <c r="AY149" s="17" t="e">
        <f t="shared" ca="1" si="100"/>
        <v>#N/A</v>
      </c>
      <c r="AZ149" s="17" t="e">
        <f t="shared" ca="1" si="100"/>
        <v>#N/A</v>
      </c>
      <c r="BA149" s="17" t="e">
        <f t="shared" ca="1" si="100"/>
        <v>#N/A</v>
      </c>
      <c r="BB149" s="17" t="e">
        <f t="shared" ca="1" si="100"/>
        <v>#N/A</v>
      </c>
      <c r="BC149" s="17" t="e">
        <f t="shared" ca="1" si="100"/>
        <v>#N/A</v>
      </c>
      <c r="BD149" s="17" t="e">
        <f t="shared" ca="1" si="100"/>
        <v>#N/A</v>
      </c>
      <c r="BE149" s="17" t="e">
        <f t="shared" ca="1" si="100"/>
        <v>#N/A</v>
      </c>
      <c r="BF149" s="17" t="e">
        <f t="shared" ca="1" si="100"/>
        <v>#N/A</v>
      </c>
      <c r="BG149" s="17" t="e">
        <f t="shared" ca="1" si="100"/>
        <v>#N/A</v>
      </c>
      <c r="BH149" s="17" t="e">
        <f t="shared" ca="1" si="100"/>
        <v>#N/A</v>
      </c>
      <c r="BI149" s="17" t="e">
        <f t="shared" ca="1" si="100"/>
        <v>#N/A</v>
      </c>
      <c r="BJ149" s="17" t="e">
        <f t="shared" ca="1" si="100"/>
        <v>#N/A</v>
      </c>
      <c r="BK149" s="17" t="e">
        <f t="shared" ca="1" si="100"/>
        <v>#N/A</v>
      </c>
      <c r="BL149" s="17" t="e">
        <f t="shared" ca="1" si="100"/>
        <v>#N/A</v>
      </c>
      <c r="BM149" s="17" t="e">
        <f t="shared" ca="1" si="100"/>
        <v>#N/A</v>
      </c>
      <c r="BN149" s="17" t="e">
        <f t="shared" ca="1" si="100"/>
        <v>#N/A</v>
      </c>
      <c r="BO149" s="17" t="e">
        <f t="shared" ca="1" si="100"/>
        <v>#N/A</v>
      </c>
      <c r="BP149" s="17" t="e">
        <f t="shared" ca="1" si="100"/>
        <v>#N/A</v>
      </c>
      <c r="BQ149" s="17" t="e">
        <f t="shared" ref="BQ149:BV149" ca="1" si="101">BQ86/$D149*100000</f>
        <v>#N/A</v>
      </c>
      <c r="BR149" s="17" t="e">
        <f t="shared" ca="1" si="101"/>
        <v>#N/A</v>
      </c>
      <c r="BS149" s="17" t="e">
        <f t="shared" ca="1" si="101"/>
        <v>#N/A</v>
      </c>
      <c r="BT149" s="17" t="e">
        <f t="shared" ca="1" si="101"/>
        <v>#N/A</v>
      </c>
      <c r="BU149" s="17" t="e">
        <f t="shared" ca="1" si="101"/>
        <v>#N/A</v>
      </c>
      <c r="BV149" s="17" t="e">
        <f t="shared" ca="1" si="101"/>
        <v>#N/A</v>
      </c>
    </row>
    <row r="150" spans="2:74" x14ac:dyDescent="0.25">
      <c r="B150">
        <f t="shared" si="93"/>
        <v>45</v>
      </c>
      <c r="C150">
        <f t="shared" ca="1" si="93"/>
        <v>0</v>
      </c>
      <c r="D150" s="1" t="e">
        <f t="shared" ca="1" si="93"/>
        <v>#N/A</v>
      </c>
      <c r="E150" s="17" t="e">
        <f t="shared" ref="E150:BP150" ca="1" si="102">E87/$D150*100000</f>
        <v>#N/A</v>
      </c>
      <c r="F150" s="17" t="e">
        <f t="shared" ca="1" si="102"/>
        <v>#N/A</v>
      </c>
      <c r="G150" s="17" t="e">
        <f t="shared" ca="1" si="102"/>
        <v>#N/A</v>
      </c>
      <c r="H150" s="17" t="e">
        <f t="shared" ca="1" si="102"/>
        <v>#N/A</v>
      </c>
      <c r="I150" s="17" t="e">
        <f t="shared" ca="1" si="102"/>
        <v>#N/A</v>
      </c>
      <c r="J150" s="17" t="e">
        <f t="shared" ca="1" si="102"/>
        <v>#N/A</v>
      </c>
      <c r="K150" s="17" t="e">
        <f t="shared" ca="1" si="102"/>
        <v>#N/A</v>
      </c>
      <c r="L150" s="17" t="e">
        <f t="shared" ca="1" si="102"/>
        <v>#N/A</v>
      </c>
      <c r="M150" s="17" t="e">
        <f t="shared" ca="1" si="102"/>
        <v>#N/A</v>
      </c>
      <c r="N150" s="17" t="e">
        <f t="shared" ca="1" si="102"/>
        <v>#N/A</v>
      </c>
      <c r="O150" s="17" t="e">
        <f t="shared" ca="1" si="102"/>
        <v>#N/A</v>
      </c>
      <c r="P150" s="17" t="e">
        <f t="shared" ca="1" si="102"/>
        <v>#N/A</v>
      </c>
      <c r="Q150" s="17" t="e">
        <f t="shared" ca="1" si="102"/>
        <v>#N/A</v>
      </c>
      <c r="R150" s="17" t="e">
        <f t="shared" ca="1" si="102"/>
        <v>#N/A</v>
      </c>
      <c r="S150" s="17" t="e">
        <f t="shared" ca="1" si="102"/>
        <v>#N/A</v>
      </c>
      <c r="T150" s="17" t="e">
        <f t="shared" ca="1" si="102"/>
        <v>#N/A</v>
      </c>
      <c r="U150" s="17" t="e">
        <f t="shared" ca="1" si="102"/>
        <v>#N/A</v>
      </c>
      <c r="V150" s="17" t="e">
        <f t="shared" ca="1" si="102"/>
        <v>#N/A</v>
      </c>
      <c r="W150" s="17" t="e">
        <f t="shared" ca="1" si="102"/>
        <v>#N/A</v>
      </c>
      <c r="X150" s="17" t="e">
        <f t="shared" ca="1" si="102"/>
        <v>#N/A</v>
      </c>
      <c r="Y150" s="17" t="e">
        <f t="shared" ca="1" si="102"/>
        <v>#N/A</v>
      </c>
      <c r="Z150" s="17" t="e">
        <f t="shared" ca="1" si="102"/>
        <v>#N/A</v>
      </c>
      <c r="AA150" s="17" t="e">
        <f t="shared" ca="1" si="102"/>
        <v>#N/A</v>
      </c>
      <c r="AB150" s="17" t="e">
        <f t="shared" ca="1" si="102"/>
        <v>#N/A</v>
      </c>
      <c r="AC150" s="17" t="e">
        <f t="shared" ca="1" si="102"/>
        <v>#N/A</v>
      </c>
      <c r="AD150" s="17" t="e">
        <f t="shared" ca="1" si="102"/>
        <v>#N/A</v>
      </c>
      <c r="AE150" s="17" t="e">
        <f t="shared" ca="1" si="102"/>
        <v>#N/A</v>
      </c>
      <c r="AF150" s="17" t="e">
        <f t="shared" ca="1" si="102"/>
        <v>#N/A</v>
      </c>
      <c r="AG150" s="17" t="e">
        <f t="shared" ca="1" si="102"/>
        <v>#N/A</v>
      </c>
      <c r="AH150" s="17" t="e">
        <f t="shared" ca="1" si="102"/>
        <v>#N/A</v>
      </c>
      <c r="AI150" s="17" t="e">
        <f t="shared" ca="1" si="102"/>
        <v>#N/A</v>
      </c>
      <c r="AJ150" s="17" t="e">
        <f t="shared" ca="1" si="102"/>
        <v>#N/A</v>
      </c>
      <c r="AK150" s="17" t="e">
        <f t="shared" ca="1" si="102"/>
        <v>#N/A</v>
      </c>
      <c r="AL150" s="17" t="e">
        <f t="shared" ca="1" si="102"/>
        <v>#N/A</v>
      </c>
      <c r="AM150" s="17" t="e">
        <f t="shared" ca="1" si="102"/>
        <v>#N/A</v>
      </c>
      <c r="AN150" s="17" t="e">
        <f t="shared" ca="1" si="102"/>
        <v>#N/A</v>
      </c>
      <c r="AO150" s="17" t="e">
        <f t="shared" ca="1" si="102"/>
        <v>#N/A</v>
      </c>
      <c r="AP150" s="17" t="e">
        <f t="shared" ca="1" si="102"/>
        <v>#N/A</v>
      </c>
      <c r="AQ150" s="17" t="e">
        <f t="shared" ca="1" si="102"/>
        <v>#N/A</v>
      </c>
      <c r="AR150" s="17" t="e">
        <f t="shared" ca="1" si="102"/>
        <v>#N/A</v>
      </c>
      <c r="AS150" s="17" t="e">
        <f t="shared" ca="1" si="102"/>
        <v>#N/A</v>
      </c>
      <c r="AT150" s="17" t="e">
        <f t="shared" ca="1" si="102"/>
        <v>#N/A</v>
      </c>
      <c r="AU150" s="17" t="e">
        <f t="shared" ca="1" si="102"/>
        <v>#N/A</v>
      </c>
      <c r="AV150" s="17" t="e">
        <f t="shared" ca="1" si="102"/>
        <v>#N/A</v>
      </c>
      <c r="AW150" s="17" t="e">
        <f t="shared" ca="1" si="102"/>
        <v>#N/A</v>
      </c>
      <c r="AX150" s="17" t="e">
        <f t="shared" ca="1" si="102"/>
        <v>#N/A</v>
      </c>
      <c r="AY150" s="17" t="e">
        <f t="shared" ca="1" si="102"/>
        <v>#N/A</v>
      </c>
      <c r="AZ150" s="17" t="e">
        <f t="shared" ca="1" si="102"/>
        <v>#N/A</v>
      </c>
      <c r="BA150" s="17" t="e">
        <f t="shared" ca="1" si="102"/>
        <v>#N/A</v>
      </c>
      <c r="BB150" s="17" t="e">
        <f t="shared" ca="1" si="102"/>
        <v>#N/A</v>
      </c>
      <c r="BC150" s="17" t="e">
        <f t="shared" ca="1" si="102"/>
        <v>#N/A</v>
      </c>
      <c r="BD150" s="17" t="e">
        <f t="shared" ca="1" si="102"/>
        <v>#N/A</v>
      </c>
      <c r="BE150" s="17" t="e">
        <f t="shared" ca="1" si="102"/>
        <v>#N/A</v>
      </c>
      <c r="BF150" s="17" t="e">
        <f t="shared" ca="1" si="102"/>
        <v>#N/A</v>
      </c>
      <c r="BG150" s="17" t="e">
        <f t="shared" ca="1" si="102"/>
        <v>#N/A</v>
      </c>
      <c r="BH150" s="17" t="e">
        <f t="shared" ca="1" si="102"/>
        <v>#N/A</v>
      </c>
      <c r="BI150" s="17" t="e">
        <f t="shared" ca="1" si="102"/>
        <v>#N/A</v>
      </c>
      <c r="BJ150" s="17" t="e">
        <f t="shared" ca="1" si="102"/>
        <v>#N/A</v>
      </c>
      <c r="BK150" s="17" t="e">
        <f t="shared" ca="1" si="102"/>
        <v>#N/A</v>
      </c>
      <c r="BL150" s="17" t="e">
        <f t="shared" ca="1" si="102"/>
        <v>#N/A</v>
      </c>
      <c r="BM150" s="17" t="e">
        <f t="shared" ca="1" si="102"/>
        <v>#N/A</v>
      </c>
      <c r="BN150" s="17" t="e">
        <f t="shared" ca="1" si="102"/>
        <v>#N/A</v>
      </c>
      <c r="BO150" s="17" t="e">
        <f t="shared" ca="1" si="102"/>
        <v>#N/A</v>
      </c>
      <c r="BP150" s="17" t="e">
        <f t="shared" ca="1" si="102"/>
        <v>#N/A</v>
      </c>
      <c r="BQ150" s="17" t="e">
        <f t="shared" ref="BQ150:BV150" ca="1" si="103">BQ87/$D150*100000</f>
        <v>#N/A</v>
      </c>
      <c r="BR150" s="17" t="e">
        <f t="shared" ca="1" si="103"/>
        <v>#N/A</v>
      </c>
      <c r="BS150" s="17" t="e">
        <f t="shared" ca="1" si="103"/>
        <v>#N/A</v>
      </c>
      <c r="BT150" s="17" t="e">
        <f t="shared" ca="1" si="103"/>
        <v>#N/A</v>
      </c>
      <c r="BU150" s="17" t="e">
        <f t="shared" ca="1" si="103"/>
        <v>#N/A</v>
      </c>
      <c r="BV150" s="17" t="e">
        <f t="shared" ca="1" si="103"/>
        <v>#N/A</v>
      </c>
    </row>
    <row r="151" spans="2:74" x14ac:dyDescent="0.25">
      <c r="B151">
        <f t="shared" si="93"/>
        <v>46</v>
      </c>
      <c r="C151">
        <f t="shared" ca="1" si="93"/>
        <v>0</v>
      </c>
      <c r="D151" s="1" t="e">
        <f t="shared" ca="1" si="93"/>
        <v>#N/A</v>
      </c>
      <c r="E151" s="17" t="e">
        <f t="shared" ref="E151:BP151" ca="1" si="104">E88/$D151*100000</f>
        <v>#N/A</v>
      </c>
      <c r="F151" s="17" t="e">
        <f t="shared" ca="1" si="104"/>
        <v>#N/A</v>
      </c>
      <c r="G151" s="17" t="e">
        <f t="shared" ca="1" si="104"/>
        <v>#N/A</v>
      </c>
      <c r="H151" s="17" t="e">
        <f t="shared" ca="1" si="104"/>
        <v>#N/A</v>
      </c>
      <c r="I151" s="17" t="e">
        <f t="shared" ca="1" si="104"/>
        <v>#N/A</v>
      </c>
      <c r="J151" s="17" t="e">
        <f t="shared" ca="1" si="104"/>
        <v>#N/A</v>
      </c>
      <c r="K151" s="17" t="e">
        <f t="shared" ca="1" si="104"/>
        <v>#N/A</v>
      </c>
      <c r="L151" s="17" t="e">
        <f t="shared" ca="1" si="104"/>
        <v>#N/A</v>
      </c>
      <c r="M151" s="17" t="e">
        <f t="shared" ca="1" si="104"/>
        <v>#N/A</v>
      </c>
      <c r="N151" s="17" t="e">
        <f t="shared" ca="1" si="104"/>
        <v>#N/A</v>
      </c>
      <c r="O151" s="17" t="e">
        <f t="shared" ca="1" si="104"/>
        <v>#N/A</v>
      </c>
      <c r="P151" s="17" t="e">
        <f t="shared" ca="1" si="104"/>
        <v>#N/A</v>
      </c>
      <c r="Q151" s="17" t="e">
        <f t="shared" ca="1" si="104"/>
        <v>#N/A</v>
      </c>
      <c r="R151" s="17" t="e">
        <f t="shared" ca="1" si="104"/>
        <v>#N/A</v>
      </c>
      <c r="S151" s="17" t="e">
        <f t="shared" ca="1" si="104"/>
        <v>#N/A</v>
      </c>
      <c r="T151" s="17" t="e">
        <f t="shared" ca="1" si="104"/>
        <v>#N/A</v>
      </c>
      <c r="U151" s="17" t="e">
        <f t="shared" ca="1" si="104"/>
        <v>#N/A</v>
      </c>
      <c r="V151" s="17" t="e">
        <f t="shared" ca="1" si="104"/>
        <v>#N/A</v>
      </c>
      <c r="W151" s="17" t="e">
        <f t="shared" ca="1" si="104"/>
        <v>#N/A</v>
      </c>
      <c r="X151" s="17" t="e">
        <f t="shared" ca="1" si="104"/>
        <v>#N/A</v>
      </c>
      <c r="Y151" s="17" t="e">
        <f t="shared" ca="1" si="104"/>
        <v>#N/A</v>
      </c>
      <c r="Z151" s="17" t="e">
        <f t="shared" ca="1" si="104"/>
        <v>#N/A</v>
      </c>
      <c r="AA151" s="17" t="e">
        <f t="shared" ca="1" si="104"/>
        <v>#N/A</v>
      </c>
      <c r="AB151" s="17" t="e">
        <f t="shared" ca="1" si="104"/>
        <v>#N/A</v>
      </c>
      <c r="AC151" s="17" t="e">
        <f t="shared" ca="1" si="104"/>
        <v>#N/A</v>
      </c>
      <c r="AD151" s="17" t="e">
        <f t="shared" ca="1" si="104"/>
        <v>#N/A</v>
      </c>
      <c r="AE151" s="17" t="e">
        <f t="shared" ca="1" si="104"/>
        <v>#N/A</v>
      </c>
      <c r="AF151" s="17" t="e">
        <f t="shared" ca="1" si="104"/>
        <v>#N/A</v>
      </c>
      <c r="AG151" s="17" t="e">
        <f t="shared" ca="1" si="104"/>
        <v>#N/A</v>
      </c>
      <c r="AH151" s="17" t="e">
        <f t="shared" ca="1" si="104"/>
        <v>#N/A</v>
      </c>
      <c r="AI151" s="17" t="e">
        <f t="shared" ca="1" si="104"/>
        <v>#N/A</v>
      </c>
      <c r="AJ151" s="17" t="e">
        <f t="shared" ca="1" si="104"/>
        <v>#N/A</v>
      </c>
      <c r="AK151" s="17" t="e">
        <f t="shared" ca="1" si="104"/>
        <v>#N/A</v>
      </c>
      <c r="AL151" s="17" t="e">
        <f t="shared" ca="1" si="104"/>
        <v>#N/A</v>
      </c>
      <c r="AM151" s="17" t="e">
        <f t="shared" ca="1" si="104"/>
        <v>#N/A</v>
      </c>
      <c r="AN151" s="17" t="e">
        <f t="shared" ca="1" si="104"/>
        <v>#N/A</v>
      </c>
      <c r="AO151" s="17" t="e">
        <f t="shared" ca="1" si="104"/>
        <v>#N/A</v>
      </c>
      <c r="AP151" s="17" t="e">
        <f t="shared" ca="1" si="104"/>
        <v>#N/A</v>
      </c>
      <c r="AQ151" s="17" t="e">
        <f t="shared" ca="1" si="104"/>
        <v>#N/A</v>
      </c>
      <c r="AR151" s="17" t="e">
        <f t="shared" ca="1" si="104"/>
        <v>#N/A</v>
      </c>
      <c r="AS151" s="17" t="e">
        <f t="shared" ca="1" si="104"/>
        <v>#N/A</v>
      </c>
      <c r="AT151" s="17" t="e">
        <f t="shared" ca="1" si="104"/>
        <v>#N/A</v>
      </c>
      <c r="AU151" s="17" t="e">
        <f t="shared" ca="1" si="104"/>
        <v>#N/A</v>
      </c>
      <c r="AV151" s="17" t="e">
        <f t="shared" ca="1" si="104"/>
        <v>#N/A</v>
      </c>
      <c r="AW151" s="17" t="e">
        <f t="shared" ca="1" si="104"/>
        <v>#N/A</v>
      </c>
      <c r="AX151" s="17" t="e">
        <f t="shared" ca="1" si="104"/>
        <v>#N/A</v>
      </c>
      <c r="AY151" s="17" t="e">
        <f t="shared" ca="1" si="104"/>
        <v>#N/A</v>
      </c>
      <c r="AZ151" s="17" t="e">
        <f t="shared" ca="1" si="104"/>
        <v>#N/A</v>
      </c>
      <c r="BA151" s="17" t="e">
        <f t="shared" ca="1" si="104"/>
        <v>#N/A</v>
      </c>
      <c r="BB151" s="17" t="e">
        <f t="shared" ca="1" si="104"/>
        <v>#N/A</v>
      </c>
      <c r="BC151" s="17" t="e">
        <f t="shared" ca="1" si="104"/>
        <v>#N/A</v>
      </c>
      <c r="BD151" s="17" t="e">
        <f t="shared" ca="1" si="104"/>
        <v>#N/A</v>
      </c>
      <c r="BE151" s="17" t="e">
        <f t="shared" ca="1" si="104"/>
        <v>#N/A</v>
      </c>
      <c r="BF151" s="17" t="e">
        <f t="shared" ca="1" si="104"/>
        <v>#N/A</v>
      </c>
      <c r="BG151" s="17" t="e">
        <f t="shared" ca="1" si="104"/>
        <v>#N/A</v>
      </c>
      <c r="BH151" s="17" t="e">
        <f t="shared" ca="1" si="104"/>
        <v>#N/A</v>
      </c>
      <c r="BI151" s="17" t="e">
        <f t="shared" ca="1" si="104"/>
        <v>#N/A</v>
      </c>
      <c r="BJ151" s="17" t="e">
        <f t="shared" ca="1" si="104"/>
        <v>#N/A</v>
      </c>
      <c r="BK151" s="17" t="e">
        <f t="shared" ca="1" si="104"/>
        <v>#N/A</v>
      </c>
      <c r="BL151" s="17" t="e">
        <f t="shared" ca="1" si="104"/>
        <v>#N/A</v>
      </c>
      <c r="BM151" s="17" t="e">
        <f t="shared" ca="1" si="104"/>
        <v>#N/A</v>
      </c>
      <c r="BN151" s="17" t="e">
        <f t="shared" ca="1" si="104"/>
        <v>#N/A</v>
      </c>
      <c r="BO151" s="17" t="e">
        <f t="shared" ca="1" si="104"/>
        <v>#N/A</v>
      </c>
      <c r="BP151" s="17" t="e">
        <f t="shared" ca="1" si="104"/>
        <v>#N/A</v>
      </c>
      <c r="BQ151" s="17" t="e">
        <f t="shared" ref="BQ151:BV151" ca="1" si="105">BQ88/$D151*100000</f>
        <v>#N/A</v>
      </c>
      <c r="BR151" s="17" t="e">
        <f t="shared" ca="1" si="105"/>
        <v>#N/A</v>
      </c>
      <c r="BS151" s="17" t="e">
        <f t="shared" ca="1" si="105"/>
        <v>#N/A</v>
      </c>
      <c r="BT151" s="17" t="e">
        <f t="shared" ca="1" si="105"/>
        <v>#N/A</v>
      </c>
      <c r="BU151" s="17" t="e">
        <f t="shared" ca="1" si="105"/>
        <v>#N/A</v>
      </c>
      <c r="BV151" s="17" t="e">
        <f t="shared" ca="1" si="105"/>
        <v>#N/A</v>
      </c>
    </row>
    <row r="152" spans="2:74" x14ac:dyDescent="0.25">
      <c r="B152">
        <f t="shared" si="93"/>
        <v>47</v>
      </c>
      <c r="C152">
        <f t="shared" ca="1" si="93"/>
        <v>0</v>
      </c>
      <c r="D152" s="1" t="e">
        <f t="shared" ca="1" si="93"/>
        <v>#N/A</v>
      </c>
      <c r="E152" s="17" t="e">
        <f t="shared" ref="E152:BP152" ca="1" si="106">E89/$D152*100000</f>
        <v>#N/A</v>
      </c>
      <c r="F152" s="17" t="e">
        <f t="shared" ca="1" si="106"/>
        <v>#N/A</v>
      </c>
      <c r="G152" s="17" t="e">
        <f t="shared" ca="1" si="106"/>
        <v>#N/A</v>
      </c>
      <c r="H152" s="17" t="e">
        <f t="shared" ca="1" si="106"/>
        <v>#N/A</v>
      </c>
      <c r="I152" s="17" t="e">
        <f t="shared" ca="1" si="106"/>
        <v>#N/A</v>
      </c>
      <c r="J152" s="17" t="e">
        <f t="shared" ca="1" si="106"/>
        <v>#N/A</v>
      </c>
      <c r="K152" s="17" t="e">
        <f t="shared" ca="1" si="106"/>
        <v>#N/A</v>
      </c>
      <c r="L152" s="17" t="e">
        <f t="shared" ca="1" si="106"/>
        <v>#N/A</v>
      </c>
      <c r="M152" s="17" t="e">
        <f t="shared" ca="1" si="106"/>
        <v>#N/A</v>
      </c>
      <c r="N152" s="17" t="e">
        <f t="shared" ca="1" si="106"/>
        <v>#N/A</v>
      </c>
      <c r="O152" s="17" t="e">
        <f t="shared" ca="1" si="106"/>
        <v>#N/A</v>
      </c>
      <c r="P152" s="17" t="e">
        <f t="shared" ca="1" si="106"/>
        <v>#N/A</v>
      </c>
      <c r="Q152" s="17" t="e">
        <f t="shared" ca="1" si="106"/>
        <v>#N/A</v>
      </c>
      <c r="R152" s="17" t="e">
        <f t="shared" ca="1" si="106"/>
        <v>#N/A</v>
      </c>
      <c r="S152" s="17" t="e">
        <f t="shared" ca="1" si="106"/>
        <v>#N/A</v>
      </c>
      <c r="T152" s="17" t="e">
        <f t="shared" ca="1" si="106"/>
        <v>#N/A</v>
      </c>
      <c r="U152" s="17" t="e">
        <f t="shared" ca="1" si="106"/>
        <v>#N/A</v>
      </c>
      <c r="V152" s="17" t="e">
        <f t="shared" ca="1" si="106"/>
        <v>#N/A</v>
      </c>
      <c r="W152" s="17" t="e">
        <f t="shared" ca="1" si="106"/>
        <v>#N/A</v>
      </c>
      <c r="X152" s="17" t="e">
        <f t="shared" ca="1" si="106"/>
        <v>#N/A</v>
      </c>
      <c r="Y152" s="17" t="e">
        <f t="shared" ca="1" si="106"/>
        <v>#N/A</v>
      </c>
      <c r="Z152" s="17" t="e">
        <f t="shared" ca="1" si="106"/>
        <v>#N/A</v>
      </c>
      <c r="AA152" s="17" t="e">
        <f t="shared" ca="1" si="106"/>
        <v>#N/A</v>
      </c>
      <c r="AB152" s="17" t="e">
        <f t="shared" ca="1" si="106"/>
        <v>#N/A</v>
      </c>
      <c r="AC152" s="17" t="e">
        <f t="shared" ca="1" si="106"/>
        <v>#N/A</v>
      </c>
      <c r="AD152" s="17" t="e">
        <f t="shared" ca="1" si="106"/>
        <v>#N/A</v>
      </c>
      <c r="AE152" s="17" t="e">
        <f t="shared" ca="1" si="106"/>
        <v>#N/A</v>
      </c>
      <c r="AF152" s="17" t="e">
        <f t="shared" ca="1" si="106"/>
        <v>#N/A</v>
      </c>
      <c r="AG152" s="17" t="e">
        <f t="shared" ca="1" si="106"/>
        <v>#N/A</v>
      </c>
      <c r="AH152" s="17" t="e">
        <f t="shared" ca="1" si="106"/>
        <v>#N/A</v>
      </c>
      <c r="AI152" s="17" t="e">
        <f t="shared" ca="1" si="106"/>
        <v>#N/A</v>
      </c>
      <c r="AJ152" s="17" t="e">
        <f t="shared" ca="1" si="106"/>
        <v>#N/A</v>
      </c>
      <c r="AK152" s="17" t="e">
        <f t="shared" ca="1" si="106"/>
        <v>#N/A</v>
      </c>
      <c r="AL152" s="17" t="e">
        <f t="shared" ca="1" si="106"/>
        <v>#N/A</v>
      </c>
      <c r="AM152" s="17" t="e">
        <f t="shared" ca="1" si="106"/>
        <v>#N/A</v>
      </c>
      <c r="AN152" s="17" t="e">
        <f t="shared" ca="1" si="106"/>
        <v>#N/A</v>
      </c>
      <c r="AO152" s="17" t="e">
        <f t="shared" ca="1" si="106"/>
        <v>#N/A</v>
      </c>
      <c r="AP152" s="17" t="e">
        <f t="shared" ca="1" si="106"/>
        <v>#N/A</v>
      </c>
      <c r="AQ152" s="17" t="e">
        <f t="shared" ca="1" si="106"/>
        <v>#N/A</v>
      </c>
      <c r="AR152" s="17" t="e">
        <f t="shared" ca="1" si="106"/>
        <v>#N/A</v>
      </c>
      <c r="AS152" s="17" t="e">
        <f t="shared" ca="1" si="106"/>
        <v>#N/A</v>
      </c>
      <c r="AT152" s="17" t="e">
        <f t="shared" ca="1" si="106"/>
        <v>#N/A</v>
      </c>
      <c r="AU152" s="17" t="e">
        <f t="shared" ca="1" si="106"/>
        <v>#N/A</v>
      </c>
      <c r="AV152" s="17" t="e">
        <f t="shared" ca="1" si="106"/>
        <v>#N/A</v>
      </c>
      <c r="AW152" s="17" t="e">
        <f t="shared" ca="1" si="106"/>
        <v>#N/A</v>
      </c>
      <c r="AX152" s="17" t="e">
        <f t="shared" ca="1" si="106"/>
        <v>#N/A</v>
      </c>
      <c r="AY152" s="17" t="e">
        <f t="shared" ca="1" si="106"/>
        <v>#N/A</v>
      </c>
      <c r="AZ152" s="17" t="e">
        <f t="shared" ca="1" si="106"/>
        <v>#N/A</v>
      </c>
      <c r="BA152" s="17" t="e">
        <f t="shared" ca="1" si="106"/>
        <v>#N/A</v>
      </c>
      <c r="BB152" s="17" t="e">
        <f t="shared" ca="1" si="106"/>
        <v>#N/A</v>
      </c>
      <c r="BC152" s="17" t="e">
        <f t="shared" ca="1" si="106"/>
        <v>#N/A</v>
      </c>
      <c r="BD152" s="17" t="e">
        <f t="shared" ca="1" si="106"/>
        <v>#N/A</v>
      </c>
      <c r="BE152" s="17" t="e">
        <f t="shared" ca="1" si="106"/>
        <v>#N/A</v>
      </c>
      <c r="BF152" s="17" t="e">
        <f t="shared" ca="1" si="106"/>
        <v>#N/A</v>
      </c>
      <c r="BG152" s="17" t="e">
        <f t="shared" ca="1" si="106"/>
        <v>#N/A</v>
      </c>
      <c r="BH152" s="17" t="e">
        <f t="shared" ca="1" si="106"/>
        <v>#N/A</v>
      </c>
      <c r="BI152" s="17" t="e">
        <f t="shared" ca="1" si="106"/>
        <v>#N/A</v>
      </c>
      <c r="BJ152" s="17" t="e">
        <f t="shared" ca="1" si="106"/>
        <v>#N/A</v>
      </c>
      <c r="BK152" s="17" t="e">
        <f t="shared" ca="1" si="106"/>
        <v>#N/A</v>
      </c>
      <c r="BL152" s="17" t="e">
        <f t="shared" ca="1" si="106"/>
        <v>#N/A</v>
      </c>
      <c r="BM152" s="17" t="e">
        <f t="shared" ca="1" si="106"/>
        <v>#N/A</v>
      </c>
      <c r="BN152" s="17" t="e">
        <f t="shared" ca="1" si="106"/>
        <v>#N/A</v>
      </c>
      <c r="BO152" s="17" t="e">
        <f t="shared" ca="1" si="106"/>
        <v>#N/A</v>
      </c>
      <c r="BP152" s="17" t="e">
        <f t="shared" ca="1" si="106"/>
        <v>#N/A</v>
      </c>
      <c r="BQ152" s="17" t="e">
        <f t="shared" ref="BQ152:BV152" ca="1" si="107">BQ89/$D152*100000</f>
        <v>#N/A</v>
      </c>
      <c r="BR152" s="17" t="e">
        <f t="shared" ca="1" si="107"/>
        <v>#N/A</v>
      </c>
      <c r="BS152" s="17" t="e">
        <f t="shared" ca="1" si="107"/>
        <v>#N/A</v>
      </c>
      <c r="BT152" s="17" t="e">
        <f t="shared" ca="1" si="107"/>
        <v>#N/A</v>
      </c>
      <c r="BU152" s="17" t="e">
        <f t="shared" ca="1" si="107"/>
        <v>#N/A</v>
      </c>
      <c r="BV152" s="17" t="e">
        <f t="shared" ca="1" si="107"/>
        <v>#N/A</v>
      </c>
    </row>
    <row r="153" spans="2:74" x14ac:dyDescent="0.25">
      <c r="B153">
        <f t="shared" si="93"/>
        <v>48</v>
      </c>
      <c r="C153">
        <f t="shared" ca="1" si="93"/>
        <v>0</v>
      </c>
      <c r="D153" s="1" t="e">
        <f t="shared" ca="1" si="93"/>
        <v>#N/A</v>
      </c>
      <c r="E153" s="17" t="e">
        <f t="shared" ref="E153:BP153" ca="1" si="108">E90/$D153*100000</f>
        <v>#N/A</v>
      </c>
      <c r="F153" s="17" t="e">
        <f t="shared" ca="1" si="108"/>
        <v>#N/A</v>
      </c>
      <c r="G153" s="17" t="e">
        <f t="shared" ca="1" si="108"/>
        <v>#N/A</v>
      </c>
      <c r="H153" s="17" t="e">
        <f t="shared" ca="1" si="108"/>
        <v>#N/A</v>
      </c>
      <c r="I153" s="17" t="e">
        <f t="shared" ca="1" si="108"/>
        <v>#N/A</v>
      </c>
      <c r="J153" s="17" t="e">
        <f t="shared" ca="1" si="108"/>
        <v>#N/A</v>
      </c>
      <c r="K153" s="17" t="e">
        <f t="shared" ca="1" si="108"/>
        <v>#N/A</v>
      </c>
      <c r="L153" s="17" t="e">
        <f t="shared" ca="1" si="108"/>
        <v>#N/A</v>
      </c>
      <c r="M153" s="17" t="e">
        <f t="shared" ca="1" si="108"/>
        <v>#N/A</v>
      </c>
      <c r="N153" s="17" t="e">
        <f t="shared" ca="1" si="108"/>
        <v>#N/A</v>
      </c>
      <c r="O153" s="17" t="e">
        <f t="shared" ca="1" si="108"/>
        <v>#N/A</v>
      </c>
      <c r="P153" s="17" t="e">
        <f t="shared" ca="1" si="108"/>
        <v>#N/A</v>
      </c>
      <c r="Q153" s="17" t="e">
        <f t="shared" ca="1" si="108"/>
        <v>#N/A</v>
      </c>
      <c r="R153" s="17" t="e">
        <f t="shared" ca="1" si="108"/>
        <v>#N/A</v>
      </c>
      <c r="S153" s="17" t="e">
        <f t="shared" ca="1" si="108"/>
        <v>#N/A</v>
      </c>
      <c r="T153" s="17" t="e">
        <f t="shared" ca="1" si="108"/>
        <v>#N/A</v>
      </c>
      <c r="U153" s="17" t="e">
        <f t="shared" ca="1" si="108"/>
        <v>#N/A</v>
      </c>
      <c r="V153" s="17" t="e">
        <f t="shared" ca="1" si="108"/>
        <v>#N/A</v>
      </c>
      <c r="W153" s="17" t="e">
        <f t="shared" ca="1" si="108"/>
        <v>#N/A</v>
      </c>
      <c r="X153" s="17" t="e">
        <f t="shared" ca="1" si="108"/>
        <v>#N/A</v>
      </c>
      <c r="Y153" s="17" t="e">
        <f t="shared" ca="1" si="108"/>
        <v>#N/A</v>
      </c>
      <c r="Z153" s="17" t="e">
        <f t="shared" ca="1" si="108"/>
        <v>#N/A</v>
      </c>
      <c r="AA153" s="17" t="e">
        <f t="shared" ca="1" si="108"/>
        <v>#N/A</v>
      </c>
      <c r="AB153" s="17" t="e">
        <f t="shared" ca="1" si="108"/>
        <v>#N/A</v>
      </c>
      <c r="AC153" s="17" t="e">
        <f t="shared" ca="1" si="108"/>
        <v>#N/A</v>
      </c>
      <c r="AD153" s="17" t="e">
        <f t="shared" ca="1" si="108"/>
        <v>#N/A</v>
      </c>
      <c r="AE153" s="17" t="e">
        <f t="shared" ca="1" si="108"/>
        <v>#N/A</v>
      </c>
      <c r="AF153" s="17" t="e">
        <f t="shared" ca="1" si="108"/>
        <v>#N/A</v>
      </c>
      <c r="AG153" s="17" t="e">
        <f t="shared" ca="1" si="108"/>
        <v>#N/A</v>
      </c>
      <c r="AH153" s="17" t="e">
        <f t="shared" ca="1" si="108"/>
        <v>#N/A</v>
      </c>
      <c r="AI153" s="17" t="e">
        <f t="shared" ca="1" si="108"/>
        <v>#N/A</v>
      </c>
      <c r="AJ153" s="17" t="e">
        <f t="shared" ca="1" si="108"/>
        <v>#N/A</v>
      </c>
      <c r="AK153" s="17" t="e">
        <f t="shared" ca="1" si="108"/>
        <v>#N/A</v>
      </c>
      <c r="AL153" s="17" t="e">
        <f t="shared" ca="1" si="108"/>
        <v>#N/A</v>
      </c>
      <c r="AM153" s="17" t="e">
        <f t="shared" ca="1" si="108"/>
        <v>#N/A</v>
      </c>
      <c r="AN153" s="17" t="e">
        <f t="shared" ca="1" si="108"/>
        <v>#N/A</v>
      </c>
      <c r="AO153" s="17" t="e">
        <f t="shared" ca="1" si="108"/>
        <v>#N/A</v>
      </c>
      <c r="AP153" s="17" t="e">
        <f t="shared" ca="1" si="108"/>
        <v>#N/A</v>
      </c>
      <c r="AQ153" s="17" t="e">
        <f t="shared" ca="1" si="108"/>
        <v>#N/A</v>
      </c>
      <c r="AR153" s="17" t="e">
        <f t="shared" ca="1" si="108"/>
        <v>#N/A</v>
      </c>
      <c r="AS153" s="17" t="e">
        <f t="shared" ca="1" si="108"/>
        <v>#N/A</v>
      </c>
      <c r="AT153" s="17" t="e">
        <f t="shared" ca="1" si="108"/>
        <v>#N/A</v>
      </c>
      <c r="AU153" s="17" t="e">
        <f t="shared" ca="1" si="108"/>
        <v>#N/A</v>
      </c>
      <c r="AV153" s="17" t="e">
        <f t="shared" ca="1" si="108"/>
        <v>#N/A</v>
      </c>
      <c r="AW153" s="17" t="e">
        <f t="shared" ca="1" si="108"/>
        <v>#N/A</v>
      </c>
      <c r="AX153" s="17" t="e">
        <f t="shared" ca="1" si="108"/>
        <v>#N/A</v>
      </c>
      <c r="AY153" s="17" t="e">
        <f t="shared" ca="1" si="108"/>
        <v>#N/A</v>
      </c>
      <c r="AZ153" s="17" t="e">
        <f t="shared" ca="1" si="108"/>
        <v>#N/A</v>
      </c>
      <c r="BA153" s="17" t="e">
        <f t="shared" ca="1" si="108"/>
        <v>#N/A</v>
      </c>
      <c r="BB153" s="17" t="e">
        <f t="shared" ca="1" si="108"/>
        <v>#N/A</v>
      </c>
      <c r="BC153" s="17" t="e">
        <f t="shared" ca="1" si="108"/>
        <v>#N/A</v>
      </c>
      <c r="BD153" s="17" t="e">
        <f t="shared" ca="1" si="108"/>
        <v>#N/A</v>
      </c>
      <c r="BE153" s="17" t="e">
        <f t="shared" ca="1" si="108"/>
        <v>#N/A</v>
      </c>
      <c r="BF153" s="17" t="e">
        <f t="shared" ca="1" si="108"/>
        <v>#N/A</v>
      </c>
      <c r="BG153" s="17" t="e">
        <f t="shared" ca="1" si="108"/>
        <v>#N/A</v>
      </c>
      <c r="BH153" s="17" t="e">
        <f t="shared" ca="1" si="108"/>
        <v>#N/A</v>
      </c>
      <c r="BI153" s="17" t="e">
        <f t="shared" ca="1" si="108"/>
        <v>#N/A</v>
      </c>
      <c r="BJ153" s="17" t="e">
        <f t="shared" ca="1" si="108"/>
        <v>#N/A</v>
      </c>
      <c r="BK153" s="17" t="e">
        <f t="shared" ca="1" si="108"/>
        <v>#N/A</v>
      </c>
      <c r="BL153" s="17" t="e">
        <f t="shared" ca="1" si="108"/>
        <v>#N/A</v>
      </c>
      <c r="BM153" s="17" t="e">
        <f t="shared" ca="1" si="108"/>
        <v>#N/A</v>
      </c>
      <c r="BN153" s="17" t="e">
        <f t="shared" ca="1" si="108"/>
        <v>#N/A</v>
      </c>
      <c r="BO153" s="17" t="e">
        <f t="shared" ca="1" si="108"/>
        <v>#N/A</v>
      </c>
      <c r="BP153" s="17" t="e">
        <f t="shared" ca="1" si="108"/>
        <v>#N/A</v>
      </c>
      <c r="BQ153" s="17" t="e">
        <f t="shared" ref="BQ153:BV153" ca="1" si="109">BQ90/$D153*100000</f>
        <v>#N/A</v>
      </c>
      <c r="BR153" s="17" t="e">
        <f t="shared" ca="1" si="109"/>
        <v>#N/A</v>
      </c>
      <c r="BS153" s="17" t="e">
        <f t="shared" ca="1" si="109"/>
        <v>#N/A</v>
      </c>
      <c r="BT153" s="17" t="e">
        <f t="shared" ca="1" si="109"/>
        <v>#N/A</v>
      </c>
      <c r="BU153" s="17" t="e">
        <f t="shared" ca="1" si="109"/>
        <v>#N/A</v>
      </c>
      <c r="BV153" s="17" t="e">
        <f t="shared" ca="1" si="109"/>
        <v>#N/A</v>
      </c>
    </row>
    <row r="154" spans="2:74" x14ac:dyDescent="0.25">
      <c r="B154">
        <f t="shared" si="93"/>
        <v>49</v>
      </c>
      <c r="C154">
        <f t="shared" ca="1" si="93"/>
        <v>0</v>
      </c>
      <c r="D154" s="1" t="e">
        <f t="shared" ca="1" si="93"/>
        <v>#N/A</v>
      </c>
      <c r="E154" s="17" t="e">
        <f t="shared" ref="E154:BP154" ca="1" si="110">E91/$D154*100000</f>
        <v>#N/A</v>
      </c>
      <c r="F154" s="17" t="e">
        <f t="shared" ca="1" si="110"/>
        <v>#N/A</v>
      </c>
      <c r="G154" s="17" t="e">
        <f t="shared" ca="1" si="110"/>
        <v>#N/A</v>
      </c>
      <c r="H154" s="17" t="e">
        <f t="shared" ca="1" si="110"/>
        <v>#N/A</v>
      </c>
      <c r="I154" s="17" t="e">
        <f t="shared" ca="1" si="110"/>
        <v>#N/A</v>
      </c>
      <c r="J154" s="17" t="e">
        <f t="shared" ca="1" si="110"/>
        <v>#N/A</v>
      </c>
      <c r="K154" s="17" t="e">
        <f t="shared" ca="1" si="110"/>
        <v>#N/A</v>
      </c>
      <c r="L154" s="17" t="e">
        <f t="shared" ca="1" si="110"/>
        <v>#N/A</v>
      </c>
      <c r="M154" s="17" t="e">
        <f t="shared" ca="1" si="110"/>
        <v>#N/A</v>
      </c>
      <c r="N154" s="17" t="e">
        <f t="shared" ca="1" si="110"/>
        <v>#N/A</v>
      </c>
      <c r="O154" s="17" t="e">
        <f t="shared" ca="1" si="110"/>
        <v>#N/A</v>
      </c>
      <c r="P154" s="17" t="e">
        <f t="shared" ca="1" si="110"/>
        <v>#N/A</v>
      </c>
      <c r="Q154" s="17" t="e">
        <f t="shared" ca="1" si="110"/>
        <v>#N/A</v>
      </c>
      <c r="R154" s="17" t="e">
        <f t="shared" ca="1" si="110"/>
        <v>#N/A</v>
      </c>
      <c r="S154" s="17" t="e">
        <f t="shared" ca="1" si="110"/>
        <v>#N/A</v>
      </c>
      <c r="T154" s="17" t="e">
        <f t="shared" ca="1" si="110"/>
        <v>#N/A</v>
      </c>
      <c r="U154" s="17" t="e">
        <f t="shared" ca="1" si="110"/>
        <v>#N/A</v>
      </c>
      <c r="V154" s="17" t="e">
        <f t="shared" ca="1" si="110"/>
        <v>#N/A</v>
      </c>
      <c r="W154" s="17" t="e">
        <f t="shared" ca="1" si="110"/>
        <v>#N/A</v>
      </c>
      <c r="X154" s="17" t="e">
        <f t="shared" ca="1" si="110"/>
        <v>#N/A</v>
      </c>
      <c r="Y154" s="17" t="e">
        <f t="shared" ca="1" si="110"/>
        <v>#N/A</v>
      </c>
      <c r="Z154" s="17" t="e">
        <f t="shared" ca="1" si="110"/>
        <v>#N/A</v>
      </c>
      <c r="AA154" s="17" t="e">
        <f t="shared" ca="1" si="110"/>
        <v>#N/A</v>
      </c>
      <c r="AB154" s="17" t="e">
        <f t="shared" ca="1" si="110"/>
        <v>#N/A</v>
      </c>
      <c r="AC154" s="17" t="e">
        <f t="shared" ca="1" si="110"/>
        <v>#N/A</v>
      </c>
      <c r="AD154" s="17" t="e">
        <f t="shared" ca="1" si="110"/>
        <v>#N/A</v>
      </c>
      <c r="AE154" s="17" t="e">
        <f t="shared" ca="1" si="110"/>
        <v>#N/A</v>
      </c>
      <c r="AF154" s="17" t="e">
        <f t="shared" ca="1" si="110"/>
        <v>#N/A</v>
      </c>
      <c r="AG154" s="17" t="e">
        <f t="shared" ca="1" si="110"/>
        <v>#N/A</v>
      </c>
      <c r="AH154" s="17" t="e">
        <f t="shared" ca="1" si="110"/>
        <v>#N/A</v>
      </c>
      <c r="AI154" s="17" t="e">
        <f t="shared" ca="1" si="110"/>
        <v>#N/A</v>
      </c>
      <c r="AJ154" s="17" t="e">
        <f t="shared" ca="1" si="110"/>
        <v>#N/A</v>
      </c>
      <c r="AK154" s="17" t="e">
        <f t="shared" ca="1" si="110"/>
        <v>#N/A</v>
      </c>
      <c r="AL154" s="17" t="e">
        <f t="shared" ca="1" si="110"/>
        <v>#N/A</v>
      </c>
      <c r="AM154" s="17" t="e">
        <f t="shared" ca="1" si="110"/>
        <v>#N/A</v>
      </c>
      <c r="AN154" s="17" t="e">
        <f t="shared" ca="1" si="110"/>
        <v>#N/A</v>
      </c>
      <c r="AO154" s="17" t="e">
        <f t="shared" ca="1" si="110"/>
        <v>#N/A</v>
      </c>
      <c r="AP154" s="17" t="e">
        <f t="shared" ca="1" si="110"/>
        <v>#N/A</v>
      </c>
      <c r="AQ154" s="17" t="e">
        <f t="shared" ca="1" si="110"/>
        <v>#N/A</v>
      </c>
      <c r="AR154" s="17" t="e">
        <f t="shared" ca="1" si="110"/>
        <v>#N/A</v>
      </c>
      <c r="AS154" s="17" t="e">
        <f t="shared" ca="1" si="110"/>
        <v>#N/A</v>
      </c>
      <c r="AT154" s="17" t="e">
        <f t="shared" ca="1" si="110"/>
        <v>#N/A</v>
      </c>
      <c r="AU154" s="17" t="e">
        <f t="shared" ca="1" si="110"/>
        <v>#N/A</v>
      </c>
      <c r="AV154" s="17" t="e">
        <f t="shared" ca="1" si="110"/>
        <v>#N/A</v>
      </c>
      <c r="AW154" s="17" t="e">
        <f t="shared" ca="1" si="110"/>
        <v>#N/A</v>
      </c>
      <c r="AX154" s="17" t="e">
        <f t="shared" ca="1" si="110"/>
        <v>#N/A</v>
      </c>
      <c r="AY154" s="17" t="e">
        <f t="shared" ca="1" si="110"/>
        <v>#N/A</v>
      </c>
      <c r="AZ154" s="17" t="e">
        <f t="shared" ca="1" si="110"/>
        <v>#N/A</v>
      </c>
      <c r="BA154" s="17" t="e">
        <f t="shared" ca="1" si="110"/>
        <v>#N/A</v>
      </c>
      <c r="BB154" s="17" t="e">
        <f t="shared" ca="1" si="110"/>
        <v>#N/A</v>
      </c>
      <c r="BC154" s="17" t="e">
        <f t="shared" ca="1" si="110"/>
        <v>#N/A</v>
      </c>
      <c r="BD154" s="17" t="e">
        <f t="shared" ca="1" si="110"/>
        <v>#N/A</v>
      </c>
      <c r="BE154" s="17" t="e">
        <f t="shared" ca="1" si="110"/>
        <v>#N/A</v>
      </c>
      <c r="BF154" s="17" t="e">
        <f t="shared" ca="1" si="110"/>
        <v>#N/A</v>
      </c>
      <c r="BG154" s="17" t="e">
        <f t="shared" ca="1" si="110"/>
        <v>#N/A</v>
      </c>
      <c r="BH154" s="17" t="e">
        <f t="shared" ca="1" si="110"/>
        <v>#N/A</v>
      </c>
      <c r="BI154" s="17" t="e">
        <f t="shared" ca="1" si="110"/>
        <v>#N/A</v>
      </c>
      <c r="BJ154" s="17" t="e">
        <f t="shared" ca="1" si="110"/>
        <v>#N/A</v>
      </c>
      <c r="BK154" s="17" t="e">
        <f t="shared" ca="1" si="110"/>
        <v>#N/A</v>
      </c>
      <c r="BL154" s="17" t="e">
        <f t="shared" ca="1" si="110"/>
        <v>#N/A</v>
      </c>
      <c r="BM154" s="17" t="e">
        <f t="shared" ca="1" si="110"/>
        <v>#N/A</v>
      </c>
      <c r="BN154" s="17" t="e">
        <f t="shared" ca="1" si="110"/>
        <v>#N/A</v>
      </c>
      <c r="BO154" s="17" t="e">
        <f t="shared" ca="1" si="110"/>
        <v>#N/A</v>
      </c>
      <c r="BP154" s="17" t="e">
        <f t="shared" ca="1" si="110"/>
        <v>#N/A</v>
      </c>
      <c r="BQ154" s="17" t="e">
        <f t="shared" ref="BQ154:BV154" ca="1" si="111">BQ91/$D154*100000</f>
        <v>#N/A</v>
      </c>
      <c r="BR154" s="17" t="e">
        <f t="shared" ca="1" si="111"/>
        <v>#N/A</v>
      </c>
      <c r="BS154" s="17" t="e">
        <f t="shared" ca="1" si="111"/>
        <v>#N/A</v>
      </c>
      <c r="BT154" s="17" t="e">
        <f t="shared" ca="1" si="111"/>
        <v>#N/A</v>
      </c>
      <c r="BU154" s="17" t="e">
        <f t="shared" ca="1" si="111"/>
        <v>#N/A</v>
      </c>
      <c r="BV154" s="17" t="e">
        <f t="shared" ca="1" si="111"/>
        <v>#N/A</v>
      </c>
    </row>
    <row r="155" spans="2:74" x14ac:dyDescent="0.25">
      <c r="B155">
        <f t="shared" si="93"/>
        <v>50</v>
      </c>
      <c r="C155">
        <f t="shared" ca="1" si="93"/>
        <v>0</v>
      </c>
      <c r="D155" s="1" t="e">
        <f t="shared" ca="1" si="93"/>
        <v>#N/A</v>
      </c>
      <c r="E155" s="17" t="e">
        <f t="shared" ref="E155:BP155" ca="1" si="112">E92/$D155*100000</f>
        <v>#N/A</v>
      </c>
      <c r="F155" s="17" t="e">
        <f t="shared" ca="1" si="112"/>
        <v>#N/A</v>
      </c>
      <c r="G155" s="17" t="e">
        <f t="shared" ca="1" si="112"/>
        <v>#N/A</v>
      </c>
      <c r="H155" s="17" t="e">
        <f t="shared" ca="1" si="112"/>
        <v>#N/A</v>
      </c>
      <c r="I155" s="17" t="e">
        <f t="shared" ca="1" si="112"/>
        <v>#N/A</v>
      </c>
      <c r="J155" s="17" t="e">
        <f t="shared" ca="1" si="112"/>
        <v>#N/A</v>
      </c>
      <c r="K155" s="17" t="e">
        <f t="shared" ca="1" si="112"/>
        <v>#N/A</v>
      </c>
      <c r="L155" s="17" t="e">
        <f t="shared" ca="1" si="112"/>
        <v>#N/A</v>
      </c>
      <c r="M155" s="17" t="e">
        <f t="shared" ca="1" si="112"/>
        <v>#N/A</v>
      </c>
      <c r="N155" s="17" t="e">
        <f t="shared" ca="1" si="112"/>
        <v>#N/A</v>
      </c>
      <c r="O155" s="17" t="e">
        <f t="shared" ca="1" si="112"/>
        <v>#N/A</v>
      </c>
      <c r="P155" s="17" t="e">
        <f t="shared" ca="1" si="112"/>
        <v>#N/A</v>
      </c>
      <c r="Q155" s="17" t="e">
        <f t="shared" ca="1" si="112"/>
        <v>#N/A</v>
      </c>
      <c r="R155" s="17" t="e">
        <f t="shared" ca="1" si="112"/>
        <v>#N/A</v>
      </c>
      <c r="S155" s="17" t="e">
        <f t="shared" ca="1" si="112"/>
        <v>#N/A</v>
      </c>
      <c r="T155" s="17" t="e">
        <f t="shared" ca="1" si="112"/>
        <v>#N/A</v>
      </c>
      <c r="U155" s="17" t="e">
        <f t="shared" ca="1" si="112"/>
        <v>#N/A</v>
      </c>
      <c r="V155" s="17" t="e">
        <f t="shared" ca="1" si="112"/>
        <v>#N/A</v>
      </c>
      <c r="W155" s="17" t="e">
        <f t="shared" ca="1" si="112"/>
        <v>#N/A</v>
      </c>
      <c r="X155" s="17" t="e">
        <f t="shared" ca="1" si="112"/>
        <v>#N/A</v>
      </c>
      <c r="Y155" s="17" t="e">
        <f t="shared" ca="1" si="112"/>
        <v>#N/A</v>
      </c>
      <c r="Z155" s="17" t="e">
        <f t="shared" ca="1" si="112"/>
        <v>#N/A</v>
      </c>
      <c r="AA155" s="17" t="e">
        <f t="shared" ca="1" si="112"/>
        <v>#N/A</v>
      </c>
      <c r="AB155" s="17" t="e">
        <f t="shared" ca="1" si="112"/>
        <v>#N/A</v>
      </c>
      <c r="AC155" s="17" t="e">
        <f t="shared" ca="1" si="112"/>
        <v>#N/A</v>
      </c>
      <c r="AD155" s="17" t="e">
        <f t="shared" ca="1" si="112"/>
        <v>#N/A</v>
      </c>
      <c r="AE155" s="17" t="e">
        <f t="shared" ca="1" si="112"/>
        <v>#N/A</v>
      </c>
      <c r="AF155" s="17" t="e">
        <f t="shared" ca="1" si="112"/>
        <v>#N/A</v>
      </c>
      <c r="AG155" s="17" t="e">
        <f t="shared" ca="1" si="112"/>
        <v>#N/A</v>
      </c>
      <c r="AH155" s="17" t="e">
        <f t="shared" ca="1" si="112"/>
        <v>#N/A</v>
      </c>
      <c r="AI155" s="17" t="e">
        <f t="shared" ca="1" si="112"/>
        <v>#N/A</v>
      </c>
      <c r="AJ155" s="17" t="e">
        <f t="shared" ca="1" si="112"/>
        <v>#N/A</v>
      </c>
      <c r="AK155" s="17" t="e">
        <f t="shared" ca="1" si="112"/>
        <v>#N/A</v>
      </c>
      <c r="AL155" s="17" t="e">
        <f t="shared" ca="1" si="112"/>
        <v>#N/A</v>
      </c>
      <c r="AM155" s="17" t="e">
        <f t="shared" ca="1" si="112"/>
        <v>#N/A</v>
      </c>
      <c r="AN155" s="17" t="e">
        <f t="shared" ca="1" si="112"/>
        <v>#N/A</v>
      </c>
      <c r="AO155" s="17" t="e">
        <f t="shared" ca="1" si="112"/>
        <v>#N/A</v>
      </c>
      <c r="AP155" s="17" t="e">
        <f t="shared" ca="1" si="112"/>
        <v>#N/A</v>
      </c>
      <c r="AQ155" s="17" t="e">
        <f t="shared" ca="1" si="112"/>
        <v>#N/A</v>
      </c>
      <c r="AR155" s="17" t="e">
        <f t="shared" ca="1" si="112"/>
        <v>#N/A</v>
      </c>
      <c r="AS155" s="17" t="e">
        <f t="shared" ca="1" si="112"/>
        <v>#N/A</v>
      </c>
      <c r="AT155" s="17" t="e">
        <f t="shared" ca="1" si="112"/>
        <v>#N/A</v>
      </c>
      <c r="AU155" s="17" t="e">
        <f t="shared" ca="1" si="112"/>
        <v>#N/A</v>
      </c>
      <c r="AV155" s="17" t="e">
        <f t="shared" ca="1" si="112"/>
        <v>#N/A</v>
      </c>
      <c r="AW155" s="17" t="e">
        <f t="shared" ca="1" si="112"/>
        <v>#N/A</v>
      </c>
      <c r="AX155" s="17" t="e">
        <f t="shared" ca="1" si="112"/>
        <v>#N/A</v>
      </c>
      <c r="AY155" s="17" t="e">
        <f t="shared" ca="1" si="112"/>
        <v>#N/A</v>
      </c>
      <c r="AZ155" s="17" t="e">
        <f t="shared" ca="1" si="112"/>
        <v>#N/A</v>
      </c>
      <c r="BA155" s="17" t="e">
        <f t="shared" ca="1" si="112"/>
        <v>#N/A</v>
      </c>
      <c r="BB155" s="17" t="e">
        <f t="shared" ca="1" si="112"/>
        <v>#N/A</v>
      </c>
      <c r="BC155" s="17" t="e">
        <f t="shared" ca="1" si="112"/>
        <v>#N/A</v>
      </c>
      <c r="BD155" s="17" t="e">
        <f t="shared" ca="1" si="112"/>
        <v>#N/A</v>
      </c>
      <c r="BE155" s="17" t="e">
        <f t="shared" ca="1" si="112"/>
        <v>#N/A</v>
      </c>
      <c r="BF155" s="17" t="e">
        <f t="shared" ca="1" si="112"/>
        <v>#N/A</v>
      </c>
      <c r="BG155" s="17" t="e">
        <f t="shared" ca="1" si="112"/>
        <v>#N/A</v>
      </c>
      <c r="BH155" s="17" t="e">
        <f t="shared" ca="1" si="112"/>
        <v>#N/A</v>
      </c>
      <c r="BI155" s="17" t="e">
        <f t="shared" ca="1" si="112"/>
        <v>#N/A</v>
      </c>
      <c r="BJ155" s="17" t="e">
        <f t="shared" ca="1" si="112"/>
        <v>#N/A</v>
      </c>
      <c r="BK155" s="17" t="e">
        <f t="shared" ca="1" si="112"/>
        <v>#N/A</v>
      </c>
      <c r="BL155" s="17" t="e">
        <f t="shared" ca="1" si="112"/>
        <v>#N/A</v>
      </c>
      <c r="BM155" s="17" t="e">
        <f t="shared" ca="1" si="112"/>
        <v>#N/A</v>
      </c>
      <c r="BN155" s="17" t="e">
        <f t="shared" ca="1" si="112"/>
        <v>#N/A</v>
      </c>
      <c r="BO155" s="17" t="e">
        <f t="shared" ca="1" si="112"/>
        <v>#N/A</v>
      </c>
      <c r="BP155" s="17" t="e">
        <f t="shared" ca="1" si="112"/>
        <v>#N/A</v>
      </c>
      <c r="BQ155" s="17" t="e">
        <f t="shared" ref="BQ155:BV155" ca="1" si="113">BQ92/$D155*100000</f>
        <v>#N/A</v>
      </c>
      <c r="BR155" s="17" t="e">
        <f t="shared" ca="1" si="113"/>
        <v>#N/A</v>
      </c>
      <c r="BS155" s="17" t="e">
        <f t="shared" ca="1" si="113"/>
        <v>#N/A</v>
      </c>
      <c r="BT155" s="17" t="e">
        <f t="shared" ca="1" si="113"/>
        <v>#N/A</v>
      </c>
      <c r="BU155" s="17" t="e">
        <f t="shared" ca="1" si="113"/>
        <v>#N/A</v>
      </c>
      <c r="BV155" s="17" t="e">
        <f t="shared" ca="1" si="113"/>
        <v>#N/A</v>
      </c>
    </row>
    <row r="156" spans="2:74" x14ac:dyDescent="0.25">
      <c r="B156">
        <f t="shared" si="93"/>
        <v>51</v>
      </c>
      <c r="C156">
        <f t="shared" ca="1" si="93"/>
        <v>0</v>
      </c>
      <c r="D156" s="1" t="e">
        <f t="shared" ca="1" si="93"/>
        <v>#N/A</v>
      </c>
      <c r="E156" s="17" t="e">
        <f t="shared" ref="E156:BP156" ca="1" si="114">E93/$D156*100000</f>
        <v>#N/A</v>
      </c>
      <c r="F156" s="17" t="e">
        <f t="shared" ca="1" si="114"/>
        <v>#N/A</v>
      </c>
      <c r="G156" s="17" t="e">
        <f t="shared" ca="1" si="114"/>
        <v>#N/A</v>
      </c>
      <c r="H156" s="17" t="e">
        <f t="shared" ca="1" si="114"/>
        <v>#N/A</v>
      </c>
      <c r="I156" s="17" t="e">
        <f t="shared" ca="1" si="114"/>
        <v>#N/A</v>
      </c>
      <c r="J156" s="17" t="e">
        <f t="shared" ca="1" si="114"/>
        <v>#N/A</v>
      </c>
      <c r="K156" s="17" t="e">
        <f t="shared" ca="1" si="114"/>
        <v>#N/A</v>
      </c>
      <c r="L156" s="17" t="e">
        <f t="shared" ca="1" si="114"/>
        <v>#N/A</v>
      </c>
      <c r="M156" s="17" t="e">
        <f t="shared" ca="1" si="114"/>
        <v>#N/A</v>
      </c>
      <c r="N156" s="17" t="e">
        <f t="shared" ca="1" si="114"/>
        <v>#N/A</v>
      </c>
      <c r="O156" s="17" t="e">
        <f t="shared" ca="1" si="114"/>
        <v>#N/A</v>
      </c>
      <c r="P156" s="17" t="e">
        <f t="shared" ca="1" si="114"/>
        <v>#N/A</v>
      </c>
      <c r="Q156" s="17" t="e">
        <f t="shared" ca="1" si="114"/>
        <v>#N/A</v>
      </c>
      <c r="R156" s="17" t="e">
        <f t="shared" ca="1" si="114"/>
        <v>#N/A</v>
      </c>
      <c r="S156" s="17" t="e">
        <f t="shared" ca="1" si="114"/>
        <v>#N/A</v>
      </c>
      <c r="T156" s="17" t="e">
        <f t="shared" ca="1" si="114"/>
        <v>#N/A</v>
      </c>
      <c r="U156" s="17" t="e">
        <f t="shared" ca="1" si="114"/>
        <v>#N/A</v>
      </c>
      <c r="V156" s="17" t="e">
        <f t="shared" ca="1" si="114"/>
        <v>#N/A</v>
      </c>
      <c r="W156" s="17" t="e">
        <f t="shared" ca="1" si="114"/>
        <v>#N/A</v>
      </c>
      <c r="X156" s="17" t="e">
        <f t="shared" ca="1" si="114"/>
        <v>#N/A</v>
      </c>
      <c r="Y156" s="17" t="e">
        <f t="shared" ca="1" si="114"/>
        <v>#N/A</v>
      </c>
      <c r="Z156" s="17" t="e">
        <f t="shared" ca="1" si="114"/>
        <v>#N/A</v>
      </c>
      <c r="AA156" s="17" t="e">
        <f t="shared" ca="1" si="114"/>
        <v>#N/A</v>
      </c>
      <c r="AB156" s="17" t="e">
        <f t="shared" ca="1" si="114"/>
        <v>#N/A</v>
      </c>
      <c r="AC156" s="17" t="e">
        <f t="shared" ca="1" si="114"/>
        <v>#N/A</v>
      </c>
      <c r="AD156" s="17" t="e">
        <f t="shared" ca="1" si="114"/>
        <v>#N/A</v>
      </c>
      <c r="AE156" s="17" t="e">
        <f t="shared" ca="1" si="114"/>
        <v>#N/A</v>
      </c>
      <c r="AF156" s="17" t="e">
        <f t="shared" ca="1" si="114"/>
        <v>#N/A</v>
      </c>
      <c r="AG156" s="17" t="e">
        <f t="shared" ca="1" si="114"/>
        <v>#N/A</v>
      </c>
      <c r="AH156" s="17" t="e">
        <f t="shared" ca="1" si="114"/>
        <v>#N/A</v>
      </c>
      <c r="AI156" s="17" t="e">
        <f t="shared" ca="1" si="114"/>
        <v>#N/A</v>
      </c>
      <c r="AJ156" s="17" t="e">
        <f t="shared" ca="1" si="114"/>
        <v>#N/A</v>
      </c>
      <c r="AK156" s="17" t="e">
        <f t="shared" ca="1" si="114"/>
        <v>#N/A</v>
      </c>
      <c r="AL156" s="17" t="e">
        <f t="shared" ca="1" si="114"/>
        <v>#N/A</v>
      </c>
      <c r="AM156" s="17" t="e">
        <f t="shared" ca="1" si="114"/>
        <v>#N/A</v>
      </c>
      <c r="AN156" s="17" t="e">
        <f t="shared" ca="1" si="114"/>
        <v>#N/A</v>
      </c>
      <c r="AO156" s="17" t="e">
        <f t="shared" ca="1" si="114"/>
        <v>#N/A</v>
      </c>
      <c r="AP156" s="17" t="e">
        <f t="shared" ca="1" si="114"/>
        <v>#N/A</v>
      </c>
      <c r="AQ156" s="17" t="e">
        <f t="shared" ca="1" si="114"/>
        <v>#N/A</v>
      </c>
      <c r="AR156" s="17" t="e">
        <f t="shared" ca="1" si="114"/>
        <v>#N/A</v>
      </c>
      <c r="AS156" s="17" t="e">
        <f t="shared" ca="1" si="114"/>
        <v>#N/A</v>
      </c>
      <c r="AT156" s="17" t="e">
        <f t="shared" ca="1" si="114"/>
        <v>#N/A</v>
      </c>
      <c r="AU156" s="17" t="e">
        <f t="shared" ca="1" si="114"/>
        <v>#N/A</v>
      </c>
      <c r="AV156" s="17" t="e">
        <f t="shared" ca="1" si="114"/>
        <v>#N/A</v>
      </c>
      <c r="AW156" s="17" t="e">
        <f t="shared" ca="1" si="114"/>
        <v>#N/A</v>
      </c>
      <c r="AX156" s="17" t="e">
        <f t="shared" ca="1" si="114"/>
        <v>#N/A</v>
      </c>
      <c r="AY156" s="17" t="e">
        <f t="shared" ca="1" si="114"/>
        <v>#N/A</v>
      </c>
      <c r="AZ156" s="17" t="e">
        <f t="shared" ca="1" si="114"/>
        <v>#N/A</v>
      </c>
      <c r="BA156" s="17" t="e">
        <f t="shared" ca="1" si="114"/>
        <v>#N/A</v>
      </c>
      <c r="BB156" s="17" t="e">
        <f t="shared" ca="1" si="114"/>
        <v>#N/A</v>
      </c>
      <c r="BC156" s="17" t="e">
        <f t="shared" ca="1" si="114"/>
        <v>#N/A</v>
      </c>
      <c r="BD156" s="17" t="e">
        <f t="shared" ca="1" si="114"/>
        <v>#N/A</v>
      </c>
      <c r="BE156" s="17" t="e">
        <f t="shared" ca="1" si="114"/>
        <v>#N/A</v>
      </c>
      <c r="BF156" s="17" t="e">
        <f t="shared" ca="1" si="114"/>
        <v>#N/A</v>
      </c>
      <c r="BG156" s="17" t="e">
        <f t="shared" ca="1" si="114"/>
        <v>#N/A</v>
      </c>
      <c r="BH156" s="17" t="e">
        <f t="shared" ca="1" si="114"/>
        <v>#N/A</v>
      </c>
      <c r="BI156" s="17" t="e">
        <f t="shared" ca="1" si="114"/>
        <v>#N/A</v>
      </c>
      <c r="BJ156" s="17" t="e">
        <f t="shared" ca="1" si="114"/>
        <v>#N/A</v>
      </c>
      <c r="BK156" s="17" t="e">
        <f t="shared" ca="1" si="114"/>
        <v>#N/A</v>
      </c>
      <c r="BL156" s="17" t="e">
        <f t="shared" ca="1" si="114"/>
        <v>#N/A</v>
      </c>
      <c r="BM156" s="17" t="e">
        <f t="shared" ca="1" si="114"/>
        <v>#N/A</v>
      </c>
      <c r="BN156" s="17" t="e">
        <f t="shared" ca="1" si="114"/>
        <v>#N/A</v>
      </c>
      <c r="BO156" s="17" t="e">
        <f t="shared" ca="1" si="114"/>
        <v>#N/A</v>
      </c>
      <c r="BP156" s="17" t="e">
        <f t="shared" ca="1" si="114"/>
        <v>#N/A</v>
      </c>
      <c r="BQ156" s="17" t="e">
        <f t="shared" ref="BQ156:BV156" ca="1" si="115">BQ93/$D156*100000</f>
        <v>#N/A</v>
      </c>
      <c r="BR156" s="17" t="e">
        <f t="shared" ca="1" si="115"/>
        <v>#N/A</v>
      </c>
      <c r="BS156" s="17" t="e">
        <f t="shared" ca="1" si="115"/>
        <v>#N/A</v>
      </c>
      <c r="BT156" s="17" t="e">
        <f t="shared" ca="1" si="115"/>
        <v>#N/A</v>
      </c>
      <c r="BU156" s="17" t="e">
        <f t="shared" ca="1" si="115"/>
        <v>#N/A</v>
      </c>
      <c r="BV156" s="17" t="e">
        <f t="shared" ca="1" si="115"/>
        <v>#N/A</v>
      </c>
    </row>
    <row r="157" spans="2:74" x14ac:dyDescent="0.25">
      <c r="B157">
        <f t="shared" si="93"/>
        <v>52</v>
      </c>
      <c r="C157">
        <f t="shared" ca="1" si="93"/>
        <v>0</v>
      </c>
      <c r="D157" s="1" t="e">
        <f t="shared" ca="1" si="93"/>
        <v>#N/A</v>
      </c>
      <c r="E157" s="17" t="e">
        <f t="shared" ref="E157:BP157" ca="1" si="116">E94/$D157*100000</f>
        <v>#N/A</v>
      </c>
      <c r="F157" s="17" t="e">
        <f t="shared" ca="1" si="116"/>
        <v>#N/A</v>
      </c>
      <c r="G157" s="17" t="e">
        <f t="shared" ca="1" si="116"/>
        <v>#N/A</v>
      </c>
      <c r="H157" s="17" t="e">
        <f t="shared" ca="1" si="116"/>
        <v>#N/A</v>
      </c>
      <c r="I157" s="17" t="e">
        <f t="shared" ca="1" si="116"/>
        <v>#N/A</v>
      </c>
      <c r="J157" s="17" t="e">
        <f t="shared" ca="1" si="116"/>
        <v>#N/A</v>
      </c>
      <c r="K157" s="17" t="e">
        <f t="shared" ca="1" si="116"/>
        <v>#N/A</v>
      </c>
      <c r="L157" s="17" t="e">
        <f t="shared" ca="1" si="116"/>
        <v>#N/A</v>
      </c>
      <c r="M157" s="17" t="e">
        <f t="shared" ca="1" si="116"/>
        <v>#N/A</v>
      </c>
      <c r="N157" s="17" t="e">
        <f t="shared" ca="1" si="116"/>
        <v>#N/A</v>
      </c>
      <c r="O157" s="17" t="e">
        <f t="shared" ca="1" si="116"/>
        <v>#N/A</v>
      </c>
      <c r="P157" s="17" t="e">
        <f t="shared" ca="1" si="116"/>
        <v>#N/A</v>
      </c>
      <c r="Q157" s="17" t="e">
        <f t="shared" ca="1" si="116"/>
        <v>#N/A</v>
      </c>
      <c r="R157" s="17" t="e">
        <f t="shared" ca="1" si="116"/>
        <v>#N/A</v>
      </c>
      <c r="S157" s="17" t="e">
        <f t="shared" ca="1" si="116"/>
        <v>#N/A</v>
      </c>
      <c r="T157" s="17" t="e">
        <f t="shared" ca="1" si="116"/>
        <v>#N/A</v>
      </c>
      <c r="U157" s="17" t="e">
        <f t="shared" ca="1" si="116"/>
        <v>#N/A</v>
      </c>
      <c r="V157" s="17" t="e">
        <f t="shared" ca="1" si="116"/>
        <v>#N/A</v>
      </c>
      <c r="W157" s="17" t="e">
        <f t="shared" ca="1" si="116"/>
        <v>#N/A</v>
      </c>
      <c r="X157" s="17" t="e">
        <f t="shared" ca="1" si="116"/>
        <v>#N/A</v>
      </c>
      <c r="Y157" s="17" t="e">
        <f t="shared" ca="1" si="116"/>
        <v>#N/A</v>
      </c>
      <c r="Z157" s="17" t="e">
        <f t="shared" ca="1" si="116"/>
        <v>#N/A</v>
      </c>
      <c r="AA157" s="17" t="e">
        <f t="shared" ca="1" si="116"/>
        <v>#N/A</v>
      </c>
      <c r="AB157" s="17" t="e">
        <f t="shared" ca="1" si="116"/>
        <v>#N/A</v>
      </c>
      <c r="AC157" s="17" t="e">
        <f t="shared" ca="1" si="116"/>
        <v>#N/A</v>
      </c>
      <c r="AD157" s="17" t="e">
        <f t="shared" ca="1" si="116"/>
        <v>#N/A</v>
      </c>
      <c r="AE157" s="17" t="e">
        <f t="shared" ca="1" si="116"/>
        <v>#N/A</v>
      </c>
      <c r="AF157" s="17" t="e">
        <f t="shared" ca="1" si="116"/>
        <v>#N/A</v>
      </c>
      <c r="AG157" s="17" t="e">
        <f t="shared" ca="1" si="116"/>
        <v>#N/A</v>
      </c>
      <c r="AH157" s="17" t="e">
        <f t="shared" ca="1" si="116"/>
        <v>#N/A</v>
      </c>
      <c r="AI157" s="17" t="e">
        <f t="shared" ca="1" si="116"/>
        <v>#N/A</v>
      </c>
      <c r="AJ157" s="17" t="e">
        <f t="shared" ca="1" si="116"/>
        <v>#N/A</v>
      </c>
      <c r="AK157" s="17" t="e">
        <f t="shared" ca="1" si="116"/>
        <v>#N/A</v>
      </c>
      <c r="AL157" s="17" t="e">
        <f t="shared" ca="1" si="116"/>
        <v>#N/A</v>
      </c>
      <c r="AM157" s="17" t="e">
        <f t="shared" ca="1" si="116"/>
        <v>#N/A</v>
      </c>
      <c r="AN157" s="17" t="e">
        <f t="shared" ca="1" si="116"/>
        <v>#N/A</v>
      </c>
      <c r="AO157" s="17" t="e">
        <f t="shared" ca="1" si="116"/>
        <v>#N/A</v>
      </c>
      <c r="AP157" s="17" t="e">
        <f t="shared" ca="1" si="116"/>
        <v>#N/A</v>
      </c>
      <c r="AQ157" s="17" t="e">
        <f t="shared" ca="1" si="116"/>
        <v>#N/A</v>
      </c>
      <c r="AR157" s="17" t="e">
        <f t="shared" ca="1" si="116"/>
        <v>#N/A</v>
      </c>
      <c r="AS157" s="17" t="e">
        <f t="shared" ca="1" si="116"/>
        <v>#N/A</v>
      </c>
      <c r="AT157" s="17" t="e">
        <f t="shared" ca="1" si="116"/>
        <v>#N/A</v>
      </c>
      <c r="AU157" s="17" t="e">
        <f t="shared" ca="1" si="116"/>
        <v>#N/A</v>
      </c>
      <c r="AV157" s="17" t="e">
        <f t="shared" ca="1" si="116"/>
        <v>#N/A</v>
      </c>
      <c r="AW157" s="17" t="e">
        <f t="shared" ca="1" si="116"/>
        <v>#N/A</v>
      </c>
      <c r="AX157" s="17" t="e">
        <f t="shared" ca="1" si="116"/>
        <v>#N/A</v>
      </c>
      <c r="AY157" s="17" t="e">
        <f t="shared" ca="1" si="116"/>
        <v>#N/A</v>
      </c>
      <c r="AZ157" s="17" t="e">
        <f t="shared" ca="1" si="116"/>
        <v>#N/A</v>
      </c>
      <c r="BA157" s="17" t="e">
        <f t="shared" ca="1" si="116"/>
        <v>#N/A</v>
      </c>
      <c r="BB157" s="17" t="e">
        <f t="shared" ca="1" si="116"/>
        <v>#N/A</v>
      </c>
      <c r="BC157" s="17" t="e">
        <f t="shared" ca="1" si="116"/>
        <v>#N/A</v>
      </c>
      <c r="BD157" s="17" t="e">
        <f t="shared" ca="1" si="116"/>
        <v>#N/A</v>
      </c>
      <c r="BE157" s="17" t="e">
        <f t="shared" ca="1" si="116"/>
        <v>#N/A</v>
      </c>
      <c r="BF157" s="17" t="e">
        <f t="shared" ca="1" si="116"/>
        <v>#N/A</v>
      </c>
      <c r="BG157" s="17" t="e">
        <f t="shared" ca="1" si="116"/>
        <v>#N/A</v>
      </c>
      <c r="BH157" s="17" t="e">
        <f t="shared" ca="1" si="116"/>
        <v>#N/A</v>
      </c>
      <c r="BI157" s="17" t="e">
        <f t="shared" ca="1" si="116"/>
        <v>#N/A</v>
      </c>
      <c r="BJ157" s="17" t="e">
        <f t="shared" ca="1" si="116"/>
        <v>#N/A</v>
      </c>
      <c r="BK157" s="17" t="e">
        <f t="shared" ca="1" si="116"/>
        <v>#N/A</v>
      </c>
      <c r="BL157" s="17" t="e">
        <f t="shared" ca="1" si="116"/>
        <v>#N/A</v>
      </c>
      <c r="BM157" s="17" t="e">
        <f t="shared" ca="1" si="116"/>
        <v>#N/A</v>
      </c>
      <c r="BN157" s="17" t="e">
        <f t="shared" ca="1" si="116"/>
        <v>#N/A</v>
      </c>
      <c r="BO157" s="17" t="e">
        <f t="shared" ca="1" si="116"/>
        <v>#N/A</v>
      </c>
      <c r="BP157" s="17" t="e">
        <f t="shared" ca="1" si="116"/>
        <v>#N/A</v>
      </c>
      <c r="BQ157" s="17" t="e">
        <f t="shared" ref="BQ157:BV157" ca="1" si="117">BQ94/$D157*100000</f>
        <v>#N/A</v>
      </c>
      <c r="BR157" s="17" t="e">
        <f t="shared" ca="1" si="117"/>
        <v>#N/A</v>
      </c>
      <c r="BS157" s="17" t="e">
        <f t="shared" ca="1" si="117"/>
        <v>#N/A</v>
      </c>
      <c r="BT157" s="17" t="e">
        <f t="shared" ca="1" si="117"/>
        <v>#N/A</v>
      </c>
      <c r="BU157" s="17" t="e">
        <f t="shared" ca="1" si="117"/>
        <v>#N/A</v>
      </c>
      <c r="BV157" s="17" t="e">
        <f t="shared" ca="1" si="117"/>
        <v>#N/A</v>
      </c>
    </row>
    <row r="158" spans="2:74" x14ac:dyDescent="0.25">
      <c r="B158">
        <f t="shared" si="93"/>
        <v>53</v>
      </c>
      <c r="C158">
        <f t="shared" ca="1" si="93"/>
        <v>0</v>
      </c>
      <c r="D158" s="1" t="e">
        <f t="shared" ca="1" si="93"/>
        <v>#N/A</v>
      </c>
      <c r="E158" s="17" t="e">
        <f t="shared" ref="E158:BP158" ca="1" si="118">E95/$D158*100000</f>
        <v>#N/A</v>
      </c>
      <c r="F158" s="17" t="e">
        <f t="shared" ca="1" si="118"/>
        <v>#N/A</v>
      </c>
      <c r="G158" s="17" t="e">
        <f t="shared" ca="1" si="118"/>
        <v>#N/A</v>
      </c>
      <c r="H158" s="17" t="e">
        <f t="shared" ca="1" si="118"/>
        <v>#N/A</v>
      </c>
      <c r="I158" s="17" t="e">
        <f t="shared" ca="1" si="118"/>
        <v>#N/A</v>
      </c>
      <c r="J158" s="17" t="e">
        <f t="shared" ca="1" si="118"/>
        <v>#N/A</v>
      </c>
      <c r="K158" s="17" t="e">
        <f t="shared" ca="1" si="118"/>
        <v>#N/A</v>
      </c>
      <c r="L158" s="17" t="e">
        <f t="shared" ca="1" si="118"/>
        <v>#N/A</v>
      </c>
      <c r="M158" s="17" t="e">
        <f t="shared" ca="1" si="118"/>
        <v>#N/A</v>
      </c>
      <c r="N158" s="17" t="e">
        <f t="shared" ca="1" si="118"/>
        <v>#N/A</v>
      </c>
      <c r="O158" s="17" t="e">
        <f t="shared" ca="1" si="118"/>
        <v>#N/A</v>
      </c>
      <c r="P158" s="17" t="e">
        <f t="shared" ca="1" si="118"/>
        <v>#N/A</v>
      </c>
      <c r="Q158" s="17" t="e">
        <f t="shared" ca="1" si="118"/>
        <v>#N/A</v>
      </c>
      <c r="R158" s="17" t="e">
        <f t="shared" ca="1" si="118"/>
        <v>#N/A</v>
      </c>
      <c r="S158" s="17" t="e">
        <f t="shared" ca="1" si="118"/>
        <v>#N/A</v>
      </c>
      <c r="T158" s="17" t="e">
        <f t="shared" ca="1" si="118"/>
        <v>#N/A</v>
      </c>
      <c r="U158" s="17" t="e">
        <f t="shared" ca="1" si="118"/>
        <v>#N/A</v>
      </c>
      <c r="V158" s="17" t="e">
        <f t="shared" ca="1" si="118"/>
        <v>#N/A</v>
      </c>
      <c r="W158" s="17" t="e">
        <f t="shared" ca="1" si="118"/>
        <v>#N/A</v>
      </c>
      <c r="X158" s="17" t="e">
        <f t="shared" ca="1" si="118"/>
        <v>#N/A</v>
      </c>
      <c r="Y158" s="17" t="e">
        <f t="shared" ca="1" si="118"/>
        <v>#N/A</v>
      </c>
      <c r="Z158" s="17" t="e">
        <f t="shared" ca="1" si="118"/>
        <v>#N/A</v>
      </c>
      <c r="AA158" s="17" t="e">
        <f t="shared" ca="1" si="118"/>
        <v>#N/A</v>
      </c>
      <c r="AB158" s="17" t="e">
        <f t="shared" ca="1" si="118"/>
        <v>#N/A</v>
      </c>
      <c r="AC158" s="17" t="e">
        <f t="shared" ca="1" si="118"/>
        <v>#N/A</v>
      </c>
      <c r="AD158" s="17" t="e">
        <f t="shared" ca="1" si="118"/>
        <v>#N/A</v>
      </c>
      <c r="AE158" s="17" t="e">
        <f t="shared" ca="1" si="118"/>
        <v>#N/A</v>
      </c>
      <c r="AF158" s="17" t="e">
        <f t="shared" ca="1" si="118"/>
        <v>#N/A</v>
      </c>
      <c r="AG158" s="17" t="e">
        <f t="shared" ca="1" si="118"/>
        <v>#N/A</v>
      </c>
      <c r="AH158" s="17" t="e">
        <f t="shared" ca="1" si="118"/>
        <v>#N/A</v>
      </c>
      <c r="AI158" s="17" t="e">
        <f t="shared" ca="1" si="118"/>
        <v>#N/A</v>
      </c>
      <c r="AJ158" s="17" t="e">
        <f t="shared" ca="1" si="118"/>
        <v>#N/A</v>
      </c>
      <c r="AK158" s="17" t="e">
        <f t="shared" ca="1" si="118"/>
        <v>#N/A</v>
      </c>
      <c r="AL158" s="17" t="e">
        <f t="shared" ca="1" si="118"/>
        <v>#N/A</v>
      </c>
      <c r="AM158" s="17" t="e">
        <f t="shared" ca="1" si="118"/>
        <v>#N/A</v>
      </c>
      <c r="AN158" s="17" t="e">
        <f t="shared" ca="1" si="118"/>
        <v>#N/A</v>
      </c>
      <c r="AO158" s="17" t="e">
        <f t="shared" ca="1" si="118"/>
        <v>#N/A</v>
      </c>
      <c r="AP158" s="17" t="e">
        <f t="shared" ca="1" si="118"/>
        <v>#N/A</v>
      </c>
      <c r="AQ158" s="17" t="e">
        <f t="shared" ca="1" si="118"/>
        <v>#N/A</v>
      </c>
      <c r="AR158" s="17" t="e">
        <f t="shared" ca="1" si="118"/>
        <v>#N/A</v>
      </c>
      <c r="AS158" s="17" t="e">
        <f t="shared" ca="1" si="118"/>
        <v>#N/A</v>
      </c>
      <c r="AT158" s="17" t="e">
        <f t="shared" ca="1" si="118"/>
        <v>#N/A</v>
      </c>
      <c r="AU158" s="17" t="e">
        <f t="shared" ca="1" si="118"/>
        <v>#N/A</v>
      </c>
      <c r="AV158" s="17" t="e">
        <f t="shared" ca="1" si="118"/>
        <v>#N/A</v>
      </c>
      <c r="AW158" s="17" t="e">
        <f t="shared" ca="1" si="118"/>
        <v>#N/A</v>
      </c>
      <c r="AX158" s="17" t="e">
        <f t="shared" ca="1" si="118"/>
        <v>#N/A</v>
      </c>
      <c r="AY158" s="17" t="e">
        <f t="shared" ca="1" si="118"/>
        <v>#N/A</v>
      </c>
      <c r="AZ158" s="17" t="e">
        <f t="shared" ca="1" si="118"/>
        <v>#N/A</v>
      </c>
      <c r="BA158" s="17" t="e">
        <f t="shared" ca="1" si="118"/>
        <v>#N/A</v>
      </c>
      <c r="BB158" s="17" t="e">
        <f t="shared" ca="1" si="118"/>
        <v>#N/A</v>
      </c>
      <c r="BC158" s="17" t="e">
        <f t="shared" ca="1" si="118"/>
        <v>#N/A</v>
      </c>
      <c r="BD158" s="17" t="e">
        <f t="shared" ca="1" si="118"/>
        <v>#N/A</v>
      </c>
      <c r="BE158" s="17" t="e">
        <f t="shared" ca="1" si="118"/>
        <v>#N/A</v>
      </c>
      <c r="BF158" s="17" t="e">
        <f t="shared" ca="1" si="118"/>
        <v>#N/A</v>
      </c>
      <c r="BG158" s="17" t="e">
        <f t="shared" ca="1" si="118"/>
        <v>#N/A</v>
      </c>
      <c r="BH158" s="17" t="e">
        <f t="shared" ca="1" si="118"/>
        <v>#N/A</v>
      </c>
      <c r="BI158" s="17" t="e">
        <f t="shared" ca="1" si="118"/>
        <v>#N/A</v>
      </c>
      <c r="BJ158" s="17" t="e">
        <f t="shared" ca="1" si="118"/>
        <v>#N/A</v>
      </c>
      <c r="BK158" s="17" t="e">
        <f t="shared" ca="1" si="118"/>
        <v>#N/A</v>
      </c>
      <c r="BL158" s="17" t="e">
        <f t="shared" ca="1" si="118"/>
        <v>#N/A</v>
      </c>
      <c r="BM158" s="17" t="e">
        <f t="shared" ca="1" si="118"/>
        <v>#N/A</v>
      </c>
      <c r="BN158" s="17" t="e">
        <f t="shared" ca="1" si="118"/>
        <v>#N/A</v>
      </c>
      <c r="BO158" s="17" t="e">
        <f t="shared" ca="1" si="118"/>
        <v>#N/A</v>
      </c>
      <c r="BP158" s="17" t="e">
        <f t="shared" ca="1" si="118"/>
        <v>#N/A</v>
      </c>
      <c r="BQ158" s="17" t="e">
        <f t="shared" ref="BQ158:BV158" ca="1" si="119">BQ95/$D158*100000</f>
        <v>#N/A</v>
      </c>
      <c r="BR158" s="17" t="e">
        <f t="shared" ca="1" si="119"/>
        <v>#N/A</v>
      </c>
      <c r="BS158" s="17" t="e">
        <f t="shared" ca="1" si="119"/>
        <v>#N/A</v>
      </c>
      <c r="BT158" s="17" t="e">
        <f t="shared" ca="1" si="119"/>
        <v>#N/A</v>
      </c>
      <c r="BU158" s="17" t="e">
        <f t="shared" ca="1" si="119"/>
        <v>#N/A</v>
      </c>
      <c r="BV158" s="17" t="e">
        <f t="shared" ca="1" si="119"/>
        <v>#N/A</v>
      </c>
    </row>
    <row r="159" spans="2:74" x14ac:dyDescent="0.25">
      <c r="B159">
        <f t="shared" si="93"/>
        <v>54</v>
      </c>
      <c r="C159">
        <f t="shared" ca="1" si="93"/>
        <v>0</v>
      </c>
      <c r="D159" s="1" t="e">
        <f t="shared" ca="1" si="93"/>
        <v>#N/A</v>
      </c>
      <c r="E159" s="17" t="e">
        <f t="shared" ref="E159:BP159" ca="1" si="120">E96/$D159*100000</f>
        <v>#N/A</v>
      </c>
      <c r="F159" s="17" t="e">
        <f t="shared" ca="1" si="120"/>
        <v>#N/A</v>
      </c>
      <c r="G159" s="17" t="e">
        <f t="shared" ca="1" si="120"/>
        <v>#N/A</v>
      </c>
      <c r="H159" s="17" t="e">
        <f t="shared" ca="1" si="120"/>
        <v>#N/A</v>
      </c>
      <c r="I159" s="17" t="e">
        <f t="shared" ca="1" si="120"/>
        <v>#N/A</v>
      </c>
      <c r="J159" s="17" t="e">
        <f t="shared" ca="1" si="120"/>
        <v>#N/A</v>
      </c>
      <c r="K159" s="17" t="e">
        <f t="shared" ca="1" si="120"/>
        <v>#N/A</v>
      </c>
      <c r="L159" s="17" t="e">
        <f t="shared" ca="1" si="120"/>
        <v>#N/A</v>
      </c>
      <c r="M159" s="17" t="e">
        <f t="shared" ca="1" si="120"/>
        <v>#N/A</v>
      </c>
      <c r="N159" s="17" t="e">
        <f t="shared" ca="1" si="120"/>
        <v>#N/A</v>
      </c>
      <c r="O159" s="17" t="e">
        <f t="shared" ca="1" si="120"/>
        <v>#N/A</v>
      </c>
      <c r="P159" s="17" t="e">
        <f t="shared" ca="1" si="120"/>
        <v>#N/A</v>
      </c>
      <c r="Q159" s="17" t="e">
        <f t="shared" ca="1" si="120"/>
        <v>#N/A</v>
      </c>
      <c r="R159" s="17" t="e">
        <f t="shared" ca="1" si="120"/>
        <v>#N/A</v>
      </c>
      <c r="S159" s="17" t="e">
        <f t="shared" ca="1" si="120"/>
        <v>#N/A</v>
      </c>
      <c r="T159" s="17" t="e">
        <f t="shared" ca="1" si="120"/>
        <v>#N/A</v>
      </c>
      <c r="U159" s="17" t="e">
        <f t="shared" ca="1" si="120"/>
        <v>#N/A</v>
      </c>
      <c r="V159" s="17" t="e">
        <f t="shared" ca="1" si="120"/>
        <v>#N/A</v>
      </c>
      <c r="W159" s="17" t="e">
        <f t="shared" ca="1" si="120"/>
        <v>#N/A</v>
      </c>
      <c r="X159" s="17" t="e">
        <f t="shared" ca="1" si="120"/>
        <v>#N/A</v>
      </c>
      <c r="Y159" s="17" t="e">
        <f t="shared" ca="1" si="120"/>
        <v>#N/A</v>
      </c>
      <c r="Z159" s="17" t="e">
        <f t="shared" ca="1" si="120"/>
        <v>#N/A</v>
      </c>
      <c r="AA159" s="17" t="e">
        <f t="shared" ca="1" si="120"/>
        <v>#N/A</v>
      </c>
      <c r="AB159" s="17" t="e">
        <f t="shared" ca="1" si="120"/>
        <v>#N/A</v>
      </c>
      <c r="AC159" s="17" t="e">
        <f t="shared" ca="1" si="120"/>
        <v>#N/A</v>
      </c>
      <c r="AD159" s="17" t="e">
        <f t="shared" ca="1" si="120"/>
        <v>#N/A</v>
      </c>
      <c r="AE159" s="17" t="e">
        <f t="shared" ca="1" si="120"/>
        <v>#N/A</v>
      </c>
      <c r="AF159" s="17" t="e">
        <f t="shared" ca="1" si="120"/>
        <v>#N/A</v>
      </c>
      <c r="AG159" s="17" t="e">
        <f t="shared" ca="1" si="120"/>
        <v>#N/A</v>
      </c>
      <c r="AH159" s="17" t="e">
        <f t="shared" ca="1" si="120"/>
        <v>#N/A</v>
      </c>
      <c r="AI159" s="17" t="e">
        <f t="shared" ca="1" si="120"/>
        <v>#N/A</v>
      </c>
      <c r="AJ159" s="17" t="e">
        <f t="shared" ca="1" si="120"/>
        <v>#N/A</v>
      </c>
      <c r="AK159" s="17" t="e">
        <f t="shared" ca="1" si="120"/>
        <v>#N/A</v>
      </c>
      <c r="AL159" s="17" t="e">
        <f t="shared" ca="1" si="120"/>
        <v>#N/A</v>
      </c>
      <c r="AM159" s="17" t="e">
        <f t="shared" ca="1" si="120"/>
        <v>#N/A</v>
      </c>
      <c r="AN159" s="17" t="e">
        <f t="shared" ca="1" si="120"/>
        <v>#N/A</v>
      </c>
      <c r="AO159" s="17" t="e">
        <f t="shared" ca="1" si="120"/>
        <v>#N/A</v>
      </c>
      <c r="AP159" s="17" t="e">
        <f t="shared" ca="1" si="120"/>
        <v>#N/A</v>
      </c>
      <c r="AQ159" s="17" t="e">
        <f t="shared" ca="1" si="120"/>
        <v>#N/A</v>
      </c>
      <c r="AR159" s="17" t="e">
        <f t="shared" ca="1" si="120"/>
        <v>#N/A</v>
      </c>
      <c r="AS159" s="17" t="e">
        <f t="shared" ca="1" si="120"/>
        <v>#N/A</v>
      </c>
      <c r="AT159" s="17" t="e">
        <f t="shared" ca="1" si="120"/>
        <v>#N/A</v>
      </c>
      <c r="AU159" s="17" t="e">
        <f t="shared" ca="1" si="120"/>
        <v>#N/A</v>
      </c>
      <c r="AV159" s="17" t="e">
        <f t="shared" ca="1" si="120"/>
        <v>#N/A</v>
      </c>
      <c r="AW159" s="17" t="e">
        <f t="shared" ca="1" si="120"/>
        <v>#N/A</v>
      </c>
      <c r="AX159" s="17" t="e">
        <f t="shared" ca="1" si="120"/>
        <v>#N/A</v>
      </c>
      <c r="AY159" s="17" t="e">
        <f t="shared" ca="1" si="120"/>
        <v>#N/A</v>
      </c>
      <c r="AZ159" s="17" t="e">
        <f t="shared" ca="1" si="120"/>
        <v>#N/A</v>
      </c>
      <c r="BA159" s="17" t="e">
        <f t="shared" ca="1" si="120"/>
        <v>#N/A</v>
      </c>
      <c r="BB159" s="17" t="e">
        <f t="shared" ca="1" si="120"/>
        <v>#N/A</v>
      </c>
      <c r="BC159" s="17" t="e">
        <f t="shared" ca="1" si="120"/>
        <v>#N/A</v>
      </c>
      <c r="BD159" s="17" t="e">
        <f t="shared" ca="1" si="120"/>
        <v>#N/A</v>
      </c>
      <c r="BE159" s="17" t="e">
        <f t="shared" ca="1" si="120"/>
        <v>#N/A</v>
      </c>
      <c r="BF159" s="17" t="e">
        <f t="shared" ca="1" si="120"/>
        <v>#N/A</v>
      </c>
      <c r="BG159" s="17" t="e">
        <f t="shared" ca="1" si="120"/>
        <v>#N/A</v>
      </c>
      <c r="BH159" s="17" t="e">
        <f t="shared" ca="1" si="120"/>
        <v>#N/A</v>
      </c>
      <c r="BI159" s="17" t="e">
        <f t="shared" ca="1" si="120"/>
        <v>#N/A</v>
      </c>
      <c r="BJ159" s="17" t="e">
        <f t="shared" ca="1" si="120"/>
        <v>#N/A</v>
      </c>
      <c r="BK159" s="17" t="e">
        <f t="shared" ca="1" si="120"/>
        <v>#N/A</v>
      </c>
      <c r="BL159" s="17" t="e">
        <f t="shared" ca="1" si="120"/>
        <v>#N/A</v>
      </c>
      <c r="BM159" s="17" t="e">
        <f t="shared" ca="1" si="120"/>
        <v>#N/A</v>
      </c>
      <c r="BN159" s="17" t="e">
        <f t="shared" ca="1" si="120"/>
        <v>#N/A</v>
      </c>
      <c r="BO159" s="17" t="e">
        <f t="shared" ca="1" si="120"/>
        <v>#N/A</v>
      </c>
      <c r="BP159" s="17" t="e">
        <f t="shared" ca="1" si="120"/>
        <v>#N/A</v>
      </c>
      <c r="BQ159" s="17" t="e">
        <f t="shared" ref="BQ159:BV159" ca="1" si="121">BQ96/$D159*100000</f>
        <v>#N/A</v>
      </c>
      <c r="BR159" s="17" t="e">
        <f t="shared" ca="1" si="121"/>
        <v>#N/A</v>
      </c>
      <c r="BS159" s="17" t="e">
        <f t="shared" ca="1" si="121"/>
        <v>#N/A</v>
      </c>
      <c r="BT159" s="17" t="e">
        <f t="shared" ca="1" si="121"/>
        <v>#N/A</v>
      </c>
      <c r="BU159" s="17" t="e">
        <f t="shared" ca="1" si="121"/>
        <v>#N/A</v>
      </c>
      <c r="BV159" s="17" t="e">
        <f t="shared" ca="1" si="121"/>
        <v>#N/A</v>
      </c>
    </row>
    <row r="160" spans="2:74" x14ac:dyDescent="0.25">
      <c r="B160">
        <f t="shared" si="93"/>
        <v>55</v>
      </c>
      <c r="C160">
        <f t="shared" ca="1" si="93"/>
        <v>0</v>
      </c>
      <c r="D160" s="1" t="e">
        <f t="shared" ca="1" si="93"/>
        <v>#N/A</v>
      </c>
      <c r="E160" s="17" t="e">
        <f t="shared" ref="E160:BP160" ca="1" si="122">E97/$D160*100000</f>
        <v>#N/A</v>
      </c>
      <c r="F160" s="17" t="e">
        <f t="shared" ca="1" si="122"/>
        <v>#N/A</v>
      </c>
      <c r="G160" s="17" t="e">
        <f t="shared" ca="1" si="122"/>
        <v>#N/A</v>
      </c>
      <c r="H160" s="17" t="e">
        <f t="shared" ca="1" si="122"/>
        <v>#N/A</v>
      </c>
      <c r="I160" s="17" t="e">
        <f t="shared" ca="1" si="122"/>
        <v>#N/A</v>
      </c>
      <c r="J160" s="17" t="e">
        <f t="shared" ca="1" si="122"/>
        <v>#N/A</v>
      </c>
      <c r="K160" s="17" t="e">
        <f t="shared" ca="1" si="122"/>
        <v>#N/A</v>
      </c>
      <c r="L160" s="17" t="e">
        <f t="shared" ca="1" si="122"/>
        <v>#N/A</v>
      </c>
      <c r="M160" s="17" t="e">
        <f t="shared" ca="1" si="122"/>
        <v>#N/A</v>
      </c>
      <c r="N160" s="17" t="e">
        <f t="shared" ca="1" si="122"/>
        <v>#N/A</v>
      </c>
      <c r="O160" s="17" t="e">
        <f t="shared" ca="1" si="122"/>
        <v>#N/A</v>
      </c>
      <c r="P160" s="17" t="e">
        <f t="shared" ca="1" si="122"/>
        <v>#N/A</v>
      </c>
      <c r="Q160" s="17" t="e">
        <f t="shared" ca="1" si="122"/>
        <v>#N/A</v>
      </c>
      <c r="R160" s="17" t="e">
        <f t="shared" ca="1" si="122"/>
        <v>#N/A</v>
      </c>
      <c r="S160" s="17" t="e">
        <f t="shared" ca="1" si="122"/>
        <v>#N/A</v>
      </c>
      <c r="T160" s="17" t="e">
        <f t="shared" ca="1" si="122"/>
        <v>#N/A</v>
      </c>
      <c r="U160" s="17" t="e">
        <f t="shared" ca="1" si="122"/>
        <v>#N/A</v>
      </c>
      <c r="V160" s="17" t="e">
        <f t="shared" ca="1" si="122"/>
        <v>#N/A</v>
      </c>
      <c r="W160" s="17" t="e">
        <f t="shared" ca="1" si="122"/>
        <v>#N/A</v>
      </c>
      <c r="X160" s="17" t="e">
        <f t="shared" ca="1" si="122"/>
        <v>#N/A</v>
      </c>
      <c r="Y160" s="17" t="e">
        <f t="shared" ca="1" si="122"/>
        <v>#N/A</v>
      </c>
      <c r="Z160" s="17" t="e">
        <f t="shared" ca="1" si="122"/>
        <v>#N/A</v>
      </c>
      <c r="AA160" s="17" t="e">
        <f t="shared" ca="1" si="122"/>
        <v>#N/A</v>
      </c>
      <c r="AB160" s="17" t="e">
        <f t="shared" ca="1" si="122"/>
        <v>#N/A</v>
      </c>
      <c r="AC160" s="17" t="e">
        <f t="shared" ca="1" si="122"/>
        <v>#N/A</v>
      </c>
      <c r="AD160" s="17" t="e">
        <f t="shared" ca="1" si="122"/>
        <v>#N/A</v>
      </c>
      <c r="AE160" s="17" t="e">
        <f t="shared" ca="1" si="122"/>
        <v>#N/A</v>
      </c>
      <c r="AF160" s="17" t="e">
        <f t="shared" ca="1" si="122"/>
        <v>#N/A</v>
      </c>
      <c r="AG160" s="17" t="e">
        <f t="shared" ca="1" si="122"/>
        <v>#N/A</v>
      </c>
      <c r="AH160" s="17" t="e">
        <f t="shared" ca="1" si="122"/>
        <v>#N/A</v>
      </c>
      <c r="AI160" s="17" t="e">
        <f t="shared" ca="1" si="122"/>
        <v>#N/A</v>
      </c>
      <c r="AJ160" s="17" t="e">
        <f t="shared" ca="1" si="122"/>
        <v>#N/A</v>
      </c>
      <c r="AK160" s="17" t="e">
        <f t="shared" ca="1" si="122"/>
        <v>#N/A</v>
      </c>
      <c r="AL160" s="17" t="e">
        <f t="shared" ca="1" si="122"/>
        <v>#N/A</v>
      </c>
      <c r="AM160" s="17" t="e">
        <f t="shared" ca="1" si="122"/>
        <v>#N/A</v>
      </c>
      <c r="AN160" s="17" t="e">
        <f t="shared" ca="1" si="122"/>
        <v>#N/A</v>
      </c>
      <c r="AO160" s="17" t="e">
        <f t="shared" ca="1" si="122"/>
        <v>#N/A</v>
      </c>
      <c r="AP160" s="17" t="e">
        <f t="shared" ca="1" si="122"/>
        <v>#N/A</v>
      </c>
      <c r="AQ160" s="17" t="e">
        <f t="shared" ca="1" si="122"/>
        <v>#N/A</v>
      </c>
      <c r="AR160" s="17" t="e">
        <f t="shared" ca="1" si="122"/>
        <v>#N/A</v>
      </c>
      <c r="AS160" s="17" t="e">
        <f t="shared" ca="1" si="122"/>
        <v>#N/A</v>
      </c>
      <c r="AT160" s="17" t="e">
        <f t="shared" ca="1" si="122"/>
        <v>#N/A</v>
      </c>
      <c r="AU160" s="17" t="e">
        <f t="shared" ca="1" si="122"/>
        <v>#N/A</v>
      </c>
      <c r="AV160" s="17" t="e">
        <f t="shared" ca="1" si="122"/>
        <v>#N/A</v>
      </c>
      <c r="AW160" s="17" t="e">
        <f t="shared" ca="1" si="122"/>
        <v>#N/A</v>
      </c>
      <c r="AX160" s="17" t="e">
        <f t="shared" ca="1" si="122"/>
        <v>#N/A</v>
      </c>
      <c r="AY160" s="17" t="e">
        <f t="shared" ca="1" si="122"/>
        <v>#N/A</v>
      </c>
      <c r="AZ160" s="17" t="e">
        <f t="shared" ca="1" si="122"/>
        <v>#N/A</v>
      </c>
      <c r="BA160" s="17" t="e">
        <f t="shared" ca="1" si="122"/>
        <v>#N/A</v>
      </c>
      <c r="BB160" s="17" t="e">
        <f t="shared" ca="1" si="122"/>
        <v>#N/A</v>
      </c>
      <c r="BC160" s="17" t="e">
        <f t="shared" ca="1" si="122"/>
        <v>#N/A</v>
      </c>
      <c r="BD160" s="17" t="e">
        <f t="shared" ca="1" si="122"/>
        <v>#N/A</v>
      </c>
      <c r="BE160" s="17" t="e">
        <f t="shared" ca="1" si="122"/>
        <v>#N/A</v>
      </c>
      <c r="BF160" s="17" t="e">
        <f t="shared" ca="1" si="122"/>
        <v>#N/A</v>
      </c>
      <c r="BG160" s="17" t="e">
        <f t="shared" ca="1" si="122"/>
        <v>#N/A</v>
      </c>
      <c r="BH160" s="17" t="e">
        <f t="shared" ca="1" si="122"/>
        <v>#N/A</v>
      </c>
      <c r="BI160" s="17" t="e">
        <f t="shared" ca="1" si="122"/>
        <v>#N/A</v>
      </c>
      <c r="BJ160" s="17" t="e">
        <f t="shared" ca="1" si="122"/>
        <v>#N/A</v>
      </c>
      <c r="BK160" s="17" t="e">
        <f t="shared" ca="1" si="122"/>
        <v>#N/A</v>
      </c>
      <c r="BL160" s="17" t="e">
        <f t="shared" ca="1" si="122"/>
        <v>#N/A</v>
      </c>
      <c r="BM160" s="17" t="e">
        <f t="shared" ca="1" si="122"/>
        <v>#N/A</v>
      </c>
      <c r="BN160" s="17" t="e">
        <f t="shared" ca="1" si="122"/>
        <v>#N/A</v>
      </c>
      <c r="BO160" s="17" t="e">
        <f t="shared" ca="1" si="122"/>
        <v>#N/A</v>
      </c>
      <c r="BP160" s="17" t="e">
        <f t="shared" ca="1" si="122"/>
        <v>#N/A</v>
      </c>
      <c r="BQ160" s="17" t="e">
        <f t="shared" ref="BQ160:BV160" ca="1" si="123">BQ97/$D160*100000</f>
        <v>#N/A</v>
      </c>
      <c r="BR160" s="17" t="e">
        <f t="shared" ca="1" si="123"/>
        <v>#N/A</v>
      </c>
      <c r="BS160" s="17" t="e">
        <f t="shared" ca="1" si="123"/>
        <v>#N/A</v>
      </c>
      <c r="BT160" s="17" t="e">
        <f t="shared" ca="1" si="123"/>
        <v>#N/A</v>
      </c>
      <c r="BU160" s="17" t="e">
        <f t="shared" ca="1" si="123"/>
        <v>#N/A</v>
      </c>
      <c r="BV160" s="17" t="e">
        <f t="shared" ca="1" si="123"/>
        <v>#N/A</v>
      </c>
    </row>
    <row r="161" spans="2:74" x14ac:dyDescent="0.25">
      <c r="B161">
        <f t="shared" si="93"/>
        <v>56</v>
      </c>
      <c r="C161">
        <f t="shared" ca="1" si="93"/>
        <v>0</v>
      </c>
      <c r="D161" s="1" t="e">
        <f t="shared" ca="1" si="93"/>
        <v>#N/A</v>
      </c>
      <c r="E161" s="17" t="e">
        <f t="shared" ref="E161:BP161" ca="1" si="124">E98/$D161*100000</f>
        <v>#N/A</v>
      </c>
      <c r="F161" s="17" t="e">
        <f t="shared" ca="1" si="124"/>
        <v>#N/A</v>
      </c>
      <c r="G161" s="17" t="e">
        <f t="shared" ca="1" si="124"/>
        <v>#N/A</v>
      </c>
      <c r="H161" s="17" t="e">
        <f t="shared" ca="1" si="124"/>
        <v>#N/A</v>
      </c>
      <c r="I161" s="17" t="e">
        <f t="shared" ca="1" si="124"/>
        <v>#N/A</v>
      </c>
      <c r="J161" s="17" t="e">
        <f t="shared" ca="1" si="124"/>
        <v>#N/A</v>
      </c>
      <c r="K161" s="17" t="e">
        <f t="shared" ca="1" si="124"/>
        <v>#N/A</v>
      </c>
      <c r="L161" s="17" t="e">
        <f t="shared" ca="1" si="124"/>
        <v>#N/A</v>
      </c>
      <c r="M161" s="17" t="e">
        <f t="shared" ca="1" si="124"/>
        <v>#N/A</v>
      </c>
      <c r="N161" s="17" t="e">
        <f t="shared" ca="1" si="124"/>
        <v>#N/A</v>
      </c>
      <c r="O161" s="17" t="e">
        <f t="shared" ca="1" si="124"/>
        <v>#N/A</v>
      </c>
      <c r="P161" s="17" t="e">
        <f t="shared" ca="1" si="124"/>
        <v>#N/A</v>
      </c>
      <c r="Q161" s="17" t="e">
        <f t="shared" ca="1" si="124"/>
        <v>#N/A</v>
      </c>
      <c r="R161" s="17" t="e">
        <f t="shared" ca="1" si="124"/>
        <v>#N/A</v>
      </c>
      <c r="S161" s="17" t="e">
        <f t="shared" ca="1" si="124"/>
        <v>#N/A</v>
      </c>
      <c r="T161" s="17" t="e">
        <f t="shared" ca="1" si="124"/>
        <v>#N/A</v>
      </c>
      <c r="U161" s="17" t="e">
        <f t="shared" ca="1" si="124"/>
        <v>#N/A</v>
      </c>
      <c r="V161" s="17" t="e">
        <f t="shared" ca="1" si="124"/>
        <v>#N/A</v>
      </c>
      <c r="W161" s="17" t="e">
        <f t="shared" ca="1" si="124"/>
        <v>#N/A</v>
      </c>
      <c r="X161" s="17" t="e">
        <f t="shared" ca="1" si="124"/>
        <v>#N/A</v>
      </c>
      <c r="Y161" s="17" t="e">
        <f t="shared" ca="1" si="124"/>
        <v>#N/A</v>
      </c>
      <c r="Z161" s="17" t="e">
        <f t="shared" ca="1" si="124"/>
        <v>#N/A</v>
      </c>
      <c r="AA161" s="17" t="e">
        <f t="shared" ca="1" si="124"/>
        <v>#N/A</v>
      </c>
      <c r="AB161" s="17" t="e">
        <f t="shared" ca="1" si="124"/>
        <v>#N/A</v>
      </c>
      <c r="AC161" s="17" t="e">
        <f t="shared" ca="1" si="124"/>
        <v>#N/A</v>
      </c>
      <c r="AD161" s="17" t="e">
        <f t="shared" ca="1" si="124"/>
        <v>#N/A</v>
      </c>
      <c r="AE161" s="17" t="e">
        <f t="shared" ca="1" si="124"/>
        <v>#N/A</v>
      </c>
      <c r="AF161" s="17" t="e">
        <f t="shared" ca="1" si="124"/>
        <v>#N/A</v>
      </c>
      <c r="AG161" s="17" t="e">
        <f t="shared" ca="1" si="124"/>
        <v>#N/A</v>
      </c>
      <c r="AH161" s="17" t="e">
        <f t="shared" ca="1" si="124"/>
        <v>#N/A</v>
      </c>
      <c r="AI161" s="17" t="e">
        <f t="shared" ca="1" si="124"/>
        <v>#N/A</v>
      </c>
      <c r="AJ161" s="17" t="e">
        <f t="shared" ca="1" si="124"/>
        <v>#N/A</v>
      </c>
      <c r="AK161" s="17" t="e">
        <f t="shared" ca="1" si="124"/>
        <v>#N/A</v>
      </c>
      <c r="AL161" s="17" t="e">
        <f t="shared" ca="1" si="124"/>
        <v>#N/A</v>
      </c>
      <c r="AM161" s="17" t="e">
        <f t="shared" ca="1" si="124"/>
        <v>#N/A</v>
      </c>
      <c r="AN161" s="17" t="e">
        <f t="shared" ca="1" si="124"/>
        <v>#N/A</v>
      </c>
      <c r="AO161" s="17" t="e">
        <f t="shared" ca="1" si="124"/>
        <v>#N/A</v>
      </c>
      <c r="AP161" s="17" t="e">
        <f t="shared" ca="1" si="124"/>
        <v>#N/A</v>
      </c>
      <c r="AQ161" s="17" t="e">
        <f t="shared" ca="1" si="124"/>
        <v>#N/A</v>
      </c>
      <c r="AR161" s="17" t="e">
        <f t="shared" ca="1" si="124"/>
        <v>#N/A</v>
      </c>
      <c r="AS161" s="17" t="e">
        <f t="shared" ca="1" si="124"/>
        <v>#N/A</v>
      </c>
      <c r="AT161" s="17" t="e">
        <f t="shared" ca="1" si="124"/>
        <v>#N/A</v>
      </c>
      <c r="AU161" s="17" t="e">
        <f t="shared" ca="1" si="124"/>
        <v>#N/A</v>
      </c>
      <c r="AV161" s="17" t="e">
        <f t="shared" ca="1" si="124"/>
        <v>#N/A</v>
      </c>
      <c r="AW161" s="17" t="e">
        <f t="shared" ca="1" si="124"/>
        <v>#N/A</v>
      </c>
      <c r="AX161" s="17" t="e">
        <f t="shared" ca="1" si="124"/>
        <v>#N/A</v>
      </c>
      <c r="AY161" s="17" t="e">
        <f t="shared" ca="1" si="124"/>
        <v>#N/A</v>
      </c>
      <c r="AZ161" s="17" t="e">
        <f t="shared" ca="1" si="124"/>
        <v>#N/A</v>
      </c>
      <c r="BA161" s="17" t="e">
        <f t="shared" ca="1" si="124"/>
        <v>#N/A</v>
      </c>
      <c r="BB161" s="17" t="e">
        <f t="shared" ca="1" si="124"/>
        <v>#N/A</v>
      </c>
      <c r="BC161" s="17" t="e">
        <f t="shared" ca="1" si="124"/>
        <v>#N/A</v>
      </c>
      <c r="BD161" s="17" t="e">
        <f t="shared" ca="1" si="124"/>
        <v>#N/A</v>
      </c>
      <c r="BE161" s="17" t="e">
        <f t="shared" ca="1" si="124"/>
        <v>#N/A</v>
      </c>
      <c r="BF161" s="17" t="e">
        <f t="shared" ca="1" si="124"/>
        <v>#N/A</v>
      </c>
      <c r="BG161" s="17" t="e">
        <f t="shared" ca="1" si="124"/>
        <v>#N/A</v>
      </c>
      <c r="BH161" s="17" t="e">
        <f t="shared" ca="1" si="124"/>
        <v>#N/A</v>
      </c>
      <c r="BI161" s="17" t="e">
        <f t="shared" ca="1" si="124"/>
        <v>#N/A</v>
      </c>
      <c r="BJ161" s="17" t="e">
        <f t="shared" ca="1" si="124"/>
        <v>#N/A</v>
      </c>
      <c r="BK161" s="17" t="e">
        <f t="shared" ca="1" si="124"/>
        <v>#N/A</v>
      </c>
      <c r="BL161" s="17" t="e">
        <f t="shared" ca="1" si="124"/>
        <v>#N/A</v>
      </c>
      <c r="BM161" s="17" t="e">
        <f t="shared" ca="1" si="124"/>
        <v>#N/A</v>
      </c>
      <c r="BN161" s="17" t="e">
        <f t="shared" ca="1" si="124"/>
        <v>#N/A</v>
      </c>
      <c r="BO161" s="17" t="e">
        <f t="shared" ca="1" si="124"/>
        <v>#N/A</v>
      </c>
      <c r="BP161" s="17" t="e">
        <f t="shared" ca="1" si="124"/>
        <v>#N/A</v>
      </c>
      <c r="BQ161" s="17" t="e">
        <f t="shared" ref="BQ161:BV161" ca="1" si="125">BQ98/$D161*100000</f>
        <v>#N/A</v>
      </c>
      <c r="BR161" s="17" t="e">
        <f t="shared" ca="1" si="125"/>
        <v>#N/A</v>
      </c>
      <c r="BS161" s="17" t="e">
        <f t="shared" ca="1" si="125"/>
        <v>#N/A</v>
      </c>
      <c r="BT161" s="17" t="e">
        <f t="shared" ca="1" si="125"/>
        <v>#N/A</v>
      </c>
      <c r="BU161" s="17" t="e">
        <f t="shared" ca="1" si="125"/>
        <v>#N/A</v>
      </c>
      <c r="BV161" s="17" t="e">
        <f t="shared" ca="1" si="125"/>
        <v>#N/A</v>
      </c>
    </row>
    <row r="162" spans="2:74" x14ac:dyDescent="0.25">
      <c r="B162">
        <f t="shared" ref="B162" si="126">B102</f>
        <v>60</v>
      </c>
      <c r="C162">
        <f t="shared" ref="C162:D162" ca="1" si="127">C102</f>
        <v>0</v>
      </c>
      <c r="D162" s="1" t="e">
        <f t="shared" ca="1" si="127"/>
        <v>#N/A</v>
      </c>
      <c r="E162" s="17" t="e">
        <f t="shared" ref="E162:BP162" ca="1" si="128">E102/$D162*100000</f>
        <v>#N/A</v>
      </c>
      <c r="F162" s="17" t="e">
        <f t="shared" ca="1" si="128"/>
        <v>#N/A</v>
      </c>
      <c r="G162" s="17" t="e">
        <f t="shared" ca="1" si="128"/>
        <v>#N/A</v>
      </c>
      <c r="H162" s="17" t="e">
        <f t="shared" ca="1" si="128"/>
        <v>#N/A</v>
      </c>
      <c r="I162" s="17" t="e">
        <f t="shared" ca="1" si="128"/>
        <v>#N/A</v>
      </c>
      <c r="J162" s="17" t="e">
        <f t="shared" ca="1" si="128"/>
        <v>#N/A</v>
      </c>
      <c r="K162" s="17" t="e">
        <f t="shared" ca="1" si="128"/>
        <v>#N/A</v>
      </c>
      <c r="L162" s="17" t="e">
        <f t="shared" ca="1" si="128"/>
        <v>#N/A</v>
      </c>
      <c r="M162" s="17" t="e">
        <f t="shared" ca="1" si="128"/>
        <v>#N/A</v>
      </c>
      <c r="N162" s="17" t="e">
        <f t="shared" ca="1" si="128"/>
        <v>#N/A</v>
      </c>
      <c r="O162" s="17" t="e">
        <f t="shared" ca="1" si="128"/>
        <v>#N/A</v>
      </c>
      <c r="P162" s="17" t="e">
        <f t="shared" ca="1" si="128"/>
        <v>#N/A</v>
      </c>
      <c r="Q162" s="17" t="e">
        <f t="shared" ca="1" si="128"/>
        <v>#N/A</v>
      </c>
      <c r="R162" s="17" t="e">
        <f t="shared" ca="1" si="128"/>
        <v>#N/A</v>
      </c>
      <c r="S162" s="17" t="e">
        <f t="shared" ca="1" si="128"/>
        <v>#N/A</v>
      </c>
      <c r="T162" s="17" t="e">
        <f t="shared" ca="1" si="128"/>
        <v>#N/A</v>
      </c>
      <c r="U162" s="17" t="e">
        <f t="shared" ca="1" si="128"/>
        <v>#N/A</v>
      </c>
      <c r="V162" s="17" t="e">
        <f t="shared" ca="1" si="128"/>
        <v>#N/A</v>
      </c>
      <c r="W162" s="17" t="e">
        <f t="shared" ca="1" si="128"/>
        <v>#N/A</v>
      </c>
      <c r="X162" s="17" t="e">
        <f t="shared" ca="1" si="128"/>
        <v>#N/A</v>
      </c>
      <c r="Y162" s="17" t="e">
        <f t="shared" ca="1" si="128"/>
        <v>#N/A</v>
      </c>
      <c r="Z162" s="17" t="e">
        <f t="shared" ca="1" si="128"/>
        <v>#N/A</v>
      </c>
      <c r="AA162" s="17" t="e">
        <f t="shared" ca="1" si="128"/>
        <v>#N/A</v>
      </c>
      <c r="AB162" s="17" t="e">
        <f t="shared" ca="1" si="128"/>
        <v>#N/A</v>
      </c>
      <c r="AC162" s="17" t="e">
        <f t="shared" ca="1" si="128"/>
        <v>#N/A</v>
      </c>
      <c r="AD162" s="17" t="e">
        <f t="shared" ca="1" si="128"/>
        <v>#N/A</v>
      </c>
      <c r="AE162" s="17" t="e">
        <f t="shared" ca="1" si="128"/>
        <v>#N/A</v>
      </c>
      <c r="AF162" s="17" t="e">
        <f t="shared" ca="1" si="128"/>
        <v>#N/A</v>
      </c>
      <c r="AG162" s="17" t="e">
        <f t="shared" ca="1" si="128"/>
        <v>#N/A</v>
      </c>
      <c r="AH162" s="17" t="e">
        <f t="shared" ca="1" si="128"/>
        <v>#N/A</v>
      </c>
      <c r="AI162" s="17" t="e">
        <f t="shared" ca="1" si="128"/>
        <v>#N/A</v>
      </c>
      <c r="AJ162" s="17" t="e">
        <f t="shared" ca="1" si="128"/>
        <v>#N/A</v>
      </c>
      <c r="AK162" s="17" t="e">
        <f t="shared" ca="1" si="128"/>
        <v>#N/A</v>
      </c>
      <c r="AL162" s="17" t="e">
        <f t="shared" ca="1" si="128"/>
        <v>#N/A</v>
      </c>
      <c r="AM162" s="17" t="e">
        <f t="shared" ca="1" si="128"/>
        <v>#N/A</v>
      </c>
      <c r="AN162" s="17" t="e">
        <f t="shared" ca="1" si="128"/>
        <v>#N/A</v>
      </c>
      <c r="AO162" s="17" t="e">
        <f t="shared" ca="1" si="128"/>
        <v>#N/A</v>
      </c>
      <c r="AP162" s="17" t="e">
        <f t="shared" ca="1" si="128"/>
        <v>#N/A</v>
      </c>
      <c r="AQ162" s="17" t="e">
        <f t="shared" ca="1" si="128"/>
        <v>#N/A</v>
      </c>
      <c r="AR162" s="17" t="e">
        <f t="shared" ca="1" si="128"/>
        <v>#N/A</v>
      </c>
      <c r="AS162" s="17" t="e">
        <f t="shared" ca="1" si="128"/>
        <v>#N/A</v>
      </c>
      <c r="AT162" s="17" t="e">
        <f t="shared" ca="1" si="128"/>
        <v>#N/A</v>
      </c>
      <c r="AU162" s="17" t="e">
        <f t="shared" ca="1" si="128"/>
        <v>#N/A</v>
      </c>
      <c r="AV162" s="17" t="e">
        <f t="shared" ca="1" si="128"/>
        <v>#N/A</v>
      </c>
      <c r="AW162" s="17" t="e">
        <f t="shared" ca="1" si="128"/>
        <v>#N/A</v>
      </c>
      <c r="AX162" s="17" t="e">
        <f t="shared" ca="1" si="128"/>
        <v>#N/A</v>
      </c>
      <c r="AY162" s="17" t="e">
        <f t="shared" ca="1" si="128"/>
        <v>#N/A</v>
      </c>
      <c r="AZ162" s="17" t="e">
        <f t="shared" ca="1" si="128"/>
        <v>#N/A</v>
      </c>
      <c r="BA162" s="17" t="e">
        <f t="shared" ca="1" si="128"/>
        <v>#N/A</v>
      </c>
      <c r="BB162" s="17" t="e">
        <f t="shared" ca="1" si="128"/>
        <v>#N/A</v>
      </c>
      <c r="BC162" s="17" t="e">
        <f t="shared" ca="1" si="128"/>
        <v>#N/A</v>
      </c>
      <c r="BD162" s="17" t="e">
        <f t="shared" ca="1" si="128"/>
        <v>#N/A</v>
      </c>
      <c r="BE162" s="17" t="e">
        <f t="shared" ca="1" si="128"/>
        <v>#N/A</v>
      </c>
      <c r="BF162" s="17" t="e">
        <f t="shared" ca="1" si="128"/>
        <v>#N/A</v>
      </c>
      <c r="BG162" s="17" t="e">
        <f t="shared" ca="1" si="128"/>
        <v>#N/A</v>
      </c>
      <c r="BH162" s="17" t="e">
        <f t="shared" ca="1" si="128"/>
        <v>#N/A</v>
      </c>
      <c r="BI162" s="17" t="e">
        <f t="shared" ca="1" si="128"/>
        <v>#N/A</v>
      </c>
      <c r="BJ162" s="17" t="e">
        <f t="shared" ca="1" si="128"/>
        <v>#N/A</v>
      </c>
      <c r="BK162" s="17" t="e">
        <f t="shared" ca="1" si="128"/>
        <v>#N/A</v>
      </c>
      <c r="BL162" s="17" t="e">
        <f t="shared" ca="1" si="128"/>
        <v>#N/A</v>
      </c>
      <c r="BM162" s="17" t="e">
        <f t="shared" ca="1" si="128"/>
        <v>#N/A</v>
      </c>
      <c r="BN162" s="17" t="e">
        <f t="shared" ca="1" si="128"/>
        <v>#N/A</v>
      </c>
      <c r="BO162" s="17" t="e">
        <f t="shared" ca="1" si="128"/>
        <v>#N/A</v>
      </c>
      <c r="BP162" s="17" t="e">
        <f t="shared" ca="1" si="128"/>
        <v>#N/A</v>
      </c>
      <c r="BQ162" s="17" t="e">
        <f t="shared" ref="BQ162:BV162" ca="1" si="129">BQ102/$D162*100000</f>
        <v>#N/A</v>
      </c>
      <c r="BR162" s="17" t="e">
        <f t="shared" ca="1" si="129"/>
        <v>#N/A</v>
      </c>
      <c r="BS162" s="17" t="e">
        <f t="shared" ca="1" si="129"/>
        <v>#N/A</v>
      </c>
      <c r="BT162" s="17" t="e">
        <f t="shared" ca="1" si="129"/>
        <v>#N/A</v>
      </c>
      <c r="BU162" s="17" t="e">
        <f t="shared" ca="1" si="129"/>
        <v>#N/A</v>
      </c>
      <c r="BV162" s="17" t="e">
        <f t="shared" ca="1" si="129"/>
        <v>#N/A</v>
      </c>
    </row>
    <row r="164" spans="2:74" x14ac:dyDescent="0.25">
      <c r="E164">
        <v>7</v>
      </c>
      <c r="F164">
        <f>E164+1</f>
        <v>8</v>
      </c>
      <c r="G164">
        <f t="shared" ref="G164:BR164" si="130">F164+1</f>
        <v>9</v>
      </c>
      <c r="H164">
        <f t="shared" si="130"/>
        <v>10</v>
      </c>
      <c r="I164">
        <f t="shared" si="130"/>
        <v>11</v>
      </c>
      <c r="J164">
        <f t="shared" si="130"/>
        <v>12</v>
      </c>
      <c r="K164">
        <f t="shared" si="130"/>
        <v>13</v>
      </c>
      <c r="L164">
        <f t="shared" si="130"/>
        <v>14</v>
      </c>
      <c r="M164">
        <f t="shared" si="130"/>
        <v>15</v>
      </c>
      <c r="N164">
        <f t="shared" si="130"/>
        <v>16</v>
      </c>
      <c r="O164">
        <f t="shared" si="130"/>
        <v>17</v>
      </c>
      <c r="P164">
        <f t="shared" si="130"/>
        <v>18</v>
      </c>
      <c r="Q164">
        <f t="shared" si="130"/>
        <v>19</v>
      </c>
      <c r="R164">
        <f t="shared" si="130"/>
        <v>20</v>
      </c>
      <c r="S164">
        <f t="shared" si="130"/>
        <v>21</v>
      </c>
      <c r="T164">
        <f t="shared" si="130"/>
        <v>22</v>
      </c>
      <c r="U164">
        <f t="shared" si="130"/>
        <v>23</v>
      </c>
      <c r="V164">
        <f t="shared" si="130"/>
        <v>24</v>
      </c>
      <c r="W164">
        <f t="shared" si="130"/>
        <v>25</v>
      </c>
      <c r="X164">
        <f t="shared" si="130"/>
        <v>26</v>
      </c>
      <c r="Y164">
        <f t="shared" si="130"/>
        <v>27</v>
      </c>
      <c r="Z164">
        <f t="shared" si="130"/>
        <v>28</v>
      </c>
      <c r="AA164">
        <f t="shared" si="130"/>
        <v>29</v>
      </c>
      <c r="AB164">
        <f t="shared" si="130"/>
        <v>30</v>
      </c>
      <c r="AC164">
        <f t="shared" si="130"/>
        <v>31</v>
      </c>
      <c r="AD164">
        <f t="shared" si="130"/>
        <v>32</v>
      </c>
      <c r="AE164">
        <f t="shared" si="130"/>
        <v>33</v>
      </c>
      <c r="AF164">
        <f t="shared" si="130"/>
        <v>34</v>
      </c>
      <c r="AG164">
        <f t="shared" si="130"/>
        <v>35</v>
      </c>
      <c r="AH164">
        <f t="shared" si="130"/>
        <v>36</v>
      </c>
      <c r="AI164">
        <f t="shared" si="130"/>
        <v>37</v>
      </c>
      <c r="AJ164">
        <f t="shared" si="130"/>
        <v>38</v>
      </c>
      <c r="AK164">
        <f t="shared" si="130"/>
        <v>39</v>
      </c>
      <c r="AL164">
        <f t="shared" si="130"/>
        <v>40</v>
      </c>
      <c r="AM164">
        <f t="shared" si="130"/>
        <v>41</v>
      </c>
      <c r="AN164">
        <f t="shared" si="130"/>
        <v>42</v>
      </c>
      <c r="AO164">
        <f t="shared" si="130"/>
        <v>43</v>
      </c>
      <c r="AP164">
        <f t="shared" si="130"/>
        <v>44</v>
      </c>
      <c r="AQ164">
        <f t="shared" si="130"/>
        <v>45</v>
      </c>
      <c r="AR164">
        <f t="shared" si="130"/>
        <v>46</v>
      </c>
      <c r="AS164">
        <f t="shared" si="130"/>
        <v>47</v>
      </c>
      <c r="AT164">
        <f t="shared" si="130"/>
        <v>48</v>
      </c>
      <c r="AU164">
        <f t="shared" si="130"/>
        <v>49</v>
      </c>
      <c r="AV164">
        <f t="shared" si="130"/>
        <v>50</v>
      </c>
      <c r="AW164">
        <f t="shared" si="130"/>
        <v>51</v>
      </c>
      <c r="AX164">
        <f t="shared" si="130"/>
        <v>52</v>
      </c>
      <c r="AY164">
        <f t="shared" si="130"/>
        <v>53</v>
      </c>
      <c r="AZ164">
        <f t="shared" si="130"/>
        <v>54</v>
      </c>
      <c r="BA164">
        <f t="shared" si="130"/>
        <v>55</v>
      </c>
      <c r="BB164">
        <f t="shared" si="130"/>
        <v>56</v>
      </c>
      <c r="BC164">
        <f t="shared" si="130"/>
        <v>57</v>
      </c>
      <c r="BD164">
        <f t="shared" si="130"/>
        <v>58</v>
      </c>
      <c r="BE164">
        <f t="shared" si="130"/>
        <v>59</v>
      </c>
      <c r="BF164">
        <f t="shared" si="130"/>
        <v>60</v>
      </c>
      <c r="BG164">
        <f t="shared" si="130"/>
        <v>61</v>
      </c>
      <c r="BH164">
        <f t="shared" si="130"/>
        <v>62</v>
      </c>
      <c r="BI164">
        <f t="shared" si="130"/>
        <v>63</v>
      </c>
      <c r="BJ164">
        <f t="shared" si="130"/>
        <v>64</v>
      </c>
      <c r="BK164">
        <f t="shared" si="130"/>
        <v>65</v>
      </c>
      <c r="BL164">
        <f t="shared" si="130"/>
        <v>66</v>
      </c>
      <c r="BM164">
        <f t="shared" si="130"/>
        <v>67</v>
      </c>
      <c r="BN164">
        <f t="shared" si="130"/>
        <v>68</v>
      </c>
      <c r="BO164">
        <f t="shared" si="130"/>
        <v>69</v>
      </c>
      <c r="BP164">
        <f t="shared" si="130"/>
        <v>70</v>
      </c>
      <c r="BQ164">
        <f t="shared" si="130"/>
        <v>71</v>
      </c>
      <c r="BR164">
        <f t="shared" si="130"/>
        <v>72</v>
      </c>
      <c r="BS164">
        <f t="shared" ref="BS164:BV164" si="131">BR164+1</f>
        <v>73</v>
      </c>
      <c r="BT164">
        <f t="shared" si="131"/>
        <v>74</v>
      </c>
      <c r="BU164">
        <f t="shared" si="131"/>
        <v>75</v>
      </c>
      <c r="BV164">
        <f t="shared" si="131"/>
        <v>76</v>
      </c>
    </row>
    <row r="165" spans="2:74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Last Trend</v>
      </c>
      <c r="BR165" s="5" cm="1">
        <f t="array" aca="1" ref="BR165" ca="1">INDIRECT(ADDRESS(1,BR$164,1,1,"Confirmed Trend"))</f>
        <v>0</v>
      </c>
      <c r="BS165" s="5" cm="1">
        <f t="array" aca="1" ref="BS165" ca="1">INDIRECT(ADDRESS(1,BS$164,1,1,"Confirmed Trend"))</f>
        <v>0</v>
      </c>
      <c r="BT165" s="5" cm="1">
        <f t="array" aca="1" ref="BT165" ca="1">INDIRECT(ADDRESS(1,BT$164,1,1,"Confirmed Trend"))</f>
        <v>0</v>
      </c>
      <c r="BU165" s="5" cm="1">
        <f t="array" aca="1" ref="BU165" ca="1">INDIRECT(ADDRESS(1,BU$164,1,1,"Confirmed Trend"))</f>
        <v>0</v>
      </c>
      <c r="BV165" s="5" cm="1">
        <f t="array" aca="1" ref="BV165" ca="1">INDIRECT(ADDRESS(1,BV$164,1,1,"Confirmed Trend"))</f>
        <v>0</v>
      </c>
    </row>
    <row r="166" spans="2:74" x14ac:dyDescent="0.25">
      <c r="B166">
        <f>B43</f>
        <v>1</v>
      </c>
      <c r="C166" t="str" cm="1">
        <f t="array" aca="1" ref="C166" ca="1">INDIRECT(ADDRESS($B166+1,1,1,1,"Confirmed Trend"))</f>
        <v>Switzerland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cm="1">
        <f t="array" aca="1" ref="AS166" ca="1">IF(INDIRECT(ADDRESS($B166+1,AS$164,1,1,"Confirmed Trend"))=0,#N/A,INDIRECT(ADDRESS($B166+1,AS$164,1,1,"Confirmed Trend")))</f>
        <v>0.71743303820000004</v>
      </c>
      <c r="AT166" s="18" cm="1">
        <f t="array" aca="1" ref="AT166" ca="1">IF(INDIRECT(ADDRESS($B166+1,AT$164,1,1,"Confirmed Trend"))=0,#N/A,INDIRECT(ADDRESS($B166+1,AT$164,1,1,"Confirmed Trend")))</f>
        <v>0.64670298559999995</v>
      </c>
      <c r="AU166" s="18" cm="1">
        <f t="array" aca="1" ref="AU166" ca="1">IF(INDIRECT(ADDRESS($B166+1,AU$164,1,1,"Confirmed Trend"))=0,#N/A,INDIRECT(ADDRESS($B166+1,AU$164,1,1,"Confirmed Trend")))</f>
        <v>0.53345039969999997</v>
      </c>
      <c r="AV166" s="18" cm="1">
        <f t="array" aca="1" ref="AV166" ca="1">IF(INDIRECT(ADDRESS($B166+1,AV$164,1,1,"Confirmed Trend"))=0,#N/A,INDIRECT(ADDRESS($B166+1,AV$164,1,1,"Confirmed Trend")))</f>
        <v>0.48824478560000001</v>
      </c>
      <c r="AW166" s="18" cm="1">
        <f t="array" aca="1" ref="AW166" ca="1">IF(INDIRECT(ADDRESS($B166+1,AW$164,1,1,"Confirmed Trend"))=0,#N/A,INDIRECT(ADDRESS($B166+1,AW$164,1,1,"Confirmed Trend")))</f>
        <v>0.4805199275</v>
      </c>
      <c r="AX166" s="18" cm="1">
        <f t="array" aca="1" ref="AX166" ca="1">IF(INDIRECT(ADDRESS($B166+1,AX$164,1,1,"Confirmed Trend"))=0,#N/A,INDIRECT(ADDRESS($B166+1,AX$164,1,1,"Confirmed Trend")))</f>
        <v>0.4776924749</v>
      </c>
      <c r="AY166" s="18" cm="1">
        <f t="array" aca="1" ref="AY166" ca="1">IF(INDIRECT(ADDRESS($B166+1,AY$164,1,1,"Confirmed Trend"))=0,#N/A,INDIRECT(ADDRESS($B166+1,AY$164,1,1,"Confirmed Trend")))</f>
        <v>0.44471277510000001</v>
      </c>
      <c r="AZ166" s="18" cm="1">
        <f t="array" aca="1" ref="AZ166" ca="1">IF(INDIRECT(ADDRESS($B166+1,AZ$164,1,1,"Confirmed Trend"))=0,#N/A,INDIRECT(ADDRESS($B166+1,AZ$164,1,1,"Confirmed Trend")))</f>
        <v>0.39300391169999999</v>
      </c>
      <c r="BA166" s="18" cm="1">
        <f t="array" aca="1" ref="BA166" ca="1">IF(INDIRECT(ADDRESS($B166+1,BA$164,1,1,"Confirmed Trend"))=0,#N/A,INDIRECT(ADDRESS($B166+1,BA$164,1,1,"Confirmed Trend")))</f>
        <v>0.3022130596</v>
      </c>
      <c r="BB166" s="18" cm="1">
        <f t="array" aca="1" ref="BB166" ca="1">IF(INDIRECT(ADDRESS($B166+1,BB$164,1,1,"Confirmed Trend"))=0,#N/A,INDIRECT(ADDRESS($B166+1,BB$164,1,1,"Confirmed Trend")))</f>
        <v>0.26309155150000002</v>
      </c>
      <c r="BC166" s="18" cm="1">
        <f t="array" aca="1" ref="BC166" ca="1">IF(INDIRECT(ADDRESS($B166+1,BC$164,1,1,"Confirmed Trend"))=0,#N/A,INDIRECT(ADDRESS($B166+1,BC$164,1,1,"Confirmed Trend")))</f>
        <v>0.21673258179999999</v>
      </c>
      <c r="BD166" s="18" cm="1">
        <f t="array" aca="1" ref="BD166" ca="1">IF(INDIRECT(ADDRESS($B166+1,BD$164,1,1,"Confirmed Trend"))=0,#N/A,INDIRECT(ADDRESS($B166+1,BD$164,1,1,"Confirmed Trend")))</f>
        <v>0.25685504809999998</v>
      </c>
      <c r="BE166" s="18" cm="1">
        <f t="array" aca="1" ref="BE166" ca="1">IF(INDIRECT(ADDRESS($B166+1,BE$164,1,1,"Confirmed Trend"))=0,#N/A,INDIRECT(ADDRESS($B166+1,BE$164,1,1,"Confirmed Trend")))</f>
        <v>0.2723351389</v>
      </c>
      <c r="BF166" s="18" cm="1">
        <f t="array" aca="1" ref="BF166" ca="1">IF(INDIRECT(ADDRESS($B166+1,BF$164,1,1,"Confirmed Trend"))=0,#N/A,INDIRECT(ADDRESS($B166+1,BF$164,1,1,"Confirmed Trend")))</f>
        <v>0.32657515079999999</v>
      </c>
      <c r="BG166" s="18" cm="1">
        <f t="array" aca="1" ref="BG166" ca="1">IF(INDIRECT(ADDRESS($B166+1,BG$164,1,1,"Confirmed Trend"))=0,#N/A,INDIRECT(ADDRESS($B166+1,BG$164,1,1,"Confirmed Trend")))</f>
        <v>0.33835293729999999</v>
      </c>
      <c r="BH166" s="18" cm="1">
        <f t="array" aca="1" ref="BH166" ca="1">IF(INDIRECT(ADDRESS($B166+1,BH$164,1,1,"Confirmed Trend"))=0,#N/A,INDIRECT(ADDRESS($B166+1,BH$164,1,1,"Confirmed Trend")))</f>
        <v>0.30567088650000002</v>
      </c>
      <c r="BI166" s="18" cm="1">
        <f t="array" aca="1" ref="BI166" ca="1">IF(INDIRECT(ADDRESS($B166+1,BI$164,1,1,"Confirmed Trend"))=0,#N/A,INDIRECT(ADDRESS($B166+1,BI$164,1,1,"Confirmed Trend")))</f>
        <v>0.25954379259999999</v>
      </c>
      <c r="BJ166" s="18" cm="1">
        <f t="array" aca="1" ref="BJ166" ca="1">IF(INDIRECT(ADDRESS($B166+1,BJ$164,1,1,"Confirmed Trend"))=0,#N/A,INDIRECT(ADDRESS($B166+1,BJ$164,1,1,"Confirmed Trend")))</f>
        <v>0.20188107720000001</v>
      </c>
      <c r="BK166" s="18" cm="1">
        <f t="array" aca="1" ref="BK166" ca="1">IF(INDIRECT(ADDRESS($B166+1,BK$164,1,1,"Confirmed Trend"))=0,#N/A,INDIRECT(ADDRESS($B166+1,BK$164,1,1,"Confirmed Trend")))</f>
        <v>0.2112739595</v>
      </c>
      <c r="BL166" s="18" cm="1">
        <f t="array" aca="1" ref="BL166" ca="1">IF(INDIRECT(ADDRESS($B166+1,BL$164,1,1,"Confirmed Trend"))=0,#N/A,INDIRECT(ADDRESS($B166+1,BL$164,1,1,"Confirmed Trend")))</f>
        <v>0.22415027430000001</v>
      </c>
      <c r="BM166" s="18" cm="1">
        <f t="array" aca="1" ref="BM166" ca="1">IF(INDIRECT(ADDRESS($B166+1,BM$164,1,1,"Confirmed Trend"))=0,#N/A,INDIRECT(ADDRESS($B166+1,BM$164,1,1,"Confirmed Trend")))</f>
        <v>0.2497986395</v>
      </c>
      <c r="BN166" s="18" cm="1">
        <f t="array" aca="1" ref="BN166" ca="1">IF(INDIRECT(ADDRESS($B166+1,BN$164,1,1,"Confirmed Trend"))=0,#N/A,INDIRECT(ADDRESS($B166+1,BN$164,1,1,"Confirmed Trend")))</f>
        <v>0.23552997780000001</v>
      </c>
      <c r="BO166" s="18" cm="1">
        <f t="array" aca="1" ref="BO166" ca="1">IF(INDIRECT(ADDRESS($B166+1,BO$164,1,1,"Confirmed Trend"))=0,#N/A,INDIRECT(ADDRESS($B166+1,BO$164,1,1,"Confirmed Trend")))</f>
        <v>0.2050974401</v>
      </c>
      <c r="BP166" s="18" cm="1">
        <f t="array" aca="1" ref="BP166" ca="1">IF(INDIRECT(ADDRESS($B166+1,BP$164,1,1,"Confirmed Trend"))=0,#N/A,INDIRECT(ADDRESS($B166+1,BP$164,1,1,"Confirmed Trend")))</f>
        <v>0.16697039329999999</v>
      </c>
      <c r="BQ166" s="18" cm="1">
        <f t="array" aca="1" ref="BQ166" ca="1">IF(INDIRECT(ADDRESS($B166+1,BQ$164,1,1,"Confirmed Trend"))=0,#N/A,INDIRECT(ADDRESS($B166+1,BQ$164,1,1,"Confirmed Trend")))</f>
        <v>0.10327022380000001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</row>
    <row r="167" spans="2:74" x14ac:dyDescent="0.25">
      <c r="B167">
        <f t="shared" ref="B167:B225" si="132">B44</f>
        <v>2</v>
      </c>
      <c r="C167" t="str" cm="1">
        <f t="array" aca="1" ref="C167" ca="1">INDIRECT(ADDRESS($B167+1,1,1,1,"Confirmed Trend"))</f>
        <v>Switzerland Appenzell Inner Rhodes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cm="1">
        <f t="array" aca="1" ref="BK167" ca="1">IF(INDIRECT(ADDRESS($B167+1,BK$164,1,1,"Confirmed Trend"))=0,#N/A,INDIRECT(ADDRESS($B167+1,BK$164,1,1,"Confirmed Trend")))</f>
        <v>0.20736820140000001</v>
      </c>
      <c r="BL167" s="18" cm="1">
        <f t="array" aca="1" ref="BL167" ca="1">IF(INDIRECT(ADDRESS($B167+1,BL$164,1,1,"Confirmed Trend"))=0,#N/A,INDIRECT(ADDRESS($B167+1,BL$164,1,1,"Confirmed Trend")))</f>
        <v>0.13101914140000001</v>
      </c>
      <c r="BM167" s="18" cm="1">
        <f t="array" aca="1" ref="BM167" ca="1">IF(INDIRECT(ADDRESS($B167+1,BM$164,1,1,"Confirmed Trend"))=0,#N/A,INDIRECT(ADDRESS($B167+1,BM$164,1,1,"Confirmed Trend")))</f>
        <v>6.4844316799999996E-2</v>
      </c>
      <c r="BN167" s="18" cm="1">
        <f t="array" aca="1" ref="BN167" ca="1">IF(INDIRECT(ADDRESS($B167+1,BN$164,1,1,"Confirmed Trend"))=0,#N/A,INDIRECT(ADDRESS($B167+1,BN$164,1,1,"Confirmed Trend")))</f>
        <v>2.9883572000000001E-2</v>
      </c>
      <c r="BO167" s="18" cm="1">
        <f t="array" aca="1" ref="BO167" ca="1">IF(INDIRECT(ADDRESS($B167+1,BO$164,1,1,"Confirmed Trend"))=0,#N/A,INDIRECT(ADDRESS($B167+1,BO$164,1,1,"Confirmed Trend")))</f>
        <v>4.1466412799999998E-2</v>
      </c>
      <c r="BP167" s="18" cm="1">
        <f t="array" aca="1" ref="BP167" ca="1">IF(INDIRECT(ADDRESS($B167+1,BP$164,1,1,"Confirmed Trend"))=0,#N/A,INDIRECT(ADDRESS($B167+1,BP$164,1,1,"Confirmed Trend")))</f>
        <v>6.3197220900000003E-2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</row>
    <row r="168" spans="2:74" x14ac:dyDescent="0.25">
      <c r="B168">
        <f t="shared" si="132"/>
        <v>3</v>
      </c>
      <c r="C168" t="str" cm="1">
        <f t="array" aca="1" ref="C168" ca="1">INDIRECT(ADDRESS($B168+1,1,1,1,"Confirmed Trend"))</f>
        <v>Switzerland Appenzell Outer Rhodes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t="e" cm="1">
        <f t="array" aca="1" ref="Y168" ca="1">IF(INDIRECT(ADDRESS($B168+1,Y$164,1,1,"Confirmed Trend"))=0,#N/A,INDIRECT(ADDRESS($B168+1,Y$164,1,1,"Confirmed Trend")))</f>
        <v>#N/A</v>
      </c>
      <c r="Z168" s="18" t="e" cm="1">
        <f t="array" aca="1" ref="Z168" ca="1">IF(INDIRECT(ADDRESS($B168+1,Z$164,1,1,"Confirmed Trend"))=0,#N/A,INDIRECT(ADDRESS($B168+1,Z$164,1,1,"Confirmed Trend")))</f>
        <v>#N/A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t="e" cm="1">
        <f t="array" aca="1" ref="AE168" ca="1">IF(INDIRECT(ADDRESS($B168+1,AE$164,1,1,"Confirmed Trend"))=0,#N/A,INDIRECT(ADDRESS($B168+1,AE$164,1,1,"Confirmed Trend")))</f>
        <v>#N/A</v>
      </c>
      <c r="AF168" s="18" t="e" cm="1">
        <f t="array" aca="1" ref="AF168" ca="1">IF(INDIRECT(ADDRESS($B168+1,AF$164,1,1,"Confirmed Trend"))=0,#N/A,INDIRECT(ADDRESS($B168+1,AF$164,1,1,"Confirmed Trend")))</f>
        <v>#N/A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t="e" cm="1">
        <f t="array" aca="1" ref="AI168" ca="1">IF(INDIRECT(ADDRESS($B168+1,AI$164,1,1,"Confirmed Trend"))=0,#N/A,INDIRECT(ADDRESS($B168+1,AI$164,1,1,"Confirmed Trend")))</f>
        <v>#N/A</v>
      </c>
      <c r="AJ168" s="18" t="e" cm="1">
        <f t="array" aca="1" ref="AJ168" ca="1">IF(INDIRECT(ADDRESS($B168+1,AJ$164,1,1,"Confirmed Trend"))=0,#N/A,INDIRECT(ADDRESS($B168+1,AJ$164,1,1,"Confirmed Trend")))</f>
        <v>#N/A</v>
      </c>
      <c r="AK168" s="18" t="e" cm="1">
        <f t="array" aca="1" ref="AK168" ca="1">IF(INDIRECT(ADDRESS($B168+1,AK$164,1,1,"Confirmed Trend"))=0,#N/A,INDIRECT(ADDRESS($B168+1,AK$164,1,1,"Confirmed Trend")))</f>
        <v>#N/A</v>
      </c>
      <c r="AL168" s="18" t="e" cm="1">
        <f t="array" aca="1" ref="AL168" ca="1">IF(INDIRECT(ADDRESS($B168+1,AL$164,1,1,"Confirmed Trend"))=0,#N/A,INDIRECT(ADDRESS($B168+1,AL$164,1,1,"Confirmed Trend")))</f>
        <v>#N/A</v>
      </c>
      <c r="AM168" s="18" t="e" cm="1">
        <f t="array" aca="1" ref="AM168" ca="1">IF(INDIRECT(ADDRESS($B168+1,AM$164,1,1,"Confirmed Trend"))=0,#N/A,INDIRECT(ADDRESS($B168+1,AM$164,1,1,"Confirmed Trend")))</f>
        <v>#N/A</v>
      </c>
      <c r="AN168" s="18" t="e" cm="1">
        <f t="array" aca="1" ref="AN168" ca="1">IF(INDIRECT(ADDRESS($B168+1,AN$164,1,1,"Confirmed Trend"))=0,#N/A,INDIRECT(ADDRESS($B168+1,AN$164,1,1,"Confirmed Trend")))</f>
        <v>#N/A</v>
      </c>
      <c r="AO168" s="18" t="e" cm="1">
        <f t="array" aca="1" ref="AO168" ca="1">IF(INDIRECT(ADDRESS($B168+1,AO$164,1,1,"Confirmed Trend"))=0,#N/A,INDIRECT(ADDRESS($B168+1,AO$164,1,1,"Confirmed Trend")))</f>
        <v>#N/A</v>
      </c>
      <c r="AP168" s="18" t="e" cm="1">
        <f t="array" aca="1" ref="AP168" ca="1">IF(INDIRECT(ADDRESS($B168+1,AP$164,1,1,"Confirmed Trend"))=0,#N/A,INDIRECT(ADDRESS($B168+1,AP$164,1,1,"Confirmed Trend")))</f>
        <v>#N/A</v>
      </c>
      <c r="AQ168" s="18" t="e" cm="1">
        <f t="array" aca="1" ref="AQ168" ca="1">IF(INDIRECT(ADDRESS($B168+1,AQ$164,1,1,"Confirmed Trend"))=0,#N/A,INDIRECT(ADDRESS($B168+1,AQ$164,1,1,"Confirmed Trend")))</f>
        <v>#N/A</v>
      </c>
      <c r="AR168" s="18" t="e" cm="1">
        <f t="array" aca="1" ref="AR168" ca="1">IF(INDIRECT(ADDRESS($B168+1,AR$164,1,1,"Confirmed Trend"))=0,#N/A,INDIRECT(ADDRESS($B168+1,AR$164,1,1,"Confirmed Trend")))</f>
        <v>#N/A</v>
      </c>
      <c r="AS168" s="18" t="e" cm="1">
        <f t="array" aca="1" ref="AS168" ca="1">IF(INDIRECT(ADDRESS($B168+1,AS$164,1,1,"Confirmed Trend"))=0,#N/A,INDIRECT(ADDRESS($B168+1,AS$164,1,1,"Confirmed Trend")))</f>
        <v>#N/A</v>
      </c>
      <c r="AT168" s="18" t="e" cm="1">
        <f t="array" aca="1" ref="AT168" ca="1">IF(INDIRECT(ADDRESS($B168+1,AT$164,1,1,"Confirmed Trend"))=0,#N/A,INDIRECT(ADDRESS($B168+1,AT$164,1,1,"Confirmed Trend")))</f>
        <v>#N/A</v>
      </c>
      <c r="AU168" s="18" t="e" cm="1">
        <f t="array" aca="1" ref="AU168" ca="1">IF(INDIRECT(ADDRESS($B168+1,AU$164,1,1,"Confirmed Trend"))=0,#N/A,INDIRECT(ADDRESS($B168+1,AU$164,1,1,"Confirmed Trend")))</f>
        <v>#N/A</v>
      </c>
      <c r="AV168" s="18" t="e" cm="1">
        <f t="array" aca="1" ref="AV168" ca="1">IF(INDIRECT(ADDRESS($B168+1,AV$164,1,1,"Confirmed Trend"))=0,#N/A,INDIRECT(ADDRESS($B168+1,AV$164,1,1,"Confirmed Trend")))</f>
        <v>#N/A</v>
      </c>
      <c r="AW168" s="18" t="e" cm="1">
        <f t="array" aca="1" ref="AW168" ca="1">IF(INDIRECT(ADDRESS($B168+1,AW$164,1,1,"Confirmed Trend"))=0,#N/A,INDIRECT(ADDRESS($B168+1,AW$164,1,1,"Confirmed Trend")))</f>
        <v>#N/A</v>
      </c>
      <c r="AX168" s="18" t="e" cm="1">
        <f t="array" aca="1" ref="AX168" ca="1">IF(INDIRECT(ADDRESS($B168+1,AX$164,1,1,"Confirmed Trend"))=0,#N/A,INDIRECT(ADDRESS($B168+1,AX$164,1,1,"Confirmed Trend")))</f>
        <v>#N/A</v>
      </c>
      <c r="AY168" s="18" t="e" cm="1">
        <f t="array" aca="1" ref="AY168" ca="1">IF(INDIRECT(ADDRESS($B168+1,AY$164,1,1,"Confirmed Trend"))=0,#N/A,INDIRECT(ADDRESS($B168+1,AY$164,1,1,"Confirmed Trend")))</f>
        <v>#N/A</v>
      </c>
      <c r="AZ168" s="18" t="e" cm="1">
        <f t="array" aca="1" ref="AZ168" ca="1">IF(INDIRECT(ADDRESS($B168+1,AZ$164,1,1,"Confirmed Trend"))=0,#N/A,INDIRECT(ADDRESS($B168+1,AZ$164,1,1,"Confirmed Trend")))</f>
        <v>#N/A</v>
      </c>
      <c r="BA168" s="18" t="e" cm="1">
        <f t="array" aca="1" ref="BA168" ca="1">IF(INDIRECT(ADDRESS($B168+1,BA$164,1,1,"Confirmed Trend"))=0,#N/A,INDIRECT(ADDRESS($B168+1,BA$164,1,1,"Confirmed Trend")))</f>
        <v>#N/A</v>
      </c>
      <c r="BB168" s="18" cm="1">
        <f t="array" aca="1" ref="BB168" ca="1">IF(INDIRECT(ADDRESS($B168+1,BB$164,1,1,"Confirmed Trend"))=0,#N/A,INDIRECT(ADDRESS($B168+1,BB$164,1,1,"Confirmed Trend")))</f>
        <v>0.18920711500000001</v>
      </c>
      <c r="BC168" s="18" cm="1">
        <f t="array" aca="1" ref="BC168" ca="1">IF(INDIRECT(ADDRESS($B168+1,BC$164,1,1,"Confirmed Trend"))=0,#N/A,INDIRECT(ADDRESS($B168+1,BC$164,1,1,"Confirmed Trend")))</f>
        <v>0.31607401299999999</v>
      </c>
      <c r="BD168" s="18" cm="1">
        <f t="array" aca="1" ref="BD168" ca="1">IF(INDIRECT(ADDRESS($B168+1,BD$164,1,1,"Confirmed Trend"))=0,#N/A,INDIRECT(ADDRESS($B168+1,BD$164,1,1,"Confirmed Trend")))</f>
        <v>0.31607401299999999</v>
      </c>
      <c r="BE168" s="18" cm="1">
        <f t="array" aca="1" ref="BE168" ca="1">IF(INDIRECT(ADDRESS($B168+1,BE$164,1,1,"Confirmed Trend"))=0,#N/A,INDIRECT(ADDRESS($B168+1,BE$164,1,1,"Confirmed Trend")))</f>
        <v>0.31607401299999999</v>
      </c>
      <c r="BF168" s="18" cm="1">
        <f t="array" aca="1" ref="BF168" ca="1">IF(INDIRECT(ADDRESS($B168+1,BF$164,1,1,"Confirmed Trend"))=0,#N/A,INDIRECT(ADDRESS($B168+1,BF$164,1,1,"Confirmed Trend")))</f>
        <v>0.25743342969999999</v>
      </c>
      <c r="BG168" s="18" cm="1">
        <f t="array" aca="1" ref="BG168" ca="1">IF(INDIRECT(ADDRESS($B168+1,BG$164,1,1,"Confirmed Trend"))=0,#N/A,INDIRECT(ADDRESS($B168+1,BG$164,1,1,"Confirmed Trend")))</f>
        <v>0.13621936649999999</v>
      </c>
      <c r="BH168" s="18" cm="1">
        <f t="array" aca="1" ref="BH168" ca="1">IF(INDIRECT(ADDRESS($B168+1,BH$164,1,1,"Confirmed Trend"))=0,#N/A,INDIRECT(ADDRESS($B168+1,BH$164,1,1,"Confirmed Trend")))</f>
        <v>5.7371263399999997E-2</v>
      </c>
      <c r="BI168" s="18" cm="1">
        <f t="array" aca="1" ref="BI168" ca="1">IF(INDIRECT(ADDRESS($B168+1,BI$164,1,1,"Confirmed Trend"))=0,#N/A,INDIRECT(ADDRESS($B168+1,BI$164,1,1,"Confirmed Trend")))</f>
        <v>8.7757305899999999E-2</v>
      </c>
      <c r="BJ168" s="18" cm="1">
        <f t="array" aca="1" ref="BJ168" ca="1">IF(INDIRECT(ADDRESS($B168+1,BJ$164,1,1,"Confirmed Trend"))=0,#N/A,INDIRECT(ADDRESS($B168+1,BJ$164,1,1,"Confirmed Trend")))</f>
        <v>0.1582921853</v>
      </c>
      <c r="BK168" s="18" cm="1">
        <f t="array" aca="1" ref="BK168" ca="1">IF(INDIRECT(ADDRESS($B168+1,BK$164,1,1,"Confirmed Trend"))=0,#N/A,INDIRECT(ADDRESS($B168+1,BK$164,1,1,"Confirmed Trend")))</f>
        <v>0.2178832856</v>
      </c>
      <c r="BL168" s="18" cm="1">
        <f t="array" aca="1" ref="BL168" ca="1">IF(INDIRECT(ADDRESS($B168+1,BL$164,1,1,"Confirmed Trend"))=0,#N/A,INDIRECT(ADDRESS($B168+1,BL$164,1,1,"Confirmed Trend")))</f>
        <v>0.2178832856</v>
      </c>
      <c r="BM168" s="18" cm="1">
        <f t="array" aca="1" ref="BM168" ca="1">IF(INDIRECT(ADDRESS($B168+1,BM$164,1,1,"Confirmed Trend"))=0,#N/A,INDIRECT(ADDRESS($B168+1,BM$164,1,1,"Confirmed Trend")))</f>
        <v>0.11962776899999999</v>
      </c>
      <c r="BN168" s="18" cm="1">
        <f t="array" aca="1" ref="BN168" ca="1">IF(INDIRECT(ADDRESS($B168+1,BN$164,1,1,"Confirmed Trend"))=0,#N/A,INDIRECT(ADDRESS($B168+1,BN$164,1,1,"Confirmed Trend")))</f>
        <v>0.17803961430000001</v>
      </c>
      <c r="BO168" s="18" cm="1">
        <f t="array" aca="1" ref="BO168" ca="1">IF(INDIRECT(ADDRESS($B168+1,BO$164,1,1,"Confirmed Trend"))=0,#N/A,INDIRECT(ADDRESS($B168+1,BO$164,1,1,"Confirmed Trend")))</f>
        <v>0.2237126371</v>
      </c>
      <c r="BP168" s="18" cm="1">
        <f t="array" aca="1" ref="BP168" ca="1">IF(INDIRECT(ADDRESS($B168+1,BP$164,1,1,"Confirmed Trend"))=0,#N/A,INDIRECT(ADDRESS($B168+1,BP$164,1,1,"Confirmed Trend")))</f>
        <v>0.30937621789999997</v>
      </c>
      <c r="BQ168" s="18" t="e" cm="1">
        <f t="array" aca="1" ref="BQ168" ca="1">IF(INDIRECT(ADDRESS($B168+1,BQ$164,1,1,"Confirmed Trend"))=0,#N/A,INDIRECT(ADDRESS($B168+1,BQ$164,1,1,"Confirmed Trend")))</f>
        <v>#N/A</v>
      </c>
      <c r="BR168" s="18" t="e" cm="1">
        <f t="array" aca="1" ref="BR168" ca="1">IF(INDIRECT(ADDRESS($B168+1,BR$164,1,1,"Confirmed Trend"))=0,#N/A,INDIRECT(ADDRESS($B168+1,BR$164,1,1,"Confirmed Trend")))</f>
        <v>#N/A</v>
      </c>
      <c r="BS168" s="18" t="e" cm="1">
        <f t="array" aca="1" ref="BS168" ca="1">IF(INDIRECT(ADDRESS($B168+1,BS$164,1,1,"Confirmed Trend"))=0,#N/A,INDIRECT(ADDRESS($B168+1,BS$164,1,1,"Confirmed Trend")))</f>
        <v>#N/A</v>
      </c>
      <c r="BT168" s="18" t="e" cm="1">
        <f t="array" aca="1" ref="BT168" ca="1">IF(INDIRECT(ADDRESS($B168+1,BT$164,1,1,"Confirmed Trend"))=0,#N/A,INDIRECT(ADDRESS($B168+1,BT$164,1,1,"Confirmed Trend")))</f>
        <v>#N/A</v>
      </c>
      <c r="BU168" s="18" t="e" cm="1">
        <f t="array" aca="1" ref="BU168" ca="1">IF(INDIRECT(ADDRESS($B168+1,BU$164,1,1,"Confirmed Trend"))=0,#N/A,INDIRECT(ADDRESS($B168+1,BU$164,1,1,"Confirmed Trend")))</f>
        <v>#N/A</v>
      </c>
      <c r="BV168" s="18" t="e" cm="1">
        <f t="array" aca="1" ref="BV168" ca="1">IF(INDIRECT(ADDRESS($B168+1,BV$164,1,1,"Confirmed Trend"))=0,#N/A,INDIRECT(ADDRESS($B168+1,BV$164,1,1,"Confirmed Trend")))</f>
        <v>#N/A</v>
      </c>
    </row>
    <row r="169" spans="2:74" x14ac:dyDescent="0.25">
      <c r="B169">
        <f t="shared" si="132"/>
        <v>4</v>
      </c>
      <c r="C169" t="str" cm="1">
        <f t="array" aca="1" ref="C169" ca="1">INDIRECT(ADDRESS($B169+1,1,1,1,"Confirmed Trend"))</f>
        <v>Switzerland Argovia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cm="1">
        <f t="array" aca="1" ref="AV169" ca="1">IF(INDIRECT(ADDRESS($B169+1,AV$164,1,1,"Confirmed Trend"))=0,#N/A,INDIRECT(ADDRESS($B169+1,AV$164,1,1,"Confirmed Trend")))</f>
        <v>0.64560408410000003</v>
      </c>
      <c r="AW169" s="18" cm="1">
        <f t="array" aca="1" ref="AW169" ca="1">IF(INDIRECT(ADDRESS($B169+1,AW$164,1,1,"Confirmed Trend"))=0,#N/A,INDIRECT(ADDRESS($B169+1,AW$164,1,1,"Confirmed Trend")))</f>
        <v>0.62657656169999998</v>
      </c>
      <c r="AX169" s="18" cm="1">
        <f t="array" aca="1" ref="AX169" ca="1">IF(INDIRECT(ADDRESS($B169+1,AX$164,1,1,"Confirmed Trend"))=0,#N/A,INDIRECT(ADDRESS($B169+1,AX$164,1,1,"Confirmed Trend")))</f>
        <v>0.38378257519999998</v>
      </c>
      <c r="AY169" s="18" cm="1">
        <f t="array" aca="1" ref="AY169" ca="1">IF(INDIRECT(ADDRESS($B169+1,AY$164,1,1,"Confirmed Trend"))=0,#N/A,INDIRECT(ADDRESS($B169+1,AY$164,1,1,"Confirmed Trend")))</f>
        <v>0.24466595460000001</v>
      </c>
      <c r="AZ169" s="18" cm="1">
        <f t="array" aca="1" ref="AZ169" ca="1">IF(INDIRECT(ADDRESS($B169+1,AZ$164,1,1,"Confirmed Trend"))=0,#N/A,INDIRECT(ADDRESS($B169+1,AZ$164,1,1,"Confirmed Trend")))</f>
        <v>0.1464106949</v>
      </c>
      <c r="BA169" s="18" cm="1">
        <f t="array" aca="1" ref="BA169" ca="1">IF(INDIRECT(ADDRESS($B169+1,BA$164,1,1,"Confirmed Trend"))=0,#N/A,INDIRECT(ADDRESS($B169+1,BA$164,1,1,"Confirmed Trend")))</f>
        <v>0.1132112998</v>
      </c>
      <c r="BB169" s="18" cm="1">
        <f t="array" aca="1" ref="BB169" ca="1">IF(INDIRECT(ADDRESS($B169+1,BB$164,1,1,"Confirmed Trend"))=0,#N/A,INDIRECT(ADDRESS($B169+1,BB$164,1,1,"Confirmed Trend")))</f>
        <v>0.1038766198</v>
      </c>
      <c r="BC169" s="18" cm="1">
        <f t="array" aca="1" ref="BC169" ca="1">IF(INDIRECT(ADDRESS($B169+1,BC$164,1,1,"Confirmed Trend"))=0,#N/A,INDIRECT(ADDRESS($B169+1,BC$164,1,1,"Confirmed Trend")))</f>
        <v>0.14557175489999999</v>
      </c>
      <c r="BD169" s="18" cm="1">
        <f t="array" aca="1" ref="BD169" ca="1">IF(INDIRECT(ADDRESS($B169+1,BD$164,1,1,"Confirmed Trend"))=0,#N/A,INDIRECT(ADDRESS($B169+1,BD$164,1,1,"Confirmed Trend")))</f>
        <v>0.19309982540000001</v>
      </c>
      <c r="BE169" s="18" cm="1">
        <f t="array" aca="1" ref="BE169" ca="1">IF(INDIRECT(ADDRESS($B169+1,BE$164,1,1,"Confirmed Trend"))=0,#N/A,INDIRECT(ADDRESS($B169+1,BE$164,1,1,"Confirmed Trend")))</f>
        <v>0.20612754050000001</v>
      </c>
      <c r="BF169" s="18" cm="1">
        <f t="array" aca="1" ref="BF169" ca="1">IF(INDIRECT(ADDRESS($B169+1,BF$164,1,1,"Confirmed Trend"))=0,#N/A,INDIRECT(ADDRESS($B169+1,BF$164,1,1,"Confirmed Trend")))</f>
        <v>0.18309273700000001</v>
      </c>
      <c r="BG169" s="18" cm="1">
        <f t="array" aca="1" ref="BG169" ca="1">IF(INDIRECT(ADDRESS($B169+1,BG$164,1,1,"Confirmed Trend"))=0,#N/A,INDIRECT(ADDRESS($B169+1,BG$164,1,1,"Confirmed Trend")))</f>
        <v>0.16954402599999999</v>
      </c>
      <c r="BH169" s="18" cm="1">
        <f t="array" aca="1" ref="BH169" ca="1">IF(INDIRECT(ADDRESS($B169+1,BH$164,1,1,"Confirmed Trend"))=0,#N/A,INDIRECT(ADDRESS($B169+1,BH$164,1,1,"Confirmed Trend")))</f>
        <v>0.18337272590000001</v>
      </c>
      <c r="BI169" s="18" cm="1">
        <f t="array" aca="1" ref="BI169" ca="1">IF(INDIRECT(ADDRESS($B169+1,BI$164,1,1,"Confirmed Trend"))=0,#N/A,INDIRECT(ADDRESS($B169+1,BI$164,1,1,"Confirmed Trend")))</f>
        <v>0.2469393265</v>
      </c>
      <c r="BJ169" s="18" cm="1">
        <f t="array" aca="1" ref="BJ169" ca="1">IF(INDIRECT(ADDRESS($B169+1,BJ$164,1,1,"Confirmed Trend"))=0,#N/A,INDIRECT(ADDRESS($B169+1,BJ$164,1,1,"Confirmed Trend")))</f>
        <v>0.31378318789999998</v>
      </c>
      <c r="BK169" s="18" cm="1">
        <f t="array" aca="1" ref="BK169" ca="1">IF(INDIRECT(ADDRESS($B169+1,BK$164,1,1,"Confirmed Trend"))=0,#N/A,INDIRECT(ADDRESS($B169+1,BK$164,1,1,"Confirmed Trend")))</f>
        <v>0.35149126759999999</v>
      </c>
      <c r="BL169" s="18" cm="1">
        <f t="array" aca="1" ref="BL169" ca="1">IF(INDIRECT(ADDRESS($B169+1,BL$164,1,1,"Confirmed Trend"))=0,#N/A,INDIRECT(ADDRESS($B169+1,BL$164,1,1,"Confirmed Trend")))</f>
        <v>0.3167997226</v>
      </c>
      <c r="BM169" s="18" cm="1">
        <f t="array" aca="1" ref="BM169" ca="1">IF(INDIRECT(ADDRESS($B169+1,BM$164,1,1,"Confirmed Trend"))=0,#N/A,INDIRECT(ADDRESS($B169+1,BM$164,1,1,"Confirmed Trend")))</f>
        <v>0.26759761599999998</v>
      </c>
      <c r="BN169" s="18" cm="1">
        <f t="array" aca="1" ref="BN169" ca="1">IF(INDIRECT(ADDRESS($B169+1,BN$164,1,1,"Confirmed Trend"))=0,#N/A,INDIRECT(ADDRESS($B169+1,BN$164,1,1,"Confirmed Trend")))</f>
        <v>0.2235535998</v>
      </c>
      <c r="BO169" s="18" cm="1">
        <f t="array" aca="1" ref="BO169" ca="1">IF(INDIRECT(ADDRESS($B169+1,BO$164,1,1,"Confirmed Trend"))=0,#N/A,INDIRECT(ADDRESS($B169+1,BO$164,1,1,"Confirmed Trend")))</f>
        <v>0.17552905630000001</v>
      </c>
      <c r="BP169" s="18" cm="1">
        <f t="array" aca="1" ref="BP169" ca="1">IF(INDIRECT(ADDRESS($B169+1,BP$164,1,1,"Confirmed Trend"))=0,#N/A,INDIRECT(ADDRESS($B169+1,BP$164,1,1,"Confirmed Trend")))</f>
        <v>0.16139793259999999</v>
      </c>
      <c r="BQ169" s="18" cm="1">
        <f t="array" aca="1" ref="BQ169" ca="1">IF(INDIRECT(ADDRESS($B169+1,BQ$164,1,1,"Confirmed Trend"))=0,#N/A,INDIRECT(ADDRESS($B169+1,BQ$164,1,1,"Confirmed Trend")))</f>
        <v>0.1992481203</v>
      </c>
      <c r="BR169" s="18" t="e" cm="1">
        <f t="array" aca="1" ref="BR169" ca="1">IF(INDIRECT(ADDRESS($B169+1,BR$164,1,1,"Confirmed Trend"))=0,#N/A,INDIRECT(ADDRESS($B169+1,BR$164,1,1,"Confirmed Trend")))</f>
        <v>#N/A</v>
      </c>
      <c r="BS169" s="18" t="e" cm="1">
        <f t="array" aca="1" ref="BS169" ca="1">IF(INDIRECT(ADDRESS($B169+1,BS$164,1,1,"Confirmed Trend"))=0,#N/A,INDIRECT(ADDRESS($B169+1,BS$164,1,1,"Confirmed Trend")))</f>
        <v>#N/A</v>
      </c>
      <c r="BT169" s="18" t="e" cm="1">
        <f t="array" aca="1" ref="BT169" ca="1">IF(INDIRECT(ADDRESS($B169+1,BT$164,1,1,"Confirmed Trend"))=0,#N/A,INDIRECT(ADDRESS($B169+1,BT$164,1,1,"Confirmed Trend")))</f>
        <v>#N/A</v>
      </c>
      <c r="BU169" s="18" t="e" cm="1">
        <f t="array" aca="1" ref="BU169" ca="1">IF(INDIRECT(ADDRESS($B169+1,BU$164,1,1,"Confirmed Trend"))=0,#N/A,INDIRECT(ADDRESS($B169+1,BU$164,1,1,"Confirmed Trend")))</f>
        <v>#N/A</v>
      </c>
      <c r="BV169" s="18" t="e" cm="1">
        <f t="array" aca="1" ref="BV169" ca="1">IF(INDIRECT(ADDRESS($B169+1,BV$164,1,1,"Confirmed Trend"))=0,#N/A,INDIRECT(ADDRESS($B169+1,BV$164,1,1,"Confirmed Trend")))</f>
        <v>#N/A</v>
      </c>
    </row>
    <row r="170" spans="2:74" x14ac:dyDescent="0.25">
      <c r="B170">
        <f t="shared" si="132"/>
        <v>5</v>
      </c>
      <c r="C170" t="str" cm="1">
        <f t="array" aca="1" ref="C170" ca="1">INDIRECT(ADDRESS($B170+1,1,1,1,"Confirmed Trend"))</f>
        <v>Switzerland Basel City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cm="1">
        <f t="array" aca="1" ref="AX170" ca="1">IF(INDIRECT(ADDRESS($B170+1,AX$164,1,1,"Confirmed Trend"))=0,#N/A,INDIRECT(ADDRESS($B170+1,AX$164,1,1,"Confirmed Trend")))</f>
        <v>0.58339277570000003</v>
      </c>
      <c r="AY170" s="18" cm="1">
        <f t="array" aca="1" ref="AY170" ca="1">IF(INDIRECT(ADDRESS($B170+1,AY$164,1,1,"Confirmed Trend"))=0,#N/A,INDIRECT(ADDRESS($B170+1,AY$164,1,1,"Confirmed Trend")))</f>
        <v>0.6068568379</v>
      </c>
      <c r="AZ170" s="18" cm="1">
        <f t="array" aca="1" ref="AZ170" ca="1">IF(INDIRECT(ADDRESS($B170+1,AZ$164,1,1,"Confirmed Trend"))=0,#N/A,INDIRECT(ADDRESS($B170+1,AZ$164,1,1,"Confirmed Trend")))</f>
        <v>0.51111913890000005</v>
      </c>
      <c r="BA170" s="18" cm="1">
        <f t="array" aca="1" ref="BA170" ca="1">IF(INDIRECT(ADDRESS($B170+1,BA$164,1,1,"Confirmed Trend"))=0,#N/A,INDIRECT(ADDRESS($B170+1,BA$164,1,1,"Confirmed Trend")))</f>
        <v>0.3446566204</v>
      </c>
      <c r="BB170" s="18" cm="1">
        <f t="array" aca="1" ref="BB170" ca="1">IF(INDIRECT(ADDRESS($B170+1,BB$164,1,1,"Confirmed Trend"))=0,#N/A,INDIRECT(ADDRESS($B170+1,BB$164,1,1,"Confirmed Trend")))</f>
        <v>0.22164029669999999</v>
      </c>
      <c r="BC170" s="18" cm="1">
        <f t="array" aca="1" ref="BC170" ca="1">IF(INDIRECT(ADDRESS($B170+1,BC$164,1,1,"Confirmed Trend"))=0,#N/A,INDIRECT(ADDRESS($B170+1,BC$164,1,1,"Confirmed Trend")))</f>
        <v>0.24249942599999999</v>
      </c>
      <c r="BD170" s="18" cm="1">
        <f t="array" aca="1" ref="BD170" ca="1">IF(INDIRECT(ADDRESS($B170+1,BD$164,1,1,"Confirmed Trend"))=0,#N/A,INDIRECT(ADDRESS($B170+1,BD$164,1,1,"Confirmed Trend")))</f>
        <v>0.28975472429999999</v>
      </c>
      <c r="BE170" s="18" cm="1">
        <f t="array" aca="1" ref="BE170" ca="1">IF(INDIRECT(ADDRESS($B170+1,BE$164,1,1,"Confirmed Trend"))=0,#N/A,INDIRECT(ADDRESS($B170+1,BE$164,1,1,"Confirmed Trend")))</f>
        <v>0.32879118089999998</v>
      </c>
      <c r="BF170" s="18" cm="1">
        <f t="array" aca="1" ref="BF170" ca="1">IF(INDIRECT(ADDRESS($B170+1,BF$164,1,1,"Confirmed Trend"))=0,#N/A,INDIRECT(ADDRESS($B170+1,BF$164,1,1,"Confirmed Trend")))</f>
        <v>0.31383005930000002</v>
      </c>
      <c r="BG170" s="18" cm="1">
        <f t="array" aca="1" ref="BG170" ca="1">IF(INDIRECT(ADDRESS($B170+1,BG$164,1,1,"Confirmed Trend"))=0,#N/A,INDIRECT(ADDRESS($B170+1,BG$164,1,1,"Confirmed Trend")))</f>
        <v>0.2453906512</v>
      </c>
      <c r="BH170" s="18" cm="1">
        <f t="array" aca="1" ref="BH170" ca="1">IF(INDIRECT(ADDRESS($B170+1,BH$164,1,1,"Confirmed Trend"))=0,#N/A,INDIRECT(ADDRESS($B170+1,BH$164,1,1,"Confirmed Trend")))</f>
        <v>0.1928696379</v>
      </c>
      <c r="BI170" s="18" cm="1">
        <f t="array" aca="1" ref="BI170" ca="1">IF(INDIRECT(ADDRESS($B170+1,BI$164,1,1,"Confirmed Trend"))=0,#N/A,INDIRECT(ADDRESS($B170+1,BI$164,1,1,"Confirmed Trend")))</f>
        <v>0.16669921200000001</v>
      </c>
      <c r="BJ170" s="18" cm="1">
        <f t="array" aca="1" ref="BJ170" ca="1">IF(INDIRECT(ADDRESS($B170+1,BJ$164,1,1,"Confirmed Trend"))=0,#N/A,INDIRECT(ADDRESS($B170+1,BJ$164,1,1,"Confirmed Trend")))</f>
        <v>0.1814962668</v>
      </c>
      <c r="BK170" s="18" cm="1">
        <f t="array" aca="1" ref="BK170" ca="1">IF(INDIRECT(ADDRESS($B170+1,BK$164,1,1,"Confirmed Trend"))=0,#N/A,INDIRECT(ADDRESS($B170+1,BK$164,1,1,"Confirmed Trend")))</f>
        <v>0.1839873528</v>
      </c>
      <c r="BL170" s="18" cm="1">
        <f t="array" aca="1" ref="BL170" ca="1">IF(INDIRECT(ADDRESS($B170+1,BL$164,1,1,"Confirmed Trend"))=0,#N/A,INDIRECT(ADDRESS($B170+1,BL$164,1,1,"Confirmed Trend")))</f>
        <v>0.18001484200000001</v>
      </c>
      <c r="BM170" s="18" cm="1">
        <f t="array" aca="1" ref="BM170" ca="1">IF(INDIRECT(ADDRESS($B170+1,BM$164,1,1,"Confirmed Trend"))=0,#N/A,INDIRECT(ADDRESS($B170+1,BM$164,1,1,"Confirmed Trend")))</f>
        <v>0.17282591990000001</v>
      </c>
      <c r="BN170" s="18" cm="1">
        <f t="array" aca="1" ref="BN170" ca="1">IF(INDIRECT(ADDRESS($B170+1,BN$164,1,1,"Confirmed Trend"))=0,#N/A,INDIRECT(ADDRESS($B170+1,BN$164,1,1,"Confirmed Trend")))</f>
        <v>0.16077224109999999</v>
      </c>
      <c r="BO170" s="18" cm="1">
        <f t="array" aca="1" ref="BO170" ca="1">IF(INDIRECT(ADDRESS($B170+1,BO$164,1,1,"Confirmed Trend"))=0,#N/A,INDIRECT(ADDRESS($B170+1,BO$164,1,1,"Confirmed Trend")))</f>
        <v>0.14156014519999999</v>
      </c>
      <c r="BP170" s="18" cm="1">
        <f t="array" aca="1" ref="BP170" ca="1">IF(INDIRECT(ADDRESS($B170+1,BP$164,1,1,"Confirmed Trend"))=0,#N/A,INDIRECT(ADDRESS($B170+1,BP$164,1,1,"Confirmed Trend")))</f>
        <v>0.12183532969999999</v>
      </c>
      <c r="BQ170" s="18" cm="1">
        <f t="array" aca="1" ref="BQ170" ca="1">IF(INDIRECT(ADDRESS($B170+1,BQ$164,1,1,"Confirmed Trend"))=0,#N/A,INDIRECT(ADDRESS($B170+1,BQ$164,1,1,"Confirmed Trend")))</f>
        <v>0.12560386470000001</v>
      </c>
      <c r="BR170" s="18" t="e" cm="1">
        <f t="array" aca="1" ref="BR170" ca="1">IF(INDIRECT(ADDRESS($B170+1,BR$164,1,1,"Confirmed Trend"))=0,#N/A,INDIRECT(ADDRESS($B170+1,BR$164,1,1,"Confirmed Trend")))</f>
        <v>#N/A</v>
      </c>
      <c r="BS170" s="18" t="e" cm="1">
        <f t="array" aca="1" ref="BS170" ca="1">IF(INDIRECT(ADDRESS($B170+1,BS$164,1,1,"Confirmed Trend"))=0,#N/A,INDIRECT(ADDRESS($B170+1,BS$164,1,1,"Confirmed Trend")))</f>
        <v>#N/A</v>
      </c>
      <c r="BT170" s="18" t="e" cm="1">
        <f t="array" aca="1" ref="BT170" ca="1">IF(INDIRECT(ADDRESS($B170+1,BT$164,1,1,"Confirmed Trend"))=0,#N/A,INDIRECT(ADDRESS($B170+1,BT$164,1,1,"Confirmed Trend")))</f>
        <v>#N/A</v>
      </c>
      <c r="BU170" s="18" t="e" cm="1">
        <f t="array" aca="1" ref="BU170" ca="1">IF(INDIRECT(ADDRESS($B170+1,BU$164,1,1,"Confirmed Trend"))=0,#N/A,INDIRECT(ADDRESS($B170+1,BU$164,1,1,"Confirmed Trend")))</f>
        <v>#N/A</v>
      </c>
      <c r="BV170" s="18" t="e" cm="1">
        <f t="array" aca="1" ref="BV170" ca="1">IF(INDIRECT(ADDRESS($B170+1,BV$164,1,1,"Confirmed Trend"))=0,#N/A,INDIRECT(ADDRESS($B170+1,BV$164,1,1,"Confirmed Trend")))</f>
        <v>#N/A</v>
      </c>
    </row>
    <row r="171" spans="2:74" x14ac:dyDescent="0.25">
      <c r="B171">
        <f t="shared" si="132"/>
        <v>6</v>
      </c>
      <c r="C171" t="str" cm="1">
        <f t="array" aca="1" ref="C171" ca="1">INDIRECT(ADDRESS($B171+1,1,1,1,"Confirmed Trend"))</f>
        <v>Switzerland Basel Country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cm="1">
        <f t="array" aca="1" ref="AV171" ca="1">IF(INDIRECT(ADDRESS($B171+1,AV$164,1,1,"Confirmed Trend"))=0,#N/A,INDIRECT(ADDRESS($B171+1,AV$164,1,1,"Confirmed Trend")))</f>
        <v>0.18920711500000001</v>
      </c>
      <c r="AW171" s="18" cm="1">
        <f t="array" aca="1" ref="AW171" ca="1">IF(INDIRECT(ADDRESS($B171+1,AW$164,1,1,"Confirmed Trend"))=0,#N/A,INDIRECT(ADDRESS($B171+1,AW$164,1,1,"Confirmed Trend")))</f>
        <v>0.23593091699999999</v>
      </c>
      <c r="AX171" s="18" cm="1">
        <f t="array" aca="1" ref="AX171" ca="1">IF(INDIRECT(ADDRESS($B171+1,AX$164,1,1,"Confirmed Trend"))=0,#N/A,INDIRECT(ADDRESS($B171+1,AX$164,1,1,"Confirmed Trend")))</f>
        <v>0.4564753151</v>
      </c>
      <c r="AY171" s="18" cm="1">
        <f t="array" aca="1" ref="AY171" ca="1">IF(INDIRECT(ADDRESS($B171+1,AY$164,1,1,"Confirmed Trend"))=0,#N/A,INDIRECT(ADDRESS($B171+1,AY$164,1,1,"Confirmed Trend")))</f>
        <v>0.6068568379</v>
      </c>
      <c r="AZ171" s="18" cm="1">
        <f t="array" aca="1" ref="AZ171" ca="1">IF(INDIRECT(ADDRESS($B171+1,AZ$164,1,1,"Confirmed Trend"))=0,#N/A,INDIRECT(ADDRESS($B171+1,AZ$164,1,1,"Confirmed Trend")))</f>
        <v>0.52439824450000005</v>
      </c>
      <c r="BA171" s="18" cm="1">
        <f t="array" aca="1" ref="BA171" ca="1">IF(INDIRECT(ADDRESS($B171+1,BA$164,1,1,"Confirmed Trend"))=0,#N/A,INDIRECT(ADDRESS($B171+1,BA$164,1,1,"Confirmed Trend")))</f>
        <v>0.44477577080000003</v>
      </c>
      <c r="BB171" s="18" cm="1">
        <f t="array" aca="1" ref="BB171" ca="1">IF(INDIRECT(ADDRESS($B171+1,BB$164,1,1,"Confirmed Trend"))=0,#N/A,INDIRECT(ADDRESS($B171+1,BB$164,1,1,"Confirmed Trend")))</f>
        <v>0.25975556960000001</v>
      </c>
      <c r="BC171" s="18" cm="1">
        <f t="array" aca="1" ref="BC171" ca="1">IF(INDIRECT(ADDRESS($B171+1,BC$164,1,1,"Confirmed Trend"))=0,#N/A,INDIRECT(ADDRESS($B171+1,BC$164,1,1,"Confirmed Trend")))</f>
        <v>0.16625342479999999</v>
      </c>
      <c r="BD171" s="18" cm="1">
        <f t="array" aca="1" ref="BD171" ca="1">IF(INDIRECT(ADDRESS($B171+1,BD$164,1,1,"Confirmed Trend"))=0,#N/A,INDIRECT(ADDRESS($B171+1,BD$164,1,1,"Confirmed Trend")))</f>
        <v>0.14863890890000001</v>
      </c>
      <c r="BE171" s="18" cm="1">
        <f t="array" aca="1" ref="BE171" ca="1">IF(INDIRECT(ADDRESS($B171+1,BE$164,1,1,"Confirmed Trend"))=0,#N/A,INDIRECT(ADDRESS($B171+1,BE$164,1,1,"Confirmed Trend")))</f>
        <v>0.17176899209999999</v>
      </c>
      <c r="BF171" s="18" cm="1">
        <f t="array" aca="1" ref="BF171" ca="1">IF(INDIRECT(ADDRESS($B171+1,BF$164,1,1,"Confirmed Trend"))=0,#N/A,INDIRECT(ADDRESS($B171+1,BF$164,1,1,"Confirmed Trend")))</f>
        <v>0.2042226214</v>
      </c>
      <c r="BG171" s="18" cm="1">
        <f t="array" aca="1" ref="BG171" ca="1">IF(INDIRECT(ADDRESS($B171+1,BG$164,1,1,"Confirmed Trend"))=0,#N/A,INDIRECT(ADDRESS($B171+1,BG$164,1,1,"Confirmed Trend")))</f>
        <v>0.24361338199999999</v>
      </c>
      <c r="BH171" s="18" cm="1">
        <f t="array" aca="1" ref="BH171" ca="1">IF(INDIRECT(ADDRESS($B171+1,BH$164,1,1,"Confirmed Trend"))=0,#N/A,INDIRECT(ADDRESS($B171+1,BH$164,1,1,"Confirmed Trend")))</f>
        <v>0.23546107059999999</v>
      </c>
      <c r="BI171" s="18" cm="1">
        <f t="array" aca="1" ref="BI171" ca="1">IF(INDIRECT(ADDRESS($B171+1,BI$164,1,1,"Confirmed Trend"))=0,#N/A,INDIRECT(ADDRESS($B171+1,BI$164,1,1,"Confirmed Trend")))</f>
        <v>0.25026513299999997</v>
      </c>
      <c r="BJ171" s="18" cm="1">
        <f t="array" aca="1" ref="BJ171" ca="1">IF(INDIRECT(ADDRESS($B171+1,BJ$164,1,1,"Confirmed Trend"))=0,#N/A,INDIRECT(ADDRESS($B171+1,BJ$164,1,1,"Confirmed Trend")))</f>
        <v>0.24084037180000001</v>
      </c>
      <c r="BK171" s="18" cm="1">
        <f t="array" aca="1" ref="BK171" ca="1">IF(INDIRECT(ADDRESS($B171+1,BK$164,1,1,"Confirmed Trend"))=0,#N/A,INDIRECT(ADDRESS($B171+1,BK$164,1,1,"Confirmed Trend")))</f>
        <v>0.25135091580000002</v>
      </c>
      <c r="BL171" s="18" cm="1">
        <f t="array" aca="1" ref="BL171" ca="1">IF(INDIRECT(ADDRESS($B171+1,BL$164,1,1,"Confirmed Trend"))=0,#N/A,INDIRECT(ADDRESS($B171+1,BL$164,1,1,"Confirmed Trend")))</f>
        <v>0.28655033990000001</v>
      </c>
      <c r="BM171" s="18" cm="1">
        <f t="array" aca="1" ref="BM171" ca="1">IF(INDIRECT(ADDRESS($B171+1,BM$164,1,1,"Confirmed Trend"))=0,#N/A,INDIRECT(ADDRESS($B171+1,BM$164,1,1,"Confirmed Trend")))</f>
        <v>0.28029531990000001</v>
      </c>
      <c r="BN171" s="18" cm="1">
        <f t="array" aca="1" ref="BN171" ca="1">IF(INDIRECT(ADDRESS($B171+1,BN$164,1,1,"Confirmed Trend"))=0,#N/A,INDIRECT(ADDRESS($B171+1,BN$164,1,1,"Confirmed Trend")))</f>
        <v>0.26678711220000001</v>
      </c>
      <c r="BO171" s="18" cm="1">
        <f t="array" aca="1" ref="BO171" ca="1">IF(INDIRECT(ADDRESS($B171+1,BO$164,1,1,"Confirmed Trend"))=0,#N/A,INDIRECT(ADDRESS($B171+1,BO$164,1,1,"Confirmed Trend")))</f>
        <v>0.19901793230000001</v>
      </c>
      <c r="BP171" s="18" cm="1">
        <f t="array" aca="1" ref="BP171" ca="1">IF(INDIRECT(ADDRESS($B171+1,BP$164,1,1,"Confirmed Trend"))=0,#N/A,INDIRECT(ADDRESS($B171+1,BP$164,1,1,"Confirmed Trend")))</f>
        <v>0.1214469665</v>
      </c>
      <c r="BQ171" s="18" cm="1">
        <f t="array" aca="1" ref="BQ171" ca="1">IF(INDIRECT(ADDRESS($B171+1,BQ$164,1,1,"Confirmed Trend"))=0,#N/A,INDIRECT(ADDRESS($B171+1,BQ$164,1,1,"Confirmed Trend")))</f>
        <v>0.11437908500000001</v>
      </c>
      <c r="BR171" s="18" t="e" cm="1">
        <f t="array" aca="1" ref="BR171" ca="1">IF(INDIRECT(ADDRESS($B171+1,BR$164,1,1,"Confirmed Trend"))=0,#N/A,INDIRECT(ADDRESS($B171+1,BR$164,1,1,"Confirmed Trend")))</f>
        <v>#N/A</v>
      </c>
      <c r="BS171" s="18" t="e" cm="1">
        <f t="array" aca="1" ref="BS171" ca="1">IF(INDIRECT(ADDRESS($B171+1,BS$164,1,1,"Confirmed Trend"))=0,#N/A,INDIRECT(ADDRESS($B171+1,BS$164,1,1,"Confirmed Trend")))</f>
        <v>#N/A</v>
      </c>
      <c r="BT171" s="18" t="e" cm="1">
        <f t="array" aca="1" ref="BT171" ca="1">IF(INDIRECT(ADDRESS($B171+1,BT$164,1,1,"Confirmed Trend"))=0,#N/A,INDIRECT(ADDRESS($B171+1,BT$164,1,1,"Confirmed Trend")))</f>
        <v>#N/A</v>
      </c>
      <c r="BU171" s="18" t="e" cm="1">
        <f t="array" aca="1" ref="BU171" ca="1">IF(INDIRECT(ADDRESS($B171+1,BU$164,1,1,"Confirmed Trend"))=0,#N/A,INDIRECT(ADDRESS($B171+1,BU$164,1,1,"Confirmed Trend")))</f>
        <v>#N/A</v>
      </c>
      <c r="BV171" s="18" t="e" cm="1">
        <f t="array" aca="1" ref="BV171" ca="1">IF(INDIRECT(ADDRESS($B171+1,BV$164,1,1,"Confirmed Trend"))=0,#N/A,INDIRECT(ADDRESS($B171+1,BV$164,1,1,"Confirmed Trend")))</f>
        <v>#N/A</v>
      </c>
    </row>
    <row r="172" spans="2:74" x14ac:dyDescent="0.25">
      <c r="B172">
        <f t="shared" si="132"/>
        <v>7</v>
      </c>
      <c r="C172" t="str" cm="1">
        <f t="array" aca="1" ref="C172" ca="1">INDIRECT(ADDRESS($B172+1,1,1,1,"Confirmed Trend"))</f>
        <v>Switzerland Berne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t="e" cm="1">
        <f t="array" aca="1" ref="BB172" ca="1">IF(INDIRECT(ADDRESS($B172+1,BB$164,1,1,"Confirmed Trend"))=0,#N/A,INDIRECT(ADDRESS($B172+1,BB$164,1,1,"Confirmed Trend")))</f>
        <v>#N/A</v>
      </c>
      <c r="BC172" s="18" t="e" cm="1">
        <f t="array" aca="1" ref="BC172" ca="1">IF(INDIRECT(ADDRESS($B172+1,BC$164,1,1,"Confirmed Trend"))=0,#N/A,INDIRECT(ADDRESS($B172+1,BC$164,1,1,"Confirmed Trend")))</f>
        <v>#N/A</v>
      </c>
      <c r="BD172" s="18" t="e" cm="1">
        <f t="array" aca="1" ref="BD172" ca="1">IF(INDIRECT(ADDRESS($B172+1,BD$164,1,1,"Confirmed Trend"))=0,#N/A,INDIRECT(ADDRESS($B172+1,BD$164,1,1,"Confirmed Trend")))</f>
        <v>#N/A</v>
      </c>
      <c r="BE172" s="18" t="e" cm="1">
        <f t="array" aca="1" ref="BE172" ca="1">IF(INDIRECT(ADDRESS($B172+1,BE$164,1,1,"Confirmed Trend"))=0,#N/A,INDIRECT(ADDRESS($B172+1,BE$164,1,1,"Confirmed Trend")))</f>
        <v>#N/A</v>
      </c>
      <c r="BF172" s="18" t="e" cm="1">
        <f t="array" aca="1" ref="BF172" ca="1">IF(INDIRECT(ADDRESS($B172+1,BF$164,1,1,"Confirmed Trend"))=0,#N/A,INDIRECT(ADDRESS($B172+1,BF$164,1,1,"Confirmed Trend")))</f>
        <v>#N/A</v>
      </c>
      <c r="BG172" s="18" t="e" cm="1">
        <f t="array" aca="1" ref="BG172" ca="1">IF(INDIRECT(ADDRESS($B172+1,BG$164,1,1,"Confirmed Trend"))=0,#N/A,INDIRECT(ADDRESS($B172+1,BG$164,1,1,"Confirmed Trend")))</f>
        <v>#N/A</v>
      </c>
      <c r="BH172" s="18" t="e" cm="1">
        <f t="array" aca="1" ref="BH172" ca="1">IF(INDIRECT(ADDRESS($B172+1,BH$164,1,1,"Confirmed Trend"))=0,#N/A,INDIRECT(ADDRESS($B172+1,BH$164,1,1,"Confirmed Trend")))</f>
        <v>#N/A</v>
      </c>
      <c r="BI172" s="18" t="e" cm="1">
        <f t="array" aca="1" ref="BI172" ca="1">IF(INDIRECT(ADDRESS($B172+1,BI$164,1,1,"Confirmed Trend"))=0,#N/A,INDIRECT(ADDRESS($B172+1,BI$164,1,1,"Confirmed Trend")))</f>
        <v>#N/A</v>
      </c>
      <c r="BJ172" s="18" t="e" cm="1">
        <f t="array" aca="1" ref="BJ172" ca="1">IF(INDIRECT(ADDRESS($B172+1,BJ$164,1,1,"Confirmed Trend"))=0,#N/A,INDIRECT(ADDRESS($B172+1,BJ$164,1,1,"Confirmed Trend")))</f>
        <v>#N/A</v>
      </c>
      <c r="BK172" s="18" t="e" cm="1">
        <f t="array" aca="1" ref="BK172" ca="1">IF(INDIRECT(ADDRESS($B172+1,BK$164,1,1,"Confirmed Trend"))=0,#N/A,INDIRECT(ADDRESS($B172+1,BK$164,1,1,"Confirmed Trend")))</f>
        <v>#N/A</v>
      </c>
      <c r="BL172" s="18" t="e" cm="1">
        <f t="array" aca="1" ref="BL172" ca="1">IF(INDIRECT(ADDRESS($B172+1,BL$164,1,1,"Confirmed Trend"))=0,#N/A,INDIRECT(ADDRESS($B172+1,BL$164,1,1,"Confirmed Trend")))</f>
        <v>#N/A</v>
      </c>
      <c r="BM172" s="18" cm="1">
        <f t="array" aca="1" ref="BM172" ca="1">IF(INDIRECT(ADDRESS($B172+1,BM$164,1,1,"Confirmed Trend"))=0,#N/A,INDIRECT(ADDRESS($B172+1,BM$164,1,1,"Confirmed Trend")))</f>
        <v>0.28928541619999998</v>
      </c>
      <c r="BN172" s="18" cm="1">
        <f t="array" aca="1" ref="BN172" ca="1">IF(INDIRECT(ADDRESS($B172+1,BN$164,1,1,"Confirmed Trend"))=0,#N/A,INDIRECT(ADDRESS($B172+1,BN$164,1,1,"Confirmed Trend")))</f>
        <v>0.215655441</v>
      </c>
      <c r="BO172" s="18" cm="1">
        <f t="array" aca="1" ref="BO172" ca="1">IF(INDIRECT(ADDRESS($B172+1,BO$164,1,1,"Confirmed Trend"))=0,#N/A,INDIRECT(ADDRESS($B172+1,BO$164,1,1,"Confirmed Trend")))</f>
        <v>0.13621936649999999</v>
      </c>
      <c r="BP172" s="18" cm="1">
        <f t="array" aca="1" ref="BP172" ca="1">IF(INDIRECT(ADDRESS($B172+1,BP$164,1,1,"Confirmed Trend"))=0,#N/A,INDIRECT(ADDRESS($B172+1,BP$164,1,1,"Confirmed Trend")))</f>
        <v>0.10847578300000001</v>
      </c>
      <c r="BQ172" s="18" cm="1">
        <f t="array" aca="1" ref="BQ172" ca="1">IF(INDIRECT(ADDRESS($B172+1,BQ$164,1,1,"Confirmed Trend"))=0,#N/A,INDIRECT(ADDRESS($B172+1,BQ$164,1,1,"Confirmed Trend")))</f>
        <v>0.17293233080000001</v>
      </c>
      <c r="BR172" s="18" t="e" cm="1">
        <f t="array" aca="1" ref="BR172" ca="1">IF(INDIRECT(ADDRESS($B172+1,BR$164,1,1,"Confirmed Trend"))=0,#N/A,INDIRECT(ADDRESS($B172+1,BR$164,1,1,"Confirmed Trend")))</f>
        <v>#N/A</v>
      </c>
      <c r="BS172" s="18" t="e" cm="1">
        <f t="array" aca="1" ref="BS172" ca="1">IF(INDIRECT(ADDRESS($B172+1,BS$164,1,1,"Confirmed Trend"))=0,#N/A,INDIRECT(ADDRESS($B172+1,BS$164,1,1,"Confirmed Trend")))</f>
        <v>#N/A</v>
      </c>
      <c r="BT172" s="18" t="e" cm="1">
        <f t="array" aca="1" ref="BT172" ca="1">IF(INDIRECT(ADDRESS($B172+1,BT$164,1,1,"Confirmed Trend"))=0,#N/A,INDIRECT(ADDRESS($B172+1,BT$164,1,1,"Confirmed Trend")))</f>
        <v>#N/A</v>
      </c>
      <c r="BU172" s="18" t="e" cm="1">
        <f t="array" aca="1" ref="BU172" ca="1">IF(INDIRECT(ADDRESS($B172+1,BU$164,1,1,"Confirmed Trend"))=0,#N/A,INDIRECT(ADDRESS($B172+1,BU$164,1,1,"Confirmed Trend")))</f>
        <v>#N/A</v>
      </c>
      <c r="BV172" s="18" t="e" cm="1">
        <f t="array" aca="1" ref="BV172" ca="1">IF(INDIRECT(ADDRESS($B172+1,BV$164,1,1,"Confirmed Trend"))=0,#N/A,INDIRECT(ADDRESS($B172+1,BV$164,1,1,"Confirmed Trend")))</f>
        <v>#N/A</v>
      </c>
    </row>
    <row r="173" spans="2:74" x14ac:dyDescent="0.25">
      <c r="B173">
        <f t="shared" si="132"/>
        <v>8</v>
      </c>
      <c r="C173" t="str" cm="1">
        <f t="array" aca="1" ref="C173" ca="1">INDIRECT(ADDRESS($B173+1,1,1,1,"Confirmed Trend"))</f>
        <v>Switzerland Friborg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cm="1">
        <f t="array" aca="1" ref="AX173" ca="1">IF(INDIRECT(ADDRESS($B173+1,AX$164,1,1,"Confirmed Trend"))=0,#N/A,INDIRECT(ADDRESS($B173+1,AX$164,1,1,"Confirmed Trend")))</f>
        <v>0.37744930799999998</v>
      </c>
      <c r="AY173" s="18" cm="1">
        <f t="array" aca="1" ref="AY173" ca="1">IF(INDIRECT(ADDRESS($B173+1,AY$164,1,1,"Confirmed Trend"))=0,#N/A,INDIRECT(ADDRESS($B173+1,AY$164,1,1,"Confirmed Trend")))</f>
        <v>0.25743342969999999</v>
      </c>
      <c r="AZ173" s="18" cm="1">
        <f t="array" aca="1" ref="AZ173" ca="1">IF(INDIRECT(ADDRESS($B173+1,AZ$164,1,1,"Confirmed Trend"))=0,#N/A,INDIRECT(ADDRESS($B173+1,AZ$164,1,1,"Confirmed Trend")))</f>
        <v>0.2014057071</v>
      </c>
      <c r="BA173" s="18" cm="1">
        <f t="array" aca="1" ref="BA173" ca="1">IF(INDIRECT(ADDRESS($B173+1,BA$164,1,1,"Confirmed Trend"))=0,#N/A,INDIRECT(ADDRESS($B173+1,BA$164,1,1,"Confirmed Trend")))</f>
        <v>0.17017365970000001</v>
      </c>
      <c r="BB173" s="18" cm="1">
        <f t="array" aca="1" ref="BB173" ca="1">IF(INDIRECT(ADDRESS($B173+1,BB$164,1,1,"Confirmed Trend"))=0,#N/A,INDIRECT(ADDRESS($B173+1,BB$164,1,1,"Confirmed Trend")))</f>
        <v>0.20539052369999999</v>
      </c>
      <c r="BC173" s="18" cm="1">
        <f t="array" aca="1" ref="BC173" ca="1">IF(INDIRECT(ADDRESS($B173+1,BC$164,1,1,"Confirmed Trend"))=0,#N/A,INDIRECT(ADDRESS($B173+1,BC$164,1,1,"Confirmed Trend")))</f>
        <v>0.251098551</v>
      </c>
      <c r="BD173" s="18" cm="1">
        <f t="array" aca="1" ref="BD173" ca="1">IF(INDIRECT(ADDRESS($B173+1,BD$164,1,1,"Confirmed Trend"))=0,#N/A,INDIRECT(ADDRESS($B173+1,BD$164,1,1,"Confirmed Trend")))</f>
        <v>0.27948057990000003</v>
      </c>
      <c r="BE173" s="18" cm="1">
        <f t="array" aca="1" ref="BE173" ca="1">IF(INDIRECT(ADDRESS($B173+1,BE$164,1,1,"Confirmed Trend"))=0,#N/A,INDIRECT(ADDRESS($B173+1,BE$164,1,1,"Confirmed Trend")))</f>
        <v>0.3049669102</v>
      </c>
      <c r="BF173" s="18" cm="1">
        <f t="array" aca="1" ref="BF173" ca="1">IF(INDIRECT(ADDRESS($B173+1,BF$164,1,1,"Confirmed Trend"))=0,#N/A,INDIRECT(ADDRESS($B173+1,BF$164,1,1,"Confirmed Trend")))</f>
        <v>0.28929240880000001</v>
      </c>
      <c r="BG173" s="18" cm="1">
        <f t="array" aca="1" ref="BG173" ca="1">IF(INDIRECT(ADDRESS($B173+1,BG$164,1,1,"Confirmed Trend"))=0,#N/A,INDIRECT(ADDRESS($B173+1,BG$164,1,1,"Confirmed Trend")))</f>
        <v>0.25356634109999998</v>
      </c>
      <c r="BH173" s="18" cm="1">
        <f t="array" aca="1" ref="BH173" ca="1">IF(INDIRECT(ADDRESS($B173+1,BH$164,1,1,"Confirmed Trend"))=0,#N/A,INDIRECT(ADDRESS($B173+1,BH$164,1,1,"Confirmed Trend")))</f>
        <v>0.21079863409999999</v>
      </c>
      <c r="BI173" s="18" cm="1">
        <f t="array" aca="1" ref="BI173" ca="1">IF(INDIRECT(ADDRESS($B173+1,BI$164,1,1,"Confirmed Trend"))=0,#N/A,INDIRECT(ADDRESS($B173+1,BI$164,1,1,"Confirmed Trend")))</f>
        <v>0.21565009139999999</v>
      </c>
      <c r="BJ173" s="18" cm="1">
        <f t="array" aca="1" ref="BJ173" ca="1">IF(INDIRECT(ADDRESS($B173+1,BJ$164,1,1,"Confirmed Trend"))=0,#N/A,INDIRECT(ADDRESS($B173+1,BJ$164,1,1,"Confirmed Trend")))</f>
        <v>0.24957597479999999</v>
      </c>
      <c r="BK173" s="18" cm="1">
        <f t="array" aca="1" ref="BK173" ca="1">IF(INDIRECT(ADDRESS($B173+1,BK$164,1,1,"Confirmed Trend"))=0,#N/A,INDIRECT(ADDRESS($B173+1,BK$164,1,1,"Confirmed Trend")))</f>
        <v>0.29661243980000002</v>
      </c>
      <c r="BL173" s="18" cm="1">
        <f t="array" aca="1" ref="BL173" ca="1">IF(INDIRECT(ADDRESS($B173+1,BL$164,1,1,"Confirmed Trend"))=0,#N/A,INDIRECT(ADDRESS($B173+1,BL$164,1,1,"Confirmed Trend")))</f>
        <v>0.3091652493</v>
      </c>
      <c r="BM173" s="18" cm="1">
        <f t="array" aca="1" ref="BM173" ca="1">IF(INDIRECT(ADDRESS($B173+1,BM$164,1,1,"Confirmed Trend"))=0,#N/A,INDIRECT(ADDRESS($B173+1,BM$164,1,1,"Confirmed Trend")))</f>
        <v>0.2824852517</v>
      </c>
      <c r="BN173" s="18" cm="1">
        <f t="array" aca="1" ref="BN173" ca="1">IF(INDIRECT(ADDRESS($B173+1,BN$164,1,1,"Confirmed Trend"))=0,#N/A,INDIRECT(ADDRESS($B173+1,BN$164,1,1,"Confirmed Trend")))</f>
        <v>0.23472218119999999</v>
      </c>
      <c r="BO173" s="18" cm="1">
        <f t="array" aca="1" ref="BO173" ca="1">IF(INDIRECT(ADDRESS($B173+1,BO$164,1,1,"Confirmed Trend"))=0,#N/A,INDIRECT(ADDRESS($B173+1,BO$164,1,1,"Confirmed Trend")))</f>
        <v>0.1887722248</v>
      </c>
      <c r="BP173" s="18" cm="1">
        <f t="array" aca="1" ref="BP173" ca="1">IF(INDIRECT(ADDRESS($B173+1,BP$164,1,1,"Confirmed Trend"))=0,#N/A,INDIRECT(ADDRESS($B173+1,BP$164,1,1,"Confirmed Trend")))</f>
        <v>0.16305472060000001</v>
      </c>
      <c r="BQ173" s="18" cm="1">
        <f t="array" aca="1" ref="BQ173" ca="1">IF(INDIRECT(ADDRESS($B173+1,BQ$164,1,1,"Confirmed Trend"))=0,#N/A,INDIRECT(ADDRESS($B173+1,BQ$164,1,1,"Confirmed Trend")))</f>
        <v>0.14901960780000001</v>
      </c>
      <c r="BR173" s="18" t="e" cm="1">
        <f t="array" aca="1" ref="BR173" ca="1">IF(INDIRECT(ADDRESS($B173+1,BR$164,1,1,"Confirmed Trend"))=0,#N/A,INDIRECT(ADDRESS($B173+1,BR$164,1,1,"Confirmed Trend")))</f>
        <v>#N/A</v>
      </c>
      <c r="BS173" s="18" t="e" cm="1">
        <f t="array" aca="1" ref="BS173" ca="1">IF(INDIRECT(ADDRESS($B173+1,BS$164,1,1,"Confirmed Trend"))=0,#N/A,INDIRECT(ADDRESS($B173+1,BS$164,1,1,"Confirmed Trend")))</f>
        <v>#N/A</v>
      </c>
      <c r="BT173" s="18" t="e" cm="1">
        <f t="array" aca="1" ref="BT173" ca="1">IF(INDIRECT(ADDRESS($B173+1,BT$164,1,1,"Confirmed Trend"))=0,#N/A,INDIRECT(ADDRESS($B173+1,BT$164,1,1,"Confirmed Trend")))</f>
        <v>#N/A</v>
      </c>
      <c r="BU173" s="18" t="e" cm="1">
        <f t="array" aca="1" ref="BU173" ca="1">IF(INDIRECT(ADDRESS($B173+1,BU$164,1,1,"Confirmed Trend"))=0,#N/A,INDIRECT(ADDRESS($B173+1,BU$164,1,1,"Confirmed Trend")))</f>
        <v>#N/A</v>
      </c>
      <c r="BV173" s="18" t="e" cm="1">
        <f t="array" aca="1" ref="BV173" ca="1">IF(INDIRECT(ADDRESS($B173+1,BV$164,1,1,"Confirmed Trend"))=0,#N/A,INDIRECT(ADDRESS($B173+1,BV$164,1,1,"Confirmed Trend")))</f>
        <v>#N/A</v>
      </c>
    </row>
    <row r="174" spans="2:74" x14ac:dyDescent="0.25">
      <c r="B174">
        <f t="shared" si="132"/>
        <v>9</v>
      </c>
      <c r="C174" t="str" cm="1">
        <f t="array" aca="1" ref="C174" ca="1">INDIRECT(ADDRESS($B174+1,1,1,1,"Confirmed Trend"))</f>
        <v>Switzerland Geneva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cm="1">
        <f t="array" aca="1" ref="AT174" ca="1">IF(INDIRECT(ADDRESS($B174+1,AT$164,1,1,"Confirmed Trend"))=0,#N/A,INDIRECT(ADDRESS($B174+1,AT$164,1,1,"Confirmed Trend")))</f>
        <v>0.46450027620000001</v>
      </c>
      <c r="AU174" s="18" cm="1">
        <f t="array" aca="1" ref="AU174" ca="1">IF(INDIRECT(ADDRESS($B174+1,AU$164,1,1,"Confirmed Trend"))=0,#N/A,INDIRECT(ADDRESS($B174+1,AU$164,1,1,"Confirmed Trend")))</f>
        <v>0.29099444870000002</v>
      </c>
      <c r="AV174" s="18" cm="1">
        <f t="array" aca="1" ref="AV174" ca="1">IF(INDIRECT(ADDRESS($B174+1,AV$164,1,1,"Confirmed Trend"))=0,#N/A,INDIRECT(ADDRESS($B174+1,AV$164,1,1,"Confirmed Trend")))</f>
        <v>0.1989956534</v>
      </c>
      <c r="AW174" s="18" cm="1">
        <f t="array" aca="1" ref="AW174" ca="1">IF(INDIRECT(ADDRESS($B174+1,AW$164,1,1,"Confirmed Trend"))=0,#N/A,INDIRECT(ADDRESS($B174+1,AW$164,1,1,"Confirmed Trend")))</f>
        <v>0.19695480230000001</v>
      </c>
      <c r="AX174" s="18" cm="1">
        <f t="array" aca="1" ref="AX174" ca="1">IF(INDIRECT(ADDRESS($B174+1,AX$164,1,1,"Confirmed Trend"))=0,#N/A,INDIRECT(ADDRESS($B174+1,AX$164,1,1,"Confirmed Trend")))</f>
        <v>0.24915130999999999</v>
      </c>
      <c r="AY174" s="18" cm="1">
        <f t="array" aca="1" ref="AY174" ca="1">IF(INDIRECT(ADDRESS($B174+1,AY$164,1,1,"Confirmed Trend"))=0,#N/A,INDIRECT(ADDRESS($B174+1,AY$164,1,1,"Confirmed Trend")))</f>
        <v>0.32904182529999998</v>
      </c>
      <c r="AZ174" s="18" cm="1">
        <f t="array" aca="1" ref="AZ174" ca="1">IF(INDIRECT(ADDRESS($B174+1,AZ$164,1,1,"Confirmed Trend"))=0,#N/A,INDIRECT(ADDRESS($B174+1,AZ$164,1,1,"Confirmed Trend")))</f>
        <v>0.35661589519999998</v>
      </c>
      <c r="BA174" s="18" cm="1">
        <f t="array" aca="1" ref="BA174" ca="1">IF(INDIRECT(ADDRESS($B174+1,BA$164,1,1,"Confirmed Trend"))=0,#N/A,INDIRECT(ADDRESS($B174+1,BA$164,1,1,"Confirmed Trend")))</f>
        <v>0.39335949660000002</v>
      </c>
      <c r="BB174" s="18" cm="1">
        <f t="array" aca="1" ref="BB174" ca="1">IF(INDIRECT(ADDRESS($B174+1,BB$164,1,1,"Confirmed Trend"))=0,#N/A,INDIRECT(ADDRESS($B174+1,BB$164,1,1,"Confirmed Trend")))</f>
        <v>0.35897458580000002</v>
      </c>
      <c r="BC174" s="18" cm="1">
        <f t="array" aca="1" ref="BC174" ca="1">IF(INDIRECT(ADDRESS($B174+1,BC$164,1,1,"Confirmed Trend"))=0,#N/A,INDIRECT(ADDRESS($B174+1,BC$164,1,1,"Confirmed Trend")))</f>
        <v>0.3446566204</v>
      </c>
      <c r="BD174" s="18" cm="1">
        <f t="array" aca="1" ref="BD174" ca="1">IF(INDIRECT(ADDRESS($B174+1,BD$164,1,1,"Confirmed Trend"))=0,#N/A,INDIRECT(ADDRESS($B174+1,BD$164,1,1,"Confirmed Trend")))</f>
        <v>0.36074986660000002</v>
      </c>
      <c r="BE174" s="18" cm="1">
        <f t="array" aca="1" ref="BE174" ca="1">IF(INDIRECT(ADDRESS($B174+1,BE$164,1,1,"Confirmed Trend"))=0,#N/A,INDIRECT(ADDRESS($B174+1,BE$164,1,1,"Confirmed Trend")))</f>
        <v>0.39893573789999998</v>
      </c>
      <c r="BF174" s="18" cm="1">
        <f t="array" aca="1" ref="BF174" ca="1">IF(INDIRECT(ADDRESS($B174+1,BF$164,1,1,"Confirmed Trend"))=0,#N/A,INDIRECT(ADDRESS($B174+1,BF$164,1,1,"Confirmed Trend")))</f>
        <v>0.44250735289999998</v>
      </c>
      <c r="BG174" s="18" cm="1">
        <f t="array" aca="1" ref="BG174" ca="1">IF(INDIRECT(ADDRESS($B174+1,BG$164,1,1,"Confirmed Trend"))=0,#N/A,INDIRECT(ADDRESS($B174+1,BG$164,1,1,"Confirmed Trend")))</f>
        <v>0.44960458009999998</v>
      </c>
      <c r="BH174" s="18" cm="1">
        <f t="array" aca="1" ref="BH174" ca="1">IF(INDIRECT(ADDRESS($B174+1,BH$164,1,1,"Confirmed Trend"))=0,#N/A,INDIRECT(ADDRESS($B174+1,BH$164,1,1,"Confirmed Trend")))</f>
        <v>0.41982708400000002</v>
      </c>
      <c r="BI174" s="18" cm="1">
        <f t="array" aca="1" ref="BI174" ca="1">IF(INDIRECT(ADDRESS($B174+1,BI$164,1,1,"Confirmed Trend"))=0,#N/A,INDIRECT(ADDRESS($B174+1,BI$164,1,1,"Confirmed Trend")))</f>
        <v>0.34491645669999998</v>
      </c>
      <c r="BJ174" s="18" cm="1">
        <f t="array" aca="1" ref="BJ174" ca="1">IF(INDIRECT(ADDRESS($B174+1,BJ$164,1,1,"Confirmed Trend"))=0,#N/A,INDIRECT(ADDRESS($B174+1,BJ$164,1,1,"Confirmed Trend")))</f>
        <v>0.29571411850000001</v>
      </c>
      <c r="BK174" s="18" cm="1">
        <f t="array" aca="1" ref="BK174" ca="1">IF(INDIRECT(ADDRESS($B174+1,BK$164,1,1,"Confirmed Trend"))=0,#N/A,INDIRECT(ADDRESS($B174+1,BK$164,1,1,"Confirmed Trend")))</f>
        <v>0.26110253480000001</v>
      </c>
      <c r="BL174" s="18" cm="1">
        <f t="array" aca="1" ref="BL174" ca="1">IF(INDIRECT(ADDRESS($B174+1,BL$164,1,1,"Confirmed Trend"))=0,#N/A,INDIRECT(ADDRESS($B174+1,BL$164,1,1,"Confirmed Trend")))</f>
        <v>0.2309528535</v>
      </c>
      <c r="BM174" s="18" cm="1">
        <f t="array" aca="1" ref="BM174" ca="1">IF(INDIRECT(ADDRESS($B174+1,BM$164,1,1,"Confirmed Trend"))=0,#N/A,INDIRECT(ADDRESS($B174+1,BM$164,1,1,"Confirmed Trend")))</f>
        <v>0.19964080370000001</v>
      </c>
      <c r="BN174" s="18" cm="1">
        <f t="array" aca="1" ref="BN174" ca="1">IF(INDIRECT(ADDRESS($B174+1,BN$164,1,1,"Confirmed Trend"))=0,#N/A,INDIRECT(ADDRESS($B174+1,BN$164,1,1,"Confirmed Trend")))</f>
        <v>0.15775349280000001</v>
      </c>
      <c r="BO174" s="18" cm="1">
        <f t="array" aca="1" ref="BO174" ca="1">IF(INDIRECT(ADDRESS($B174+1,BO$164,1,1,"Confirmed Trend"))=0,#N/A,INDIRECT(ADDRESS($B174+1,BO$164,1,1,"Confirmed Trend")))</f>
        <v>0.1226532884</v>
      </c>
      <c r="BP174" s="18" cm="1">
        <f t="array" aca="1" ref="BP174" ca="1">IF(INDIRECT(ADDRESS($B174+1,BP$164,1,1,"Confirmed Trend"))=0,#N/A,INDIRECT(ADDRESS($B174+1,BP$164,1,1,"Confirmed Trend")))</f>
        <v>9.4199650999999995E-2</v>
      </c>
      <c r="BQ174" s="18" cm="1">
        <f t="array" aca="1" ref="BQ174" ca="1">IF(INDIRECT(ADDRESS($B174+1,BQ$164,1,1,"Confirmed Trend"))=0,#N/A,INDIRECT(ADDRESS($B174+1,BQ$164,1,1,"Confirmed Trend")))</f>
        <v>6.8836045100000007E-2</v>
      </c>
      <c r="BR174" s="18" t="e" cm="1">
        <f t="array" aca="1" ref="BR174" ca="1">IF(INDIRECT(ADDRESS($B174+1,BR$164,1,1,"Confirmed Trend"))=0,#N/A,INDIRECT(ADDRESS($B174+1,BR$164,1,1,"Confirmed Trend")))</f>
        <v>#N/A</v>
      </c>
      <c r="BS174" s="18" t="e" cm="1">
        <f t="array" aca="1" ref="BS174" ca="1">IF(INDIRECT(ADDRESS($B174+1,BS$164,1,1,"Confirmed Trend"))=0,#N/A,INDIRECT(ADDRESS($B174+1,BS$164,1,1,"Confirmed Trend")))</f>
        <v>#N/A</v>
      </c>
      <c r="BT174" s="18" t="e" cm="1">
        <f t="array" aca="1" ref="BT174" ca="1">IF(INDIRECT(ADDRESS($B174+1,BT$164,1,1,"Confirmed Trend"))=0,#N/A,INDIRECT(ADDRESS($B174+1,BT$164,1,1,"Confirmed Trend")))</f>
        <v>#N/A</v>
      </c>
      <c r="BU174" s="18" t="e" cm="1">
        <f t="array" aca="1" ref="BU174" ca="1">IF(INDIRECT(ADDRESS($B174+1,BU$164,1,1,"Confirmed Trend"))=0,#N/A,INDIRECT(ADDRESS($B174+1,BU$164,1,1,"Confirmed Trend")))</f>
        <v>#N/A</v>
      </c>
      <c r="BV174" s="18" t="e" cm="1">
        <f t="array" aca="1" ref="BV174" ca="1">IF(INDIRECT(ADDRESS($B174+1,BV$164,1,1,"Confirmed Trend"))=0,#N/A,INDIRECT(ADDRESS($B174+1,BV$164,1,1,"Confirmed Trend")))</f>
        <v>#N/A</v>
      </c>
    </row>
    <row r="175" spans="2:74" x14ac:dyDescent="0.25">
      <c r="B175">
        <f t="shared" si="132"/>
        <v>10</v>
      </c>
      <c r="C175" t="str" cm="1">
        <f t="array" aca="1" ref="C175" ca="1">INDIRECT(ADDRESS($B175+1,1,1,1,"Confirmed Trend"))</f>
        <v>Switzerland Glarus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t="e" cm="1">
        <f t="array" aca="1" ref="BK175" ca="1">IF(INDIRECT(ADDRESS($B175+1,BK$164,1,1,"Confirmed Trend"))=0,#N/A,INDIRECT(ADDRESS($B175+1,BK$164,1,1,"Confirmed Trend")))</f>
        <v>#N/A</v>
      </c>
      <c r="BL175" s="18" t="e" cm="1">
        <f t="array" aca="1" ref="BL175" ca="1">IF(INDIRECT(ADDRESS($B175+1,BL$164,1,1,"Confirmed Trend"))=0,#N/A,INDIRECT(ADDRESS($B175+1,BL$164,1,1,"Confirmed Trend")))</f>
        <v>#N/A</v>
      </c>
      <c r="BM175" s="18" t="e" cm="1">
        <f t="array" aca="1" ref="BM175" ca="1">IF(INDIRECT(ADDRESS($B175+1,BM$164,1,1,"Confirmed Trend"))=0,#N/A,INDIRECT(ADDRESS($B175+1,BM$164,1,1,"Confirmed Trend")))</f>
        <v>#N/A</v>
      </c>
      <c r="BN175" s="18" cm="1">
        <f t="array" aca="1" ref="BN175" ca="1">IF(INDIRECT(ADDRESS($B175+1,BN$164,1,1,"Confirmed Trend"))=0,#N/A,INDIRECT(ADDRESS($B175+1,BN$164,1,1,"Confirmed Trend")))</f>
        <v>0.20880526190000001</v>
      </c>
      <c r="BO175" s="18" cm="1">
        <f t="array" aca="1" ref="BO175" ca="1">IF(INDIRECT(ADDRESS($B175+1,BO$164,1,1,"Confirmed Trend"))=0,#N/A,INDIRECT(ADDRESS($B175+1,BO$164,1,1,"Confirmed Trend")))</f>
        <v>0.21218172490000001</v>
      </c>
      <c r="BP175" s="18" cm="1">
        <f t="array" aca="1" ref="BP175" ca="1">IF(INDIRECT(ADDRESS($B175+1,BP$164,1,1,"Confirmed Trend"))=0,#N/A,INDIRECT(ADDRESS($B175+1,BP$164,1,1,"Confirmed Trend")))</f>
        <v>0.1949941818</v>
      </c>
      <c r="BQ175" s="18" t="e" cm="1">
        <f t="array" aca="1" ref="BQ175" ca="1">IF(INDIRECT(ADDRESS($B175+1,BQ$164,1,1,"Confirmed Trend"))=0,#N/A,INDIRECT(ADDRESS($B175+1,BQ$164,1,1,"Confirmed Trend")))</f>
        <v>#N/A</v>
      </c>
      <c r="BR175" s="18" t="e" cm="1">
        <f t="array" aca="1" ref="BR175" ca="1">IF(INDIRECT(ADDRESS($B175+1,BR$164,1,1,"Confirmed Trend"))=0,#N/A,INDIRECT(ADDRESS($B175+1,BR$164,1,1,"Confirmed Trend")))</f>
        <v>#N/A</v>
      </c>
      <c r="BS175" s="18" t="e" cm="1">
        <f t="array" aca="1" ref="BS175" ca="1">IF(INDIRECT(ADDRESS($B175+1,BS$164,1,1,"Confirmed Trend"))=0,#N/A,INDIRECT(ADDRESS($B175+1,BS$164,1,1,"Confirmed Trend")))</f>
        <v>#N/A</v>
      </c>
      <c r="BT175" s="18" t="e" cm="1">
        <f t="array" aca="1" ref="BT175" ca="1">IF(INDIRECT(ADDRESS($B175+1,BT$164,1,1,"Confirmed Trend"))=0,#N/A,INDIRECT(ADDRESS($B175+1,BT$164,1,1,"Confirmed Trend")))</f>
        <v>#N/A</v>
      </c>
      <c r="BU175" s="18" t="e" cm="1">
        <f t="array" aca="1" ref="BU175" ca="1">IF(INDIRECT(ADDRESS($B175+1,BU$164,1,1,"Confirmed Trend"))=0,#N/A,INDIRECT(ADDRESS($B175+1,BU$164,1,1,"Confirmed Trend")))</f>
        <v>#N/A</v>
      </c>
      <c r="BV175" s="18" t="e" cm="1">
        <f t="array" aca="1" ref="BV175" ca="1">IF(INDIRECT(ADDRESS($B175+1,BV$164,1,1,"Confirmed Trend"))=0,#N/A,INDIRECT(ADDRESS($B175+1,BV$164,1,1,"Confirmed Trend")))</f>
        <v>#N/A</v>
      </c>
    </row>
    <row r="176" spans="2:74" x14ac:dyDescent="0.25">
      <c r="B176">
        <f t="shared" si="132"/>
        <v>11</v>
      </c>
      <c r="C176" t="str" cm="1">
        <f t="array" aca="1" ref="C176" ca="1">INDIRECT(ADDRESS($B176+1,1,1,1,"Confirmed Trend"))</f>
        <v>Switzerland Grisons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t="e" cm="1">
        <f t="array" aca="1" ref="BN176" ca="1">IF(INDIRECT(ADDRESS($B176+1,BN$164,1,1,"Confirmed Trend"))=0,#N/A,INDIRECT(ADDRESS($B176+1,BN$164,1,1,"Confirmed Trend")))</f>
        <v>#N/A</v>
      </c>
      <c r="BO176" s="18" cm="1">
        <f t="array" aca="1" ref="BO176" ca="1">IF(INDIRECT(ADDRESS($B176+1,BO$164,1,1,"Confirmed Trend"))=0,#N/A,INDIRECT(ADDRESS($B176+1,BO$164,1,1,"Confirmed Trend")))</f>
        <v>0.14263692589999999</v>
      </c>
      <c r="BP176" s="18" cm="1">
        <f t="array" aca="1" ref="BP176" ca="1">IF(INDIRECT(ADDRESS($B176+1,BP$164,1,1,"Confirmed Trend"))=0,#N/A,INDIRECT(ADDRESS($B176+1,BP$164,1,1,"Confirmed Trend")))</f>
        <v>9.6818716599999993E-2</v>
      </c>
      <c r="BQ176" s="18" cm="1">
        <f t="array" aca="1" ref="BQ176" ca="1">IF(INDIRECT(ADDRESS($B176+1,BQ$164,1,1,"Confirmed Trend"))=0,#N/A,INDIRECT(ADDRESS($B176+1,BQ$164,1,1,"Confirmed Trend")))</f>
        <v>0.16666666669999999</v>
      </c>
      <c r="BR176" s="18" t="e" cm="1">
        <f t="array" aca="1" ref="BR176" ca="1">IF(INDIRECT(ADDRESS($B176+1,BR$164,1,1,"Confirmed Trend"))=0,#N/A,INDIRECT(ADDRESS($B176+1,BR$164,1,1,"Confirmed Trend")))</f>
        <v>#N/A</v>
      </c>
      <c r="BS176" s="18" t="e" cm="1">
        <f t="array" aca="1" ref="BS176" ca="1">IF(INDIRECT(ADDRESS($B176+1,BS$164,1,1,"Confirmed Trend"))=0,#N/A,INDIRECT(ADDRESS($B176+1,BS$164,1,1,"Confirmed Trend")))</f>
        <v>#N/A</v>
      </c>
      <c r="BT176" s="18" t="e" cm="1">
        <f t="array" aca="1" ref="BT176" ca="1">IF(INDIRECT(ADDRESS($B176+1,BT$164,1,1,"Confirmed Trend"))=0,#N/A,INDIRECT(ADDRESS($B176+1,BT$164,1,1,"Confirmed Trend")))</f>
        <v>#N/A</v>
      </c>
      <c r="BU176" s="18" t="e" cm="1">
        <f t="array" aca="1" ref="BU176" ca="1">IF(INDIRECT(ADDRESS($B176+1,BU$164,1,1,"Confirmed Trend"))=0,#N/A,INDIRECT(ADDRESS($B176+1,BU$164,1,1,"Confirmed Trend")))</f>
        <v>#N/A</v>
      </c>
      <c r="BV176" s="18" t="e" cm="1">
        <f t="array" aca="1" ref="BV176" ca="1">IF(INDIRECT(ADDRESS($B176+1,BV$164,1,1,"Confirmed Trend"))=0,#N/A,INDIRECT(ADDRESS($B176+1,BV$164,1,1,"Confirmed Trend")))</f>
        <v>#N/A</v>
      </c>
    </row>
    <row r="177" spans="2:74" x14ac:dyDescent="0.25">
      <c r="B177">
        <f t="shared" si="132"/>
        <v>12</v>
      </c>
      <c r="C177" t="str" cm="1">
        <f t="array" aca="1" ref="C177" ca="1">INDIRECT(ADDRESS($B177+1,1,1,1,"Confirmed Trend"))</f>
        <v>Switzerland Jura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cm="1">
        <f t="array" aca="1" ref="AZ177" ca="1">IF(INDIRECT(ADDRESS($B177+1,AZ$164,1,1,"Confirmed Trend"))=0,#N/A,INDIRECT(ADDRESS($B177+1,AZ$164,1,1,"Confirmed Trend")))</f>
        <v>0.34267480709999998</v>
      </c>
      <c r="BA177" s="18" cm="1">
        <f t="array" aca="1" ref="BA177" ca="1">IF(INDIRECT(ADDRESS($B177+1,BA$164,1,1,"Confirmed Trend"))=0,#N/A,INDIRECT(ADDRESS($B177+1,BA$164,1,1,"Confirmed Trend")))</f>
        <v>0.25743342969999999</v>
      </c>
      <c r="BB177" s="18" cm="1">
        <f t="array" aca="1" ref="BB177" ca="1">IF(INDIRECT(ADDRESS($B177+1,BB$164,1,1,"Confirmed Trend"))=0,#N/A,INDIRECT(ADDRESS($B177+1,BB$164,1,1,"Confirmed Trend")))</f>
        <v>0.17233465440000001</v>
      </c>
      <c r="BC177" s="18" cm="1">
        <f t="array" aca="1" ref="BC177" ca="1">IF(INDIRECT(ADDRESS($B177+1,BC$164,1,1,"Confirmed Trend"))=0,#N/A,INDIRECT(ADDRESS($B177+1,BC$164,1,1,"Confirmed Trend")))</f>
        <v>0.175456745</v>
      </c>
      <c r="BD177" s="18" cm="1">
        <f t="array" aca="1" ref="BD177" ca="1">IF(INDIRECT(ADDRESS($B177+1,BD$164,1,1,"Confirmed Trend"))=0,#N/A,INDIRECT(ADDRESS($B177+1,BD$164,1,1,"Confirmed Trend")))</f>
        <v>0.17760370689999999</v>
      </c>
      <c r="BE177" s="18" cm="1">
        <f t="array" aca="1" ref="BE177" ca="1">IF(INDIRECT(ADDRESS($B177+1,BE$164,1,1,"Confirmed Trend"))=0,#N/A,INDIRECT(ADDRESS($B177+1,BE$164,1,1,"Confirmed Trend")))</f>
        <v>0.22700664440000001</v>
      </c>
      <c r="BF177" s="18" cm="1">
        <f t="array" aca="1" ref="BF177" ca="1">IF(INDIRECT(ADDRESS($B177+1,BF$164,1,1,"Confirmed Trend"))=0,#N/A,INDIRECT(ADDRESS($B177+1,BF$164,1,1,"Confirmed Trend")))</f>
        <v>0.24618848460000001</v>
      </c>
      <c r="BG177" s="18" cm="1">
        <f t="array" aca="1" ref="BG177" ca="1">IF(INDIRECT(ADDRESS($B177+1,BG$164,1,1,"Confirmed Trend"))=0,#N/A,INDIRECT(ADDRESS($B177+1,BG$164,1,1,"Confirmed Trend")))</f>
        <v>0.2295763059</v>
      </c>
      <c r="BH177" s="18" cm="1">
        <f t="array" aca="1" ref="BH177" ca="1">IF(INDIRECT(ADDRESS($B177+1,BH$164,1,1,"Confirmed Trend"))=0,#N/A,INDIRECT(ADDRESS($B177+1,BH$164,1,1,"Confirmed Trend")))</f>
        <v>0.2288070992</v>
      </c>
      <c r="BI177" s="18" cm="1">
        <f t="array" aca="1" ref="BI177" ca="1">IF(INDIRECT(ADDRESS($B177+1,BI$164,1,1,"Confirmed Trend"))=0,#N/A,INDIRECT(ADDRESS($B177+1,BI$164,1,1,"Confirmed Trend")))</f>
        <v>0.18481071029999999</v>
      </c>
      <c r="BJ177" s="18" cm="1">
        <f t="array" aca="1" ref="BJ177" ca="1">IF(INDIRECT(ADDRESS($B177+1,BJ$164,1,1,"Confirmed Trend"))=0,#N/A,INDIRECT(ADDRESS($B177+1,BJ$164,1,1,"Confirmed Trend")))</f>
        <v>0.18556478400000001</v>
      </c>
      <c r="BK177" s="18" cm="1">
        <f t="array" aca="1" ref="BK177" ca="1">IF(INDIRECT(ADDRESS($B177+1,BK$164,1,1,"Confirmed Trend"))=0,#N/A,INDIRECT(ADDRESS($B177+1,BK$164,1,1,"Confirmed Trend")))</f>
        <v>0.18296434240000001</v>
      </c>
      <c r="BL177" s="18" cm="1">
        <f t="array" aca="1" ref="BL177" ca="1">IF(INDIRECT(ADDRESS($B177+1,BL$164,1,1,"Confirmed Trend"))=0,#N/A,INDIRECT(ADDRESS($B177+1,BL$164,1,1,"Confirmed Trend")))</f>
        <v>0.19695480230000001</v>
      </c>
      <c r="BM177" s="18" cm="1">
        <f t="array" aca="1" ref="BM177" ca="1">IF(INDIRECT(ADDRESS($B177+1,BM$164,1,1,"Confirmed Trend"))=0,#N/A,INDIRECT(ADDRESS($B177+1,BM$164,1,1,"Confirmed Trend")))</f>
        <v>0.195807963</v>
      </c>
      <c r="BN177" s="18" cm="1">
        <f t="array" aca="1" ref="BN177" ca="1">IF(INDIRECT(ADDRESS($B177+1,BN$164,1,1,"Confirmed Trend"))=0,#N/A,INDIRECT(ADDRESS($B177+1,BN$164,1,1,"Confirmed Trend")))</f>
        <v>0.17992297709999999</v>
      </c>
      <c r="BO177" s="18" cm="1">
        <f t="array" aca="1" ref="BO177" ca="1">IF(INDIRECT(ADDRESS($B177+1,BO$164,1,1,"Confirmed Trend"))=0,#N/A,INDIRECT(ADDRESS($B177+1,BO$164,1,1,"Confirmed Trend")))</f>
        <v>0.1664210502</v>
      </c>
      <c r="BP177" s="18" cm="1">
        <f t="array" aca="1" ref="BP177" ca="1">IF(INDIRECT(ADDRESS($B177+1,BP$164,1,1,"Confirmed Trend"))=0,#N/A,INDIRECT(ADDRESS($B177+1,BP$164,1,1,"Confirmed Trend")))</f>
        <v>0.1448604402</v>
      </c>
      <c r="BQ177" s="18" cm="1">
        <f t="array" aca="1" ref="BQ177" ca="1">IF(INDIRECT(ADDRESS($B177+1,BQ$164,1,1,"Confirmed Trend"))=0,#N/A,INDIRECT(ADDRESS($B177+1,BQ$164,1,1,"Confirmed Trend")))</f>
        <v>0.18181818180000001</v>
      </c>
      <c r="BR177" s="18" t="e" cm="1">
        <f t="array" aca="1" ref="BR177" ca="1">IF(INDIRECT(ADDRESS($B177+1,BR$164,1,1,"Confirmed Trend"))=0,#N/A,INDIRECT(ADDRESS($B177+1,BR$164,1,1,"Confirmed Trend")))</f>
        <v>#N/A</v>
      </c>
      <c r="BS177" s="18" t="e" cm="1">
        <f t="array" aca="1" ref="BS177" ca="1">IF(INDIRECT(ADDRESS($B177+1,BS$164,1,1,"Confirmed Trend"))=0,#N/A,INDIRECT(ADDRESS($B177+1,BS$164,1,1,"Confirmed Trend")))</f>
        <v>#N/A</v>
      </c>
      <c r="BT177" s="18" t="e" cm="1">
        <f t="array" aca="1" ref="BT177" ca="1">IF(INDIRECT(ADDRESS($B177+1,BT$164,1,1,"Confirmed Trend"))=0,#N/A,INDIRECT(ADDRESS($B177+1,BT$164,1,1,"Confirmed Trend")))</f>
        <v>#N/A</v>
      </c>
      <c r="BU177" s="18" t="e" cm="1">
        <f t="array" aca="1" ref="BU177" ca="1">IF(INDIRECT(ADDRESS($B177+1,BU$164,1,1,"Confirmed Trend"))=0,#N/A,INDIRECT(ADDRESS($B177+1,BU$164,1,1,"Confirmed Trend")))</f>
        <v>#N/A</v>
      </c>
      <c r="BV177" s="18" t="e" cm="1">
        <f t="array" aca="1" ref="BV177" ca="1">IF(INDIRECT(ADDRESS($B177+1,BV$164,1,1,"Confirmed Trend"))=0,#N/A,INDIRECT(ADDRESS($B177+1,BV$164,1,1,"Confirmed Trend")))</f>
        <v>#N/A</v>
      </c>
    </row>
    <row r="178" spans="2:74" x14ac:dyDescent="0.25">
      <c r="B178">
        <f t="shared" si="132"/>
        <v>13</v>
      </c>
      <c r="C178" t="str" cm="1">
        <f t="array" aca="1" ref="C178" ca="1">INDIRECT(ADDRESS($B178+1,1,1,1,"Confirmed Trend"))</f>
        <v>Switzerland Lucerne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t="e" cm="1">
        <f t="array" aca="1" ref="BC178" ca="1">IF(INDIRECT(ADDRESS($B178+1,BC$164,1,1,"Confirmed Trend"))=0,#N/A,INDIRECT(ADDRESS($B178+1,BC$164,1,1,"Confirmed Trend")))</f>
        <v>#N/A</v>
      </c>
      <c r="BD178" s="18" t="e" cm="1">
        <f t="array" aca="1" ref="BD178" ca="1">IF(INDIRECT(ADDRESS($B178+1,BD$164,1,1,"Confirmed Trend"))=0,#N/A,INDIRECT(ADDRESS($B178+1,BD$164,1,1,"Confirmed Trend")))</f>
        <v>#N/A</v>
      </c>
      <c r="BE178" s="18" t="e" cm="1">
        <f t="array" aca="1" ref="BE178" ca="1">IF(INDIRECT(ADDRESS($B178+1,BE$164,1,1,"Confirmed Trend"))=0,#N/A,INDIRECT(ADDRESS($B178+1,BE$164,1,1,"Confirmed Trend")))</f>
        <v>#N/A</v>
      </c>
      <c r="BF178" s="18" t="e" cm="1">
        <f t="array" aca="1" ref="BF178" ca="1">IF(INDIRECT(ADDRESS($B178+1,BF$164,1,1,"Confirmed Trend"))=0,#N/A,INDIRECT(ADDRESS($B178+1,BF$164,1,1,"Confirmed Trend")))</f>
        <v>#N/A</v>
      </c>
      <c r="BG178" s="18" t="e" cm="1">
        <f t="array" aca="1" ref="BG178" ca="1">IF(INDIRECT(ADDRESS($B178+1,BG$164,1,1,"Confirmed Trend"))=0,#N/A,INDIRECT(ADDRESS($B178+1,BG$164,1,1,"Confirmed Trend")))</f>
        <v>#N/A</v>
      </c>
      <c r="BH178" s="18" t="e" cm="1">
        <f t="array" aca="1" ref="BH178" ca="1">IF(INDIRECT(ADDRESS($B178+1,BH$164,1,1,"Confirmed Trend"))=0,#N/A,INDIRECT(ADDRESS($B178+1,BH$164,1,1,"Confirmed Trend")))</f>
        <v>#N/A</v>
      </c>
      <c r="BI178" s="18" t="e" cm="1">
        <f t="array" aca="1" ref="BI178" ca="1">IF(INDIRECT(ADDRESS($B178+1,BI$164,1,1,"Confirmed Trend"))=0,#N/A,INDIRECT(ADDRESS($B178+1,BI$164,1,1,"Confirmed Trend")))</f>
        <v>#N/A</v>
      </c>
      <c r="BJ178" s="18" t="e" cm="1">
        <f t="array" aca="1" ref="BJ178" ca="1">IF(INDIRECT(ADDRESS($B178+1,BJ$164,1,1,"Confirmed Trend"))=0,#N/A,INDIRECT(ADDRESS($B178+1,BJ$164,1,1,"Confirmed Trend")))</f>
        <v>#N/A</v>
      </c>
      <c r="BK178" s="18" t="e" cm="1">
        <f t="array" aca="1" ref="BK178" ca="1">IF(INDIRECT(ADDRESS($B178+1,BK$164,1,1,"Confirmed Trend"))=0,#N/A,INDIRECT(ADDRESS($B178+1,BK$164,1,1,"Confirmed Trend")))</f>
        <v>#N/A</v>
      </c>
      <c r="BL178" s="18" t="e" cm="1">
        <f t="array" aca="1" ref="BL178" ca="1">IF(INDIRECT(ADDRESS($B178+1,BL$164,1,1,"Confirmed Trend"))=0,#N/A,INDIRECT(ADDRESS($B178+1,BL$164,1,1,"Confirmed Trend")))</f>
        <v>#N/A</v>
      </c>
      <c r="BM178" s="18" t="e" cm="1">
        <f t="array" aca="1" ref="BM178" ca="1">IF(INDIRECT(ADDRESS($B178+1,BM$164,1,1,"Confirmed Trend"))=0,#N/A,INDIRECT(ADDRESS($B178+1,BM$164,1,1,"Confirmed Trend")))</f>
        <v>#N/A</v>
      </c>
      <c r="BN178" s="18" t="e" cm="1">
        <f t="array" aca="1" ref="BN178" ca="1">IF(INDIRECT(ADDRESS($B178+1,BN$164,1,1,"Confirmed Trend"))=0,#N/A,INDIRECT(ADDRESS($B178+1,BN$164,1,1,"Confirmed Trend")))</f>
        <v>#N/A</v>
      </c>
      <c r="BO178" s="18" cm="1">
        <f t="array" aca="1" ref="BO178" ca="1">IF(INDIRECT(ADDRESS($B178+1,BO$164,1,1,"Confirmed Trend"))=0,#N/A,INDIRECT(ADDRESS($B178+1,BO$164,1,1,"Confirmed Trend")))</f>
        <v>0.22012136539999999</v>
      </c>
      <c r="BP178" s="18" cm="1">
        <f t="array" aca="1" ref="BP178" ca="1">IF(INDIRECT(ADDRESS($B178+1,BP$164,1,1,"Confirmed Trend"))=0,#N/A,INDIRECT(ADDRESS($B178+1,BP$164,1,1,"Confirmed Trend")))</f>
        <v>0.2198555727</v>
      </c>
      <c r="BQ178" s="18" cm="1">
        <f t="array" aca="1" ref="BQ178" ca="1">IF(INDIRECT(ADDRESS($B178+1,BQ$164,1,1,"Confirmed Trend"))=0,#N/A,INDIRECT(ADDRESS($B178+1,BQ$164,1,1,"Confirmed Trend")))</f>
        <v>0.11219512199999999</v>
      </c>
      <c r="BR178" s="18" t="e" cm="1">
        <f t="array" aca="1" ref="BR178" ca="1">IF(INDIRECT(ADDRESS($B178+1,BR$164,1,1,"Confirmed Trend"))=0,#N/A,INDIRECT(ADDRESS($B178+1,BR$164,1,1,"Confirmed Trend")))</f>
        <v>#N/A</v>
      </c>
      <c r="BS178" s="18" t="e" cm="1">
        <f t="array" aca="1" ref="BS178" ca="1">IF(INDIRECT(ADDRESS($B178+1,BS$164,1,1,"Confirmed Trend"))=0,#N/A,INDIRECT(ADDRESS($B178+1,BS$164,1,1,"Confirmed Trend")))</f>
        <v>#N/A</v>
      </c>
      <c r="BT178" s="18" t="e" cm="1">
        <f t="array" aca="1" ref="BT178" ca="1">IF(INDIRECT(ADDRESS($B178+1,BT$164,1,1,"Confirmed Trend"))=0,#N/A,INDIRECT(ADDRESS($B178+1,BT$164,1,1,"Confirmed Trend")))</f>
        <v>#N/A</v>
      </c>
      <c r="BU178" s="18" t="e" cm="1">
        <f t="array" aca="1" ref="BU178" ca="1">IF(INDIRECT(ADDRESS($B178+1,BU$164,1,1,"Confirmed Trend"))=0,#N/A,INDIRECT(ADDRESS($B178+1,BU$164,1,1,"Confirmed Trend")))</f>
        <v>#N/A</v>
      </c>
      <c r="BV178" s="18" t="e" cm="1">
        <f t="array" aca="1" ref="BV178" ca="1">IF(INDIRECT(ADDRESS($B178+1,BV$164,1,1,"Confirmed Trend"))=0,#N/A,INDIRECT(ADDRESS($B178+1,BV$164,1,1,"Confirmed Trend")))</f>
        <v>#N/A</v>
      </c>
    </row>
    <row r="179" spans="2:74" x14ac:dyDescent="0.25">
      <c r="B179">
        <f t="shared" si="132"/>
        <v>14</v>
      </c>
      <c r="C179" t="str" cm="1">
        <f t="array" aca="1" ref="C179" ca="1">INDIRECT(ADDRESS($B179+1,1,1,1,"Confirmed Trend"))</f>
        <v>Switzerland Neuchâtel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t="e" cm="1">
        <f t="array" aca="1" ref="BC179" ca="1">IF(INDIRECT(ADDRESS($B179+1,BC$164,1,1,"Confirmed Trend"))=0,#N/A,INDIRECT(ADDRESS($B179+1,BC$164,1,1,"Confirmed Trend")))</f>
        <v>#N/A</v>
      </c>
      <c r="BD179" s="18" t="e" cm="1">
        <f t="array" aca="1" ref="BD179" ca="1">IF(INDIRECT(ADDRESS($B179+1,BD$164,1,1,"Confirmed Trend"))=0,#N/A,INDIRECT(ADDRESS($B179+1,BD$164,1,1,"Confirmed Trend")))</f>
        <v>#N/A</v>
      </c>
      <c r="BE179" s="18" t="e" cm="1">
        <f t="array" aca="1" ref="BE179" ca="1">IF(INDIRECT(ADDRESS($B179+1,BE$164,1,1,"Confirmed Trend"))=0,#N/A,INDIRECT(ADDRESS($B179+1,BE$164,1,1,"Confirmed Trend")))</f>
        <v>#N/A</v>
      </c>
      <c r="BF179" s="18" t="e" cm="1">
        <f t="array" aca="1" ref="BF179" ca="1">IF(INDIRECT(ADDRESS($B179+1,BF$164,1,1,"Confirmed Trend"))=0,#N/A,INDIRECT(ADDRESS($B179+1,BF$164,1,1,"Confirmed Trend")))</f>
        <v>#N/A</v>
      </c>
      <c r="BG179" s="18" t="e" cm="1">
        <f t="array" aca="1" ref="BG179" ca="1">IF(INDIRECT(ADDRESS($B179+1,BG$164,1,1,"Confirmed Trend"))=0,#N/A,INDIRECT(ADDRESS($B179+1,BG$164,1,1,"Confirmed Trend")))</f>
        <v>#N/A</v>
      </c>
      <c r="BH179" s="18" t="e" cm="1">
        <f t="array" aca="1" ref="BH179" ca="1">IF(INDIRECT(ADDRESS($B179+1,BH$164,1,1,"Confirmed Trend"))=0,#N/A,INDIRECT(ADDRESS($B179+1,BH$164,1,1,"Confirmed Trend")))</f>
        <v>#N/A</v>
      </c>
      <c r="BI179" s="18" t="e" cm="1">
        <f t="array" aca="1" ref="BI179" ca="1">IF(INDIRECT(ADDRESS($B179+1,BI$164,1,1,"Confirmed Trend"))=0,#N/A,INDIRECT(ADDRESS($B179+1,BI$164,1,1,"Confirmed Trend")))</f>
        <v>#N/A</v>
      </c>
      <c r="BJ179" s="18" t="e" cm="1">
        <f t="array" aca="1" ref="BJ179" ca="1">IF(INDIRECT(ADDRESS($B179+1,BJ$164,1,1,"Confirmed Trend"))=0,#N/A,INDIRECT(ADDRESS($B179+1,BJ$164,1,1,"Confirmed Trend")))</f>
        <v>#N/A</v>
      </c>
      <c r="BK179" s="18" t="e" cm="1">
        <f t="array" aca="1" ref="BK179" ca="1">IF(INDIRECT(ADDRESS($B179+1,BK$164,1,1,"Confirmed Trend"))=0,#N/A,INDIRECT(ADDRESS($B179+1,BK$164,1,1,"Confirmed Trend")))</f>
        <v>#N/A</v>
      </c>
      <c r="BL179" s="18" t="e" cm="1">
        <f t="array" aca="1" ref="BL179" ca="1">IF(INDIRECT(ADDRESS($B179+1,BL$164,1,1,"Confirmed Trend"))=0,#N/A,INDIRECT(ADDRESS($B179+1,BL$164,1,1,"Confirmed Trend")))</f>
        <v>#N/A</v>
      </c>
      <c r="BM179" s="18" t="e" cm="1">
        <f t="array" aca="1" ref="BM179" ca="1">IF(INDIRECT(ADDRESS($B179+1,BM$164,1,1,"Confirmed Trend"))=0,#N/A,INDIRECT(ADDRESS($B179+1,BM$164,1,1,"Confirmed Trend")))</f>
        <v>#N/A</v>
      </c>
      <c r="BN179" s="18" t="e" cm="1">
        <f t="array" aca="1" ref="BN179" ca="1">IF(INDIRECT(ADDRESS($B179+1,BN$164,1,1,"Confirmed Trend"))=0,#N/A,INDIRECT(ADDRESS($B179+1,BN$164,1,1,"Confirmed Trend")))</f>
        <v>#N/A</v>
      </c>
      <c r="BO179" s="18" t="e" cm="1">
        <f t="array" aca="1" ref="BO179" ca="1">IF(INDIRECT(ADDRESS($B179+1,BO$164,1,1,"Confirmed Trend"))=0,#N/A,INDIRECT(ADDRESS($B179+1,BO$164,1,1,"Confirmed Trend")))</f>
        <v>#N/A</v>
      </c>
      <c r="BP179" s="18" t="e" cm="1">
        <f t="array" aca="1" ref="BP179" ca="1">IF(INDIRECT(ADDRESS($B179+1,BP$164,1,1,"Confirmed Trend"))=0,#N/A,INDIRECT(ADDRESS($B179+1,BP$164,1,1,"Confirmed Trend")))</f>
        <v>#N/A</v>
      </c>
      <c r="BQ179" s="18" cm="1">
        <f t="array" aca="1" ref="BQ179" ca="1">IF(INDIRECT(ADDRESS($B179+1,BQ$164,1,1,"Confirmed Trend"))=0,#N/A,INDIRECT(ADDRESS($B179+1,BQ$164,1,1,"Confirmed Trend")))</f>
        <v>0.1130434783</v>
      </c>
      <c r="BR179" s="18" t="e" cm="1">
        <f t="array" aca="1" ref="BR179" ca="1">IF(INDIRECT(ADDRESS($B179+1,BR$164,1,1,"Confirmed Trend"))=0,#N/A,INDIRECT(ADDRESS($B179+1,BR$164,1,1,"Confirmed Trend")))</f>
        <v>#N/A</v>
      </c>
      <c r="BS179" s="18" t="e" cm="1">
        <f t="array" aca="1" ref="BS179" ca="1">IF(INDIRECT(ADDRESS($B179+1,BS$164,1,1,"Confirmed Trend"))=0,#N/A,INDIRECT(ADDRESS($B179+1,BS$164,1,1,"Confirmed Trend")))</f>
        <v>#N/A</v>
      </c>
      <c r="BT179" s="18" t="e" cm="1">
        <f t="array" aca="1" ref="BT179" ca="1">IF(INDIRECT(ADDRESS($B179+1,BT$164,1,1,"Confirmed Trend"))=0,#N/A,INDIRECT(ADDRESS($B179+1,BT$164,1,1,"Confirmed Trend")))</f>
        <v>#N/A</v>
      </c>
      <c r="BU179" s="18" t="e" cm="1">
        <f t="array" aca="1" ref="BU179" ca="1">IF(INDIRECT(ADDRESS($B179+1,BU$164,1,1,"Confirmed Trend"))=0,#N/A,INDIRECT(ADDRESS($B179+1,BU$164,1,1,"Confirmed Trend")))</f>
        <v>#N/A</v>
      </c>
      <c r="BV179" s="18" t="e" cm="1">
        <f t="array" aca="1" ref="BV179" ca="1">IF(INDIRECT(ADDRESS($B179+1,BV$164,1,1,"Confirmed Trend"))=0,#N/A,INDIRECT(ADDRESS($B179+1,BV$164,1,1,"Confirmed Trend")))</f>
        <v>#N/A</v>
      </c>
    </row>
    <row r="180" spans="2:74" x14ac:dyDescent="0.25">
      <c r="B180">
        <f t="shared" si="132"/>
        <v>15</v>
      </c>
      <c r="C180" t="str" cm="1">
        <f t="array" aca="1" ref="C180" ca="1">INDIRECT(ADDRESS($B180+1,1,1,1,"Confirmed Trend"))</f>
        <v>Switzerland Nidwalden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cm="1">
        <f t="array" aca="1" ref="BJ180" ca="1">IF(INDIRECT(ADDRESS($B180+1,BJ$164,1,1,"Confirmed Trend"))=0,#N/A,INDIRECT(ADDRESS($B180+1,BJ$164,1,1,"Confirmed Trend")))</f>
        <v>0.28775478850000002</v>
      </c>
      <c r="BK180" s="18" cm="1">
        <f t="array" aca="1" ref="BK180" ca="1">IF(INDIRECT(ADDRESS($B180+1,BK$164,1,1,"Confirmed Trend"))=0,#N/A,INDIRECT(ADDRESS($B180+1,BK$164,1,1,"Confirmed Trend")))</f>
        <v>0.47629586190000001</v>
      </c>
      <c r="BL180" s="18" cm="1">
        <f t="array" aca="1" ref="BL180" ca="1">IF(INDIRECT(ADDRESS($B180+1,BL$164,1,1,"Confirmed Trend"))=0,#N/A,INDIRECT(ADDRESS($B180+1,BL$164,1,1,"Confirmed Trend")))</f>
        <v>0.63617329990000004</v>
      </c>
      <c r="BM180" s="18" cm="1">
        <f t="array" aca="1" ref="BM180" ca="1">IF(INDIRECT(ADDRESS($B180+1,BM$164,1,1,"Confirmed Trend"))=0,#N/A,INDIRECT(ADDRESS($B180+1,BM$164,1,1,"Confirmed Trend")))</f>
        <v>0.68615549450000002</v>
      </c>
      <c r="BN180" s="18" cm="1">
        <f t="array" aca="1" ref="BN180" ca="1">IF(INDIRECT(ADDRESS($B180+1,BN$164,1,1,"Confirmed Trend"))=0,#N/A,INDIRECT(ADDRESS($B180+1,BN$164,1,1,"Confirmed Trend")))</f>
        <v>0.34501601009999999</v>
      </c>
      <c r="BO180" s="18" cm="1">
        <f t="array" aca="1" ref="BO180" ca="1">IF(INDIRECT(ADDRESS($B180+1,BO$164,1,1,"Confirmed Trend"))=0,#N/A,INDIRECT(ADDRESS($B180+1,BO$164,1,1,"Confirmed Trend")))</f>
        <v>0.19695480230000001</v>
      </c>
      <c r="BP180" s="18" cm="1">
        <f t="array" aca="1" ref="BP180" ca="1">IF(INDIRECT(ADDRESS($B180+1,BP$164,1,1,"Confirmed Trend"))=0,#N/A,INDIRECT(ADDRESS($B180+1,BP$164,1,1,"Confirmed Trend")))</f>
        <v>9.8001391399999999E-2</v>
      </c>
      <c r="BQ180" s="18" t="e" cm="1">
        <f t="array" aca="1" ref="BQ180" ca="1">IF(INDIRECT(ADDRESS($B180+1,BQ$164,1,1,"Confirmed Trend"))=0,#N/A,INDIRECT(ADDRESS($B180+1,BQ$164,1,1,"Confirmed Trend")))</f>
        <v>#N/A</v>
      </c>
      <c r="BR180" s="18" t="e" cm="1">
        <f t="array" aca="1" ref="BR180" ca="1">IF(INDIRECT(ADDRESS($B180+1,BR$164,1,1,"Confirmed Trend"))=0,#N/A,INDIRECT(ADDRESS($B180+1,BR$164,1,1,"Confirmed Trend")))</f>
        <v>#N/A</v>
      </c>
      <c r="BS180" s="18" t="e" cm="1">
        <f t="array" aca="1" ref="BS180" ca="1">IF(INDIRECT(ADDRESS($B180+1,BS$164,1,1,"Confirmed Trend"))=0,#N/A,INDIRECT(ADDRESS($B180+1,BS$164,1,1,"Confirmed Trend")))</f>
        <v>#N/A</v>
      </c>
      <c r="BT180" s="18" t="e" cm="1">
        <f t="array" aca="1" ref="BT180" ca="1">IF(INDIRECT(ADDRESS($B180+1,BT$164,1,1,"Confirmed Trend"))=0,#N/A,INDIRECT(ADDRESS($B180+1,BT$164,1,1,"Confirmed Trend")))</f>
        <v>#N/A</v>
      </c>
      <c r="BU180" s="18" t="e" cm="1">
        <f t="array" aca="1" ref="BU180" ca="1">IF(INDIRECT(ADDRESS($B180+1,BU$164,1,1,"Confirmed Trend"))=0,#N/A,INDIRECT(ADDRESS($B180+1,BU$164,1,1,"Confirmed Trend")))</f>
        <v>#N/A</v>
      </c>
      <c r="BV180" s="18" t="e" cm="1">
        <f t="array" aca="1" ref="BV180" ca="1">IF(INDIRECT(ADDRESS($B180+1,BV$164,1,1,"Confirmed Trend"))=0,#N/A,INDIRECT(ADDRESS($B180+1,BV$164,1,1,"Confirmed Trend")))</f>
        <v>#N/A</v>
      </c>
    </row>
    <row r="181" spans="2:74" x14ac:dyDescent="0.25">
      <c r="B181">
        <f t="shared" si="132"/>
        <v>16</v>
      </c>
      <c r="C181" t="str" cm="1">
        <f t="array" aca="1" ref="C181" ca="1">INDIRECT(ADDRESS($B181+1,1,1,1,"Confirmed Trend"))</f>
        <v>Switzerland Obwalden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cm="1">
        <f t="array" aca="1" ref="BN181" ca="1">IF(INDIRECT(ADDRESS($B181+1,BN$164,1,1,"Confirmed Trend"))=0,#N/A,INDIRECT(ADDRESS($B181+1,BN$164,1,1,"Confirmed Trend")))</f>
        <v>0.73205080759999996</v>
      </c>
      <c r="BO181" s="18" cm="1">
        <f t="array" aca="1" ref="BO181" ca="1">IF(INDIRECT(ADDRESS($B181+1,BO$164,1,1,"Confirmed Trend"))=0,#N/A,INDIRECT(ADDRESS($B181+1,BO$164,1,1,"Confirmed Trend")))</f>
        <v>1.0305431849</v>
      </c>
      <c r="BP181" s="18" cm="1">
        <f t="array" aca="1" ref="BP181" ca="1">IF(INDIRECT(ADDRESS($B181+1,BP$164,1,1,"Confirmed Trend"))=0,#N/A,INDIRECT(ADDRESS($B181+1,BP$164,1,1,"Confirmed Trend")))</f>
        <v>1.2508283034000001</v>
      </c>
      <c r="BQ181" s="18" t="e" cm="1">
        <f t="array" aca="1" ref="BQ181" ca="1">IF(INDIRECT(ADDRESS($B181+1,BQ$164,1,1,"Confirmed Trend"))=0,#N/A,INDIRECT(ADDRESS($B181+1,BQ$164,1,1,"Confirmed Trend")))</f>
        <v>#N/A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t="e" cm="1">
        <f t="array" aca="1" ref="BT181" ca="1">IF(INDIRECT(ADDRESS($B181+1,BT$164,1,1,"Confirmed Trend"))=0,#N/A,INDIRECT(ADDRESS($B181+1,BT$164,1,1,"Confirmed Trend")))</f>
        <v>#N/A</v>
      </c>
      <c r="BU181" s="18" t="e" cm="1">
        <f t="array" aca="1" ref="BU181" ca="1">IF(INDIRECT(ADDRESS($B181+1,BU$164,1,1,"Confirmed Trend"))=0,#N/A,INDIRECT(ADDRESS($B181+1,BU$164,1,1,"Confirmed Trend")))</f>
        <v>#N/A</v>
      </c>
      <c r="BV181" s="18" t="e" cm="1">
        <f t="array" aca="1" ref="BV181" ca="1">IF(INDIRECT(ADDRESS($B181+1,BV$164,1,1,"Confirmed Trend"))=0,#N/A,INDIRECT(ADDRESS($B181+1,BV$164,1,1,"Confirmed Trend")))</f>
        <v>#N/A</v>
      </c>
    </row>
    <row r="182" spans="2:74" x14ac:dyDescent="0.25">
      <c r="B182">
        <f t="shared" si="132"/>
        <v>17</v>
      </c>
      <c r="C182" t="str" cm="1">
        <f t="array" aca="1" ref="C182" ca="1">INDIRECT(ADDRESS($B182+1,1,1,1,"Confirmed Trend"))</f>
        <v>Switzerland Schaffhausen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t="e" cm="1">
        <f t="array" aca="1" ref="BP182" ca="1">IF(INDIRECT(ADDRESS($B182+1,BP$164,1,1,"Confirmed Trend"))=0,#N/A,INDIRECT(ADDRESS($B182+1,BP$164,1,1,"Confirmed Trend")))</f>
        <v>#N/A</v>
      </c>
      <c r="BQ182" s="18" t="e" cm="1">
        <f t="array" aca="1" ref="BQ182" ca="1">IF(INDIRECT(ADDRESS($B182+1,BQ$164,1,1,"Confirmed Trend"))=0,#N/A,INDIRECT(ADDRESS($B182+1,BQ$164,1,1,"Confirmed Trend")))</f>
        <v>#N/A</v>
      </c>
      <c r="BR182" s="18" t="e" cm="1">
        <f t="array" aca="1" ref="BR182" ca="1">IF(INDIRECT(ADDRESS($B182+1,BR$164,1,1,"Confirmed Trend"))=0,#N/A,INDIRECT(ADDRESS($B182+1,BR$164,1,1,"Confirmed Trend")))</f>
        <v>#N/A</v>
      </c>
      <c r="BS182" s="18" t="e" cm="1">
        <f t="array" aca="1" ref="BS182" ca="1">IF(INDIRECT(ADDRESS($B182+1,BS$164,1,1,"Confirmed Trend"))=0,#N/A,INDIRECT(ADDRESS($B182+1,BS$164,1,1,"Confirmed Trend")))</f>
        <v>#N/A</v>
      </c>
      <c r="BT182" s="18" t="e" cm="1">
        <f t="array" aca="1" ref="BT182" ca="1">IF(INDIRECT(ADDRESS($B182+1,BT$164,1,1,"Confirmed Trend"))=0,#N/A,INDIRECT(ADDRESS($B182+1,BT$164,1,1,"Confirmed Trend")))</f>
        <v>#N/A</v>
      </c>
      <c r="BU182" s="18" t="e" cm="1">
        <f t="array" aca="1" ref="BU182" ca="1">IF(INDIRECT(ADDRESS($B182+1,BU$164,1,1,"Confirmed Trend"))=0,#N/A,INDIRECT(ADDRESS($B182+1,BU$164,1,1,"Confirmed Trend")))</f>
        <v>#N/A</v>
      </c>
      <c r="BV182" s="18" t="e" cm="1">
        <f t="array" aca="1" ref="BV182" ca="1">IF(INDIRECT(ADDRESS($B182+1,BV$164,1,1,"Confirmed Trend"))=0,#N/A,INDIRECT(ADDRESS($B182+1,BV$164,1,1,"Confirmed Trend")))</f>
        <v>#N/A</v>
      </c>
    </row>
    <row r="183" spans="2:74" x14ac:dyDescent="0.25">
      <c r="B183">
        <f t="shared" si="132"/>
        <v>18</v>
      </c>
      <c r="C183" t="str" cm="1">
        <f t="array" aca="1" ref="C183" ca="1">INDIRECT(ADDRESS($B183+1,1,1,1,"Confirmed Trend"))</f>
        <v>Switzerland Schwyz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cm="1">
        <f t="array" aca="1" ref="AZ183" ca="1">IF(INDIRECT(ADDRESS($B183+1,AZ$164,1,1,"Confirmed Trend"))=0,#N/A,INDIRECT(ADDRESS($B183+1,AZ$164,1,1,"Confirmed Trend")))</f>
        <v>0.26632043789999998</v>
      </c>
      <c r="BA183" s="18" cm="1">
        <f t="array" aca="1" ref="BA183" ca="1">IF(INDIRECT(ADDRESS($B183+1,BA$164,1,1,"Confirmed Trend"))=0,#N/A,INDIRECT(ADDRESS($B183+1,BA$164,1,1,"Confirmed Trend")))</f>
        <v>0.1066819197</v>
      </c>
      <c r="BB183" s="18" cm="1">
        <f t="array" aca="1" ref="BB183" ca="1">IF(INDIRECT(ADDRESS($B183+1,BB$164,1,1,"Confirmed Trend"))=0,#N/A,INDIRECT(ADDRESS($B183+1,BB$164,1,1,"Confirmed Trend")))</f>
        <v>4.6635139399999997E-2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cm="1">
        <f t="array" aca="1" ref="BD183" ca="1">IF(INDIRECT(ADDRESS($B183+1,BD$164,1,1,"Confirmed Trend"))=0,#N/A,INDIRECT(ADDRESS($B183+1,BD$164,1,1,"Confirmed Trend")))</f>
        <v>3.9289877600000002E-2</v>
      </c>
      <c r="BE183" s="18" cm="1">
        <f t="array" aca="1" ref="BE183" ca="1">IF(INDIRECT(ADDRESS($B183+1,BE$164,1,1,"Confirmed Trend"))=0,#N/A,INDIRECT(ADDRESS($B183+1,BE$164,1,1,"Confirmed Trend")))</f>
        <v>0.1066819197</v>
      </c>
      <c r="BF183" s="18" cm="1">
        <f t="array" aca="1" ref="BF183" ca="1">IF(INDIRECT(ADDRESS($B183+1,BF$164,1,1,"Confirmed Trend"))=0,#N/A,INDIRECT(ADDRESS($B183+1,BF$164,1,1,"Confirmed Trend")))</f>
        <v>0.17233465440000001</v>
      </c>
      <c r="BG183" s="18" cm="1">
        <f t="array" aca="1" ref="BG183" ca="1">IF(INDIRECT(ADDRESS($B183+1,BG$164,1,1,"Confirmed Trend"))=0,#N/A,INDIRECT(ADDRESS($B183+1,BG$164,1,1,"Confirmed Trend")))</f>
        <v>0.20539052369999999</v>
      </c>
      <c r="BH183" s="18" cm="1">
        <f t="array" aca="1" ref="BH183" ca="1">IF(INDIRECT(ADDRESS($B183+1,BH$164,1,1,"Confirmed Trend"))=0,#N/A,INDIRECT(ADDRESS($B183+1,BH$164,1,1,"Confirmed Trend")))</f>
        <v>0.16737752580000001</v>
      </c>
      <c r="BI183" s="18" cm="1">
        <f t="array" aca="1" ref="BI183" ca="1">IF(INDIRECT(ADDRESS($B183+1,BI$164,1,1,"Confirmed Trend"))=0,#N/A,INDIRECT(ADDRESS($B183+1,BI$164,1,1,"Confirmed Trend")))</f>
        <v>9.62893893E-2</v>
      </c>
      <c r="BJ183" s="18" cm="1">
        <f t="array" aca="1" ref="BJ183" ca="1">IF(INDIRECT(ADDRESS($B183+1,BJ$164,1,1,"Confirmed Trend"))=0,#N/A,INDIRECT(ADDRESS($B183+1,BJ$164,1,1,"Confirmed Trend")))</f>
        <v>3.4895318799999998E-2</v>
      </c>
      <c r="BK183" s="18" cm="1">
        <f t="array" aca="1" ref="BK183" ca="1">IF(INDIRECT(ADDRESS($B183+1,BK$164,1,1,"Confirmed Trend"))=0,#N/A,INDIRECT(ADDRESS($B183+1,BK$164,1,1,"Confirmed Trend")))</f>
        <v>6.5150025000000004E-3</v>
      </c>
      <c r="BL183" s="18" t="e" cm="1">
        <f t="array" aca="1" ref="BL183" ca="1">IF(INDIRECT(ADDRESS($B183+1,BL$164,1,1,"Confirmed Trend"))=0,#N/A,INDIRECT(ADDRESS($B183+1,BL$164,1,1,"Confirmed Trend")))</f>
        <v>#N/A</v>
      </c>
      <c r="BM183" s="18" t="e" cm="1">
        <f t="array" aca="1" ref="BM183" ca="1">IF(INDIRECT(ADDRESS($B183+1,BM$164,1,1,"Confirmed Trend"))=0,#N/A,INDIRECT(ADDRESS($B183+1,BM$164,1,1,"Confirmed Trend")))</f>
        <v>#N/A</v>
      </c>
      <c r="BN183" s="18" t="e" cm="1">
        <f t="array" aca="1" ref="BN183" ca="1">IF(INDIRECT(ADDRESS($B183+1,BN$164,1,1,"Confirmed Trend"))=0,#N/A,INDIRECT(ADDRESS($B183+1,BN$164,1,1,"Confirmed Trend")))</f>
        <v>#N/A</v>
      </c>
      <c r="BO183" s="18" t="e" cm="1">
        <f t="array" aca="1" ref="BO183" ca="1">IF(INDIRECT(ADDRESS($B183+1,BO$164,1,1,"Confirmed Trend"))=0,#N/A,INDIRECT(ADDRESS($B183+1,BO$164,1,1,"Confirmed Trend")))</f>
        <v>#N/A</v>
      </c>
      <c r="BP183" s="18" cm="1">
        <f t="array" aca="1" ref="BP183" ca="1">IF(INDIRECT(ADDRESS($B183+1,BP$164,1,1,"Confirmed Trend"))=0,#N/A,INDIRECT(ADDRESS($B183+1,BP$164,1,1,"Confirmed Trend")))</f>
        <v>0.3380161378</v>
      </c>
      <c r="BQ183" s="18" cm="1">
        <f t="array" aca="1" ref="BQ183" ca="1">IF(INDIRECT(ADDRESS($B183+1,BQ$164,1,1,"Confirmed Trend"))=0,#N/A,INDIRECT(ADDRESS($B183+1,BQ$164,1,1,"Confirmed Trend")))</f>
        <v>6.6153846154</v>
      </c>
      <c r="BR183" s="18" t="e" cm="1">
        <f t="array" aca="1" ref="BR183" ca="1">IF(INDIRECT(ADDRESS($B183+1,BR$164,1,1,"Confirmed Trend"))=0,#N/A,INDIRECT(ADDRESS($B183+1,BR$164,1,1,"Confirmed Trend")))</f>
        <v>#N/A</v>
      </c>
      <c r="BS183" s="18" t="e" cm="1">
        <f t="array" aca="1" ref="BS183" ca="1">IF(INDIRECT(ADDRESS($B183+1,BS$164,1,1,"Confirmed Trend"))=0,#N/A,INDIRECT(ADDRESS($B183+1,BS$164,1,1,"Confirmed Trend")))</f>
        <v>#N/A</v>
      </c>
      <c r="BT183" s="18" t="e" cm="1">
        <f t="array" aca="1" ref="BT183" ca="1">IF(INDIRECT(ADDRESS($B183+1,BT$164,1,1,"Confirmed Trend"))=0,#N/A,INDIRECT(ADDRESS($B183+1,BT$164,1,1,"Confirmed Trend")))</f>
        <v>#N/A</v>
      </c>
      <c r="BU183" s="18" t="e" cm="1">
        <f t="array" aca="1" ref="BU183" ca="1">IF(INDIRECT(ADDRESS($B183+1,BU$164,1,1,"Confirmed Trend"))=0,#N/A,INDIRECT(ADDRESS($B183+1,BU$164,1,1,"Confirmed Trend")))</f>
        <v>#N/A</v>
      </c>
      <c r="BV183" s="18" t="e" cm="1">
        <f t="array" aca="1" ref="BV183" ca="1">IF(INDIRECT(ADDRESS($B183+1,BV$164,1,1,"Confirmed Trend"))=0,#N/A,INDIRECT(ADDRESS($B183+1,BV$164,1,1,"Confirmed Trend")))</f>
        <v>#N/A</v>
      </c>
    </row>
    <row r="184" spans="2:74" x14ac:dyDescent="0.25">
      <c r="B184">
        <f t="shared" si="132"/>
        <v>19</v>
      </c>
      <c r="C184" t="str" cm="1">
        <f t="array" aca="1" ref="C184" ca="1">INDIRECT(ADDRESS($B184+1,1,1,1,"Confirmed Trend"))</f>
        <v>Switzerland Solothurn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t="e" cm="1">
        <f t="array" aca="1" ref="BH184" ca="1">IF(INDIRECT(ADDRESS($B184+1,BH$164,1,1,"Confirmed Trend"))=0,#N/A,INDIRECT(ADDRESS($B184+1,BH$164,1,1,"Confirmed Trend")))</f>
        <v>#N/A</v>
      </c>
      <c r="BI184" s="18" cm="1">
        <f t="array" aca="1" ref="BI184" ca="1">IF(INDIRECT(ADDRESS($B184+1,BI$164,1,1,"Confirmed Trend"))=0,#N/A,INDIRECT(ADDRESS($B184+1,BI$164,1,1,"Confirmed Trend")))</f>
        <v>0.96798967130000002</v>
      </c>
      <c r="BJ184" s="18" cm="1">
        <f t="array" aca="1" ref="BJ184" ca="1">IF(INDIRECT(ADDRESS($B184+1,BJ$164,1,1,"Confirmed Trend"))=0,#N/A,INDIRECT(ADDRESS($B184+1,BJ$164,1,1,"Confirmed Trend")))</f>
        <v>1.3205957871</v>
      </c>
      <c r="BK184" s="18" cm="1">
        <f t="array" aca="1" ref="BK184" ca="1">IF(INDIRECT(ADDRESS($B184+1,BK$164,1,1,"Confirmed Trend"))=0,#N/A,INDIRECT(ADDRESS($B184+1,BK$164,1,1,"Confirmed Trend")))</f>
        <v>1.6679677974</v>
      </c>
      <c r="BL184" s="18" cm="1">
        <f t="array" aca="1" ref="BL184" ca="1">IF(INDIRECT(ADDRESS($B184+1,BL$164,1,1,"Confirmed Trend"))=0,#N/A,INDIRECT(ADDRESS($B184+1,BL$164,1,1,"Confirmed Trend")))</f>
        <v>1.7636255460000001</v>
      </c>
      <c r="BM184" s="18" cm="1">
        <f t="array" aca="1" ref="BM184" ca="1">IF(INDIRECT(ADDRESS($B184+1,BM$164,1,1,"Confirmed Trend"))=0,#N/A,INDIRECT(ADDRESS($B184+1,BM$164,1,1,"Confirmed Trend")))</f>
        <v>0.44831546849999998</v>
      </c>
      <c r="BN184" s="18" cm="1">
        <f t="array" aca="1" ref="BN184" ca="1">IF(INDIRECT(ADDRESS($B184+1,BN$164,1,1,"Confirmed Trend"))=0,#N/A,INDIRECT(ADDRESS($B184+1,BN$164,1,1,"Confirmed Trend")))</f>
        <v>0.27094469049999997</v>
      </c>
      <c r="BO184" s="18" cm="1">
        <f t="array" aca="1" ref="BO184" ca="1">IF(INDIRECT(ADDRESS($B184+1,BO$164,1,1,"Confirmed Trend"))=0,#N/A,INDIRECT(ADDRESS($B184+1,BO$164,1,1,"Confirmed Trend")))</f>
        <v>0.14908080900000001</v>
      </c>
      <c r="BP184" s="18" cm="1">
        <f t="array" aca="1" ref="BP184" ca="1">IF(INDIRECT(ADDRESS($B184+1,BP$164,1,1,"Confirmed Trend"))=0,#N/A,INDIRECT(ADDRESS($B184+1,BP$164,1,1,"Confirmed Trend")))</f>
        <v>0.17006219859999999</v>
      </c>
      <c r="BQ184" s="18" cm="1">
        <f t="array" aca="1" ref="BQ184" ca="1">IF(INDIRECT(ADDRESS($B184+1,BQ$164,1,1,"Confirmed Trend"))=0,#N/A,INDIRECT(ADDRESS($B184+1,BQ$164,1,1,"Confirmed Trend")))</f>
        <v>0.2403846154</v>
      </c>
      <c r="BR184" s="18" t="e" cm="1">
        <f t="array" aca="1" ref="BR184" ca="1">IF(INDIRECT(ADDRESS($B184+1,BR$164,1,1,"Confirmed Trend"))=0,#N/A,INDIRECT(ADDRESS($B184+1,BR$164,1,1,"Confirmed Trend")))</f>
        <v>#N/A</v>
      </c>
      <c r="BS184" s="18" t="e" cm="1">
        <f t="array" aca="1" ref="BS184" ca="1">IF(INDIRECT(ADDRESS($B184+1,BS$164,1,1,"Confirmed Trend"))=0,#N/A,INDIRECT(ADDRESS($B184+1,BS$164,1,1,"Confirmed Trend")))</f>
        <v>#N/A</v>
      </c>
      <c r="BT184" s="18" t="e" cm="1">
        <f t="array" aca="1" ref="BT184" ca="1">IF(INDIRECT(ADDRESS($B184+1,BT$164,1,1,"Confirmed Trend"))=0,#N/A,INDIRECT(ADDRESS($B184+1,BT$164,1,1,"Confirmed Trend")))</f>
        <v>#N/A</v>
      </c>
      <c r="BU184" s="18" t="e" cm="1">
        <f t="array" aca="1" ref="BU184" ca="1">IF(INDIRECT(ADDRESS($B184+1,BU$164,1,1,"Confirmed Trend"))=0,#N/A,INDIRECT(ADDRESS($B184+1,BU$164,1,1,"Confirmed Trend")))</f>
        <v>#N/A</v>
      </c>
      <c r="BV184" s="18" t="e" cm="1">
        <f t="array" aca="1" ref="BV184" ca="1">IF(INDIRECT(ADDRESS($B184+1,BV$164,1,1,"Confirmed Trend"))=0,#N/A,INDIRECT(ADDRESS($B184+1,BV$164,1,1,"Confirmed Trend")))</f>
        <v>#N/A</v>
      </c>
    </row>
    <row r="185" spans="2:74" x14ac:dyDescent="0.25">
      <c r="B185">
        <f t="shared" si="132"/>
        <v>20</v>
      </c>
      <c r="C185" t="str" cm="1">
        <f t="array" aca="1" ref="C185" ca="1">INDIRECT(ADDRESS($B185+1,1,1,1,"Confirmed Trend"))</f>
        <v>Switzerland St. Gallen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cm="1">
        <f t="array" aca="1" ref="BA185" ca="1">IF(INDIRECT(ADDRESS($B185+1,BA$164,1,1,"Confirmed Trend"))=0,#N/A,INDIRECT(ADDRESS($B185+1,BA$164,1,1,"Confirmed Trend")))</f>
        <v>0.1066819197</v>
      </c>
      <c r="BB185" s="18" cm="1">
        <f t="array" aca="1" ref="BB185" ca="1">IF(INDIRECT(ADDRESS($B185+1,BB$164,1,1,"Confirmed Trend"))=0,#N/A,INDIRECT(ADDRESS($B185+1,BB$164,1,1,"Confirmed Trend")))</f>
        <v>4.6635139399999997E-2</v>
      </c>
      <c r="BC185" s="18" cm="1">
        <f t="array" aca="1" ref="BC185" ca="1">IF(INDIRECT(ADDRESS($B185+1,BC$164,1,1,"Confirmed Trend"))=0,#N/A,INDIRECT(ADDRESS($B185+1,BC$164,1,1,"Confirmed Trend")))</f>
        <v>0.3339838987</v>
      </c>
      <c r="BD185" s="18" cm="1">
        <f t="array" aca="1" ref="BD185" ca="1">IF(INDIRECT(ADDRESS($B185+1,BD$164,1,1,"Confirmed Trend"))=0,#N/A,INDIRECT(ADDRESS($B185+1,BD$164,1,1,"Confirmed Trend")))</f>
        <v>0.51967137129999996</v>
      </c>
      <c r="BE185" s="18" cm="1">
        <f t="array" aca="1" ref="BE185" ca="1">IF(INDIRECT(ADDRESS($B185+1,BE$164,1,1,"Confirmed Trend"))=0,#N/A,INDIRECT(ADDRESS($B185+1,BE$164,1,1,"Confirmed Trend")))</f>
        <v>0.65487545979999995</v>
      </c>
      <c r="BF185" s="18" cm="1">
        <f t="array" aca="1" ref="BF185" ca="1">IF(INDIRECT(ADDRESS($B185+1,BF$164,1,1,"Confirmed Trend"))=0,#N/A,INDIRECT(ADDRESS($B185+1,BF$164,1,1,"Confirmed Trend")))</f>
        <v>0.65487545979999995</v>
      </c>
      <c r="BG185" s="18" cm="1">
        <f t="array" aca="1" ref="BG185" ca="1">IF(INDIRECT(ADDRESS($B185+1,BG$164,1,1,"Confirmed Trend"))=0,#N/A,INDIRECT(ADDRESS($B185+1,BG$164,1,1,"Confirmed Trend")))</f>
        <v>0.2405513001</v>
      </c>
      <c r="BH185" s="18" cm="1">
        <f t="array" aca="1" ref="BH185" ca="1">IF(INDIRECT(ADDRESS($B185+1,BH$164,1,1,"Confirmed Trend"))=0,#N/A,INDIRECT(ADDRESS($B185+1,BH$164,1,1,"Confirmed Trend")))</f>
        <v>0.2454754938</v>
      </c>
      <c r="BI185" s="18" cm="1">
        <f t="array" aca="1" ref="BI185" ca="1">IF(INDIRECT(ADDRESS($B185+1,BI$164,1,1,"Confirmed Trend"))=0,#N/A,INDIRECT(ADDRESS($B185+1,BI$164,1,1,"Confirmed Trend")))</f>
        <v>0.28579919469999998</v>
      </c>
      <c r="BJ185" s="18" cm="1">
        <f t="array" aca="1" ref="BJ185" ca="1">IF(INDIRECT(ADDRESS($B185+1,BJ$164,1,1,"Confirmed Trend"))=0,#N/A,INDIRECT(ADDRESS($B185+1,BJ$164,1,1,"Confirmed Trend")))</f>
        <v>0.4390841795</v>
      </c>
      <c r="BK185" s="18" cm="1">
        <f t="array" aca="1" ref="BK185" ca="1">IF(INDIRECT(ADDRESS($B185+1,BK$164,1,1,"Confirmed Trend"))=0,#N/A,INDIRECT(ADDRESS($B185+1,BK$164,1,1,"Confirmed Trend")))</f>
        <v>0.525964141</v>
      </c>
      <c r="BL185" s="18" cm="1">
        <f t="array" aca="1" ref="BL185" ca="1">IF(INDIRECT(ADDRESS($B185+1,BL$164,1,1,"Confirmed Trend"))=0,#N/A,INDIRECT(ADDRESS($B185+1,BL$164,1,1,"Confirmed Trend")))</f>
        <v>0.38214592829999999</v>
      </c>
      <c r="BM185" s="18" cm="1">
        <f t="array" aca="1" ref="BM185" ca="1">IF(INDIRECT(ADDRESS($B185+1,BM$164,1,1,"Confirmed Trend"))=0,#N/A,INDIRECT(ADDRESS($B185+1,BM$164,1,1,"Confirmed Trend")))</f>
        <v>0.2433991174</v>
      </c>
      <c r="BN185" s="18" cm="1">
        <f t="array" aca="1" ref="BN185" ca="1">IF(INDIRECT(ADDRESS($B185+1,BN$164,1,1,"Confirmed Trend"))=0,#N/A,INDIRECT(ADDRESS($B185+1,BN$164,1,1,"Confirmed Trend")))</f>
        <v>0.2174528114</v>
      </c>
      <c r="BO185" s="18" cm="1">
        <f t="array" aca="1" ref="BO185" ca="1">IF(INDIRECT(ADDRESS($B185+1,BO$164,1,1,"Confirmed Trend"))=0,#N/A,INDIRECT(ADDRESS($B185+1,BO$164,1,1,"Confirmed Trend")))</f>
        <v>0.2275239791</v>
      </c>
      <c r="BP185" s="18" cm="1">
        <f t="array" aca="1" ref="BP185" ca="1">IF(INDIRECT(ADDRESS($B185+1,BP$164,1,1,"Confirmed Trend"))=0,#N/A,INDIRECT(ADDRESS($B185+1,BP$164,1,1,"Confirmed Trend")))</f>
        <v>0.2490719207</v>
      </c>
      <c r="BQ185" s="18" t="e" cm="1">
        <f t="array" aca="1" ref="BQ185" ca="1">IF(INDIRECT(ADDRESS($B185+1,BQ$164,1,1,"Confirmed Trend"))=0,#N/A,INDIRECT(ADDRESS($B185+1,BQ$164,1,1,"Confirmed Trend")))</f>
        <v>#N/A</v>
      </c>
      <c r="BR185" s="18" t="e" cm="1">
        <f t="array" aca="1" ref="BR185" ca="1">IF(INDIRECT(ADDRESS($B185+1,BR$164,1,1,"Confirmed Trend"))=0,#N/A,INDIRECT(ADDRESS($B185+1,BR$164,1,1,"Confirmed Trend")))</f>
        <v>#N/A</v>
      </c>
      <c r="BS185" s="18" t="e" cm="1">
        <f t="array" aca="1" ref="BS185" ca="1">IF(INDIRECT(ADDRESS($B185+1,BS$164,1,1,"Confirmed Trend"))=0,#N/A,INDIRECT(ADDRESS($B185+1,BS$164,1,1,"Confirmed Trend")))</f>
        <v>#N/A</v>
      </c>
      <c r="BT185" s="18" t="e" cm="1">
        <f t="array" aca="1" ref="BT185" ca="1">IF(INDIRECT(ADDRESS($B185+1,BT$164,1,1,"Confirmed Trend"))=0,#N/A,INDIRECT(ADDRESS($B185+1,BT$164,1,1,"Confirmed Trend")))</f>
        <v>#N/A</v>
      </c>
      <c r="BU185" s="18" t="e" cm="1">
        <f t="array" aca="1" ref="BU185" ca="1">IF(INDIRECT(ADDRESS($B185+1,BU$164,1,1,"Confirmed Trend"))=0,#N/A,INDIRECT(ADDRESS($B185+1,BU$164,1,1,"Confirmed Trend")))</f>
        <v>#N/A</v>
      </c>
      <c r="BV185" s="18" t="e" cm="1">
        <f t="array" aca="1" ref="BV185" ca="1">IF(INDIRECT(ADDRESS($B185+1,BV$164,1,1,"Confirmed Trend"))=0,#N/A,INDIRECT(ADDRESS($B185+1,BV$164,1,1,"Confirmed Trend")))</f>
        <v>#N/A</v>
      </c>
    </row>
    <row r="186" spans="2:74" x14ac:dyDescent="0.25">
      <c r="B186">
        <f t="shared" si="132"/>
        <v>21</v>
      </c>
      <c r="C186" t="str" cm="1">
        <f t="array" aca="1" ref="C186" ca="1">INDIRECT(ADDRESS($B186+1,1,1,1,"Confirmed Trend"))</f>
        <v>Switzerland Thurgovia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0.25743342969999999</v>
      </c>
      <c r="BN186" s="18" cm="1">
        <f t="array" aca="1" ref="BN186" ca="1">IF(INDIRECT(ADDRESS($B186+1,BN$164,1,1,"Confirmed Trend"))=0,#N/A,INDIRECT(ADDRESS($B186+1,BN$164,1,1,"Confirmed Trend")))</f>
        <v>0.23544557199999999</v>
      </c>
      <c r="BO186" s="18" cm="1">
        <f t="array" aca="1" ref="BO186" ca="1">IF(INDIRECT(ADDRESS($B186+1,BO$164,1,1,"Confirmed Trend"))=0,#N/A,INDIRECT(ADDRESS($B186+1,BO$164,1,1,"Confirmed Trend")))</f>
        <v>0.20048048060000001</v>
      </c>
      <c r="BP186" s="18" cm="1">
        <f t="array" aca="1" ref="BP186" ca="1">IF(INDIRECT(ADDRESS($B186+1,BP$164,1,1,"Confirmed Trend"))=0,#N/A,INDIRECT(ADDRESS($B186+1,BP$164,1,1,"Confirmed Trend")))</f>
        <v>0.16975848360000001</v>
      </c>
      <c r="BQ186" s="18" cm="1">
        <f t="array" aca="1" ref="BQ186" ca="1">IF(INDIRECT(ADDRESS($B186+1,BQ$164,1,1,"Confirmed Trend"))=0,#N/A,INDIRECT(ADDRESS($B186+1,BQ$164,1,1,"Confirmed Trend")))</f>
        <v>0.1034482759</v>
      </c>
      <c r="BR186" s="18" t="e" cm="1">
        <f t="array" aca="1" ref="BR186" ca="1">IF(INDIRECT(ADDRESS($B186+1,BR$164,1,1,"Confirmed Trend"))=0,#N/A,INDIRECT(ADDRESS($B186+1,BR$164,1,1,"Confirmed Trend")))</f>
        <v>#N/A</v>
      </c>
      <c r="BS186" s="18" t="e" cm="1">
        <f t="array" aca="1" ref="BS186" ca="1">IF(INDIRECT(ADDRESS($B186+1,BS$164,1,1,"Confirmed Trend"))=0,#N/A,INDIRECT(ADDRESS($B186+1,BS$164,1,1,"Confirmed Trend")))</f>
        <v>#N/A</v>
      </c>
      <c r="BT186" s="18" t="e" cm="1">
        <f t="array" aca="1" ref="BT186" ca="1">IF(INDIRECT(ADDRESS($B186+1,BT$164,1,1,"Confirmed Trend"))=0,#N/A,INDIRECT(ADDRESS($B186+1,BT$164,1,1,"Confirmed Trend")))</f>
        <v>#N/A</v>
      </c>
      <c r="BU186" s="18" t="e" cm="1">
        <f t="array" aca="1" ref="BU186" ca="1">IF(INDIRECT(ADDRESS($B186+1,BU$164,1,1,"Confirmed Trend"))=0,#N/A,INDIRECT(ADDRESS($B186+1,BU$164,1,1,"Confirmed Trend")))</f>
        <v>#N/A</v>
      </c>
      <c r="BV186" s="18" t="e" cm="1">
        <f t="array" aca="1" ref="BV186" ca="1">IF(INDIRECT(ADDRESS($B186+1,BV$164,1,1,"Confirmed Trend"))=0,#N/A,INDIRECT(ADDRESS($B186+1,BV$164,1,1,"Confirmed Trend")))</f>
        <v>#N/A</v>
      </c>
    </row>
    <row r="187" spans="2:74" x14ac:dyDescent="0.25">
      <c r="B187">
        <f t="shared" si="132"/>
        <v>22</v>
      </c>
      <c r="C187" t="str" cm="1">
        <f t="array" aca="1" ref="C187" ca="1">INDIRECT(ADDRESS($B187+1,1,1,1,"Confirmed Trend"))</f>
        <v>Switzerland Ticino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cm="1">
        <f t="array" aca="1" ref="AS187" ca="1">IF(INDIRECT(ADDRESS($B187+1,AS$164,1,1,"Confirmed Trend"))=0,#N/A,INDIRECT(ADDRESS($B187+1,AS$164,1,1,"Confirmed Trend")))</f>
        <v>7.4569931800000003E-2</v>
      </c>
      <c r="AT187" s="18" cm="1">
        <f t="array" aca="1" ref="AT187" ca="1">IF(INDIRECT(ADDRESS($B187+1,AT$164,1,1,"Confirmed Trend"))=0,#N/A,INDIRECT(ADDRESS($B187+1,AT$164,1,1,"Confirmed Trend")))</f>
        <v>0.23593091699999999</v>
      </c>
      <c r="AU187" s="18" cm="1">
        <f t="array" aca="1" ref="AU187" ca="1">IF(INDIRECT(ADDRESS($B187+1,AU$164,1,1,"Confirmed Trend"))=0,#N/A,INDIRECT(ADDRESS($B187+1,AU$164,1,1,"Confirmed Trend")))</f>
        <v>0.38378257519999998</v>
      </c>
      <c r="AV187" s="18" cm="1">
        <f t="array" aca="1" ref="AV187" ca="1">IF(INDIRECT(ADDRESS($B187+1,AV$164,1,1,"Confirmed Trend"))=0,#N/A,INDIRECT(ADDRESS($B187+1,AV$164,1,1,"Confirmed Trend")))</f>
        <v>0.46977784020000002</v>
      </c>
      <c r="AW187" s="18" cm="1">
        <f t="array" aca="1" ref="AW187" ca="1">IF(INDIRECT(ADDRESS($B187+1,AW$164,1,1,"Confirmed Trend"))=0,#N/A,INDIRECT(ADDRESS($B187+1,AW$164,1,1,"Confirmed Trend")))</f>
        <v>0.39157884189999997</v>
      </c>
      <c r="AX187" s="18" cm="1">
        <f t="array" aca="1" ref="AX187" ca="1">IF(INDIRECT(ADDRESS($B187+1,AX$164,1,1,"Confirmed Trend"))=0,#N/A,INDIRECT(ADDRESS($B187+1,AX$164,1,1,"Confirmed Trend")))</f>
        <v>0.209896735</v>
      </c>
      <c r="AY187" s="18" cm="1">
        <f t="array" aca="1" ref="AY187" ca="1">IF(INDIRECT(ADDRESS($B187+1,AY$164,1,1,"Confirmed Trend"))=0,#N/A,INDIRECT(ADDRESS($B187+1,AY$164,1,1,"Confirmed Trend")))</f>
        <v>8.0624086499999997E-2</v>
      </c>
      <c r="AZ187" s="18" cm="1">
        <f t="array" aca="1" ref="AZ187" ca="1">IF(INDIRECT(ADDRESS($B187+1,AZ$164,1,1,"Confirmed Trend"))=0,#N/A,INDIRECT(ADDRESS($B187+1,AZ$164,1,1,"Confirmed Trend")))</f>
        <v>1.7397827300000002E-2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cm="1">
        <f t="array" aca="1" ref="BC187" ca="1">IF(INDIRECT(ADDRESS($B187+1,BC$164,1,1,"Confirmed Trend"))=0,#N/A,INDIRECT(ADDRESS($B187+1,BC$164,1,1,"Confirmed Trend")))</f>
        <v>0.8865381215</v>
      </c>
      <c r="BD187" s="18" cm="1">
        <f t="array" aca="1" ref="BD187" ca="1">IF(INDIRECT(ADDRESS($B187+1,BD$164,1,1,"Confirmed Trend"))=0,#N/A,INDIRECT(ADDRESS($B187+1,BD$164,1,1,"Confirmed Trend")))</f>
        <v>1.3311923905</v>
      </c>
      <c r="BE187" s="18" cm="1">
        <f t="array" aca="1" ref="BE187" ca="1">IF(INDIRECT(ADDRESS($B187+1,BE$164,1,1,"Confirmed Trend"))=0,#N/A,INDIRECT(ADDRESS($B187+1,BE$164,1,1,"Confirmed Trend")))</f>
        <v>1.6164715479</v>
      </c>
      <c r="BF187" s="18" cm="1">
        <f t="array" aca="1" ref="BF187" ca="1">IF(INDIRECT(ADDRESS($B187+1,BF$164,1,1,"Confirmed Trend"))=0,#N/A,INDIRECT(ADDRESS($B187+1,BF$164,1,1,"Confirmed Trend")))</f>
        <v>1.7141465052</v>
      </c>
      <c r="BG187" s="18" cm="1">
        <f t="array" aca="1" ref="BG187" ca="1">IF(INDIRECT(ADDRESS($B187+1,BG$164,1,1,"Confirmed Trend"))=0,#N/A,INDIRECT(ADDRESS($B187+1,BG$164,1,1,"Confirmed Trend")))</f>
        <v>0.46950148819999998</v>
      </c>
      <c r="BH187" s="18" cm="1">
        <f t="array" aca="1" ref="BH187" ca="1">IF(INDIRECT(ADDRESS($B187+1,BH$164,1,1,"Confirmed Trend"))=0,#N/A,INDIRECT(ADDRESS($B187+1,BH$164,1,1,"Confirmed Trend")))</f>
        <v>0.2387114316</v>
      </c>
      <c r="BI187" s="18" cm="1">
        <f t="array" aca="1" ref="BI187" ca="1">IF(INDIRECT(ADDRESS($B187+1,BI$164,1,1,"Confirmed Trend"))=0,#N/A,INDIRECT(ADDRESS($B187+1,BI$164,1,1,"Confirmed Trend")))</f>
        <v>0.15774258029999999</v>
      </c>
      <c r="BJ187" s="18" cm="1">
        <f t="array" aca="1" ref="BJ187" ca="1">IF(INDIRECT(ADDRESS($B187+1,BJ$164,1,1,"Confirmed Trend"))=0,#N/A,INDIRECT(ADDRESS($B187+1,BJ$164,1,1,"Confirmed Trend")))</f>
        <v>0.1786583712</v>
      </c>
      <c r="BK187" s="18" cm="1">
        <f t="array" aca="1" ref="BK187" ca="1">IF(INDIRECT(ADDRESS($B187+1,BK$164,1,1,"Confirmed Trend"))=0,#N/A,INDIRECT(ADDRESS($B187+1,BK$164,1,1,"Confirmed Trend")))</f>
        <v>0.22312895720000001</v>
      </c>
      <c r="BL187" s="18" cm="1">
        <f t="array" aca="1" ref="BL187" ca="1">IF(INDIRECT(ADDRESS($B187+1,BL$164,1,1,"Confirmed Trend"))=0,#N/A,INDIRECT(ADDRESS($B187+1,BL$164,1,1,"Confirmed Trend")))</f>
        <v>0.23034921959999999</v>
      </c>
      <c r="BM187" s="18" cm="1">
        <f t="array" aca="1" ref="BM187" ca="1">IF(INDIRECT(ADDRESS($B187+1,BM$164,1,1,"Confirmed Trend"))=0,#N/A,INDIRECT(ADDRESS($B187+1,BM$164,1,1,"Confirmed Trend")))</f>
        <v>0.20816871810000001</v>
      </c>
      <c r="BN187" s="18" cm="1">
        <f t="array" aca="1" ref="BN187" ca="1">IF(INDIRECT(ADDRESS($B187+1,BN$164,1,1,"Confirmed Trend"))=0,#N/A,INDIRECT(ADDRESS($B187+1,BN$164,1,1,"Confirmed Trend")))</f>
        <v>0.17768615300000001</v>
      </c>
      <c r="BO187" s="18" cm="1">
        <f t="array" aca="1" ref="BO187" ca="1">IF(INDIRECT(ADDRESS($B187+1,BO$164,1,1,"Confirmed Trend"))=0,#N/A,INDIRECT(ADDRESS($B187+1,BO$164,1,1,"Confirmed Trend")))</f>
        <v>0.13707786299999999</v>
      </c>
      <c r="BP187" s="18" cm="1">
        <f t="array" aca="1" ref="BP187" ca="1">IF(INDIRECT(ADDRESS($B187+1,BP$164,1,1,"Confirmed Trend"))=0,#N/A,INDIRECT(ADDRESS($B187+1,BP$164,1,1,"Confirmed Trend")))</f>
        <v>0.1177063871</v>
      </c>
      <c r="BQ187" s="18" cm="1">
        <f t="array" aca="1" ref="BQ187" ca="1">IF(INDIRECT(ADDRESS($B187+1,BQ$164,1,1,"Confirmed Trend"))=0,#N/A,INDIRECT(ADDRESS($B187+1,BQ$164,1,1,"Confirmed Trend")))</f>
        <v>0.11808422790000001</v>
      </c>
      <c r="BR187" s="18" t="e" cm="1">
        <f t="array" aca="1" ref="BR187" ca="1">IF(INDIRECT(ADDRESS($B187+1,BR$164,1,1,"Confirmed Trend"))=0,#N/A,INDIRECT(ADDRESS($B187+1,BR$164,1,1,"Confirmed Trend")))</f>
        <v>#N/A</v>
      </c>
      <c r="BS187" s="18" t="e" cm="1">
        <f t="array" aca="1" ref="BS187" ca="1">IF(INDIRECT(ADDRESS($B187+1,BS$164,1,1,"Confirmed Trend"))=0,#N/A,INDIRECT(ADDRESS($B187+1,BS$164,1,1,"Confirmed Trend")))</f>
        <v>#N/A</v>
      </c>
      <c r="BT187" s="18" t="e" cm="1">
        <f t="array" aca="1" ref="BT187" ca="1">IF(INDIRECT(ADDRESS($B187+1,BT$164,1,1,"Confirmed Trend"))=0,#N/A,INDIRECT(ADDRESS($B187+1,BT$164,1,1,"Confirmed Trend")))</f>
        <v>#N/A</v>
      </c>
      <c r="BU187" s="18" t="e" cm="1">
        <f t="array" aca="1" ref="BU187" ca="1">IF(INDIRECT(ADDRESS($B187+1,BU$164,1,1,"Confirmed Trend"))=0,#N/A,INDIRECT(ADDRESS($B187+1,BU$164,1,1,"Confirmed Trend")))</f>
        <v>#N/A</v>
      </c>
      <c r="BV187" s="18" t="e" cm="1">
        <f t="array" aca="1" ref="BV187" ca="1">IF(INDIRECT(ADDRESS($B187+1,BV$164,1,1,"Confirmed Trend"))=0,#N/A,INDIRECT(ADDRESS($B187+1,BV$164,1,1,"Confirmed Trend")))</f>
        <v>#N/A</v>
      </c>
    </row>
    <row r="188" spans="2:74" x14ac:dyDescent="0.25">
      <c r="B188">
        <f t="shared" si="132"/>
        <v>23</v>
      </c>
      <c r="C188" t="str" cm="1">
        <f t="array" aca="1" ref="C188" ca="1">INDIRECT(ADDRESS($B188+1,1,1,1,"Confirmed Trend"))</f>
        <v>Switzerland Uri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cm="1">
        <f t="array" aca="1" ref="BI188" ca="1">IF(INDIRECT(ADDRESS($B188+1,BI$164,1,1,"Confirmed Trend"))=0,#N/A,INDIRECT(ADDRESS($B188+1,BI$164,1,1,"Confirmed Trend")))</f>
        <v>0.1066819197</v>
      </c>
      <c r="BJ188" s="18" cm="1">
        <f t="array" aca="1" ref="BJ188" ca="1">IF(INDIRECT(ADDRESS($B188+1,BJ$164,1,1,"Confirmed Trend"))=0,#N/A,INDIRECT(ADDRESS($B188+1,BJ$164,1,1,"Confirmed Trend")))</f>
        <v>0.23593091699999999</v>
      </c>
      <c r="BK188" s="18" cm="1">
        <f t="array" aca="1" ref="BK188" ca="1">IF(INDIRECT(ADDRESS($B188+1,BK$164,1,1,"Confirmed Trend"))=0,#N/A,INDIRECT(ADDRESS($B188+1,BK$164,1,1,"Confirmed Trend")))</f>
        <v>0.3339838987</v>
      </c>
      <c r="BL188" s="18" cm="1">
        <f t="array" aca="1" ref="BL188" ca="1">IF(INDIRECT(ADDRESS($B188+1,BL$164,1,1,"Confirmed Trend"))=0,#N/A,INDIRECT(ADDRESS($B188+1,BL$164,1,1,"Confirmed Trend")))</f>
        <v>0.44279797599999998</v>
      </c>
      <c r="BM188" s="18" cm="1">
        <f t="array" aca="1" ref="BM188" ca="1">IF(INDIRECT(ADDRESS($B188+1,BM$164,1,1,"Confirmed Trend"))=0,#N/A,INDIRECT(ADDRESS($B188+1,BM$164,1,1,"Confirmed Trend")))</f>
        <v>0.36232208170000002</v>
      </c>
      <c r="BN188" s="18" cm="1">
        <f t="array" aca="1" ref="BN188" ca="1">IF(INDIRECT(ADDRESS($B188+1,BN$164,1,1,"Confirmed Trend"))=0,#N/A,INDIRECT(ADDRESS($B188+1,BN$164,1,1,"Confirmed Trend")))</f>
        <v>0.34634837039999999</v>
      </c>
      <c r="BO188" s="18" cm="1">
        <f t="array" aca="1" ref="BO188" ca="1">IF(INDIRECT(ADDRESS($B188+1,BO$164,1,1,"Confirmed Trend"))=0,#N/A,INDIRECT(ADDRESS($B188+1,BO$164,1,1,"Confirmed Trend")))</f>
        <v>0.32746965639999998</v>
      </c>
      <c r="BP188" s="18" cm="1">
        <f t="array" aca="1" ref="BP188" ca="1">IF(INDIRECT(ADDRESS($B188+1,BP$164,1,1,"Confirmed Trend"))=0,#N/A,INDIRECT(ADDRESS($B188+1,BP$164,1,1,"Confirmed Trend")))</f>
        <v>0.29000022819999999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t="e" cm="1">
        <f t="array" aca="1" ref="BR188" ca="1">IF(INDIRECT(ADDRESS($B188+1,BR$164,1,1,"Confirmed Trend"))=0,#N/A,INDIRECT(ADDRESS($B188+1,BR$164,1,1,"Confirmed Trend")))</f>
        <v>#N/A</v>
      </c>
      <c r="BS188" s="18" t="e" cm="1">
        <f t="array" aca="1" ref="BS188" ca="1">IF(INDIRECT(ADDRESS($B188+1,BS$164,1,1,"Confirmed Trend"))=0,#N/A,INDIRECT(ADDRESS($B188+1,BS$164,1,1,"Confirmed Trend")))</f>
        <v>#N/A</v>
      </c>
      <c r="BT188" s="18" t="e" cm="1">
        <f t="array" aca="1" ref="BT188" ca="1">IF(INDIRECT(ADDRESS($B188+1,BT$164,1,1,"Confirmed Trend"))=0,#N/A,INDIRECT(ADDRESS($B188+1,BT$164,1,1,"Confirmed Trend")))</f>
        <v>#N/A</v>
      </c>
      <c r="BU188" s="18" t="e" cm="1">
        <f t="array" aca="1" ref="BU188" ca="1">IF(INDIRECT(ADDRESS($B188+1,BU$164,1,1,"Confirmed Trend"))=0,#N/A,INDIRECT(ADDRESS($B188+1,BU$164,1,1,"Confirmed Trend")))</f>
        <v>#N/A</v>
      </c>
      <c r="BV188" s="18" t="e" cm="1">
        <f t="array" aca="1" ref="BV188" ca="1">IF(INDIRECT(ADDRESS($B188+1,BV$164,1,1,"Confirmed Trend"))=0,#N/A,INDIRECT(ADDRESS($B188+1,BV$164,1,1,"Confirmed Trend")))</f>
        <v>#N/A</v>
      </c>
    </row>
    <row r="189" spans="2:74" x14ac:dyDescent="0.25">
      <c r="B189">
        <f t="shared" si="132"/>
        <v>24</v>
      </c>
      <c r="C189" t="str" cm="1">
        <f t="array" aca="1" ref="C189" ca="1">INDIRECT(ADDRESS($B189+1,1,1,1,"Confirmed Trend"))</f>
        <v>Switzerland Valais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cm="1">
        <f t="array" aca="1" ref="AV189" ca="1">IF(INDIRECT(ADDRESS($B189+1,AV$164,1,1,"Confirmed Trend"))=0,#N/A,INDIRECT(ADDRESS($B189+1,AV$164,1,1,"Confirmed Trend")))</f>
        <v>0.31607401299999999</v>
      </c>
      <c r="AW189" s="18" cm="1">
        <f t="array" aca="1" ref="AW189" ca="1">IF(INDIRECT(ADDRESS($B189+1,AW$164,1,1,"Confirmed Trend"))=0,#N/A,INDIRECT(ADDRESS($B189+1,AW$164,1,1,"Confirmed Trend")))</f>
        <v>0.25743342969999999</v>
      </c>
      <c r="AX189" s="18" cm="1">
        <f t="array" aca="1" ref="AX189" ca="1">IF(INDIRECT(ADDRESS($B189+1,AX$164,1,1,"Confirmed Trend"))=0,#N/A,INDIRECT(ADDRESS($B189+1,AX$164,1,1,"Confirmed Trend")))</f>
        <v>0.20736820140000001</v>
      </c>
      <c r="AY189" s="18" cm="1">
        <f t="array" aca="1" ref="AY189" ca="1">IF(INDIRECT(ADDRESS($B189+1,AY$164,1,1,"Confirmed Trend"))=0,#N/A,INDIRECT(ADDRESS($B189+1,AY$164,1,1,"Confirmed Trend")))</f>
        <v>0.17405488590000001</v>
      </c>
      <c r="AZ189" s="18" cm="1">
        <f t="array" aca="1" ref="AZ189" ca="1">IF(INDIRECT(ADDRESS($B189+1,AZ$164,1,1,"Confirmed Trend"))=0,#N/A,INDIRECT(ADDRESS($B189+1,AZ$164,1,1,"Confirmed Trend")))</f>
        <v>0.2014057071</v>
      </c>
      <c r="BA189" s="18" cm="1">
        <f t="array" aca="1" ref="BA189" ca="1">IF(INDIRECT(ADDRESS($B189+1,BA$164,1,1,"Confirmed Trend"))=0,#N/A,INDIRECT(ADDRESS($B189+1,BA$164,1,1,"Confirmed Trend")))</f>
        <v>0.24466595460000001</v>
      </c>
      <c r="BB189" s="18" cm="1">
        <f t="array" aca="1" ref="BB189" ca="1">IF(INDIRECT(ADDRESS($B189+1,BB$164,1,1,"Confirmed Trend"))=0,#N/A,INDIRECT(ADDRESS($B189+1,BB$164,1,1,"Confirmed Trend")))</f>
        <v>0.31607401299999999</v>
      </c>
      <c r="BC189" s="18" cm="1">
        <f t="array" aca="1" ref="BC189" ca="1">IF(INDIRECT(ADDRESS($B189+1,BC$164,1,1,"Confirmed Trend"))=0,#N/A,INDIRECT(ADDRESS($B189+1,BC$164,1,1,"Confirmed Trend")))</f>
        <v>0.38046014410000001</v>
      </c>
      <c r="BD189" s="18" cm="1">
        <f t="array" aca="1" ref="BD189" ca="1">IF(INDIRECT(ADDRESS($B189+1,BD$164,1,1,"Confirmed Trend"))=0,#N/A,INDIRECT(ADDRESS($B189+1,BD$164,1,1,"Confirmed Trend")))</f>
        <v>0.43156912269999997</v>
      </c>
      <c r="BE189" s="18" cm="1">
        <f t="array" aca="1" ref="BE189" ca="1">IF(INDIRECT(ADDRESS($B189+1,BE$164,1,1,"Confirmed Trend"))=0,#N/A,INDIRECT(ADDRESS($B189+1,BE$164,1,1,"Confirmed Trend")))</f>
        <v>0.4496850355</v>
      </c>
      <c r="BF189" s="18" cm="1">
        <f t="array" aca="1" ref="BF189" ca="1">IF(INDIRECT(ADDRESS($B189+1,BF$164,1,1,"Confirmed Trend"))=0,#N/A,INDIRECT(ADDRESS($B189+1,BF$164,1,1,"Confirmed Trend")))</f>
        <v>0.45249257259999998</v>
      </c>
      <c r="BG189" s="18" cm="1">
        <f t="array" aca="1" ref="BG189" ca="1">IF(INDIRECT(ADDRESS($B189+1,BG$164,1,1,"Confirmed Trend"))=0,#N/A,INDIRECT(ADDRESS($B189+1,BG$164,1,1,"Confirmed Trend")))</f>
        <v>0.43181605140000001</v>
      </c>
      <c r="BH189" s="18" cm="1">
        <f t="array" aca="1" ref="BH189" ca="1">IF(INDIRECT(ADDRESS($B189+1,BH$164,1,1,"Confirmed Trend"))=0,#N/A,INDIRECT(ADDRESS($B189+1,BH$164,1,1,"Confirmed Trend")))</f>
        <v>0.38557620510000001</v>
      </c>
      <c r="BI189" s="18" cm="1">
        <f t="array" aca="1" ref="BI189" ca="1">IF(INDIRECT(ADDRESS($B189+1,BI$164,1,1,"Confirmed Trend"))=0,#N/A,INDIRECT(ADDRESS($B189+1,BI$164,1,1,"Confirmed Trend")))</f>
        <v>0.34088489550000001</v>
      </c>
      <c r="BJ189" s="18" cm="1">
        <f t="array" aca="1" ref="BJ189" ca="1">IF(INDIRECT(ADDRESS($B189+1,BJ$164,1,1,"Confirmed Trend"))=0,#N/A,INDIRECT(ADDRESS($B189+1,BJ$164,1,1,"Confirmed Trend")))</f>
        <v>0.32939822479999997</v>
      </c>
      <c r="BK189" s="18" cm="1">
        <f t="array" aca="1" ref="BK189" ca="1">IF(INDIRECT(ADDRESS($B189+1,BK$164,1,1,"Confirmed Trend"))=0,#N/A,INDIRECT(ADDRESS($B189+1,BK$164,1,1,"Confirmed Trend")))</f>
        <v>0.32058891290000002</v>
      </c>
      <c r="BL189" s="18" cm="1">
        <f t="array" aca="1" ref="BL189" ca="1">IF(INDIRECT(ADDRESS($B189+1,BL$164,1,1,"Confirmed Trend"))=0,#N/A,INDIRECT(ADDRESS($B189+1,BL$164,1,1,"Confirmed Trend")))</f>
        <v>0.29547454309999999</v>
      </c>
      <c r="BM189" s="18" cm="1">
        <f t="array" aca="1" ref="BM189" ca="1">IF(INDIRECT(ADDRESS($B189+1,BM$164,1,1,"Confirmed Trend"))=0,#N/A,INDIRECT(ADDRESS($B189+1,BM$164,1,1,"Confirmed Trend")))</f>
        <v>0.25350082979999999</v>
      </c>
      <c r="BN189" s="18" cm="1">
        <f t="array" aca="1" ref="BN189" ca="1">IF(INDIRECT(ADDRESS($B189+1,BN$164,1,1,"Confirmed Trend"))=0,#N/A,INDIRECT(ADDRESS($B189+1,BN$164,1,1,"Confirmed Trend")))</f>
        <v>0.19586028150000001</v>
      </c>
      <c r="BO189" s="18" cm="1">
        <f t="array" aca="1" ref="BO189" ca="1">IF(INDIRECT(ADDRESS($B189+1,BO$164,1,1,"Confirmed Trend"))=0,#N/A,INDIRECT(ADDRESS($B189+1,BO$164,1,1,"Confirmed Trend")))</f>
        <v>0.16469573109999999</v>
      </c>
      <c r="BP189" s="18" cm="1">
        <f t="array" aca="1" ref="BP189" ca="1">IF(INDIRECT(ADDRESS($B189+1,BP$164,1,1,"Confirmed Trend"))=0,#N/A,INDIRECT(ADDRESS($B189+1,BP$164,1,1,"Confirmed Trend")))</f>
        <v>0.13107678319999999</v>
      </c>
      <c r="BQ189" s="18" cm="1">
        <f t="array" aca="1" ref="BQ189" ca="1">IF(INDIRECT(ADDRESS($B189+1,BQ$164,1,1,"Confirmed Trend"))=0,#N/A,INDIRECT(ADDRESS($B189+1,BQ$164,1,1,"Confirmed Trend")))</f>
        <v>7.4257425700000004E-2</v>
      </c>
      <c r="BR189" s="18" t="e" cm="1">
        <f t="array" aca="1" ref="BR189" ca="1">IF(INDIRECT(ADDRESS($B189+1,BR$164,1,1,"Confirmed Trend"))=0,#N/A,INDIRECT(ADDRESS($B189+1,BR$164,1,1,"Confirmed Trend")))</f>
        <v>#N/A</v>
      </c>
      <c r="BS189" s="18" t="e" cm="1">
        <f t="array" aca="1" ref="BS189" ca="1">IF(INDIRECT(ADDRESS($B189+1,BS$164,1,1,"Confirmed Trend"))=0,#N/A,INDIRECT(ADDRESS($B189+1,BS$164,1,1,"Confirmed Trend")))</f>
        <v>#N/A</v>
      </c>
      <c r="BT189" s="18" t="e" cm="1">
        <f t="array" aca="1" ref="BT189" ca="1">IF(INDIRECT(ADDRESS($B189+1,BT$164,1,1,"Confirmed Trend"))=0,#N/A,INDIRECT(ADDRESS($B189+1,BT$164,1,1,"Confirmed Trend")))</f>
        <v>#N/A</v>
      </c>
      <c r="BU189" s="18" t="e" cm="1">
        <f t="array" aca="1" ref="BU189" ca="1">IF(INDIRECT(ADDRESS($B189+1,BU$164,1,1,"Confirmed Trend"))=0,#N/A,INDIRECT(ADDRESS($B189+1,BU$164,1,1,"Confirmed Trend")))</f>
        <v>#N/A</v>
      </c>
      <c r="BV189" s="18" t="e" cm="1">
        <f t="array" aca="1" ref="BV189" ca="1">IF(INDIRECT(ADDRESS($B189+1,BV$164,1,1,"Confirmed Trend"))=0,#N/A,INDIRECT(ADDRESS($B189+1,BV$164,1,1,"Confirmed Trend")))</f>
        <v>#N/A</v>
      </c>
    </row>
    <row r="190" spans="2:74" x14ac:dyDescent="0.25">
      <c r="B190">
        <f t="shared" si="132"/>
        <v>25</v>
      </c>
      <c r="C190" t="str" cm="1">
        <f t="array" aca="1" ref="C190" ca="1">INDIRECT(ADDRESS($B190+1,1,1,1,"Confirmed Trend"))</f>
        <v>Switzerland Vaud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cm="1">
        <f t="array" aca="1" ref="BC190" ca="1">IF(INDIRECT(ADDRESS($B190+1,BC$164,1,1,"Confirmed Trend"))=0,#N/A,INDIRECT(ADDRESS($B190+1,BC$164,1,1,"Confirmed Trend")))</f>
        <v>0.38378257519999998</v>
      </c>
      <c r="BD190" s="18" cm="1">
        <f t="array" aca="1" ref="BD190" ca="1">IF(INDIRECT(ADDRESS($B190+1,BD$164,1,1,"Confirmed Trend"))=0,#N/A,INDIRECT(ADDRESS($B190+1,BD$164,1,1,"Confirmed Trend")))</f>
        <v>0.40237809879999997</v>
      </c>
      <c r="BE190" s="18" cm="1">
        <f t="array" aca="1" ref="BE190" ca="1">IF(INDIRECT(ADDRESS($B190+1,BE$164,1,1,"Confirmed Trend"))=0,#N/A,INDIRECT(ADDRESS($B190+1,BE$164,1,1,"Confirmed Trend")))</f>
        <v>0.43379567740000002</v>
      </c>
      <c r="BF190" s="18" cm="1">
        <f t="array" aca="1" ref="BF190" ca="1">IF(INDIRECT(ADDRESS($B190+1,BF$164,1,1,"Confirmed Trend"))=0,#N/A,INDIRECT(ADDRESS($B190+1,BF$164,1,1,"Confirmed Trend")))</f>
        <v>0.42016827750000002</v>
      </c>
      <c r="BG190" s="18" cm="1">
        <f t="array" aca="1" ref="BG190" ca="1">IF(INDIRECT(ADDRESS($B190+1,BG$164,1,1,"Confirmed Trend"))=0,#N/A,INDIRECT(ADDRESS($B190+1,BG$164,1,1,"Confirmed Trend")))</f>
        <v>0.38754850470000002</v>
      </c>
      <c r="BH190" s="18" cm="1">
        <f t="array" aca="1" ref="BH190" ca="1">IF(INDIRECT(ADDRESS($B190+1,BH$164,1,1,"Confirmed Trend"))=0,#N/A,INDIRECT(ADDRESS($B190+1,BH$164,1,1,"Confirmed Trend")))</f>
        <v>0.34289544220000001</v>
      </c>
      <c r="BI190" s="18" cm="1">
        <f t="array" aca="1" ref="BI190" ca="1">IF(INDIRECT(ADDRESS($B190+1,BI$164,1,1,"Confirmed Trend"))=0,#N/A,INDIRECT(ADDRESS($B190+1,BI$164,1,1,"Confirmed Trend")))</f>
        <v>0.28102434949999999</v>
      </c>
      <c r="BJ190" s="18" cm="1">
        <f t="array" aca="1" ref="BJ190" ca="1">IF(INDIRECT(ADDRESS($B190+1,BJ$164,1,1,"Confirmed Trend"))=0,#N/A,INDIRECT(ADDRESS($B190+1,BJ$164,1,1,"Confirmed Trend")))</f>
        <v>0.28481804230000002</v>
      </c>
      <c r="BK190" s="18" cm="1">
        <f t="array" aca="1" ref="BK190" ca="1">IF(INDIRECT(ADDRESS($B190+1,BK$164,1,1,"Confirmed Trend"))=0,#N/A,INDIRECT(ADDRESS($B190+1,BK$164,1,1,"Confirmed Trend")))</f>
        <v>0.28440752749999998</v>
      </c>
      <c r="BL190" s="18" cm="1">
        <f t="array" aca="1" ref="BL190" ca="1">IF(INDIRECT(ADDRESS($B190+1,BL$164,1,1,"Confirmed Trend"))=0,#N/A,INDIRECT(ADDRESS($B190+1,BL$164,1,1,"Confirmed Trend")))</f>
        <v>0.29797782699999997</v>
      </c>
      <c r="BM190" s="18" cm="1">
        <f t="array" aca="1" ref="BM190" ca="1">IF(INDIRECT(ADDRESS($B190+1,BM$164,1,1,"Confirmed Trend"))=0,#N/A,INDIRECT(ADDRESS($B190+1,BM$164,1,1,"Confirmed Trend")))</f>
        <v>0.26460601389999999</v>
      </c>
      <c r="BN190" s="18" cm="1">
        <f t="array" aca="1" ref="BN190" ca="1">IF(INDIRECT(ADDRESS($B190+1,BN$164,1,1,"Confirmed Trend"))=0,#N/A,INDIRECT(ADDRESS($B190+1,BN$164,1,1,"Confirmed Trend")))</f>
        <v>0.19192532039999999</v>
      </c>
      <c r="BO190" s="18" cm="1">
        <f t="array" aca="1" ref="BO190" ca="1">IF(INDIRECT(ADDRESS($B190+1,BO$164,1,1,"Confirmed Trend"))=0,#N/A,INDIRECT(ADDRESS($B190+1,BO$164,1,1,"Confirmed Trend")))</f>
        <v>0.1378343719</v>
      </c>
      <c r="BP190" s="18" cm="1">
        <f t="array" aca="1" ref="BP190" ca="1">IF(INDIRECT(ADDRESS($B190+1,BP$164,1,1,"Confirmed Trend"))=0,#N/A,INDIRECT(ADDRESS($B190+1,BP$164,1,1,"Confirmed Trend")))</f>
        <v>9.4484139300000006E-2</v>
      </c>
      <c r="BQ190" s="18" cm="1">
        <f t="array" aca="1" ref="BQ190" ca="1">IF(INDIRECT(ADDRESS($B190+1,BQ$164,1,1,"Confirmed Trend"))=0,#N/A,INDIRECT(ADDRESS($B190+1,BQ$164,1,1,"Confirmed Trend")))</f>
        <v>2.4514338600000001E-2</v>
      </c>
      <c r="BR190" s="18" t="e" cm="1">
        <f t="array" aca="1" ref="BR190" ca="1">IF(INDIRECT(ADDRESS($B190+1,BR$164,1,1,"Confirmed Trend"))=0,#N/A,INDIRECT(ADDRESS($B190+1,BR$164,1,1,"Confirmed Trend")))</f>
        <v>#N/A</v>
      </c>
      <c r="BS190" s="18" t="e" cm="1">
        <f t="array" aca="1" ref="BS190" ca="1">IF(INDIRECT(ADDRESS($B190+1,BS$164,1,1,"Confirmed Trend"))=0,#N/A,INDIRECT(ADDRESS($B190+1,BS$164,1,1,"Confirmed Trend")))</f>
        <v>#N/A</v>
      </c>
      <c r="BT190" s="18" t="e" cm="1">
        <f t="array" aca="1" ref="BT190" ca="1">IF(INDIRECT(ADDRESS($B190+1,BT$164,1,1,"Confirmed Trend"))=0,#N/A,INDIRECT(ADDRESS($B190+1,BT$164,1,1,"Confirmed Trend")))</f>
        <v>#N/A</v>
      </c>
      <c r="BU190" s="18" t="e" cm="1">
        <f t="array" aca="1" ref="BU190" ca="1">IF(INDIRECT(ADDRESS($B190+1,BU$164,1,1,"Confirmed Trend"))=0,#N/A,INDIRECT(ADDRESS($B190+1,BU$164,1,1,"Confirmed Trend")))</f>
        <v>#N/A</v>
      </c>
      <c r="BV190" s="18" t="e" cm="1">
        <f t="array" aca="1" ref="BV190" ca="1">IF(INDIRECT(ADDRESS($B190+1,BV$164,1,1,"Confirmed Trend"))=0,#N/A,INDIRECT(ADDRESS($B190+1,BV$164,1,1,"Confirmed Trend")))</f>
        <v>#N/A</v>
      </c>
    </row>
    <row r="191" spans="2:74" x14ac:dyDescent="0.25">
      <c r="B191">
        <f t="shared" si="132"/>
        <v>26</v>
      </c>
      <c r="C191" t="str" cm="1">
        <f t="array" aca="1" ref="C191" ca="1">INDIRECT(ADDRESS($B191+1,1,1,1,"Confirmed Trend"))</f>
        <v>Switzerland Zug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cm="1">
        <f t="array" aca="1" ref="AZ191" ca="1">IF(INDIRECT(ADDRESS($B191+1,AZ$164,1,1,"Confirmed Trend"))=0,#N/A,INDIRECT(ADDRESS($B191+1,AZ$164,1,1,"Confirmed Trend")))</f>
        <v>0.1582921853</v>
      </c>
      <c r="BA191" s="18" cm="1">
        <f t="array" aca="1" ref="BA191" ca="1">IF(INDIRECT(ADDRESS($B191+1,BA$164,1,1,"Confirmed Trend"))=0,#N/A,INDIRECT(ADDRESS($B191+1,BA$164,1,1,"Confirmed Trend")))</f>
        <v>6.4844316799999996E-2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cm="1">
        <f t="array" aca="1" ref="BD191" ca="1">IF(INDIRECT(ADDRESS($B191+1,BD$164,1,1,"Confirmed Trend"))=0,#N/A,INDIRECT(ADDRESS($B191+1,BD$164,1,1,"Confirmed Trend")))</f>
        <v>0.20539052369999999</v>
      </c>
      <c r="BE191" s="18" cm="1">
        <f t="array" aca="1" ref="BE191" ca="1">IF(INDIRECT(ADDRESS($B191+1,BE$164,1,1,"Confirmed Trend"))=0,#N/A,INDIRECT(ADDRESS($B191+1,BE$164,1,1,"Confirmed Trend")))</f>
        <v>0.33979660239999998</v>
      </c>
      <c r="BF191" s="18" cm="1">
        <f t="array" aca="1" ref="BF191" ca="1">IF(INDIRECT(ADDRESS($B191+1,BF$164,1,1,"Confirmed Trend"))=0,#N/A,INDIRECT(ADDRESS($B191+1,BF$164,1,1,"Confirmed Trend")))</f>
        <v>0.44279797599999998</v>
      </c>
      <c r="BG191" s="18" cm="1">
        <f t="array" aca="1" ref="BG191" ca="1">IF(INDIRECT(ADDRESS($B191+1,BG$164,1,1,"Confirmed Trend"))=0,#N/A,INDIRECT(ADDRESS($B191+1,BG$164,1,1,"Confirmed Trend")))</f>
        <v>0.53525978389999995</v>
      </c>
      <c r="BH191" s="18" cm="1">
        <f t="array" aca="1" ref="BH191" ca="1">IF(INDIRECT(ADDRESS($B191+1,BH$164,1,1,"Confirmed Trend"))=0,#N/A,INDIRECT(ADDRESS($B191+1,BH$164,1,1,"Confirmed Trend")))</f>
        <v>0.33857915760000001</v>
      </c>
      <c r="BI191" s="18" cm="1">
        <f t="array" aca="1" ref="BI191" ca="1">IF(INDIRECT(ADDRESS($B191+1,BI$164,1,1,"Confirmed Trend"))=0,#N/A,INDIRECT(ADDRESS($B191+1,BI$164,1,1,"Confirmed Trend")))</f>
        <v>0.25525981149999999</v>
      </c>
      <c r="BJ191" s="18" cm="1">
        <f t="array" aca="1" ref="BJ191" ca="1">IF(INDIRECT(ADDRESS($B191+1,BJ$164,1,1,"Confirmed Trend"))=0,#N/A,INDIRECT(ADDRESS($B191+1,BJ$164,1,1,"Confirmed Trend")))</f>
        <v>0.1656467908</v>
      </c>
      <c r="BK191" s="18" cm="1">
        <f t="array" aca="1" ref="BK191" ca="1">IF(INDIRECT(ADDRESS($B191+1,BK$164,1,1,"Confirmed Trend"))=0,#N/A,INDIRECT(ADDRESS($B191+1,BK$164,1,1,"Confirmed Trend")))</f>
        <v>0.1771323826</v>
      </c>
      <c r="BL191" s="18" cm="1">
        <f t="array" aca="1" ref="BL191" ca="1">IF(INDIRECT(ADDRESS($B191+1,BL$164,1,1,"Confirmed Trend"))=0,#N/A,INDIRECT(ADDRESS($B191+1,BL$164,1,1,"Confirmed Trend")))</f>
        <v>0.18430306369999999</v>
      </c>
      <c r="BM191" s="18" cm="1">
        <f t="array" aca="1" ref="BM191" ca="1">IF(INDIRECT(ADDRESS($B191+1,BM$164,1,1,"Confirmed Trend"))=0,#N/A,INDIRECT(ADDRESS($B191+1,BM$164,1,1,"Confirmed Trend")))</f>
        <v>0.18920711500000001</v>
      </c>
      <c r="BN191" s="18" cm="1">
        <f t="array" aca="1" ref="BN191" ca="1">IF(INDIRECT(ADDRESS($B191+1,BN$164,1,1,"Confirmed Trend"))=0,#N/A,INDIRECT(ADDRESS($B191+1,BN$164,1,1,"Confirmed Trend")))</f>
        <v>0.21711369080000001</v>
      </c>
      <c r="BO191" s="18" cm="1">
        <f t="array" aca="1" ref="BO191" ca="1">IF(INDIRECT(ADDRESS($B191+1,BO$164,1,1,"Confirmed Trend"))=0,#N/A,INDIRECT(ADDRESS($B191+1,BO$164,1,1,"Confirmed Trend")))</f>
        <v>0.17341068549999999</v>
      </c>
      <c r="BP191" s="18" cm="1">
        <f t="array" aca="1" ref="BP191" ca="1">IF(INDIRECT(ADDRESS($B191+1,BP$164,1,1,"Confirmed Trend"))=0,#N/A,INDIRECT(ADDRESS($B191+1,BP$164,1,1,"Confirmed Trend")))</f>
        <v>0.1556015929</v>
      </c>
      <c r="BQ191" s="18" cm="1">
        <f t="array" aca="1" ref="BQ191" ca="1">IF(INDIRECT(ADDRESS($B191+1,BQ$164,1,1,"Confirmed Trend"))=0,#N/A,INDIRECT(ADDRESS($B191+1,BQ$164,1,1,"Confirmed Trend")))</f>
        <v>0.11111111110000001</v>
      </c>
      <c r="BR191" s="18" t="e" cm="1">
        <f t="array" aca="1" ref="BR191" ca="1">IF(INDIRECT(ADDRESS($B191+1,BR$164,1,1,"Confirmed Trend"))=0,#N/A,INDIRECT(ADDRESS($B191+1,BR$164,1,1,"Confirmed Trend")))</f>
        <v>#N/A</v>
      </c>
      <c r="BS191" s="18" t="e" cm="1">
        <f t="array" aca="1" ref="BS191" ca="1">IF(INDIRECT(ADDRESS($B191+1,BS$164,1,1,"Confirmed Trend"))=0,#N/A,INDIRECT(ADDRESS($B191+1,BS$164,1,1,"Confirmed Trend")))</f>
        <v>#N/A</v>
      </c>
      <c r="BT191" s="18" t="e" cm="1">
        <f t="array" aca="1" ref="BT191" ca="1">IF(INDIRECT(ADDRESS($B191+1,BT$164,1,1,"Confirmed Trend"))=0,#N/A,INDIRECT(ADDRESS($B191+1,BT$164,1,1,"Confirmed Trend")))</f>
        <v>#N/A</v>
      </c>
      <c r="BU191" s="18" t="e" cm="1">
        <f t="array" aca="1" ref="BU191" ca="1">IF(INDIRECT(ADDRESS($B191+1,BU$164,1,1,"Confirmed Trend"))=0,#N/A,INDIRECT(ADDRESS($B191+1,BU$164,1,1,"Confirmed Trend")))</f>
        <v>#N/A</v>
      </c>
      <c r="BV191" s="18" t="e" cm="1">
        <f t="array" aca="1" ref="BV191" ca="1">IF(INDIRECT(ADDRESS($B191+1,BV$164,1,1,"Confirmed Trend"))=0,#N/A,INDIRECT(ADDRESS($B191+1,BV$164,1,1,"Confirmed Trend")))</f>
        <v>#N/A</v>
      </c>
    </row>
    <row r="192" spans="2:74" x14ac:dyDescent="0.25">
      <c r="B192">
        <f t="shared" si="132"/>
        <v>27</v>
      </c>
      <c r="C192" t="str" cm="1">
        <f t="array" aca="1" ref="C192" ca="1">INDIRECT(ADDRESS($B192+1,1,1,1,"Confirmed Trend"))</f>
        <v>Switzerland Zurich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cm="1">
        <f t="array" aca="1" ref="AU192" ca="1">IF(INDIRECT(ADDRESS($B192+1,AU$164,1,1,"Confirmed Trend"))=0,#N/A,INDIRECT(ADDRESS($B192+1,AU$164,1,1,"Confirmed Trend")))</f>
        <v>0.41421356240000001</v>
      </c>
      <c r="AV192" s="18" cm="1">
        <f t="array" aca="1" ref="AV192" ca="1">IF(INDIRECT(ADDRESS($B192+1,AV$164,1,1,"Confirmed Trend"))=0,#N/A,INDIRECT(ADDRESS($B192+1,AV$164,1,1,"Confirmed Trend")))</f>
        <v>0.57584180809999996</v>
      </c>
      <c r="AW192" s="18" cm="1">
        <f t="array" aca="1" ref="AW192" ca="1">IF(INDIRECT(ADDRESS($B192+1,AW$164,1,1,"Confirmed Trend"))=0,#N/A,INDIRECT(ADDRESS($B192+1,AW$164,1,1,"Confirmed Trend")))</f>
        <v>0.73205080759999996</v>
      </c>
      <c r="AX192" s="18" cm="1">
        <f t="array" aca="1" ref="AX192" ca="1">IF(INDIRECT(ADDRESS($B192+1,AX$164,1,1,"Confirmed Trend"))=0,#N/A,INDIRECT(ADDRESS($B192+1,AX$164,1,1,"Confirmed Trend")))</f>
        <v>0.54981363620000001</v>
      </c>
      <c r="AY192" s="18" cm="1">
        <f t="array" aca="1" ref="AY192" ca="1">IF(INDIRECT(ADDRESS($B192+1,AY$164,1,1,"Confirmed Trend"))=0,#N/A,INDIRECT(ADDRESS($B192+1,AY$164,1,1,"Confirmed Trend")))</f>
        <v>0.46846377729999999</v>
      </c>
      <c r="AZ192" s="18" cm="1">
        <f t="array" aca="1" ref="AZ192" ca="1">IF(INDIRECT(ADDRESS($B192+1,AZ$164,1,1,"Confirmed Trend"))=0,#N/A,INDIRECT(ADDRESS($B192+1,AZ$164,1,1,"Confirmed Trend")))</f>
        <v>0.30405381320000002</v>
      </c>
      <c r="BA192" s="18" cm="1">
        <f t="array" aca="1" ref="BA192" ca="1">IF(INDIRECT(ADDRESS($B192+1,BA$164,1,1,"Confirmed Trend"))=0,#N/A,INDIRECT(ADDRESS($B192+1,BA$164,1,1,"Confirmed Trend")))</f>
        <v>0.23593091699999999</v>
      </c>
      <c r="BB192" s="18" cm="1">
        <f t="array" aca="1" ref="BB192" ca="1">IF(INDIRECT(ADDRESS($B192+1,BB$164,1,1,"Confirmed Trend"))=0,#N/A,INDIRECT(ADDRESS($B192+1,BB$164,1,1,"Confirmed Trend")))</f>
        <v>0.18522311559999999</v>
      </c>
      <c r="BC192" s="18" cm="1">
        <f t="array" aca="1" ref="BC192" ca="1">IF(INDIRECT(ADDRESS($B192+1,BC$164,1,1,"Confirmed Trend"))=0,#N/A,INDIRECT(ADDRESS($B192+1,BC$164,1,1,"Confirmed Trend")))</f>
        <v>0.2109794177</v>
      </c>
      <c r="BD192" s="18" cm="1">
        <f t="array" aca="1" ref="BD192" ca="1">IF(INDIRECT(ADDRESS($B192+1,BD$164,1,1,"Confirmed Trend"))=0,#N/A,INDIRECT(ADDRESS($B192+1,BD$164,1,1,"Confirmed Trend")))</f>
        <v>0.28418414250000001</v>
      </c>
      <c r="BE192" s="18" cm="1">
        <f t="array" aca="1" ref="BE192" ca="1">IF(INDIRECT(ADDRESS($B192+1,BE$164,1,1,"Confirmed Trend"))=0,#N/A,INDIRECT(ADDRESS($B192+1,BE$164,1,1,"Confirmed Trend")))</f>
        <v>0.3108201196</v>
      </c>
      <c r="BF192" s="18" cm="1">
        <f t="array" aca="1" ref="BF192" ca="1">IF(INDIRECT(ADDRESS($B192+1,BF$164,1,1,"Confirmed Trend"))=0,#N/A,INDIRECT(ADDRESS($B192+1,BF$164,1,1,"Confirmed Trend")))</f>
        <v>0.29791691910000001</v>
      </c>
      <c r="BG192" s="18" cm="1">
        <f t="array" aca="1" ref="BG192" ca="1">IF(INDIRECT(ADDRESS($B192+1,BG$164,1,1,"Confirmed Trend"))=0,#N/A,INDIRECT(ADDRESS($B192+1,BG$164,1,1,"Confirmed Trend")))</f>
        <v>0.28775478850000002</v>
      </c>
      <c r="BH192" s="18" cm="1">
        <f t="array" aca="1" ref="BH192" ca="1">IF(INDIRECT(ADDRESS($B192+1,BH$164,1,1,"Confirmed Trend"))=0,#N/A,INDIRECT(ADDRESS($B192+1,BH$164,1,1,"Confirmed Trend")))</f>
        <v>0.24715352209999999</v>
      </c>
      <c r="BI192" s="18" cm="1">
        <f t="array" aca="1" ref="BI192" ca="1">IF(INDIRECT(ADDRESS($B192+1,BI$164,1,1,"Confirmed Trend"))=0,#N/A,INDIRECT(ADDRESS($B192+1,BI$164,1,1,"Confirmed Trend")))</f>
        <v>0.2765960643</v>
      </c>
      <c r="BJ192" s="18" cm="1">
        <f t="array" aca="1" ref="BJ192" ca="1">IF(INDIRECT(ADDRESS($B192+1,BJ$164,1,1,"Confirmed Trend"))=0,#N/A,INDIRECT(ADDRESS($B192+1,BJ$164,1,1,"Confirmed Trend")))</f>
        <v>0.31187595620000003</v>
      </c>
      <c r="BK192" s="18" cm="1">
        <f t="array" aca="1" ref="BK192" ca="1">IF(INDIRECT(ADDRESS($B192+1,BK$164,1,1,"Confirmed Trend"))=0,#N/A,INDIRECT(ADDRESS($B192+1,BK$164,1,1,"Confirmed Trend")))</f>
        <v>0.3303951316</v>
      </c>
      <c r="BL192" s="18" cm="1">
        <f t="array" aca="1" ref="BL192" ca="1">IF(INDIRECT(ADDRESS($B192+1,BL$164,1,1,"Confirmed Trend"))=0,#N/A,INDIRECT(ADDRESS($B192+1,BL$164,1,1,"Confirmed Trend")))</f>
        <v>0.30979784929999998</v>
      </c>
      <c r="BM192" s="18" cm="1">
        <f t="array" aca="1" ref="BM192" ca="1">IF(INDIRECT(ADDRESS($B192+1,BM$164,1,1,"Confirmed Trend"))=0,#N/A,INDIRECT(ADDRESS($B192+1,BM$164,1,1,"Confirmed Trend")))</f>
        <v>0.23775859569999999</v>
      </c>
      <c r="BN192" s="18" cm="1">
        <f t="array" aca="1" ref="BN192" ca="1">IF(INDIRECT(ADDRESS($B192+1,BN$164,1,1,"Confirmed Trend"))=0,#N/A,INDIRECT(ADDRESS($B192+1,BN$164,1,1,"Confirmed Trend")))</f>
        <v>0.2039856223</v>
      </c>
      <c r="BO192" s="18" cm="1">
        <f t="array" aca="1" ref="BO192" ca="1">IF(INDIRECT(ADDRESS($B192+1,BO$164,1,1,"Confirmed Trend"))=0,#N/A,INDIRECT(ADDRESS($B192+1,BO$164,1,1,"Confirmed Trend")))</f>
        <v>0.15365197250000001</v>
      </c>
      <c r="BP192" s="18" cm="1">
        <f t="array" aca="1" ref="BP192" ca="1">IF(INDIRECT(ADDRESS($B192+1,BP$164,1,1,"Confirmed Trend"))=0,#N/A,INDIRECT(ADDRESS($B192+1,BP$164,1,1,"Confirmed Trend")))</f>
        <v>0.15143001850000001</v>
      </c>
      <c r="BQ192" s="18" cm="1">
        <f t="array" aca="1" ref="BQ192" ca="1">IF(INDIRECT(ADDRESS($B192+1,BQ$164,1,1,"Confirmed Trend"))=0,#N/A,INDIRECT(ADDRESS($B192+1,BQ$164,1,1,"Confirmed Trend")))</f>
        <v>0.1255161024</v>
      </c>
      <c r="BR192" s="18" t="e" cm="1">
        <f t="array" aca="1" ref="BR192" ca="1">IF(INDIRECT(ADDRESS($B192+1,BR$164,1,1,"Confirmed Trend"))=0,#N/A,INDIRECT(ADDRESS($B192+1,BR$164,1,1,"Confirmed Trend")))</f>
        <v>#N/A</v>
      </c>
      <c r="BS192" s="18" t="e" cm="1">
        <f t="array" aca="1" ref="BS192" ca="1">IF(INDIRECT(ADDRESS($B192+1,BS$164,1,1,"Confirmed Trend"))=0,#N/A,INDIRECT(ADDRESS($B192+1,BS$164,1,1,"Confirmed Trend")))</f>
        <v>#N/A</v>
      </c>
      <c r="BT192" s="18" t="e" cm="1">
        <f t="array" aca="1" ref="BT192" ca="1">IF(INDIRECT(ADDRESS($B192+1,BT$164,1,1,"Confirmed Trend"))=0,#N/A,INDIRECT(ADDRESS($B192+1,BT$164,1,1,"Confirmed Trend")))</f>
        <v>#N/A</v>
      </c>
      <c r="BU192" s="18" t="e" cm="1">
        <f t="array" aca="1" ref="BU192" ca="1">IF(INDIRECT(ADDRESS($B192+1,BU$164,1,1,"Confirmed Trend"))=0,#N/A,INDIRECT(ADDRESS($B192+1,BU$164,1,1,"Confirmed Trend")))</f>
        <v>#N/A</v>
      </c>
      <c r="BV192" s="18" t="e" cm="1">
        <f t="array" aca="1" ref="BV192" ca="1">IF(INDIRECT(ADDRESS($B192+1,BV$164,1,1,"Confirmed Trend"))=0,#N/A,INDIRECT(ADDRESS($B192+1,BV$164,1,1,"Confirmed Trend")))</f>
        <v>#N/A</v>
      </c>
    </row>
    <row r="193" spans="2:74" x14ac:dyDescent="0.25">
      <c r="B193">
        <f t="shared" si="132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</row>
    <row r="194" spans="2:74" x14ac:dyDescent="0.25">
      <c r="B194">
        <f t="shared" si="132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</row>
    <row r="195" spans="2:74" x14ac:dyDescent="0.25">
      <c r="B195">
        <f t="shared" si="132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</row>
    <row r="196" spans="2:74" x14ac:dyDescent="0.25">
      <c r="B196">
        <f t="shared" si="132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</row>
    <row r="197" spans="2:74" x14ac:dyDescent="0.25">
      <c r="B197">
        <f t="shared" si="132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</row>
    <row r="198" spans="2:74" x14ac:dyDescent="0.25">
      <c r="B198">
        <f t="shared" si="132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</row>
    <row r="199" spans="2:74" x14ac:dyDescent="0.25">
      <c r="B199">
        <f t="shared" si="132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</row>
    <row r="200" spans="2:74" x14ac:dyDescent="0.25">
      <c r="B200">
        <f t="shared" si="132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</row>
    <row r="201" spans="2:74" x14ac:dyDescent="0.25">
      <c r="B201">
        <f t="shared" si="132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</row>
    <row r="202" spans="2:74" x14ac:dyDescent="0.25">
      <c r="B202">
        <f t="shared" si="132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</row>
    <row r="203" spans="2:74" x14ac:dyDescent="0.25">
      <c r="B203">
        <f t="shared" si="132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</row>
    <row r="204" spans="2:74" x14ac:dyDescent="0.25">
      <c r="B204">
        <f t="shared" si="132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</row>
    <row r="205" spans="2:74" x14ac:dyDescent="0.25">
      <c r="B205">
        <f t="shared" si="132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</row>
    <row r="206" spans="2:74" x14ac:dyDescent="0.25">
      <c r="B206">
        <f t="shared" si="132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</row>
    <row r="207" spans="2:74" x14ac:dyDescent="0.25">
      <c r="B207">
        <f t="shared" si="132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</row>
    <row r="208" spans="2:74" x14ac:dyDescent="0.25">
      <c r="B208">
        <f t="shared" si="132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</row>
    <row r="209" spans="2:74" x14ac:dyDescent="0.25">
      <c r="B209">
        <f t="shared" si="132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</row>
    <row r="210" spans="2:74" x14ac:dyDescent="0.25">
      <c r="B210">
        <f t="shared" si="132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</row>
    <row r="211" spans="2:74" x14ac:dyDescent="0.25">
      <c r="B211">
        <f t="shared" si="132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</row>
    <row r="212" spans="2:74" x14ac:dyDescent="0.25">
      <c r="B212">
        <f t="shared" si="132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</row>
    <row r="213" spans="2:74" x14ac:dyDescent="0.25">
      <c r="B213">
        <f t="shared" si="132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</row>
    <row r="214" spans="2:74" x14ac:dyDescent="0.25">
      <c r="B214">
        <f t="shared" si="132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</row>
    <row r="215" spans="2:74" x14ac:dyDescent="0.25">
      <c r="B215">
        <f t="shared" si="132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</row>
    <row r="216" spans="2:74" x14ac:dyDescent="0.25">
      <c r="B216">
        <f t="shared" si="132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</row>
    <row r="217" spans="2:74" x14ac:dyDescent="0.25">
      <c r="B217">
        <f t="shared" si="132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</row>
    <row r="218" spans="2:74" x14ac:dyDescent="0.25">
      <c r="B218">
        <f t="shared" si="132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</row>
    <row r="219" spans="2:74" x14ac:dyDescent="0.25">
      <c r="B219">
        <f t="shared" si="132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</row>
    <row r="220" spans="2:74" x14ac:dyDescent="0.25">
      <c r="B220">
        <f t="shared" si="132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</row>
    <row r="221" spans="2:74" x14ac:dyDescent="0.25">
      <c r="B221">
        <f t="shared" si="132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</row>
    <row r="222" spans="2:74" x14ac:dyDescent="0.25">
      <c r="B222">
        <f t="shared" si="132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</row>
    <row r="223" spans="2:74" x14ac:dyDescent="0.25">
      <c r="B223">
        <f t="shared" si="132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</row>
    <row r="224" spans="2:74" x14ac:dyDescent="0.25">
      <c r="B224">
        <f t="shared" si="132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</row>
    <row r="225" spans="2:74" x14ac:dyDescent="0.25">
      <c r="B225">
        <f t="shared" si="132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0AC2D-22CC-411F-85D1-EEC7977558B7}">
  <dimension ref="A1:BR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57</v>
      </c>
      <c r="E4" s="2">
        <v>103.1973060072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57</v>
      </c>
    </row>
    <row r="5" spans="1:70" x14ac:dyDescent="0.25">
      <c r="A5" t="s">
        <v>196</v>
      </c>
      <c r="B5" s="1">
        <v>677387</v>
      </c>
      <c r="C5">
        <v>1404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195</v>
      </c>
      <c r="B6" s="1">
        <v>194766</v>
      </c>
      <c r="C6">
        <v>37</v>
      </c>
      <c r="D6">
        <v>235</v>
      </c>
      <c r="E6" s="2">
        <v>120.6576096444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235</v>
      </c>
      <c r="AV6" s="1">
        <v>235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</row>
    <row r="7" spans="1:70" x14ac:dyDescent="0.25">
      <c r="A7" t="s">
        <v>194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193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192</v>
      </c>
      <c r="B9" s="1">
        <v>318714</v>
      </c>
      <c r="C9">
        <v>1671</v>
      </c>
      <c r="D9">
        <v>30</v>
      </c>
      <c r="E9" s="2">
        <v>9.4128278017000007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30</v>
      </c>
      <c r="AU9" s="1">
        <v>30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</row>
    <row r="10" spans="1:70" x14ac:dyDescent="0.25">
      <c r="A10" t="s">
        <v>191</v>
      </c>
      <c r="B10" s="1">
        <v>499480</v>
      </c>
      <c r="C10">
        <v>1771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190</v>
      </c>
      <c r="B11" s="1">
        <v>40403</v>
      </c>
      <c r="C11">
        <v>685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189</v>
      </c>
      <c r="B12" s="1">
        <v>198379</v>
      </c>
      <c r="C12">
        <v>7105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188</v>
      </c>
      <c r="B13" s="1">
        <v>73419</v>
      </c>
      <c r="C13">
        <v>88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187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186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184</v>
      </c>
      <c r="B17" s="1">
        <v>37841</v>
      </c>
      <c r="C17">
        <v>491</v>
      </c>
      <c r="D17">
        <v>6</v>
      </c>
      <c r="E17" s="2">
        <v>15.855817763799999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6</v>
      </c>
      <c r="BG17" s="1">
        <v>6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</row>
    <row r="18" spans="1:70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182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10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</row>
    <row r="20" spans="1:70" x14ac:dyDescent="0.25">
      <c r="A20" t="s">
        <v>181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180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179</v>
      </c>
      <c r="B22" s="1">
        <v>276472</v>
      </c>
      <c r="C22">
        <v>991</v>
      </c>
      <c r="D22">
        <v>276</v>
      </c>
      <c r="E22" s="2">
        <v>99.829277467500006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246</v>
      </c>
      <c r="BJ22" s="1">
        <v>276</v>
      </c>
      <c r="BK22" s="1">
        <v>276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</row>
    <row r="23" spans="1:70" x14ac:dyDescent="0.25">
      <c r="A23" t="s">
        <v>178</v>
      </c>
      <c r="B23" s="1">
        <v>353343</v>
      </c>
      <c r="C23">
        <v>2812</v>
      </c>
      <c r="D23">
        <v>0</v>
      </c>
      <c r="E23" s="2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177</v>
      </c>
      <c r="B24" s="1">
        <v>36433</v>
      </c>
      <c r="C24">
        <v>1077</v>
      </c>
      <c r="D24">
        <v>85</v>
      </c>
      <c r="E24" s="2">
        <v>233.3049707683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85</v>
      </c>
      <c r="BL24" s="1">
        <v>85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</row>
    <row r="25" spans="1:70" x14ac:dyDescent="0.25">
      <c r="A25" t="s">
        <v>176</v>
      </c>
      <c r="B25" s="1">
        <v>343955</v>
      </c>
      <c r="C25">
        <v>5224</v>
      </c>
      <c r="D25">
        <v>0</v>
      </c>
      <c r="E25" s="2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175</v>
      </c>
      <c r="B26" s="1">
        <v>799145</v>
      </c>
      <c r="C26">
        <v>3212</v>
      </c>
      <c r="D26">
        <v>0</v>
      </c>
      <c r="E26" s="2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174</v>
      </c>
      <c r="B27" s="1">
        <v>126837</v>
      </c>
      <c r="C27">
        <v>239</v>
      </c>
      <c r="D27">
        <v>0</v>
      </c>
      <c r="E27" s="2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173</v>
      </c>
      <c r="B28" s="1">
        <v>1520968</v>
      </c>
      <c r="C28">
        <v>1729</v>
      </c>
      <c r="D28">
        <v>855</v>
      </c>
      <c r="E28" s="2">
        <v>56.214200430299996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400</v>
      </c>
      <c r="AW28" s="1">
        <v>400</v>
      </c>
      <c r="AX28" s="1">
        <v>400</v>
      </c>
      <c r="AY28" s="1">
        <v>400</v>
      </c>
      <c r="AZ28" s="1">
        <v>400</v>
      </c>
      <c r="BA28" s="1">
        <v>400</v>
      </c>
      <c r="BB28" s="1">
        <v>855</v>
      </c>
      <c r="BC28" s="1">
        <v>855</v>
      </c>
      <c r="BD28" s="1">
        <v>855</v>
      </c>
      <c r="BE28" s="1">
        <v>855</v>
      </c>
      <c r="BF28" s="1">
        <v>855</v>
      </c>
      <c r="BG28" s="1">
        <v>855</v>
      </c>
      <c r="BH28" s="1">
        <v>855</v>
      </c>
      <c r="BI28" s="1">
        <v>855</v>
      </c>
      <c r="BJ28" s="1">
        <v>855</v>
      </c>
      <c r="BK28" s="1">
        <v>855</v>
      </c>
      <c r="BL28" s="1">
        <v>855</v>
      </c>
      <c r="BM28" s="1">
        <v>855</v>
      </c>
      <c r="BN28" s="1">
        <v>855</v>
      </c>
      <c r="BO28" s="1">
        <v>855</v>
      </c>
      <c r="BP28" s="1">
        <v>855</v>
      </c>
      <c r="BQ28" s="1">
        <v>855</v>
      </c>
      <c r="BR28" s="1">
        <v>855</v>
      </c>
    </row>
  </sheetData>
  <autoFilter ref="A1:BR28" xr:uid="{5428C835-1CD8-4CE5-98C3-8D8D66942861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559E9-03E1-4A9D-95F6-513065EEDA92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8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652</v>
      </c>
      <c r="BF2" s="1">
        <v>1139</v>
      </c>
      <c r="BG2" s="1">
        <v>1359</v>
      </c>
      <c r="BH2" s="1">
        <v>2200</v>
      </c>
      <c r="BI2" s="1">
        <v>2200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  <c r="BR2" s="1">
        <v>10897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</v>
      </c>
      <c r="BL3" s="1">
        <v>6</v>
      </c>
      <c r="BM3" s="1">
        <v>6</v>
      </c>
      <c r="BN3" s="1">
        <v>6</v>
      </c>
      <c r="BO3" s="1">
        <v>6</v>
      </c>
      <c r="BP3" s="1">
        <v>6</v>
      </c>
      <c r="BQ3" s="1">
        <v>8</v>
      </c>
      <c r="BR3" s="1">
        <v>9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11</v>
      </c>
      <c r="BL4" s="1">
        <v>11</v>
      </c>
      <c r="BM4" s="1">
        <v>11</v>
      </c>
      <c r="BN4" s="1">
        <v>11</v>
      </c>
      <c r="BO4" s="1">
        <v>11</v>
      </c>
      <c r="BP4" s="1">
        <v>30</v>
      </c>
      <c r="BQ4" s="1">
        <v>33</v>
      </c>
      <c r="BR4" s="1">
        <v>34</v>
      </c>
    </row>
    <row r="5" spans="1:70" x14ac:dyDescent="0.25">
      <c r="A5" t="s">
        <v>196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</v>
      </c>
      <c r="BA5" s="1">
        <v>12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32</v>
      </c>
      <c r="BH5" s="1">
        <v>32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168</v>
      </c>
      <c r="BO5" s="1">
        <v>232</v>
      </c>
      <c r="BP5" s="1">
        <v>241</v>
      </c>
      <c r="BQ5" s="1">
        <v>266</v>
      </c>
      <c r="BR5" s="1">
        <v>319</v>
      </c>
    </row>
    <row r="6" spans="1:70" x14ac:dyDescent="0.25">
      <c r="A6" t="s">
        <v>195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37</v>
      </c>
      <c r="BE6" s="1">
        <v>73</v>
      </c>
      <c r="BF6" s="1">
        <v>92</v>
      </c>
      <c r="BG6" s="1">
        <v>100</v>
      </c>
      <c r="BH6" s="1">
        <v>100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  <c r="BR6" s="1">
        <v>466</v>
      </c>
    </row>
    <row r="7" spans="1:70" x14ac:dyDescent="0.25">
      <c r="A7" t="s">
        <v>194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6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26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  <c r="BR7" s="1">
        <v>341</v>
      </c>
    </row>
    <row r="8" spans="1:70" x14ac:dyDescent="0.25">
      <c r="A8" t="s">
        <v>193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123</v>
      </c>
      <c r="BJ8" s="1">
        <v>123</v>
      </c>
      <c r="BK8" s="1">
        <v>193</v>
      </c>
      <c r="BL8" s="1">
        <v>282</v>
      </c>
      <c r="BM8" s="1">
        <v>377</v>
      </c>
      <c r="BN8" s="1">
        <v>418</v>
      </c>
      <c r="BO8" s="1">
        <v>418</v>
      </c>
      <c r="BP8" s="1">
        <v>470</v>
      </c>
      <c r="BQ8" s="1">
        <v>532</v>
      </c>
      <c r="BR8" s="1">
        <v>624</v>
      </c>
    </row>
    <row r="9" spans="1:70" x14ac:dyDescent="0.25">
      <c r="A9" t="s">
        <v>192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</v>
      </c>
      <c r="AZ9" s="1">
        <v>6</v>
      </c>
      <c r="BA9" s="1">
        <v>8</v>
      </c>
      <c r="BB9" s="1">
        <v>11</v>
      </c>
      <c r="BC9" s="1">
        <v>11</v>
      </c>
      <c r="BD9" s="1">
        <v>16</v>
      </c>
      <c r="BE9" s="1">
        <v>22</v>
      </c>
      <c r="BF9" s="1">
        <v>29</v>
      </c>
      <c r="BG9" s="1">
        <v>36</v>
      </c>
      <c r="BH9" s="1">
        <v>40</v>
      </c>
      <c r="BI9" s="1">
        <v>45</v>
      </c>
      <c r="BJ9" s="1">
        <v>59</v>
      </c>
      <c r="BK9" s="1">
        <v>86</v>
      </c>
      <c r="BL9" s="1">
        <v>111</v>
      </c>
      <c r="BM9" s="1">
        <v>145</v>
      </c>
      <c r="BN9" s="1">
        <v>167</v>
      </c>
      <c r="BO9" s="1">
        <v>202</v>
      </c>
      <c r="BP9" s="1">
        <v>226</v>
      </c>
      <c r="BQ9" s="1">
        <v>255</v>
      </c>
      <c r="BR9" s="1">
        <v>293</v>
      </c>
    </row>
    <row r="10" spans="1:70" x14ac:dyDescent="0.25">
      <c r="A10" t="s">
        <v>191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7</v>
      </c>
      <c r="AV10" s="1">
        <v>9</v>
      </c>
      <c r="AW10" s="1">
        <v>9</v>
      </c>
      <c r="AX10" s="1">
        <v>13</v>
      </c>
      <c r="AY10" s="1">
        <v>17</v>
      </c>
      <c r="AZ10" s="1">
        <v>26</v>
      </c>
      <c r="BA10" s="1">
        <v>35</v>
      </c>
      <c r="BB10" s="1">
        <v>44</v>
      </c>
      <c r="BC10" s="1">
        <v>68</v>
      </c>
      <c r="BD10" s="1">
        <v>79</v>
      </c>
      <c r="BE10" s="1">
        <v>108</v>
      </c>
      <c r="BF10" s="1">
        <v>173</v>
      </c>
      <c r="BG10" s="1">
        <v>282</v>
      </c>
      <c r="BH10" s="1">
        <v>372</v>
      </c>
      <c r="BI10" s="1">
        <v>472</v>
      </c>
      <c r="BJ10" s="1">
        <v>619</v>
      </c>
      <c r="BK10" s="1">
        <v>751</v>
      </c>
      <c r="BL10" s="1">
        <v>961</v>
      </c>
      <c r="BM10" s="1">
        <v>1136</v>
      </c>
      <c r="BN10" s="1">
        <v>1262</v>
      </c>
      <c r="BO10" s="1">
        <v>1417</v>
      </c>
      <c r="BP10" s="1">
        <v>1509</v>
      </c>
      <c r="BQ10" s="1">
        <v>1598</v>
      </c>
      <c r="BR10" s="1">
        <v>1708</v>
      </c>
    </row>
    <row r="11" spans="1:70" x14ac:dyDescent="0.25">
      <c r="A11" t="s">
        <v>190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10</v>
      </c>
      <c r="BL11" s="1">
        <v>17</v>
      </c>
      <c r="BM11" s="1">
        <v>17</v>
      </c>
      <c r="BN11" s="1">
        <v>17</v>
      </c>
      <c r="BO11" s="1">
        <v>31</v>
      </c>
      <c r="BP11" s="1">
        <v>31</v>
      </c>
      <c r="BQ11" s="1">
        <v>33</v>
      </c>
      <c r="BR11" s="1">
        <v>40</v>
      </c>
    </row>
    <row r="12" spans="1:70" x14ac:dyDescent="0.25">
      <c r="A12" t="s">
        <v>189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266</v>
      </c>
      <c r="BQ12" s="1">
        <v>276</v>
      </c>
      <c r="BR12" s="1">
        <v>322</v>
      </c>
    </row>
    <row r="13" spans="1:70" x14ac:dyDescent="0.25">
      <c r="A13" t="s">
        <v>188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1</v>
      </c>
      <c r="AW13" s="1">
        <v>1</v>
      </c>
      <c r="AX13" s="1">
        <v>2</v>
      </c>
      <c r="AY13" s="1">
        <v>3</v>
      </c>
      <c r="AZ13" s="1">
        <v>4</v>
      </c>
      <c r="BA13" s="1">
        <v>4</v>
      </c>
      <c r="BB13" s="1">
        <v>5</v>
      </c>
      <c r="BC13" s="1">
        <v>6</v>
      </c>
      <c r="BD13" s="1">
        <v>6</v>
      </c>
      <c r="BE13" s="1">
        <v>9</v>
      </c>
      <c r="BF13" s="1">
        <v>10</v>
      </c>
      <c r="BG13" s="1">
        <v>15</v>
      </c>
      <c r="BH13" s="1">
        <v>16</v>
      </c>
      <c r="BI13" s="1">
        <v>17</v>
      </c>
      <c r="BJ13" s="1">
        <v>24</v>
      </c>
      <c r="BK13" s="1">
        <v>26</v>
      </c>
      <c r="BL13" s="1">
        <v>31</v>
      </c>
      <c r="BM13" s="1">
        <v>37</v>
      </c>
      <c r="BN13" s="1">
        <v>49</v>
      </c>
      <c r="BO13" s="1">
        <v>51</v>
      </c>
      <c r="BP13" s="1">
        <v>57</v>
      </c>
      <c r="BQ13" s="1">
        <v>66</v>
      </c>
      <c r="BR13" s="1">
        <v>78</v>
      </c>
    </row>
    <row r="14" spans="1:70" x14ac:dyDescent="0.25">
      <c r="A14" t="s">
        <v>187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65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  <c r="BR14" s="1">
        <v>228</v>
      </c>
    </row>
    <row r="15" spans="1:70" x14ac:dyDescent="0.25">
      <c r="A15" t="s">
        <v>186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  <c r="BQ15" s="1">
        <v>230</v>
      </c>
      <c r="BR15" s="1">
        <v>256</v>
      </c>
    </row>
    <row r="16" spans="1:70" x14ac:dyDescent="0.25">
      <c r="A16" t="s">
        <v>185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4</v>
      </c>
      <c r="BF16" s="1">
        <v>4</v>
      </c>
      <c r="BG16" s="1">
        <v>4</v>
      </c>
      <c r="BH16" s="1">
        <v>4</v>
      </c>
      <c r="BI16" s="1">
        <v>4</v>
      </c>
      <c r="BJ16" s="1">
        <v>4</v>
      </c>
      <c r="BK16" s="1">
        <v>4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44</v>
      </c>
    </row>
    <row r="17" spans="1:70" x14ac:dyDescent="0.25">
      <c r="A17" t="s">
        <v>184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25</v>
      </c>
      <c r="BR17" s="1">
        <v>27</v>
      </c>
    </row>
    <row r="18" spans="1:70" x14ac:dyDescent="0.25">
      <c r="A18" t="s">
        <v>183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14</v>
      </c>
      <c r="BO18" s="1">
        <v>14</v>
      </c>
      <c r="BP18" s="1">
        <v>30</v>
      </c>
      <c r="BQ18" s="1">
        <v>32</v>
      </c>
      <c r="BR18" s="1">
        <v>34</v>
      </c>
    </row>
    <row r="19" spans="1:70" x14ac:dyDescent="0.25">
      <c r="A19" t="s">
        <v>182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9</v>
      </c>
      <c r="BG19" s="1">
        <v>12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  <c r="BR19" s="1">
        <v>99</v>
      </c>
    </row>
    <row r="20" spans="1:70" x14ac:dyDescent="0.25">
      <c r="A20" t="s">
        <v>181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43</v>
      </c>
      <c r="BM20" s="1">
        <v>66</v>
      </c>
      <c r="BN20" s="1">
        <v>66</v>
      </c>
      <c r="BO20" s="1">
        <v>66</v>
      </c>
      <c r="BP20" s="1">
        <v>95</v>
      </c>
      <c r="BQ20" s="1">
        <v>104</v>
      </c>
      <c r="BR20" s="1">
        <v>129</v>
      </c>
    </row>
    <row r="21" spans="1:70" x14ac:dyDescent="0.25">
      <c r="A21" t="s">
        <v>180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15</v>
      </c>
      <c r="BG21" s="1">
        <v>15</v>
      </c>
      <c r="BH21" s="1">
        <v>15</v>
      </c>
      <c r="BI21" s="1">
        <v>15</v>
      </c>
      <c r="BJ21" s="1">
        <v>47</v>
      </c>
      <c r="BK21" s="1">
        <v>61</v>
      </c>
      <c r="BL21" s="1">
        <v>85</v>
      </c>
      <c r="BM21" s="1">
        <v>98</v>
      </c>
      <c r="BN21" s="1">
        <v>98</v>
      </c>
      <c r="BO21" s="1">
        <v>98</v>
      </c>
      <c r="BP21" s="1">
        <v>228</v>
      </c>
      <c r="BQ21" s="1">
        <v>228</v>
      </c>
      <c r="BR21" s="1">
        <v>228</v>
      </c>
    </row>
    <row r="22" spans="1:70" x14ac:dyDescent="0.25">
      <c r="A22" t="s">
        <v>179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  <c r="BR22" s="1">
        <v>96</v>
      </c>
    </row>
    <row r="23" spans="1:70" x14ac:dyDescent="0.25">
      <c r="A23" t="s">
        <v>178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  <c r="BR23" s="1">
        <v>1354</v>
      </c>
    </row>
    <row r="24" spans="1:70" x14ac:dyDescent="0.25">
      <c r="A24" t="s">
        <v>177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7</v>
      </c>
      <c r="BN24" s="1">
        <v>12</v>
      </c>
      <c r="BO24" s="1">
        <v>12</v>
      </c>
      <c r="BP24" s="1">
        <v>22</v>
      </c>
      <c r="BQ24" s="1">
        <v>25</v>
      </c>
      <c r="BR24" s="1">
        <v>25</v>
      </c>
    </row>
    <row r="25" spans="1:70" x14ac:dyDescent="0.25">
      <c r="A25" t="s">
        <v>176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53</v>
      </c>
      <c r="BG25" s="1">
        <v>76</v>
      </c>
      <c r="BH25" s="1">
        <v>98</v>
      </c>
      <c r="BI25" s="1">
        <v>116</v>
      </c>
      <c r="BJ25" s="1">
        <v>173</v>
      </c>
      <c r="BK25" s="1">
        <v>225</v>
      </c>
      <c r="BL25" s="1">
        <v>311</v>
      </c>
      <c r="BM25" s="1">
        <v>346</v>
      </c>
      <c r="BN25" s="1">
        <v>433</v>
      </c>
      <c r="BO25" s="1">
        <v>490</v>
      </c>
      <c r="BP25" s="1">
        <v>527</v>
      </c>
      <c r="BQ25" s="1">
        <v>606</v>
      </c>
      <c r="BR25" s="1">
        <v>651</v>
      </c>
    </row>
    <row r="26" spans="1:70" x14ac:dyDescent="0.25">
      <c r="A26" t="s">
        <v>175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1822</v>
      </c>
      <c r="BQ26" s="1">
        <v>2162</v>
      </c>
      <c r="BR26" s="1">
        <v>2215</v>
      </c>
    </row>
    <row r="27" spans="1:70" x14ac:dyDescent="0.25">
      <c r="A27" t="s">
        <v>174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13</v>
      </c>
      <c r="BH27" s="1">
        <v>13</v>
      </c>
      <c r="BI27" s="1">
        <v>24</v>
      </c>
      <c r="BJ27" s="1">
        <v>24</v>
      </c>
      <c r="BK27" s="1">
        <v>24</v>
      </c>
      <c r="BL27" s="1">
        <v>24</v>
      </c>
      <c r="BM27" s="1">
        <v>48</v>
      </c>
      <c r="BN27" s="1">
        <v>48</v>
      </c>
      <c r="BO27" s="1">
        <v>48</v>
      </c>
      <c r="BP27" s="1">
        <v>62</v>
      </c>
      <c r="BQ27" s="1">
        <v>72</v>
      </c>
      <c r="BR27" s="1">
        <v>80</v>
      </c>
    </row>
    <row r="28" spans="1:70" x14ac:dyDescent="0.25">
      <c r="A28" t="s">
        <v>173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9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140</v>
      </c>
      <c r="BH28" s="1">
        <v>140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773</v>
      </c>
      <c r="BO28" s="1">
        <v>773</v>
      </c>
      <c r="BP28" s="1">
        <v>1068</v>
      </c>
      <c r="BQ28" s="1">
        <v>1211</v>
      </c>
      <c r="BR28" s="1">
        <v>1363</v>
      </c>
    </row>
  </sheetData>
  <autoFilter ref="A1:BR28" xr:uid="{03101414-7CAC-4995-8C0F-DB38B0981D6A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3239-ABDB-4D68-8B05-38211915E9C2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161</v>
      </c>
      <c r="BR1" s="1" t="s">
        <v>163</v>
      </c>
    </row>
    <row r="2" spans="1:70" x14ac:dyDescent="0.25">
      <c r="A2" t="s">
        <v>0</v>
      </c>
      <c r="B2" s="1">
        <v>8654622</v>
      </c>
      <c r="C2">
        <v>10897</v>
      </c>
      <c r="D2" s="2">
        <v>125.90960067349999</v>
      </c>
      <c r="E2" s="3">
        <v>0.27072291069999999</v>
      </c>
      <c r="G2" s="1">
        <v>56</v>
      </c>
      <c r="H2" s="1">
        <v>90</v>
      </c>
      <c r="I2" s="1">
        <v>114</v>
      </c>
      <c r="J2" s="1">
        <v>214</v>
      </c>
      <c r="K2" s="1">
        <v>268</v>
      </c>
      <c r="L2" s="1">
        <v>337</v>
      </c>
      <c r="M2" s="1">
        <v>374</v>
      </c>
      <c r="N2" s="1">
        <v>491</v>
      </c>
      <c r="O2" s="1">
        <v>652</v>
      </c>
      <c r="P2" s="1">
        <v>652</v>
      </c>
      <c r="Q2" s="1">
        <v>1139</v>
      </c>
      <c r="R2" s="1">
        <v>1359</v>
      </c>
      <c r="S2" s="1">
        <v>2200</v>
      </c>
      <c r="T2" s="1">
        <v>2200</v>
      </c>
      <c r="U2" s="1">
        <v>2700</v>
      </c>
      <c r="V2" s="1">
        <v>3028</v>
      </c>
      <c r="W2" s="1">
        <v>4075</v>
      </c>
      <c r="X2" s="1">
        <v>5294</v>
      </c>
      <c r="Y2" s="1">
        <v>6575</v>
      </c>
      <c r="Z2" s="1">
        <v>7474</v>
      </c>
      <c r="AA2" s="1">
        <v>8795</v>
      </c>
      <c r="AB2" s="1">
        <v>9877</v>
      </c>
      <c r="AC2" s="1">
        <v>10897</v>
      </c>
    </row>
    <row r="3" spans="1:70" x14ac:dyDescent="0.25">
      <c r="A3" t="s">
        <v>198</v>
      </c>
      <c r="B3" s="1">
        <v>16145</v>
      </c>
      <c r="C3">
        <v>0</v>
      </c>
      <c r="D3" s="2">
        <v>0</v>
      </c>
      <c r="E3" s="3">
        <v>0</v>
      </c>
    </row>
    <row r="4" spans="1:70" x14ac:dyDescent="0.25">
      <c r="A4" t="s">
        <v>197</v>
      </c>
      <c r="B4" s="1">
        <v>55234</v>
      </c>
      <c r="C4">
        <v>0</v>
      </c>
      <c r="D4" s="2">
        <v>0</v>
      </c>
      <c r="E4" s="3">
        <v>0</v>
      </c>
    </row>
    <row r="5" spans="1:70" x14ac:dyDescent="0.25">
      <c r="A5" t="s">
        <v>196</v>
      </c>
      <c r="B5" s="1">
        <v>677387</v>
      </c>
      <c r="C5">
        <v>319</v>
      </c>
      <c r="D5" s="2">
        <v>47.0927254287</v>
      </c>
      <c r="E5" s="3">
        <v>0.22329704489999999</v>
      </c>
      <c r="G5" s="1">
        <v>52</v>
      </c>
      <c r="H5" s="1">
        <v>67</v>
      </c>
      <c r="I5" s="1">
        <v>101</v>
      </c>
      <c r="J5" s="1">
        <v>118</v>
      </c>
      <c r="K5" s="1">
        <v>168</v>
      </c>
      <c r="L5" s="1">
        <v>168</v>
      </c>
      <c r="M5" s="1">
        <v>232</v>
      </c>
      <c r="N5" s="1">
        <v>241</v>
      </c>
      <c r="O5" s="1">
        <v>266</v>
      </c>
      <c r="P5" s="1">
        <v>319</v>
      </c>
    </row>
    <row r="6" spans="1:70" x14ac:dyDescent="0.25">
      <c r="A6" t="s">
        <v>195</v>
      </c>
      <c r="B6" s="1">
        <v>194766</v>
      </c>
      <c r="C6">
        <v>466</v>
      </c>
      <c r="D6" s="2">
        <v>239.26147274159999</v>
      </c>
      <c r="E6" s="3">
        <v>0.15326185440000001</v>
      </c>
      <c r="G6" s="1">
        <v>73</v>
      </c>
      <c r="H6" s="1">
        <v>92</v>
      </c>
      <c r="I6" s="1">
        <v>100</v>
      </c>
      <c r="J6" s="1">
        <v>100</v>
      </c>
      <c r="K6" s="1">
        <v>144</v>
      </c>
      <c r="L6" s="1">
        <v>165</v>
      </c>
      <c r="M6" s="1">
        <v>182</v>
      </c>
      <c r="N6" s="1">
        <v>222</v>
      </c>
      <c r="O6" s="1">
        <v>272</v>
      </c>
      <c r="P6" s="1">
        <v>299</v>
      </c>
      <c r="Q6" s="1">
        <v>358</v>
      </c>
      <c r="R6" s="1">
        <v>376</v>
      </c>
      <c r="S6" s="1">
        <v>414</v>
      </c>
      <c r="T6" s="1">
        <v>466</v>
      </c>
    </row>
    <row r="7" spans="1:70" x14ac:dyDescent="0.25">
      <c r="A7" t="s">
        <v>194</v>
      </c>
      <c r="B7" s="1">
        <v>288132</v>
      </c>
      <c r="C7">
        <v>341</v>
      </c>
      <c r="D7" s="2">
        <v>118.34853469940001</v>
      </c>
      <c r="E7" s="3">
        <v>0.2023642695</v>
      </c>
      <c r="G7" s="1">
        <v>54</v>
      </c>
      <c r="H7" s="1">
        <v>76</v>
      </c>
      <c r="I7" s="1">
        <v>89</v>
      </c>
      <c r="J7" s="1">
        <v>116</v>
      </c>
      <c r="K7" s="1">
        <v>134</v>
      </c>
      <c r="L7" s="1">
        <v>184</v>
      </c>
      <c r="M7" s="1">
        <v>282</v>
      </c>
      <c r="N7" s="1">
        <v>289</v>
      </c>
      <c r="O7" s="1">
        <v>302</v>
      </c>
      <c r="P7" s="1">
        <v>306</v>
      </c>
      <c r="Q7" s="1">
        <v>341</v>
      </c>
    </row>
    <row r="8" spans="1:70" x14ac:dyDescent="0.25">
      <c r="A8" t="s">
        <v>193</v>
      </c>
      <c r="B8" s="1">
        <v>1034977</v>
      </c>
      <c r="C8">
        <v>624</v>
      </c>
      <c r="D8" s="2">
        <v>60.291194876799999</v>
      </c>
      <c r="E8" s="3">
        <v>0.19774505489999999</v>
      </c>
      <c r="G8" s="1">
        <v>123</v>
      </c>
      <c r="H8" s="1">
        <v>123</v>
      </c>
      <c r="I8" s="1">
        <v>193</v>
      </c>
      <c r="J8" s="1">
        <v>282</v>
      </c>
      <c r="K8" s="1">
        <v>377</v>
      </c>
      <c r="L8" s="1">
        <v>418</v>
      </c>
      <c r="M8" s="1">
        <v>418</v>
      </c>
      <c r="N8" s="1">
        <v>470</v>
      </c>
      <c r="O8" s="1">
        <v>532</v>
      </c>
      <c r="P8" s="1">
        <v>624</v>
      </c>
    </row>
    <row r="9" spans="1:70" x14ac:dyDescent="0.25">
      <c r="A9" t="s">
        <v>192</v>
      </c>
      <c r="B9" s="1">
        <v>318714</v>
      </c>
      <c r="C9">
        <v>293</v>
      </c>
      <c r="D9" s="2">
        <v>91.931951530199996</v>
      </c>
      <c r="E9" s="3">
        <v>0.2218051492</v>
      </c>
      <c r="G9" s="1">
        <v>59</v>
      </c>
      <c r="H9" s="1">
        <v>86</v>
      </c>
      <c r="I9" s="1">
        <v>111</v>
      </c>
      <c r="J9" s="1">
        <v>145</v>
      </c>
      <c r="K9" s="1">
        <v>167</v>
      </c>
      <c r="L9" s="1">
        <v>202</v>
      </c>
      <c r="M9" s="1">
        <v>226</v>
      </c>
      <c r="N9" s="1">
        <v>255</v>
      </c>
      <c r="O9" s="1">
        <v>293</v>
      </c>
    </row>
    <row r="10" spans="1:70" x14ac:dyDescent="0.25">
      <c r="A10" t="s">
        <v>191</v>
      </c>
      <c r="B10" s="1">
        <v>499480</v>
      </c>
      <c r="C10">
        <v>1708</v>
      </c>
      <c r="D10" s="2">
        <v>341.95563385920002</v>
      </c>
      <c r="E10" s="3">
        <v>0.2397437577</v>
      </c>
      <c r="G10" s="1">
        <v>68</v>
      </c>
      <c r="H10" s="1">
        <v>79</v>
      </c>
      <c r="I10" s="1">
        <v>108</v>
      </c>
      <c r="J10" s="1">
        <v>173</v>
      </c>
      <c r="K10" s="1">
        <v>282</v>
      </c>
      <c r="L10" s="1">
        <v>372</v>
      </c>
      <c r="M10" s="1">
        <v>472</v>
      </c>
      <c r="N10" s="1">
        <v>619</v>
      </c>
      <c r="O10" s="1">
        <v>751</v>
      </c>
      <c r="P10" s="1">
        <v>961</v>
      </c>
      <c r="Q10" s="1">
        <v>1136</v>
      </c>
      <c r="R10" s="1">
        <v>1262</v>
      </c>
      <c r="S10" s="1">
        <v>1417</v>
      </c>
      <c r="T10" s="1">
        <v>1509</v>
      </c>
      <c r="U10" s="1">
        <v>1598</v>
      </c>
      <c r="V10" s="1">
        <v>1708</v>
      </c>
    </row>
    <row r="11" spans="1:70" x14ac:dyDescent="0.25">
      <c r="A11" t="s">
        <v>190</v>
      </c>
      <c r="B11" s="1">
        <v>40403</v>
      </c>
      <c r="C11">
        <v>0</v>
      </c>
      <c r="D11" s="2">
        <v>0</v>
      </c>
      <c r="E11" s="3">
        <v>0</v>
      </c>
    </row>
    <row r="12" spans="1:70" x14ac:dyDescent="0.25">
      <c r="A12" t="s">
        <v>189</v>
      </c>
      <c r="B12" s="1">
        <v>198379</v>
      </c>
      <c r="C12">
        <v>322</v>
      </c>
      <c r="D12" s="2">
        <v>162.315567676</v>
      </c>
      <c r="E12" s="3">
        <v>0.15702449839999999</v>
      </c>
      <c r="G12" s="1">
        <v>116</v>
      </c>
      <c r="H12" s="1">
        <v>145</v>
      </c>
      <c r="I12" s="1">
        <v>213</v>
      </c>
      <c r="J12" s="1">
        <v>239</v>
      </c>
      <c r="K12" s="1">
        <v>266</v>
      </c>
      <c r="L12" s="1">
        <v>266</v>
      </c>
      <c r="M12" s="1">
        <v>276</v>
      </c>
      <c r="N12" s="1">
        <v>322</v>
      </c>
    </row>
    <row r="13" spans="1:70" x14ac:dyDescent="0.25">
      <c r="A13" t="s">
        <v>188</v>
      </c>
      <c r="B13" s="1">
        <v>73419</v>
      </c>
      <c r="C13">
        <v>78</v>
      </c>
      <c r="D13" s="2">
        <v>106.23952927720001</v>
      </c>
      <c r="E13" s="3">
        <v>0.15214766020000001</v>
      </c>
      <c r="G13" s="1">
        <v>51</v>
      </c>
      <c r="H13" s="1">
        <v>57</v>
      </c>
      <c r="I13" s="1">
        <v>66</v>
      </c>
      <c r="J13" s="1">
        <v>78</v>
      </c>
    </row>
    <row r="14" spans="1:70" x14ac:dyDescent="0.25">
      <c r="A14" t="s">
        <v>187</v>
      </c>
      <c r="B14" s="1">
        <v>409557</v>
      </c>
      <c r="C14">
        <v>228</v>
      </c>
      <c r="D14" s="2">
        <v>55.669906752899998</v>
      </c>
      <c r="E14" s="3">
        <v>0.19635539639999999</v>
      </c>
      <c r="G14" s="1">
        <v>65</v>
      </c>
      <c r="H14" s="1">
        <v>65</v>
      </c>
      <c r="I14" s="1">
        <v>92</v>
      </c>
      <c r="J14" s="1">
        <v>109</v>
      </c>
      <c r="K14" s="1">
        <v>131</v>
      </c>
      <c r="L14" s="1">
        <v>156</v>
      </c>
      <c r="M14" s="1">
        <v>205</v>
      </c>
      <c r="N14" s="1">
        <v>228</v>
      </c>
    </row>
    <row r="15" spans="1:70" x14ac:dyDescent="0.25">
      <c r="A15" t="s">
        <v>186</v>
      </c>
      <c r="B15" s="1">
        <v>176850</v>
      </c>
      <c r="C15">
        <v>256</v>
      </c>
      <c r="D15" s="2">
        <v>144.75544246539999</v>
      </c>
      <c r="E15" s="3">
        <v>9.9938917200000005E-2</v>
      </c>
      <c r="G15" s="1">
        <v>159</v>
      </c>
      <c r="H15" s="1">
        <v>177</v>
      </c>
      <c r="I15" s="1">
        <v>188</v>
      </c>
      <c r="J15" s="1">
        <v>204</v>
      </c>
      <c r="K15" s="1">
        <v>230</v>
      </c>
      <c r="L15" s="1">
        <v>256</v>
      </c>
    </row>
    <row r="16" spans="1:70" x14ac:dyDescent="0.25">
      <c r="A16" t="s">
        <v>185</v>
      </c>
      <c r="B16" s="1">
        <v>43223</v>
      </c>
      <c r="C16">
        <v>0</v>
      </c>
      <c r="D16" s="2">
        <v>0</v>
      </c>
      <c r="E16" s="3">
        <v>0</v>
      </c>
    </row>
    <row r="17" spans="1:23" x14ac:dyDescent="0.25">
      <c r="A17" t="s">
        <v>184</v>
      </c>
      <c r="B17" s="1">
        <v>37841</v>
      </c>
      <c r="C17">
        <v>0</v>
      </c>
      <c r="D17" s="2">
        <v>0</v>
      </c>
      <c r="E17" s="3">
        <v>0</v>
      </c>
    </row>
    <row r="18" spans="1:23" x14ac:dyDescent="0.25">
      <c r="A18" t="s">
        <v>183</v>
      </c>
      <c r="B18" s="1">
        <v>81991</v>
      </c>
      <c r="C18">
        <v>0</v>
      </c>
      <c r="D18" s="2">
        <v>0</v>
      </c>
      <c r="E18" s="3">
        <v>0</v>
      </c>
    </row>
    <row r="19" spans="1:23" x14ac:dyDescent="0.25">
      <c r="A19" t="s">
        <v>182</v>
      </c>
      <c r="B19" s="1">
        <v>159165</v>
      </c>
      <c r="C19">
        <v>99</v>
      </c>
      <c r="D19" s="2">
        <v>62.1996041843</v>
      </c>
      <c r="E19" s="3">
        <v>0</v>
      </c>
      <c r="G19" s="1">
        <v>99</v>
      </c>
    </row>
    <row r="20" spans="1:23" x14ac:dyDescent="0.25">
      <c r="A20" t="s">
        <v>181</v>
      </c>
      <c r="B20" s="1">
        <v>273194</v>
      </c>
      <c r="C20">
        <v>129</v>
      </c>
      <c r="D20" s="2">
        <v>47.219192222399997</v>
      </c>
      <c r="E20" s="3">
        <v>0.1434288742</v>
      </c>
      <c r="G20" s="1">
        <v>66</v>
      </c>
      <c r="H20" s="1">
        <v>66</v>
      </c>
      <c r="I20" s="1">
        <v>66</v>
      </c>
      <c r="J20" s="1">
        <v>95</v>
      </c>
      <c r="K20" s="1">
        <v>104</v>
      </c>
      <c r="L20" s="1">
        <v>129</v>
      </c>
    </row>
    <row r="21" spans="1:23" x14ac:dyDescent="0.25">
      <c r="A21" t="s">
        <v>180</v>
      </c>
      <c r="B21" s="1">
        <v>507697</v>
      </c>
      <c r="C21">
        <v>228</v>
      </c>
      <c r="D21" s="2">
        <v>44.908675844100003</v>
      </c>
      <c r="E21" s="3">
        <v>0.2072597347</v>
      </c>
      <c r="G21" s="1">
        <v>61</v>
      </c>
      <c r="H21" s="1">
        <v>85</v>
      </c>
      <c r="I21" s="1">
        <v>98</v>
      </c>
      <c r="J21" s="1">
        <v>98</v>
      </c>
      <c r="K21" s="1">
        <v>98</v>
      </c>
      <c r="L21" s="1">
        <v>228</v>
      </c>
      <c r="M21" s="1">
        <v>228</v>
      </c>
      <c r="N21" s="1">
        <v>228</v>
      </c>
    </row>
    <row r="22" spans="1:23" x14ac:dyDescent="0.25">
      <c r="A22" t="s">
        <v>179</v>
      </c>
      <c r="B22" s="1">
        <v>276472</v>
      </c>
      <c r="C22">
        <v>96</v>
      </c>
      <c r="D22" s="2">
        <v>34.723226945199997</v>
      </c>
      <c r="E22" s="3">
        <v>0.14424968490000001</v>
      </c>
      <c r="G22" s="1">
        <v>56</v>
      </c>
      <c r="H22" s="1">
        <v>75</v>
      </c>
      <c r="I22" s="1">
        <v>81</v>
      </c>
      <c r="J22" s="1">
        <v>87</v>
      </c>
      <c r="K22" s="1">
        <v>96</v>
      </c>
    </row>
    <row r="23" spans="1:23" x14ac:dyDescent="0.25">
      <c r="A23" t="s">
        <v>178</v>
      </c>
      <c r="B23" s="1">
        <v>353343</v>
      </c>
      <c r="C23">
        <v>1354</v>
      </c>
      <c r="D23" s="2">
        <v>383.19706347660002</v>
      </c>
      <c r="E23" s="3">
        <v>0.16791501810000001</v>
      </c>
      <c r="G23" s="1">
        <v>180</v>
      </c>
      <c r="H23" s="1">
        <v>258</v>
      </c>
      <c r="I23" s="1">
        <v>265</v>
      </c>
      <c r="J23" s="1">
        <v>291</v>
      </c>
      <c r="K23" s="1">
        <v>330</v>
      </c>
      <c r="L23" s="1">
        <v>422</v>
      </c>
      <c r="M23" s="1">
        <v>511</v>
      </c>
      <c r="N23" s="1">
        <v>638</v>
      </c>
      <c r="O23" s="1">
        <v>834</v>
      </c>
      <c r="P23" s="1">
        <v>918</v>
      </c>
      <c r="Q23" s="1">
        <v>939</v>
      </c>
      <c r="R23" s="1">
        <v>1165</v>
      </c>
      <c r="S23" s="1">
        <v>1211</v>
      </c>
      <c r="T23" s="1">
        <v>1354</v>
      </c>
    </row>
    <row r="24" spans="1:23" x14ac:dyDescent="0.25">
      <c r="A24" t="s">
        <v>177</v>
      </c>
      <c r="B24" s="1">
        <v>36433</v>
      </c>
      <c r="C24">
        <v>0</v>
      </c>
      <c r="D24" s="2">
        <v>0</v>
      </c>
      <c r="E24" s="3">
        <v>0</v>
      </c>
    </row>
    <row r="25" spans="1:23" x14ac:dyDescent="0.25">
      <c r="A25" t="s">
        <v>176</v>
      </c>
      <c r="B25" s="1">
        <v>343955</v>
      </c>
      <c r="C25">
        <v>651</v>
      </c>
      <c r="D25" s="2">
        <v>189.26894506549999</v>
      </c>
      <c r="E25" s="3">
        <v>0.23246736030000001</v>
      </c>
      <c r="G25" s="1">
        <v>53</v>
      </c>
      <c r="H25" s="1">
        <v>76</v>
      </c>
      <c r="I25" s="1">
        <v>98</v>
      </c>
      <c r="J25" s="1">
        <v>116</v>
      </c>
      <c r="K25" s="1">
        <v>173</v>
      </c>
      <c r="L25" s="1">
        <v>225</v>
      </c>
      <c r="M25" s="1">
        <v>311</v>
      </c>
      <c r="N25" s="1">
        <v>346</v>
      </c>
      <c r="O25" s="1">
        <v>433</v>
      </c>
      <c r="P25" s="1">
        <v>490</v>
      </c>
      <c r="Q25" s="1">
        <v>527</v>
      </c>
      <c r="R25" s="1">
        <v>606</v>
      </c>
      <c r="S25" s="1">
        <v>651</v>
      </c>
    </row>
    <row r="26" spans="1:23" x14ac:dyDescent="0.25">
      <c r="A26" t="s">
        <v>175</v>
      </c>
      <c r="B26" s="1">
        <v>799145</v>
      </c>
      <c r="C26">
        <v>2215</v>
      </c>
      <c r="D26" s="2">
        <v>277.17122674860002</v>
      </c>
      <c r="E26" s="3">
        <v>0.26579309480000002</v>
      </c>
      <c r="G26" s="1">
        <v>51</v>
      </c>
      <c r="H26" s="1">
        <v>77</v>
      </c>
      <c r="I26" s="1">
        <v>108</v>
      </c>
      <c r="J26" s="1">
        <v>156</v>
      </c>
      <c r="K26" s="1">
        <v>204</v>
      </c>
      <c r="L26" s="1">
        <v>350</v>
      </c>
      <c r="M26" s="1">
        <v>406</v>
      </c>
      <c r="N26" s="1">
        <v>508</v>
      </c>
      <c r="O26" s="1">
        <v>608</v>
      </c>
      <c r="P26" s="1">
        <v>796</v>
      </c>
      <c r="Q26" s="1">
        <v>1212</v>
      </c>
      <c r="R26" s="1">
        <v>1432</v>
      </c>
      <c r="S26" s="1">
        <v>1676</v>
      </c>
      <c r="T26" s="1">
        <v>1782</v>
      </c>
      <c r="U26" s="1">
        <v>1822</v>
      </c>
      <c r="V26" s="1">
        <v>2162</v>
      </c>
      <c r="W26" s="1">
        <v>2215</v>
      </c>
    </row>
    <row r="27" spans="1:23" x14ac:dyDescent="0.25">
      <c r="A27" t="s">
        <v>174</v>
      </c>
      <c r="B27" s="1">
        <v>126837</v>
      </c>
      <c r="C27">
        <v>80</v>
      </c>
      <c r="D27" s="2">
        <v>63.073078045000003</v>
      </c>
      <c r="E27" s="3">
        <v>0.13592366850000001</v>
      </c>
      <c r="G27" s="1">
        <v>62</v>
      </c>
      <c r="H27" s="1">
        <v>72</v>
      </c>
      <c r="I27" s="1">
        <v>80</v>
      </c>
    </row>
    <row r="28" spans="1:23" x14ac:dyDescent="0.25">
      <c r="A28" t="s">
        <v>173</v>
      </c>
      <c r="B28" s="1">
        <v>1520968</v>
      </c>
      <c r="C28">
        <v>1363</v>
      </c>
      <c r="D28" s="2">
        <v>89.613982674200003</v>
      </c>
      <c r="E28" s="3">
        <v>0.25142011580000001</v>
      </c>
      <c r="G28" s="1">
        <v>59</v>
      </c>
      <c r="H28" s="1">
        <v>92</v>
      </c>
      <c r="I28" s="1">
        <v>140</v>
      </c>
      <c r="J28" s="1">
        <v>140</v>
      </c>
      <c r="K28" s="1">
        <v>140</v>
      </c>
      <c r="L28" s="1">
        <v>270</v>
      </c>
      <c r="M28" s="1">
        <v>294</v>
      </c>
      <c r="N28" s="1">
        <v>424</v>
      </c>
      <c r="O28" s="1">
        <v>526</v>
      </c>
      <c r="P28" s="1">
        <v>773</v>
      </c>
      <c r="Q28" s="1">
        <v>773</v>
      </c>
      <c r="R28" s="1">
        <v>773</v>
      </c>
      <c r="S28" s="1">
        <v>1068</v>
      </c>
      <c r="T28" s="1">
        <v>1211</v>
      </c>
      <c r="U28" s="1">
        <v>1363</v>
      </c>
    </row>
  </sheetData>
  <autoFilter ref="A1:BR28" xr:uid="{BCCDBEDA-AD19-40EC-9792-97D0DF592777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E4795-36FC-489F-AE7E-F57618710287}">
  <dimension ref="A1:BS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1" width="11.42578125" style="3"/>
  </cols>
  <sheetData>
    <row r="1" spans="1:7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160</v>
      </c>
      <c r="BR1" s="3" t="s">
        <v>162</v>
      </c>
      <c r="BS1" s="3" t="s">
        <v>131</v>
      </c>
    </row>
    <row r="2" spans="1:71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AU2" s="3">
        <v>0.71743303820000004</v>
      </c>
      <c r="AV2" s="3">
        <v>0.64670298559999995</v>
      </c>
      <c r="AW2" s="3">
        <v>0.53345039969999997</v>
      </c>
      <c r="AX2" s="3">
        <v>0.48824478560000001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0.21673258179999999</v>
      </c>
      <c r="BF2" s="3">
        <v>0.25685504809999998</v>
      </c>
      <c r="BG2" s="3">
        <v>0.2723351389</v>
      </c>
      <c r="BH2" s="3">
        <v>0.32657515079999999</v>
      </c>
      <c r="BI2" s="3">
        <v>0.33835293729999999</v>
      </c>
      <c r="BJ2" s="3">
        <v>0.30567088650000002</v>
      </c>
      <c r="BK2" s="3">
        <v>0.25954379259999999</v>
      </c>
      <c r="BL2" s="3">
        <v>0.20188107720000001</v>
      </c>
      <c r="BM2" s="3">
        <v>0.2112739595</v>
      </c>
      <c r="BN2" s="3">
        <v>0.22415027430000001</v>
      </c>
      <c r="BO2" s="3">
        <v>0.2497986395</v>
      </c>
      <c r="BP2" s="3">
        <v>0.23552997780000001</v>
      </c>
      <c r="BQ2" s="3">
        <v>0.2050974401</v>
      </c>
      <c r="BR2" s="3">
        <v>0.16697039329999999</v>
      </c>
      <c r="BS2" s="3">
        <v>0.10327022380000001</v>
      </c>
    </row>
    <row r="3" spans="1:71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BM3" s="3">
        <v>0.20736820140000001</v>
      </c>
      <c r="BN3" s="3">
        <v>0.13101914140000001</v>
      </c>
      <c r="BO3" s="3">
        <v>6.4844316799999996E-2</v>
      </c>
      <c r="BP3" s="3">
        <v>2.9883572000000001E-2</v>
      </c>
      <c r="BQ3" s="3">
        <v>4.1466412799999998E-2</v>
      </c>
      <c r="BR3" s="3">
        <v>6.3197220900000003E-2</v>
      </c>
    </row>
    <row r="4" spans="1:71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BD4" s="3">
        <v>0.18920711500000001</v>
      </c>
      <c r="BE4" s="3">
        <v>0.31607401299999999</v>
      </c>
      <c r="BF4" s="3">
        <v>0.31607401299999999</v>
      </c>
      <c r="BG4" s="3">
        <v>0.31607401299999999</v>
      </c>
      <c r="BH4" s="3">
        <v>0.25743342969999999</v>
      </c>
      <c r="BI4" s="3">
        <v>0.13621936649999999</v>
      </c>
      <c r="BJ4" s="3">
        <v>5.7371263399999997E-2</v>
      </c>
      <c r="BK4" s="3">
        <v>8.7757305899999999E-2</v>
      </c>
      <c r="BL4" s="3">
        <v>0.1582921853</v>
      </c>
      <c r="BM4" s="3">
        <v>0.2178832856</v>
      </c>
      <c r="BN4" s="3">
        <v>0.2178832856</v>
      </c>
      <c r="BO4" s="3">
        <v>0.11962776899999999</v>
      </c>
      <c r="BP4" s="3">
        <v>0.17803961430000001</v>
      </c>
      <c r="BQ4" s="3">
        <v>0.2237126371</v>
      </c>
      <c r="BR4" s="3">
        <v>0.30937621789999997</v>
      </c>
    </row>
    <row r="5" spans="1:71" x14ac:dyDescent="0.25">
      <c r="A5" t="s">
        <v>196</v>
      </c>
      <c r="B5" s="1">
        <v>677387</v>
      </c>
      <c r="C5">
        <v>1404</v>
      </c>
      <c r="D5">
        <v>319</v>
      </c>
      <c r="E5" s="2">
        <v>47.0927254287</v>
      </c>
      <c r="AX5" s="3">
        <v>0.64560408410000003</v>
      </c>
      <c r="AY5" s="3">
        <v>0.62657656169999998</v>
      </c>
      <c r="AZ5" s="3">
        <v>0.38378257519999998</v>
      </c>
      <c r="BA5" s="3">
        <v>0.24466595460000001</v>
      </c>
      <c r="BB5" s="3">
        <v>0.1464106949</v>
      </c>
      <c r="BC5" s="3">
        <v>0.1132112998</v>
      </c>
      <c r="BD5" s="3">
        <v>0.1038766198</v>
      </c>
      <c r="BE5" s="3">
        <v>0.14557175489999999</v>
      </c>
      <c r="BF5" s="3">
        <v>0.19309982540000001</v>
      </c>
      <c r="BG5" s="3">
        <v>0.20612754050000001</v>
      </c>
      <c r="BH5" s="3">
        <v>0.18309273700000001</v>
      </c>
      <c r="BI5" s="3">
        <v>0.16954402599999999</v>
      </c>
      <c r="BJ5" s="3">
        <v>0.18337272590000001</v>
      </c>
      <c r="BK5" s="3">
        <v>0.2469393265</v>
      </c>
      <c r="BL5" s="3">
        <v>0.31378318789999998</v>
      </c>
      <c r="BM5" s="3">
        <v>0.35149126759999999</v>
      </c>
      <c r="BN5" s="3">
        <v>0.3167997226</v>
      </c>
      <c r="BO5" s="3">
        <v>0.26759761599999998</v>
      </c>
      <c r="BP5" s="3">
        <v>0.2235535998</v>
      </c>
      <c r="BQ5" s="3">
        <v>0.17552905630000001</v>
      </c>
      <c r="BR5" s="3">
        <v>0.16139793259999999</v>
      </c>
      <c r="BS5" s="3">
        <v>0.1992481203</v>
      </c>
    </row>
    <row r="6" spans="1:71" x14ac:dyDescent="0.25">
      <c r="A6" t="s">
        <v>195</v>
      </c>
      <c r="B6" s="1">
        <v>194766</v>
      </c>
      <c r="C6">
        <v>37</v>
      </c>
      <c r="D6">
        <v>466</v>
      </c>
      <c r="E6" s="2">
        <v>239.26147274159999</v>
      </c>
      <c r="AZ6" s="3">
        <v>0.58339277570000003</v>
      </c>
      <c r="BA6" s="3">
        <v>0.6068568379</v>
      </c>
      <c r="BB6" s="3">
        <v>0.51111913890000005</v>
      </c>
      <c r="BC6" s="3">
        <v>0.3446566204</v>
      </c>
      <c r="BD6" s="3">
        <v>0.22164029669999999</v>
      </c>
      <c r="BE6" s="3">
        <v>0.24249942599999999</v>
      </c>
      <c r="BF6" s="3">
        <v>0.28975472429999999</v>
      </c>
      <c r="BG6" s="3">
        <v>0.32879118089999998</v>
      </c>
      <c r="BH6" s="3">
        <v>0.31383005930000002</v>
      </c>
      <c r="BI6" s="3">
        <v>0.2453906512</v>
      </c>
      <c r="BJ6" s="3">
        <v>0.1928696379</v>
      </c>
      <c r="BK6" s="3">
        <v>0.16669921200000001</v>
      </c>
      <c r="BL6" s="3">
        <v>0.1814962668</v>
      </c>
      <c r="BM6" s="3">
        <v>0.1839873528</v>
      </c>
      <c r="BN6" s="3">
        <v>0.18001484200000001</v>
      </c>
      <c r="BO6" s="3">
        <v>0.17282591990000001</v>
      </c>
      <c r="BP6" s="3">
        <v>0.16077224109999999</v>
      </c>
      <c r="BQ6" s="3">
        <v>0.14156014519999999</v>
      </c>
      <c r="BR6" s="3">
        <v>0.12183532969999999</v>
      </c>
      <c r="BS6" s="3">
        <v>0.12560386470000001</v>
      </c>
    </row>
    <row r="7" spans="1:71" x14ac:dyDescent="0.25">
      <c r="A7" t="s">
        <v>194</v>
      </c>
      <c r="B7" s="1">
        <v>288132</v>
      </c>
      <c r="C7">
        <v>518</v>
      </c>
      <c r="D7">
        <v>341</v>
      </c>
      <c r="E7" s="2">
        <v>118.34853469940001</v>
      </c>
      <c r="AX7" s="3">
        <v>0.18920711500000001</v>
      </c>
      <c r="AY7" s="3">
        <v>0.23593091699999999</v>
      </c>
      <c r="AZ7" s="3">
        <v>0.4564753151</v>
      </c>
      <c r="BA7" s="3">
        <v>0.6068568379</v>
      </c>
      <c r="BB7" s="3">
        <v>0.52439824450000005</v>
      </c>
      <c r="BC7" s="3">
        <v>0.44477577080000003</v>
      </c>
      <c r="BD7" s="3">
        <v>0.25975556960000001</v>
      </c>
      <c r="BE7" s="3">
        <v>0.16625342479999999</v>
      </c>
      <c r="BF7" s="3">
        <v>0.14863890890000001</v>
      </c>
      <c r="BG7" s="3">
        <v>0.17176899209999999</v>
      </c>
      <c r="BH7" s="3">
        <v>0.2042226214</v>
      </c>
      <c r="BI7" s="3">
        <v>0.24361338199999999</v>
      </c>
      <c r="BJ7" s="3">
        <v>0.23546107059999999</v>
      </c>
      <c r="BK7" s="3">
        <v>0.25026513299999997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0.1214469665</v>
      </c>
      <c r="BS7" s="3">
        <v>0.11437908500000001</v>
      </c>
    </row>
    <row r="8" spans="1:71" x14ac:dyDescent="0.25">
      <c r="A8" t="s">
        <v>193</v>
      </c>
      <c r="B8" s="1">
        <v>1034977</v>
      </c>
      <c r="C8">
        <v>5959</v>
      </c>
      <c r="D8">
        <v>624</v>
      </c>
      <c r="E8" s="2">
        <v>60.291194876799999</v>
      </c>
      <c r="BO8" s="3">
        <v>0.28928541619999998</v>
      </c>
      <c r="BP8" s="3">
        <v>0.215655441</v>
      </c>
      <c r="BQ8" s="3">
        <v>0.13621936649999999</v>
      </c>
      <c r="BR8" s="3">
        <v>0.10847578300000001</v>
      </c>
      <c r="BS8" s="3">
        <v>0.17293233080000001</v>
      </c>
    </row>
    <row r="9" spans="1:71" x14ac:dyDescent="0.25">
      <c r="A9" t="s">
        <v>192</v>
      </c>
      <c r="B9" s="1">
        <v>318714</v>
      </c>
      <c r="C9">
        <v>1671</v>
      </c>
      <c r="D9">
        <v>293</v>
      </c>
      <c r="E9" s="2">
        <v>91.931951530199996</v>
      </c>
      <c r="AZ9" s="3">
        <v>0.37744930799999998</v>
      </c>
      <c r="BA9" s="3">
        <v>0.25743342969999999</v>
      </c>
      <c r="BB9" s="3">
        <v>0.2014057071</v>
      </c>
      <c r="BC9" s="3">
        <v>0.17017365970000001</v>
      </c>
      <c r="BD9" s="3">
        <v>0.20539052369999999</v>
      </c>
      <c r="BE9" s="3">
        <v>0.251098551</v>
      </c>
      <c r="BF9" s="3">
        <v>0.27948057990000003</v>
      </c>
      <c r="BG9" s="3">
        <v>0.3049669102</v>
      </c>
      <c r="BH9" s="3">
        <v>0.28929240880000001</v>
      </c>
      <c r="BI9" s="3">
        <v>0.25356634109999998</v>
      </c>
      <c r="BJ9" s="3">
        <v>0.21079863409999999</v>
      </c>
      <c r="BK9" s="3">
        <v>0.21565009139999999</v>
      </c>
      <c r="BL9" s="3">
        <v>0.24957597479999999</v>
      </c>
      <c r="BM9" s="3">
        <v>0.29661243980000002</v>
      </c>
      <c r="BN9" s="3">
        <v>0.3091652493</v>
      </c>
      <c r="BO9" s="3">
        <v>0.2824852517</v>
      </c>
      <c r="BP9" s="3">
        <v>0.23472218119999999</v>
      </c>
      <c r="BQ9" s="3">
        <v>0.1887722248</v>
      </c>
      <c r="BR9" s="3">
        <v>0.16305472060000001</v>
      </c>
      <c r="BS9" s="3">
        <v>0.14901960780000001</v>
      </c>
    </row>
    <row r="10" spans="1:71" x14ac:dyDescent="0.25">
      <c r="A10" t="s">
        <v>191</v>
      </c>
      <c r="B10" s="1">
        <v>499480</v>
      </c>
      <c r="C10">
        <v>1771</v>
      </c>
      <c r="D10">
        <v>1708</v>
      </c>
      <c r="E10" s="2">
        <v>341.95563385920002</v>
      </c>
      <c r="AV10" s="3">
        <v>0.46450027620000001</v>
      </c>
      <c r="AW10" s="3">
        <v>0.29099444870000002</v>
      </c>
      <c r="AX10" s="3">
        <v>0.1989956534</v>
      </c>
      <c r="AY10" s="3">
        <v>0.19695480230000001</v>
      </c>
      <c r="AZ10" s="3">
        <v>0.24915130999999999</v>
      </c>
      <c r="BA10" s="3">
        <v>0.32904182529999998</v>
      </c>
      <c r="BB10" s="3">
        <v>0.35661589519999998</v>
      </c>
      <c r="BC10" s="3">
        <v>0.39335949660000002</v>
      </c>
      <c r="BD10" s="3">
        <v>0.35897458580000002</v>
      </c>
      <c r="BE10" s="3">
        <v>0.3446566204</v>
      </c>
      <c r="BF10" s="3">
        <v>0.36074986660000002</v>
      </c>
      <c r="BG10" s="3">
        <v>0.39893573789999998</v>
      </c>
      <c r="BH10" s="3">
        <v>0.44250735289999998</v>
      </c>
      <c r="BI10" s="3">
        <v>0.44960458009999998</v>
      </c>
      <c r="BJ10" s="3">
        <v>0.41982708400000002</v>
      </c>
      <c r="BK10" s="3">
        <v>0.34491645669999998</v>
      </c>
      <c r="BL10" s="3">
        <v>0.29571411850000001</v>
      </c>
      <c r="BM10" s="3">
        <v>0.26110253480000001</v>
      </c>
      <c r="BN10" s="3">
        <v>0.2309528535</v>
      </c>
      <c r="BO10" s="3">
        <v>0.19964080370000001</v>
      </c>
      <c r="BP10" s="3">
        <v>0.15775349280000001</v>
      </c>
      <c r="BQ10" s="3">
        <v>0.1226532884</v>
      </c>
      <c r="BR10" s="3">
        <v>9.4199650999999995E-2</v>
      </c>
      <c r="BS10" s="3">
        <v>6.8836045100000007E-2</v>
      </c>
    </row>
    <row r="11" spans="1:71" x14ac:dyDescent="0.25">
      <c r="A11" t="s">
        <v>190</v>
      </c>
      <c r="B11" s="1">
        <v>40403</v>
      </c>
      <c r="C11">
        <v>685</v>
      </c>
      <c r="D11">
        <v>40</v>
      </c>
      <c r="E11" s="2">
        <v>99.002549315600007</v>
      </c>
      <c r="BP11" s="3">
        <v>0.20880526190000001</v>
      </c>
      <c r="BQ11" s="3">
        <v>0.21218172490000001</v>
      </c>
      <c r="BR11" s="3">
        <v>0.1949941818</v>
      </c>
    </row>
    <row r="12" spans="1:71" x14ac:dyDescent="0.25">
      <c r="A12" t="s">
        <v>189</v>
      </c>
      <c r="B12" s="1">
        <v>198379</v>
      </c>
      <c r="C12">
        <v>7105</v>
      </c>
      <c r="D12">
        <v>322</v>
      </c>
      <c r="E12" s="2">
        <v>162.315567676</v>
      </c>
      <c r="BQ12" s="3">
        <v>0.14263692589999999</v>
      </c>
      <c r="BR12" s="3">
        <v>9.6818716599999993E-2</v>
      </c>
      <c r="BS12" s="3">
        <v>0.16666666669999999</v>
      </c>
    </row>
    <row r="13" spans="1:71" x14ac:dyDescent="0.25">
      <c r="A13" t="s">
        <v>188</v>
      </c>
      <c r="B13" s="1">
        <v>73419</v>
      </c>
      <c r="C13">
        <v>88</v>
      </c>
      <c r="D13">
        <v>78</v>
      </c>
      <c r="E13" s="2">
        <v>106.23952927720001</v>
      </c>
      <c r="BB13" s="3">
        <v>0.34267480709999998</v>
      </c>
      <c r="BC13" s="3">
        <v>0.25743342969999999</v>
      </c>
      <c r="BD13" s="3">
        <v>0.17233465440000001</v>
      </c>
      <c r="BE13" s="3">
        <v>0.175456745</v>
      </c>
      <c r="BF13" s="3">
        <v>0.17760370689999999</v>
      </c>
      <c r="BG13" s="3">
        <v>0.22700664440000001</v>
      </c>
      <c r="BH13" s="3">
        <v>0.24618848460000001</v>
      </c>
      <c r="BI13" s="3">
        <v>0.2295763059</v>
      </c>
      <c r="BJ13" s="3">
        <v>0.2288070992</v>
      </c>
      <c r="BK13" s="3">
        <v>0.18481071029999999</v>
      </c>
      <c r="BL13" s="3">
        <v>0.18556478400000001</v>
      </c>
      <c r="BM13" s="3">
        <v>0.18296434240000001</v>
      </c>
      <c r="BN13" s="3">
        <v>0.19695480230000001</v>
      </c>
      <c r="BO13" s="3">
        <v>0.195807963</v>
      </c>
      <c r="BP13" s="3">
        <v>0.17992297709999999</v>
      </c>
      <c r="BQ13" s="3">
        <v>0.1664210502</v>
      </c>
      <c r="BR13" s="3">
        <v>0.1448604402</v>
      </c>
      <c r="BS13" s="3">
        <v>0.18181818180000001</v>
      </c>
    </row>
    <row r="14" spans="1:71" x14ac:dyDescent="0.25">
      <c r="A14" t="s">
        <v>187</v>
      </c>
      <c r="B14" s="1">
        <v>409557</v>
      </c>
      <c r="C14">
        <v>1493</v>
      </c>
      <c r="D14">
        <v>228</v>
      </c>
      <c r="E14" s="2">
        <v>55.669906752899998</v>
      </c>
      <c r="BQ14" s="3">
        <v>0.22012136539999999</v>
      </c>
      <c r="BR14" s="3">
        <v>0.2198555727</v>
      </c>
      <c r="BS14" s="3">
        <v>0.11219512199999999</v>
      </c>
    </row>
    <row r="15" spans="1:71" x14ac:dyDescent="0.25">
      <c r="A15" t="s">
        <v>186</v>
      </c>
      <c r="B15" s="1">
        <v>176850</v>
      </c>
      <c r="C15">
        <v>220</v>
      </c>
      <c r="D15">
        <v>256</v>
      </c>
      <c r="E15" s="2">
        <v>144.75544246539999</v>
      </c>
      <c r="BS15" s="3">
        <v>0.1130434783</v>
      </c>
    </row>
    <row r="16" spans="1:71" x14ac:dyDescent="0.25">
      <c r="A16" t="s">
        <v>185</v>
      </c>
      <c r="B16" s="1">
        <v>43223</v>
      </c>
      <c r="C16">
        <v>276</v>
      </c>
      <c r="D16">
        <v>44</v>
      </c>
      <c r="E16" s="2">
        <v>101.7976540268</v>
      </c>
      <c r="BJ16" s="3">
        <v>0</v>
      </c>
      <c r="BK16" s="3">
        <v>0</v>
      </c>
      <c r="BL16" s="3">
        <v>0.28775478850000002</v>
      </c>
      <c r="BM16" s="3">
        <v>0.47629586190000001</v>
      </c>
      <c r="BN16" s="3">
        <v>0.63617329990000004</v>
      </c>
      <c r="BO16" s="3">
        <v>0.68615549450000002</v>
      </c>
      <c r="BP16" s="3">
        <v>0.34501601009999999</v>
      </c>
      <c r="BQ16" s="3">
        <v>0.19695480230000001</v>
      </c>
      <c r="BR16" s="3">
        <v>9.8001391399999999E-2</v>
      </c>
    </row>
    <row r="17" spans="1:71" x14ac:dyDescent="0.25">
      <c r="A17" t="s">
        <v>184</v>
      </c>
      <c r="B17" s="1">
        <v>37841</v>
      </c>
      <c r="C17">
        <v>491</v>
      </c>
      <c r="D17">
        <v>27</v>
      </c>
      <c r="E17" s="2">
        <v>71.3511799371</v>
      </c>
      <c r="BL17" s="3">
        <v>0</v>
      </c>
      <c r="BM17" s="3">
        <v>0</v>
      </c>
      <c r="BN17" s="3">
        <v>0</v>
      </c>
      <c r="BO17" s="3">
        <v>0</v>
      </c>
      <c r="BP17" s="3">
        <v>0.73205080759999996</v>
      </c>
      <c r="BQ17" s="3">
        <v>1.0305431849</v>
      </c>
      <c r="BR17" s="3">
        <v>1.2508283034000001</v>
      </c>
    </row>
    <row r="18" spans="1:71" x14ac:dyDescent="0.25">
      <c r="A18" t="s">
        <v>183</v>
      </c>
      <c r="B18" s="1">
        <v>81991</v>
      </c>
      <c r="C18">
        <v>298</v>
      </c>
      <c r="D18">
        <v>34</v>
      </c>
      <c r="E18" s="2">
        <v>41.467965996300002</v>
      </c>
    </row>
    <row r="19" spans="1:71" x14ac:dyDescent="0.25">
      <c r="A19" t="s">
        <v>182</v>
      </c>
      <c r="B19" s="1">
        <v>159165</v>
      </c>
      <c r="C19">
        <v>908</v>
      </c>
      <c r="D19">
        <v>99</v>
      </c>
      <c r="E19" s="2">
        <v>62.1996041843</v>
      </c>
      <c r="BB19" s="3">
        <v>0.26632043789999998</v>
      </c>
      <c r="BC19" s="3">
        <v>0.1066819197</v>
      </c>
      <c r="BD19" s="3">
        <v>4.6635139399999997E-2</v>
      </c>
      <c r="BE19" s="3">
        <v>0</v>
      </c>
      <c r="BF19" s="3">
        <v>3.9289877600000002E-2</v>
      </c>
      <c r="BG19" s="3">
        <v>0.1066819197</v>
      </c>
      <c r="BH19" s="3">
        <v>0.17233465440000001</v>
      </c>
      <c r="BI19" s="3">
        <v>0.20539052369999999</v>
      </c>
      <c r="BJ19" s="3">
        <v>0.16737752580000001</v>
      </c>
      <c r="BK19" s="3">
        <v>9.62893893E-2</v>
      </c>
      <c r="BL19" s="3">
        <v>3.4895318799999998E-2</v>
      </c>
      <c r="BM19" s="3">
        <v>6.5150025000000004E-3</v>
      </c>
      <c r="BN19" s="3">
        <v>0</v>
      </c>
      <c r="BO19" s="3">
        <v>0</v>
      </c>
      <c r="BP19" s="3">
        <v>0</v>
      </c>
      <c r="BQ19" s="3">
        <v>0</v>
      </c>
      <c r="BR19" s="3">
        <v>0.3380161378</v>
      </c>
      <c r="BS19" s="3">
        <v>6.6153846154</v>
      </c>
    </row>
    <row r="20" spans="1:71" x14ac:dyDescent="0.25">
      <c r="A20" t="s">
        <v>181</v>
      </c>
      <c r="B20" s="1">
        <v>273194</v>
      </c>
      <c r="C20">
        <v>791</v>
      </c>
      <c r="D20">
        <v>129</v>
      </c>
      <c r="E20" s="2">
        <v>47.219192222399997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0.96798967130000002</v>
      </c>
      <c r="BL20" s="3">
        <v>1.3205957871</v>
      </c>
      <c r="BM20" s="3">
        <v>1.6679677974</v>
      </c>
      <c r="BN20" s="3">
        <v>1.7636255460000001</v>
      </c>
      <c r="BO20" s="3">
        <v>0.44831546849999998</v>
      </c>
      <c r="BP20" s="3">
        <v>0.27094469049999997</v>
      </c>
      <c r="BQ20" s="3">
        <v>0.14908080900000001</v>
      </c>
      <c r="BR20" s="3">
        <v>0.17006219859999999</v>
      </c>
      <c r="BS20" s="3">
        <v>0.2403846154</v>
      </c>
    </row>
    <row r="21" spans="1:71" x14ac:dyDescent="0.25">
      <c r="A21" t="s">
        <v>180</v>
      </c>
      <c r="B21" s="1">
        <v>507697</v>
      </c>
      <c r="C21">
        <v>2026</v>
      </c>
      <c r="D21">
        <v>228</v>
      </c>
      <c r="E21" s="2">
        <v>44.908675844100003</v>
      </c>
      <c r="BC21" s="3">
        <v>0.1066819197</v>
      </c>
      <c r="BD21" s="3">
        <v>4.6635139399999997E-2</v>
      </c>
      <c r="BE21" s="3">
        <v>0.3339838987</v>
      </c>
      <c r="BF21" s="3">
        <v>0.51967137129999996</v>
      </c>
      <c r="BG21" s="3">
        <v>0.65487545979999995</v>
      </c>
      <c r="BH21" s="3">
        <v>0.65487545979999995</v>
      </c>
      <c r="BI21" s="3">
        <v>0.2405513001</v>
      </c>
      <c r="BJ21" s="3">
        <v>0.2454754938</v>
      </c>
      <c r="BK21" s="3">
        <v>0.28579919469999998</v>
      </c>
      <c r="BL21" s="3">
        <v>0.4390841795</v>
      </c>
      <c r="BM21" s="3">
        <v>0.525964141</v>
      </c>
      <c r="BN21" s="3">
        <v>0.38214592829999999</v>
      </c>
      <c r="BO21" s="3">
        <v>0.2433991174</v>
      </c>
      <c r="BP21" s="3">
        <v>0.2174528114</v>
      </c>
      <c r="BQ21" s="3">
        <v>0.2275239791</v>
      </c>
      <c r="BR21" s="3">
        <v>0.2490719207</v>
      </c>
      <c r="BS21" s="3">
        <v>0</v>
      </c>
    </row>
    <row r="22" spans="1:71" x14ac:dyDescent="0.25">
      <c r="A22" t="s">
        <v>179</v>
      </c>
      <c r="B22" s="1">
        <v>276472</v>
      </c>
      <c r="C22">
        <v>991</v>
      </c>
      <c r="D22">
        <v>96</v>
      </c>
      <c r="E22" s="2">
        <v>34.723226945199997</v>
      </c>
      <c r="BO22" s="3">
        <v>0.25743342969999999</v>
      </c>
      <c r="BP22" s="3">
        <v>0.23544557199999999</v>
      </c>
      <c r="BQ22" s="3">
        <v>0.20048048060000001</v>
      </c>
      <c r="BR22" s="3">
        <v>0.16975848360000001</v>
      </c>
      <c r="BS22" s="3">
        <v>0.1034482759</v>
      </c>
    </row>
    <row r="23" spans="1:71" x14ac:dyDescent="0.25">
      <c r="A23" t="s">
        <v>178</v>
      </c>
      <c r="B23" s="1">
        <v>353343</v>
      </c>
      <c r="C23">
        <v>2812</v>
      </c>
      <c r="D23">
        <v>1354</v>
      </c>
      <c r="E23" s="2">
        <v>383.19706347660002</v>
      </c>
      <c r="AU23" s="3">
        <v>7.4569931800000003E-2</v>
      </c>
      <c r="AV23" s="3">
        <v>0.23593091699999999</v>
      </c>
      <c r="AW23" s="3">
        <v>0.38378257519999998</v>
      </c>
      <c r="AX23" s="3">
        <v>0.46977784020000002</v>
      </c>
      <c r="AY23" s="3">
        <v>0.39157884189999997</v>
      </c>
      <c r="AZ23" s="3">
        <v>0.209896735</v>
      </c>
      <c r="BA23" s="3">
        <v>8.0624086499999997E-2</v>
      </c>
      <c r="BB23" s="3">
        <v>1.7397827300000002E-2</v>
      </c>
      <c r="BC23" s="3">
        <v>0</v>
      </c>
      <c r="BD23" s="3">
        <v>0</v>
      </c>
      <c r="BE23" s="3">
        <v>0.8865381215</v>
      </c>
      <c r="BF23" s="3">
        <v>1.3311923905</v>
      </c>
      <c r="BG23" s="3">
        <v>1.6164715479</v>
      </c>
      <c r="BH23" s="3">
        <v>1.7141465052</v>
      </c>
      <c r="BI23" s="3">
        <v>0.46950148819999998</v>
      </c>
      <c r="BJ23" s="3">
        <v>0.2387114316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0.1177063871</v>
      </c>
      <c r="BS23" s="3">
        <v>0.11808422790000001</v>
      </c>
    </row>
    <row r="24" spans="1:71" x14ac:dyDescent="0.25">
      <c r="A24" t="s">
        <v>177</v>
      </c>
      <c r="B24" s="1">
        <v>36433</v>
      </c>
      <c r="C24">
        <v>1077</v>
      </c>
      <c r="D24">
        <v>25</v>
      </c>
      <c r="E24" s="2">
        <v>68.619109049499997</v>
      </c>
      <c r="BK24" s="3">
        <v>0.1066819197</v>
      </c>
      <c r="BL24" s="3">
        <v>0.23593091699999999</v>
      </c>
      <c r="BM24" s="3">
        <v>0.3339838987</v>
      </c>
      <c r="BN24" s="3">
        <v>0.44279797599999998</v>
      </c>
      <c r="BO24" s="3">
        <v>0.36232208170000002</v>
      </c>
      <c r="BP24" s="3">
        <v>0.34634837039999999</v>
      </c>
      <c r="BQ24" s="3">
        <v>0.32746965639999998</v>
      </c>
      <c r="BR24" s="3">
        <v>0.29000022819999999</v>
      </c>
    </row>
    <row r="25" spans="1:71" x14ac:dyDescent="0.25">
      <c r="A25" t="s">
        <v>176</v>
      </c>
      <c r="B25" s="1">
        <v>343955</v>
      </c>
      <c r="C25">
        <v>5224</v>
      </c>
      <c r="D25">
        <v>651</v>
      </c>
      <c r="E25" s="2">
        <v>189.26894506549999</v>
      </c>
      <c r="AX25" s="3">
        <v>0.31607401299999999</v>
      </c>
      <c r="AY25" s="3">
        <v>0.25743342969999999</v>
      </c>
      <c r="AZ25" s="3">
        <v>0.20736820140000001</v>
      </c>
      <c r="BA25" s="3">
        <v>0.17405488590000001</v>
      </c>
      <c r="BB25" s="3">
        <v>0.2014057071</v>
      </c>
      <c r="BC25" s="3">
        <v>0.24466595460000001</v>
      </c>
      <c r="BD25" s="3">
        <v>0.31607401299999999</v>
      </c>
      <c r="BE25" s="3">
        <v>0.38046014410000001</v>
      </c>
      <c r="BF25" s="3">
        <v>0.43156912269999997</v>
      </c>
      <c r="BG25" s="3">
        <v>0.4496850355</v>
      </c>
      <c r="BH25" s="3">
        <v>0.45249257259999998</v>
      </c>
      <c r="BI25" s="3">
        <v>0.43181605140000001</v>
      </c>
      <c r="BJ25" s="3">
        <v>0.38557620510000001</v>
      </c>
      <c r="BK25" s="3">
        <v>0.34088489550000001</v>
      </c>
      <c r="BL25" s="3">
        <v>0.32939822479999997</v>
      </c>
      <c r="BM25" s="3">
        <v>0.32058891290000002</v>
      </c>
      <c r="BN25" s="3">
        <v>0.29547454309999999</v>
      </c>
      <c r="BO25" s="3">
        <v>0.25350082979999999</v>
      </c>
      <c r="BP25" s="3">
        <v>0.19586028150000001</v>
      </c>
      <c r="BQ25" s="3">
        <v>0.16469573109999999</v>
      </c>
      <c r="BR25" s="3">
        <v>0.13107678319999999</v>
      </c>
      <c r="BS25" s="3">
        <v>7.4257425700000004E-2</v>
      </c>
    </row>
    <row r="26" spans="1:71" x14ac:dyDescent="0.25">
      <c r="A26" t="s">
        <v>175</v>
      </c>
      <c r="B26" s="1">
        <v>799145</v>
      </c>
      <c r="C26">
        <v>3212</v>
      </c>
      <c r="D26">
        <v>2215</v>
      </c>
      <c r="E26" s="2">
        <v>277.17122674860002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0.19192532039999999</v>
      </c>
      <c r="BQ26" s="3">
        <v>0.1378343719</v>
      </c>
      <c r="BR26" s="3">
        <v>9.4484139300000006E-2</v>
      </c>
      <c r="BS26" s="3">
        <v>2.4514338600000001E-2</v>
      </c>
    </row>
    <row r="27" spans="1:71" x14ac:dyDescent="0.25">
      <c r="A27" t="s">
        <v>174</v>
      </c>
      <c r="B27" s="1">
        <v>126837</v>
      </c>
      <c r="C27">
        <v>239</v>
      </c>
      <c r="D27">
        <v>80</v>
      </c>
      <c r="E27" s="2">
        <v>63.073078045000003</v>
      </c>
      <c r="BB27" s="3">
        <v>0.1582921853</v>
      </c>
      <c r="BC27" s="3">
        <v>6.4844316799999996E-2</v>
      </c>
      <c r="BD27" s="3">
        <v>0</v>
      </c>
      <c r="BE27" s="3">
        <v>0</v>
      </c>
      <c r="BF27" s="3">
        <v>0.20539052369999999</v>
      </c>
      <c r="BG27" s="3">
        <v>0.33979660239999998</v>
      </c>
      <c r="BH27" s="3">
        <v>0.44279797599999998</v>
      </c>
      <c r="BI27" s="3">
        <v>0.53525978389999995</v>
      </c>
      <c r="BJ27" s="3">
        <v>0.33857915760000001</v>
      </c>
      <c r="BK27" s="3">
        <v>0.25525981149999999</v>
      </c>
      <c r="BL27" s="3">
        <v>0.1656467908</v>
      </c>
      <c r="BM27" s="3">
        <v>0.1771323826</v>
      </c>
      <c r="BN27" s="3">
        <v>0.18430306369999999</v>
      </c>
      <c r="BO27" s="3">
        <v>0.18920711500000001</v>
      </c>
      <c r="BP27" s="3">
        <v>0.21711369080000001</v>
      </c>
      <c r="BQ27" s="3">
        <v>0.17341068549999999</v>
      </c>
      <c r="BR27" s="3">
        <v>0.1556015929</v>
      </c>
      <c r="BS27" s="3">
        <v>0.11111111110000001</v>
      </c>
    </row>
    <row r="28" spans="1:71" x14ac:dyDescent="0.25">
      <c r="A28" t="s">
        <v>173</v>
      </c>
      <c r="B28" s="1">
        <v>1520968</v>
      </c>
      <c r="C28">
        <v>1729</v>
      </c>
      <c r="D28">
        <v>1363</v>
      </c>
      <c r="E28" s="2">
        <v>89.613982674200003</v>
      </c>
      <c r="AW28" s="3">
        <v>0.41421356240000001</v>
      </c>
      <c r="AX28" s="3">
        <v>0.57584180809999996</v>
      </c>
      <c r="AY28" s="3">
        <v>0.73205080759999996</v>
      </c>
      <c r="AZ28" s="3">
        <v>0.54981363620000001</v>
      </c>
      <c r="BA28" s="3">
        <v>0.46846377729999999</v>
      </c>
      <c r="BB28" s="3">
        <v>0.30405381320000002</v>
      </c>
      <c r="BC28" s="3">
        <v>0.23593091699999999</v>
      </c>
      <c r="BD28" s="3">
        <v>0.18522311559999999</v>
      </c>
      <c r="BE28" s="3">
        <v>0.2109794177</v>
      </c>
      <c r="BF28" s="3">
        <v>0.28418414250000001</v>
      </c>
      <c r="BG28" s="3">
        <v>0.3108201196</v>
      </c>
      <c r="BH28" s="3">
        <v>0.29791691910000001</v>
      </c>
      <c r="BI28" s="3">
        <v>0.28775478850000002</v>
      </c>
      <c r="BJ28" s="3">
        <v>0.24715352209999999</v>
      </c>
      <c r="BK28" s="3">
        <v>0.2765960643</v>
      </c>
      <c r="BL28" s="3">
        <v>0.31187595620000003</v>
      </c>
      <c r="BM28" s="3">
        <v>0.3303951316</v>
      </c>
      <c r="BN28" s="3">
        <v>0.30979784929999998</v>
      </c>
      <c r="BO28" s="3">
        <v>0.23775859569999999</v>
      </c>
      <c r="BP28" s="3">
        <v>0.2039856223</v>
      </c>
      <c r="BQ28" s="3">
        <v>0.15365197250000001</v>
      </c>
      <c r="BR28" s="3">
        <v>0.15143001850000001</v>
      </c>
      <c r="BS28" s="3">
        <v>0.1255161024</v>
      </c>
    </row>
  </sheetData>
  <autoFilter ref="A1:BS28" xr:uid="{62358D99-8561-4F77-9A20-2353D504991E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2E3BB-7158-4438-A338-83516FEB0694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196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195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194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193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192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191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190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189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188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187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186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185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184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183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182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181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180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179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178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177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176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175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174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173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</sheetData>
  <autoFilter ref="A1:BR28" xr:uid="{E3AEC5BF-9C7E-4516-A05D-9363461390ED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BD18-DB0A-452D-878A-F1DCB9E3B511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  <c r="BR2" s="1">
        <v>499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  <c r="BR4" s="1">
        <v>0</v>
      </c>
    </row>
    <row r="5" spans="1:70" x14ac:dyDescent="0.25">
      <c r="A5" t="s">
        <v>196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  <c r="BQ5" s="1">
        <v>15</v>
      </c>
      <c r="BR5" s="1">
        <v>16</v>
      </c>
    </row>
    <row r="6" spans="1:70" x14ac:dyDescent="0.25">
      <c r="A6" t="s">
        <v>195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  <c r="BR6" s="1">
        <v>29</v>
      </c>
    </row>
    <row r="7" spans="1:70" x14ac:dyDescent="0.25">
      <c r="A7" t="s">
        <v>194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  <c r="BQ7" s="1">
        <v>18</v>
      </c>
      <c r="BR7" s="1">
        <v>21</v>
      </c>
    </row>
    <row r="8" spans="1:70" x14ac:dyDescent="0.25">
      <c r="A8" t="s">
        <v>193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192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4</v>
      </c>
      <c r="BL9" s="1">
        <v>5</v>
      </c>
      <c r="BM9" s="1">
        <v>5</v>
      </c>
      <c r="BN9" s="1">
        <v>4</v>
      </c>
      <c r="BO9" s="1">
        <v>5</v>
      </c>
      <c r="BP9" s="1">
        <v>7</v>
      </c>
      <c r="BQ9" s="1">
        <v>6</v>
      </c>
      <c r="BR9" s="1">
        <v>10</v>
      </c>
    </row>
    <row r="10" spans="1:70" x14ac:dyDescent="0.25">
      <c r="A10" t="s">
        <v>191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5</v>
      </c>
      <c r="BK10" s="1">
        <v>4</v>
      </c>
      <c r="BL10" s="1">
        <v>8</v>
      </c>
      <c r="BM10" s="1">
        <v>9</v>
      </c>
      <c r="BN10" s="1">
        <v>16</v>
      </c>
      <c r="BO10" s="1">
        <v>26</v>
      </c>
      <c r="BP10" s="1">
        <v>35</v>
      </c>
      <c r="BQ10" s="1">
        <v>56</v>
      </c>
      <c r="BR10" s="1">
        <v>64</v>
      </c>
    </row>
    <row r="11" spans="1:70" x14ac:dyDescent="0.25">
      <c r="A11" t="s">
        <v>190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189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188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  <c r="BK13" s="1">
        <v>1</v>
      </c>
      <c r="BL13" s="1">
        <v>2</v>
      </c>
      <c r="BM13" s="1">
        <v>3</v>
      </c>
      <c r="BN13" s="1">
        <v>4</v>
      </c>
      <c r="BO13" s="1">
        <v>4</v>
      </c>
      <c r="BP13" s="1">
        <v>5</v>
      </c>
      <c r="BQ13" s="1">
        <v>6</v>
      </c>
      <c r="BR13" s="1">
        <v>6</v>
      </c>
    </row>
    <row r="14" spans="1:70" x14ac:dyDescent="0.25">
      <c r="A14" t="s">
        <v>187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186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185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4</v>
      </c>
    </row>
    <row r="17" spans="1:70" x14ac:dyDescent="0.25">
      <c r="A17" t="s">
        <v>184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183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182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  <c r="BQ19" s="1">
        <v>6</v>
      </c>
      <c r="BR19" s="1">
        <v>6</v>
      </c>
    </row>
    <row r="20" spans="1:70" x14ac:dyDescent="0.25">
      <c r="A20" t="s">
        <v>181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  <c r="BR20" s="1">
        <v>0</v>
      </c>
    </row>
    <row r="21" spans="1:70" x14ac:dyDescent="0.25">
      <c r="A21" t="s">
        <v>180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  <c r="BR21" s="1">
        <v>1</v>
      </c>
    </row>
    <row r="22" spans="1:70" x14ac:dyDescent="0.25">
      <c r="A22" t="s">
        <v>179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178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177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176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1</v>
      </c>
      <c r="BG25" s="1">
        <v>0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0</v>
      </c>
      <c r="BN25" s="1">
        <v>0</v>
      </c>
      <c r="BO25" s="1">
        <v>0</v>
      </c>
      <c r="BP25" s="1">
        <v>0</v>
      </c>
      <c r="BQ25" s="1">
        <v>4</v>
      </c>
      <c r="BR25" s="1">
        <v>8</v>
      </c>
    </row>
    <row r="26" spans="1:70" x14ac:dyDescent="0.25">
      <c r="A26" t="s">
        <v>175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34</v>
      </c>
      <c r="BQ26" s="1">
        <v>56</v>
      </c>
      <c r="BR26" s="1">
        <v>87</v>
      </c>
    </row>
    <row r="27" spans="1:70" x14ac:dyDescent="0.25">
      <c r="A27" t="s">
        <v>174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</row>
    <row r="28" spans="1:70" x14ac:dyDescent="0.25">
      <c r="A28" t="s">
        <v>173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  <c r="BQ28" s="1">
        <v>44</v>
      </c>
      <c r="BR28" s="1">
        <v>52</v>
      </c>
    </row>
  </sheetData>
  <autoFilter ref="A1:BR28" xr:uid="{4D1B269A-4170-4409-A28B-93E7DFA174AA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C598-8DC9-4A64-AF6B-97EE29C9D1B4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1</v>
      </c>
      <c r="E3" s="2">
        <v>6.1938680705999998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</row>
    <row r="4" spans="1:70" x14ac:dyDescent="0.25">
      <c r="A4" t="s">
        <v>197</v>
      </c>
      <c r="B4" s="1">
        <v>55234</v>
      </c>
      <c r="C4">
        <v>243</v>
      </c>
      <c r="D4">
        <v>6</v>
      </c>
      <c r="E4" s="2">
        <v>10.862874316499999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3</v>
      </c>
      <c r="BN4" s="1">
        <v>3</v>
      </c>
      <c r="BO4" s="1">
        <v>3</v>
      </c>
      <c r="BP4" s="1">
        <v>7</v>
      </c>
      <c r="BQ4" s="1">
        <v>6</v>
      </c>
      <c r="BR4" s="1">
        <v>6</v>
      </c>
    </row>
    <row r="5" spans="1:70" x14ac:dyDescent="0.25">
      <c r="A5" t="s">
        <v>196</v>
      </c>
      <c r="B5" s="1">
        <v>677387</v>
      </c>
      <c r="C5">
        <v>1404</v>
      </c>
      <c r="D5">
        <v>16</v>
      </c>
      <c r="E5" s="2">
        <v>2.3620175764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1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6</v>
      </c>
      <c r="BL5" s="1">
        <v>17</v>
      </c>
      <c r="BM5" s="1">
        <v>25</v>
      </c>
      <c r="BN5" s="1">
        <v>25</v>
      </c>
      <c r="BO5" s="1">
        <v>25</v>
      </c>
      <c r="BP5" s="1">
        <v>10</v>
      </c>
      <c r="BQ5" s="1">
        <v>24</v>
      </c>
      <c r="BR5" s="1">
        <v>16</v>
      </c>
    </row>
    <row r="6" spans="1:70" x14ac:dyDescent="0.25">
      <c r="A6" t="s">
        <v>195</v>
      </c>
      <c r="B6" s="1">
        <v>194766</v>
      </c>
      <c r="C6">
        <v>37</v>
      </c>
      <c r="D6">
        <v>58</v>
      </c>
      <c r="E6" s="2">
        <v>29.7793249335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30</v>
      </c>
      <c r="BK6" s="1">
        <v>40</v>
      </c>
      <c r="BL6" s="1">
        <v>40</v>
      </c>
      <c r="BM6" s="1">
        <v>45</v>
      </c>
      <c r="BN6" s="1">
        <v>46</v>
      </c>
      <c r="BO6" s="1">
        <v>50</v>
      </c>
      <c r="BP6" s="1">
        <v>56</v>
      </c>
      <c r="BQ6" s="1">
        <v>58</v>
      </c>
      <c r="BR6" s="1">
        <v>58</v>
      </c>
    </row>
    <row r="7" spans="1:70" x14ac:dyDescent="0.25">
      <c r="A7" t="s">
        <v>194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193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192</v>
      </c>
      <c r="B9" s="1">
        <v>318714</v>
      </c>
      <c r="C9">
        <v>1671</v>
      </c>
      <c r="D9">
        <v>39</v>
      </c>
      <c r="E9" s="2">
        <v>12.2366761422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35</v>
      </c>
      <c r="BQ9" s="1">
        <v>35</v>
      </c>
      <c r="BR9" s="1">
        <v>39</v>
      </c>
    </row>
    <row r="10" spans="1:70" x14ac:dyDescent="0.25">
      <c r="A10" t="s">
        <v>191</v>
      </c>
      <c r="B10" s="1">
        <v>499480</v>
      </c>
      <c r="C10">
        <v>1771</v>
      </c>
      <c r="D10">
        <v>258</v>
      </c>
      <c r="E10" s="2">
        <v>51.653719868700001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2</v>
      </c>
      <c r="AS10" s="1">
        <v>3</v>
      </c>
      <c r="AT10" s="1">
        <v>3</v>
      </c>
      <c r="AU10" s="1">
        <v>3</v>
      </c>
      <c r="AV10" s="1">
        <v>4</v>
      </c>
      <c r="AW10" s="1">
        <v>4</v>
      </c>
      <c r="AX10" s="1">
        <v>5</v>
      </c>
      <c r="AY10" s="1">
        <v>7</v>
      </c>
      <c r="AZ10" s="1">
        <v>7</v>
      </c>
      <c r="BA10" s="1">
        <v>9</v>
      </c>
      <c r="BB10" s="1">
        <v>13</v>
      </c>
      <c r="BC10" s="1">
        <v>18</v>
      </c>
      <c r="BD10" s="1">
        <v>20</v>
      </c>
      <c r="BE10" s="1">
        <v>23</v>
      </c>
      <c r="BF10" s="1">
        <v>33</v>
      </c>
      <c r="BG10" s="1">
        <v>43</v>
      </c>
      <c r="BH10" s="1">
        <v>46</v>
      </c>
      <c r="BI10" s="1">
        <v>66</v>
      </c>
      <c r="BJ10" s="1">
        <v>75</v>
      </c>
      <c r="BK10" s="1">
        <v>78</v>
      </c>
      <c r="BL10" s="1">
        <v>92</v>
      </c>
      <c r="BM10" s="1">
        <v>109</v>
      </c>
      <c r="BN10" s="1">
        <v>145</v>
      </c>
      <c r="BO10" s="1">
        <v>179</v>
      </c>
      <c r="BP10" s="1">
        <v>214</v>
      </c>
      <c r="BQ10" s="1">
        <v>238</v>
      </c>
      <c r="BR10" s="1">
        <v>258</v>
      </c>
    </row>
    <row r="11" spans="1:70" x14ac:dyDescent="0.25">
      <c r="A11" t="s">
        <v>190</v>
      </c>
      <c r="B11" s="1">
        <v>40403</v>
      </c>
      <c r="C11">
        <v>685</v>
      </c>
      <c r="D11">
        <v>2</v>
      </c>
      <c r="E11" s="2">
        <v>4.9501274657999996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2</v>
      </c>
    </row>
    <row r="12" spans="1:70" x14ac:dyDescent="0.25">
      <c r="A12" t="s">
        <v>189</v>
      </c>
      <c r="B12" s="1">
        <v>198379</v>
      </c>
      <c r="C12">
        <v>7105</v>
      </c>
      <c r="D12">
        <v>43</v>
      </c>
      <c r="E12" s="2">
        <v>21.6756813977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13</v>
      </c>
      <c r="BL12" s="1">
        <v>18</v>
      </c>
      <c r="BM12" s="1">
        <v>24</v>
      </c>
      <c r="BN12" s="1">
        <v>24</v>
      </c>
      <c r="BO12" s="1">
        <v>27</v>
      </c>
      <c r="BP12" s="1">
        <v>27</v>
      </c>
      <c r="BQ12" s="1">
        <v>29</v>
      </c>
      <c r="BR12" s="1">
        <v>43</v>
      </c>
    </row>
    <row r="13" spans="1:70" x14ac:dyDescent="0.25">
      <c r="A13" t="s">
        <v>188</v>
      </c>
      <c r="B13" s="1">
        <v>73419</v>
      </c>
      <c r="C13">
        <v>88</v>
      </c>
      <c r="D13">
        <v>16</v>
      </c>
      <c r="E13" s="2">
        <v>21.792723954300001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7</v>
      </c>
      <c r="BJ13" s="1">
        <v>7</v>
      </c>
      <c r="BK13" s="1">
        <v>6</v>
      </c>
      <c r="BL13" s="1">
        <v>6</v>
      </c>
      <c r="BM13" s="1">
        <v>5</v>
      </c>
      <c r="BN13" s="1">
        <v>8</v>
      </c>
      <c r="BO13" s="1">
        <v>9</v>
      </c>
      <c r="BP13" s="1">
        <v>13</v>
      </c>
      <c r="BQ13" s="1">
        <v>16</v>
      </c>
      <c r="BR13" s="1">
        <v>16</v>
      </c>
    </row>
    <row r="14" spans="1:70" x14ac:dyDescent="0.25">
      <c r="A14" t="s">
        <v>187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186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184</v>
      </c>
      <c r="B17" s="1">
        <v>37841</v>
      </c>
      <c r="C17">
        <v>491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182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</row>
    <row r="20" spans="1:70" x14ac:dyDescent="0.25">
      <c r="A20" t="s">
        <v>181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180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179</v>
      </c>
      <c r="B22" s="1">
        <v>276472</v>
      </c>
      <c r="C22">
        <v>991</v>
      </c>
      <c r="D22">
        <v>0</v>
      </c>
      <c r="E22" s="2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178</v>
      </c>
      <c r="B23" s="1">
        <v>353343</v>
      </c>
      <c r="C23">
        <v>2812</v>
      </c>
      <c r="D23">
        <v>306</v>
      </c>
      <c r="E23" s="2">
        <v>86.601404301200006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65</v>
      </c>
      <c r="BG23" s="1">
        <v>65</v>
      </c>
      <c r="BH23" s="1">
        <v>65</v>
      </c>
      <c r="BI23" s="1">
        <v>65</v>
      </c>
      <c r="BJ23" s="1">
        <v>65</v>
      </c>
      <c r="BK23" s="1">
        <v>65</v>
      </c>
      <c r="BL23" s="1">
        <v>155</v>
      </c>
      <c r="BM23" s="1">
        <v>168</v>
      </c>
      <c r="BN23" s="1">
        <v>184</v>
      </c>
      <c r="BO23" s="1">
        <v>246</v>
      </c>
      <c r="BP23" s="1">
        <v>261</v>
      </c>
      <c r="BQ23" s="1">
        <v>285</v>
      </c>
      <c r="BR23" s="1">
        <v>306</v>
      </c>
    </row>
    <row r="24" spans="1:70" x14ac:dyDescent="0.25">
      <c r="A24" t="s">
        <v>177</v>
      </c>
      <c r="B24" s="1">
        <v>36433</v>
      </c>
      <c r="C24">
        <v>1077</v>
      </c>
      <c r="D24">
        <v>1</v>
      </c>
      <c r="E24" s="2">
        <v>2.7447643620000002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1</v>
      </c>
      <c r="BQ24" s="1">
        <v>1</v>
      </c>
      <c r="BR24" s="1">
        <v>1</v>
      </c>
    </row>
    <row r="25" spans="1:70" x14ac:dyDescent="0.25">
      <c r="A25" t="s">
        <v>176</v>
      </c>
      <c r="B25" s="1">
        <v>343955</v>
      </c>
      <c r="C25">
        <v>5224</v>
      </c>
      <c r="D25">
        <v>84</v>
      </c>
      <c r="E25" s="2">
        <v>24.4217993633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</v>
      </c>
      <c r="AS25" s="1">
        <v>3</v>
      </c>
      <c r="AT25" s="1">
        <v>4</v>
      </c>
      <c r="AU25" s="1">
        <v>4</v>
      </c>
      <c r="AV25" s="1">
        <v>5</v>
      </c>
      <c r="AW25" s="1">
        <v>6</v>
      </c>
      <c r="AX25" s="1">
        <v>3</v>
      </c>
      <c r="AY25" s="1">
        <v>3</v>
      </c>
      <c r="AZ25" s="1">
        <v>3</v>
      </c>
      <c r="BA25" s="1">
        <v>3</v>
      </c>
      <c r="BB25" s="1">
        <v>7</v>
      </c>
      <c r="BC25" s="1">
        <v>8</v>
      </c>
      <c r="BD25" s="1">
        <v>11</v>
      </c>
      <c r="BE25" s="1">
        <v>12</v>
      </c>
      <c r="BF25" s="1">
        <v>17</v>
      </c>
      <c r="BG25" s="1">
        <v>17</v>
      </c>
      <c r="BH25" s="1">
        <v>22</v>
      </c>
      <c r="BI25" s="1">
        <v>24</v>
      </c>
      <c r="BJ25" s="1">
        <v>29</v>
      </c>
      <c r="BK25" s="1">
        <v>33</v>
      </c>
      <c r="BL25" s="1">
        <v>42</v>
      </c>
      <c r="BM25" s="1">
        <v>47</v>
      </c>
      <c r="BN25" s="1">
        <v>55</v>
      </c>
      <c r="BO25" s="1">
        <v>64</v>
      </c>
      <c r="BP25" s="1">
        <v>70</v>
      </c>
      <c r="BQ25" s="1">
        <v>80</v>
      </c>
      <c r="BR25" s="1">
        <v>84</v>
      </c>
    </row>
    <row r="26" spans="1:70" x14ac:dyDescent="0.25">
      <c r="A26" t="s">
        <v>175</v>
      </c>
      <c r="B26" s="1">
        <v>799145</v>
      </c>
      <c r="C26">
        <v>3212</v>
      </c>
      <c r="D26">
        <v>291</v>
      </c>
      <c r="E26" s="2">
        <v>36.413917374199997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4</v>
      </c>
      <c r="AS26" s="1">
        <v>4</v>
      </c>
      <c r="AT26" s="1">
        <v>4</v>
      </c>
      <c r="AU26" s="1">
        <v>6</v>
      </c>
      <c r="AV26" s="1">
        <v>8</v>
      </c>
      <c r="AW26" s="1">
        <v>11</v>
      </c>
      <c r="AX26" s="1">
        <v>14</v>
      </c>
      <c r="AY26" s="1">
        <v>15</v>
      </c>
      <c r="AZ26" s="1">
        <v>16</v>
      </c>
      <c r="BA26" s="1">
        <v>22</v>
      </c>
      <c r="BB26" s="1">
        <v>29</v>
      </c>
      <c r="BC26" s="1">
        <v>36</v>
      </c>
      <c r="BD26" s="1">
        <v>38</v>
      </c>
      <c r="BE26" s="1">
        <v>43</v>
      </c>
      <c r="BF26" s="1">
        <v>52</v>
      </c>
      <c r="BG26" s="1">
        <v>43</v>
      </c>
      <c r="BH26" s="1">
        <v>62</v>
      </c>
      <c r="BI26" s="1">
        <v>66</v>
      </c>
      <c r="BJ26" s="1">
        <v>95</v>
      </c>
      <c r="BK26" s="1">
        <v>128</v>
      </c>
      <c r="BL26" s="1">
        <v>140</v>
      </c>
      <c r="BM26" s="1">
        <v>152</v>
      </c>
      <c r="BN26" s="1">
        <v>175</v>
      </c>
      <c r="BO26" s="1">
        <v>203</v>
      </c>
      <c r="BP26" s="1">
        <v>223</v>
      </c>
      <c r="BQ26" s="1">
        <v>266</v>
      </c>
      <c r="BR26" s="1">
        <v>291</v>
      </c>
    </row>
    <row r="27" spans="1:70" x14ac:dyDescent="0.25">
      <c r="A27" t="s">
        <v>174</v>
      </c>
      <c r="B27" s="1">
        <v>126837</v>
      </c>
      <c r="C27">
        <v>239</v>
      </c>
      <c r="D27">
        <v>1</v>
      </c>
      <c r="E27" s="2">
        <v>0.78841347559999997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</row>
    <row r="28" spans="1:70" x14ac:dyDescent="0.25">
      <c r="A28" t="s">
        <v>173</v>
      </c>
      <c r="B28" s="1">
        <v>1520968</v>
      </c>
      <c r="C28">
        <v>1729</v>
      </c>
      <c r="D28">
        <v>0</v>
      </c>
      <c r="E28" s="2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</sheetData>
  <autoFilter ref="A1:BR28" xr:uid="{FB3FD81F-D81C-4F74-A4BA-1190FA71370B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9362-4ACB-47EF-8DAE-9785895B1FFD}">
  <dimension ref="A1:B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2" width="11.42578125" style="1"/>
  </cols>
  <sheetData>
    <row r="1" spans="1:72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160</v>
      </c>
      <c r="BT1" s="1" t="s">
        <v>162</v>
      </c>
    </row>
    <row r="2" spans="1:72" x14ac:dyDescent="0.25">
      <c r="A2" t="s">
        <v>0</v>
      </c>
      <c r="B2" s="1">
        <v>8654622</v>
      </c>
      <c r="C2">
        <v>39516</v>
      </c>
      <c r="D2">
        <v>153</v>
      </c>
      <c r="E2" s="2">
        <v>1.7678415071</v>
      </c>
      <c r="F2" s="3">
        <v>1.4040561599999999E-2</v>
      </c>
      <c r="G2" s="3">
        <v>3.7546012300000001E-2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</row>
    <row r="3" spans="1:72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</row>
    <row r="4" spans="1:72" x14ac:dyDescent="0.25">
      <c r="A4" t="s">
        <v>197</v>
      </c>
      <c r="B4" s="1">
        <v>55234</v>
      </c>
      <c r="C4">
        <v>243</v>
      </c>
      <c r="D4">
        <v>2</v>
      </c>
      <c r="E4" s="2">
        <v>3.6209581055000002</v>
      </c>
      <c r="F4" s="3">
        <v>5.8823529399999998E-2</v>
      </c>
      <c r="G4" s="3">
        <v>0.18181818180000001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</row>
    <row r="5" spans="1:72" x14ac:dyDescent="0.25">
      <c r="A5" t="s">
        <v>196</v>
      </c>
      <c r="B5" s="1">
        <v>677387</v>
      </c>
      <c r="C5">
        <v>1404</v>
      </c>
      <c r="D5">
        <v>2</v>
      </c>
      <c r="E5" s="2">
        <v>0.29525219699999999</v>
      </c>
      <c r="F5" s="3">
        <v>6.2695924999999998E-3</v>
      </c>
      <c r="G5" s="3">
        <v>1.6949152499999998E-2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</row>
    <row r="6" spans="1:72" x14ac:dyDescent="0.25">
      <c r="A6" t="s">
        <v>195</v>
      </c>
      <c r="B6" s="1">
        <v>194766</v>
      </c>
      <c r="C6">
        <v>37</v>
      </c>
      <c r="D6">
        <v>8</v>
      </c>
      <c r="E6" s="2">
        <v>4.1074930942999996</v>
      </c>
      <c r="F6" s="3">
        <v>1.7167381999999998E-2</v>
      </c>
      <c r="G6" s="3">
        <v>3.6036036E-2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</row>
    <row r="7" spans="1:72" x14ac:dyDescent="0.25">
      <c r="A7" t="s">
        <v>194</v>
      </c>
      <c r="B7" s="1">
        <v>288132</v>
      </c>
      <c r="C7">
        <v>518</v>
      </c>
      <c r="D7">
        <v>5</v>
      </c>
      <c r="E7" s="2">
        <v>1.7353157581</v>
      </c>
      <c r="F7" s="3">
        <v>1.46627566E-2</v>
      </c>
      <c r="G7" s="3">
        <v>3.7313432799999997E-2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</row>
    <row r="8" spans="1:72" x14ac:dyDescent="0.25">
      <c r="A8" t="s">
        <v>193</v>
      </c>
      <c r="B8" s="1">
        <v>1034977</v>
      </c>
      <c r="C8">
        <v>5959</v>
      </c>
      <c r="D8">
        <v>6</v>
      </c>
      <c r="E8" s="2">
        <v>0.57972302769999995</v>
      </c>
      <c r="F8" s="3">
        <v>9.6153846000000005E-3</v>
      </c>
      <c r="G8" s="3">
        <v>2.1276595700000001E-2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</row>
    <row r="9" spans="1:72" x14ac:dyDescent="0.25">
      <c r="A9" t="s">
        <v>192</v>
      </c>
      <c r="B9" s="1">
        <v>318714</v>
      </c>
      <c r="C9">
        <v>1671</v>
      </c>
      <c r="D9">
        <v>6</v>
      </c>
      <c r="E9" s="2">
        <v>1.8825655603</v>
      </c>
      <c r="F9" s="3">
        <v>2.0477815699999999E-2</v>
      </c>
      <c r="G9" s="3">
        <v>5.4054054099999999E-2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</row>
    <row r="10" spans="1:72" x14ac:dyDescent="0.25">
      <c r="A10" t="s">
        <v>191</v>
      </c>
      <c r="B10" s="1">
        <v>499480</v>
      </c>
      <c r="C10">
        <v>1771</v>
      </c>
      <c r="D10">
        <v>15</v>
      </c>
      <c r="E10" s="2">
        <v>3.0031232482000001</v>
      </c>
      <c r="F10" s="3">
        <v>8.7822014E-3</v>
      </c>
      <c r="G10" s="3">
        <v>1.5608740899999999E-2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5</v>
      </c>
      <c r="BN10" s="1">
        <v>5</v>
      </c>
      <c r="BO10" s="1">
        <v>8</v>
      </c>
      <c r="BP10" s="1">
        <v>10</v>
      </c>
      <c r="BQ10" s="1">
        <v>9</v>
      </c>
      <c r="BR10" s="1">
        <v>9</v>
      </c>
      <c r="BS10" s="1">
        <v>12</v>
      </c>
      <c r="BT10" s="1">
        <v>15</v>
      </c>
    </row>
    <row r="11" spans="1:72" x14ac:dyDescent="0.25">
      <c r="A11" t="s">
        <v>190</v>
      </c>
      <c r="B11" s="1">
        <v>40403</v>
      </c>
      <c r="C11">
        <v>685</v>
      </c>
      <c r="D11">
        <v>0</v>
      </c>
      <c r="E11" s="2">
        <v>0</v>
      </c>
      <c r="F11" s="3">
        <v>0</v>
      </c>
      <c r="G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</row>
    <row r="12" spans="1:72" x14ac:dyDescent="0.25">
      <c r="A12" t="s">
        <v>189</v>
      </c>
      <c r="B12" s="1">
        <v>198379</v>
      </c>
      <c r="C12">
        <v>7105</v>
      </c>
      <c r="D12">
        <v>6</v>
      </c>
      <c r="E12" s="2">
        <v>3.0245136833999999</v>
      </c>
      <c r="F12" s="3">
        <v>1.8633540399999999E-2</v>
      </c>
      <c r="G12" s="3">
        <v>4.13793103E-2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</row>
    <row r="13" spans="1:72" x14ac:dyDescent="0.25">
      <c r="A13" t="s">
        <v>188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G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</row>
    <row r="14" spans="1:72" x14ac:dyDescent="0.25">
      <c r="A14" t="s">
        <v>187</v>
      </c>
      <c r="B14" s="1">
        <v>409557</v>
      </c>
      <c r="C14">
        <v>1493</v>
      </c>
      <c r="D14">
        <v>2</v>
      </c>
      <c r="E14" s="2">
        <v>0.4883325154</v>
      </c>
      <c r="F14" s="3">
        <v>8.7719297999999998E-3</v>
      </c>
      <c r="G14" s="3">
        <v>3.0769230799999998E-2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</row>
    <row r="15" spans="1:72" x14ac:dyDescent="0.25">
      <c r="A15" t="s">
        <v>186</v>
      </c>
      <c r="B15" s="1">
        <v>176850</v>
      </c>
      <c r="C15">
        <v>220</v>
      </c>
      <c r="D15">
        <v>2</v>
      </c>
      <c r="E15" s="2">
        <v>1.1309018943</v>
      </c>
      <c r="F15" s="3">
        <v>7.8125E-3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  <c r="BS15" s="1">
        <v>2</v>
      </c>
      <c r="BT15" s="1">
        <v>2</v>
      </c>
    </row>
    <row r="16" spans="1:72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</row>
    <row r="17" spans="1:72" x14ac:dyDescent="0.25">
      <c r="A17" t="s">
        <v>184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</row>
    <row r="18" spans="1:72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</row>
    <row r="19" spans="1:72" x14ac:dyDescent="0.25">
      <c r="A19" t="s">
        <v>182</v>
      </c>
      <c r="B19" s="1">
        <v>159165</v>
      </c>
      <c r="C19">
        <v>908</v>
      </c>
      <c r="D19">
        <v>0</v>
      </c>
      <c r="E19" s="2">
        <v>0</v>
      </c>
      <c r="F19" s="3">
        <v>0</v>
      </c>
      <c r="G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</row>
    <row r="20" spans="1:72" x14ac:dyDescent="0.25">
      <c r="A20" t="s">
        <v>181</v>
      </c>
      <c r="B20" s="1">
        <v>273194</v>
      </c>
      <c r="C20">
        <v>791</v>
      </c>
      <c r="D20">
        <v>1</v>
      </c>
      <c r="E20" s="2">
        <v>0.36604024979999999</v>
      </c>
      <c r="F20" s="3">
        <v>7.7519379999999999E-3</v>
      </c>
      <c r="G20" s="3">
        <v>2.3255814E-2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</row>
    <row r="21" spans="1:72" x14ac:dyDescent="0.25">
      <c r="A21" t="s">
        <v>180</v>
      </c>
      <c r="B21" s="1">
        <v>507697</v>
      </c>
      <c r="C21">
        <v>2026</v>
      </c>
      <c r="D21">
        <v>1</v>
      </c>
      <c r="E21" s="2">
        <v>0.1969678765</v>
      </c>
      <c r="F21" s="3">
        <v>4.3859648999999999E-3</v>
      </c>
      <c r="G21" s="3">
        <v>1.17647059E-2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</row>
    <row r="22" spans="1:72" x14ac:dyDescent="0.25">
      <c r="A22" t="s">
        <v>179</v>
      </c>
      <c r="B22" s="1">
        <v>276472</v>
      </c>
      <c r="C22">
        <v>991</v>
      </c>
      <c r="D22">
        <v>1</v>
      </c>
      <c r="E22" s="2">
        <v>0.36170028069999999</v>
      </c>
      <c r="F22" s="3">
        <v>1.04166667E-2</v>
      </c>
      <c r="G22" s="3">
        <v>2.77777778E-2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</row>
    <row r="23" spans="1:72" x14ac:dyDescent="0.25">
      <c r="A23" t="s">
        <v>178</v>
      </c>
      <c r="B23" s="1">
        <v>353343</v>
      </c>
      <c r="C23">
        <v>2812</v>
      </c>
      <c r="D23">
        <v>60</v>
      </c>
      <c r="E23" s="2">
        <v>16.98066751</v>
      </c>
      <c r="F23" s="3">
        <v>4.43131462E-2</v>
      </c>
      <c r="G23" s="3">
        <v>9.4043887100000001E-2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</row>
    <row r="24" spans="1:72" x14ac:dyDescent="0.25">
      <c r="A24" t="s">
        <v>177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</row>
    <row r="25" spans="1:72" x14ac:dyDescent="0.25">
      <c r="A25" t="s">
        <v>176</v>
      </c>
      <c r="B25" s="1">
        <v>343955</v>
      </c>
      <c r="C25">
        <v>5224</v>
      </c>
      <c r="D25">
        <v>14</v>
      </c>
      <c r="E25" s="2">
        <v>4.0702998938999997</v>
      </c>
      <c r="F25" s="3">
        <v>2.15053763E-2</v>
      </c>
      <c r="G25" s="3">
        <v>4.5016077199999997E-2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</row>
    <row r="26" spans="1:72" x14ac:dyDescent="0.25">
      <c r="A26" t="s">
        <v>175</v>
      </c>
      <c r="B26" s="1">
        <v>799145</v>
      </c>
      <c r="C26">
        <v>3212</v>
      </c>
      <c r="D26">
        <v>21</v>
      </c>
      <c r="E26" s="2">
        <v>2.6278084703000002</v>
      </c>
      <c r="F26" s="3">
        <v>9.4808125999999993E-3</v>
      </c>
      <c r="G26" s="3">
        <v>1.73267327E-2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17</v>
      </c>
      <c r="BS26" s="1">
        <v>21</v>
      </c>
      <c r="BT26" s="1">
        <v>21</v>
      </c>
    </row>
    <row r="27" spans="1:72" x14ac:dyDescent="0.25">
      <c r="A27" t="s">
        <v>174</v>
      </c>
      <c r="B27" s="1">
        <v>126837</v>
      </c>
      <c r="C27">
        <v>239</v>
      </c>
      <c r="D27">
        <v>0</v>
      </c>
      <c r="E27" s="2">
        <v>0</v>
      </c>
      <c r="F27" s="3">
        <v>0</v>
      </c>
      <c r="G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</row>
    <row r="28" spans="1:72" x14ac:dyDescent="0.25">
      <c r="A28" t="s">
        <v>173</v>
      </c>
      <c r="B28" s="1">
        <v>1520968</v>
      </c>
      <c r="C28">
        <v>1729</v>
      </c>
      <c r="D28">
        <v>7</v>
      </c>
      <c r="E28" s="2">
        <v>0.46023321989999999</v>
      </c>
      <c r="F28" s="3">
        <v>5.1357299999999998E-3</v>
      </c>
      <c r="G28" s="3">
        <v>1.33079848E-2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  <c r="BS28" s="1">
        <v>5</v>
      </c>
      <c r="BT28" s="1">
        <v>7</v>
      </c>
    </row>
  </sheetData>
  <autoFilter ref="A1:BT28" xr:uid="{976CF271-FA27-44B2-AA1C-9DC7289D9790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2020-03-26T21:23:21Z</dcterms:modified>
</cp:coreProperties>
</file>